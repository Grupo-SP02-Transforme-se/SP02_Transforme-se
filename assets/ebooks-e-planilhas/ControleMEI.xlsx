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drawings/drawing4.xml" ContentType="application/vnd.openxmlformats-officedocument.drawing+xml"/>
  <Override PartName="/xl/tables/table3.xml" ContentType="application/vnd.openxmlformats-officedocument.spreadsheetml.table+xml"/>
  <Override PartName="/xl/drawings/drawing5.xml" ContentType="application/vnd.openxmlformats-officedocument.drawing+xml"/>
  <Override PartName="/xl/tables/table4.xml" ContentType="application/vnd.openxmlformats-officedocument.spreadsheetml.table+xml"/>
  <Override PartName="/xl/drawings/drawing6.xml" ContentType="application/vnd.openxmlformats-officedocument.drawing+xml"/>
  <Override PartName="/xl/tables/table5.xml" ContentType="application/vnd.openxmlformats-officedocument.spreadsheetml.table+xml"/>
  <Override PartName="/xl/drawings/drawing7.xml" ContentType="application/vnd.openxmlformats-officedocument.drawing+xml"/>
  <Override PartName="/xl/tables/table6.xml" ContentType="application/vnd.openxmlformats-officedocument.spreadsheetml.table+xml"/>
  <Override PartName="/xl/drawings/drawing8.xml" ContentType="application/vnd.openxmlformats-officedocument.drawing+xml"/>
  <Override PartName="/xl/tables/table7.xml" ContentType="application/vnd.openxmlformats-officedocument.spreadsheetml.table+xml"/>
  <Override PartName="/xl/drawings/drawing9.xml" ContentType="application/vnd.openxmlformats-officedocument.drawing+xml"/>
  <Override PartName="/xl/tables/table8.xml" ContentType="application/vnd.openxmlformats-officedocument.spreadsheetml.table+xml"/>
  <Override PartName="/xl/drawings/drawing10.xml" ContentType="application/vnd.openxmlformats-officedocument.drawing+xml"/>
  <Override PartName="/xl/tables/table9.xml" ContentType="application/vnd.openxmlformats-officedocument.spreadsheetml.table+xml"/>
  <Override PartName="/xl/drawings/drawing11.xml" ContentType="application/vnd.openxmlformats-officedocument.drawing+xml"/>
  <Override PartName="/xl/tables/table10.xml" ContentType="application/vnd.openxmlformats-officedocument.spreadsheetml.table+xml"/>
  <Override PartName="/xl/drawings/drawing12.xml" ContentType="application/vnd.openxmlformats-officedocument.drawing+xml"/>
  <Override PartName="/xl/tables/table11.xml" ContentType="application/vnd.openxmlformats-officedocument.spreadsheetml.table+xml"/>
  <Override PartName="/xl/drawings/drawing13.xml" ContentType="application/vnd.openxmlformats-officedocument.drawing+xml"/>
  <Override PartName="/xl/tables/table12.xml" ContentType="application/vnd.openxmlformats-officedocument.spreadsheetml.table+xml"/>
  <Override PartName="/xl/drawings/drawing14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15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https://sebraepr.sharepoint.com/sites/TO-UAR/Documentos Compartilhados/General/UAR 2022/ATENDIMENTO REMOTO/2. Loja Virtual/Conteúdos Digitais/Conteúdos - planilha/"/>
    </mc:Choice>
  </mc:AlternateContent>
  <xr:revisionPtr revIDLastSave="0" documentId="8_{8F8FFB17-1409-42E8-9704-EF4615C80149}" xr6:coauthVersionLast="47" xr6:coauthVersionMax="47" xr10:uidLastSave="{00000000-0000-0000-0000-000000000000}"/>
  <bookViews>
    <workbookView xWindow="-120" yWindow="-120" windowWidth="28110" windowHeight="16440" tabRatio="0" xr2:uid="{B3B1BE14-F09C-407A-9692-42B8B0CC6224}"/>
  </bookViews>
  <sheets>
    <sheet name="Menu" sheetId="11" r:id="rId1"/>
    <sheet name="CF01" sheetId="22" r:id="rId2"/>
    <sheet name="CF02" sheetId="23" r:id="rId3"/>
    <sheet name="CF03" sheetId="24" r:id="rId4"/>
    <sheet name="CF04" sheetId="25" r:id="rId5"/>
    <sheet name="CF05" sheetId="26" r:id="rId6"/>
    <sheet name="CF06" sheetId="27" r:id="rId7"/>
    <sheet name="CF07" sheetId="28" r:id="rId8"/>
    <sheet name="CF08" sheetId="29" r:id="rId9"/>
    <sheet name="CF09" sheetId="30" r:id="rId10"/>
    <sheet name="CF10" sheetId="31" r:id="rId11"/>
    <sheet name="CF11" sheetId="32" r:id="rId12"/>
    <sheet name="CF12" sheetId="33" r:id="rId13"/>
    <sheet name="Dash" sheetId="21" r:id="rId14"/>
    <sheet name="Instruções" sheetId="20" r:id="rId15"/>
  </sheets>
  <definedNames>
    <definedName name="produtos">#REF!</definedName>
    <definedName name="_xlnm.Print_Titles" localSheetId="1">'CF01'!$1:$12</definedName>
    <definedName name="_xlnm.Print_Titles" localSheetId="2">'CF02'!$1:$12</definedName>
    <definedName name="_xlnm.Print_Titles" localSheetId="3">'CF03'!$1:$12</definedName>
    <definedName name="_xlnm.Print_Titles" localSheetId="4">'CF04'!$1:$12</definedName>
    <definedName name="_xlnm.Print_Titles" localSheetId="5">'CF05'!$1:$12</definedName>
    <definedName name="_xlnm.Print_Titles" localSheetId="6">'CF06'!$1:$12</definedName>
    <definedName name="_xlnm.Print_Titles" localSheetId="7">'CF07'!$1:$12</definedName>
    <definedName name="_xlnm.Print_Titles" localSheetId="8">'CF08'!$1:$12</definedName>
    <definedName name="_xlnm.Print_Titles" localSheetId="9">'CF09'!$1:$12</definedName>
    <definedName name="_xlnm.Print_Titles" localSheetId="10">'CF10'!$1:$12</definedName>
    <definedName name="_xlnm.Print_Titles" localSheetId="11">'CF11'!$1:$12</definedName>
    <definedName name="_xlnm.Print_Titles" localSheetId="12">'CF12'!$1:$12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0" i="33" l="1"/>
  <c r="H10" i="32"/>
  <c r="H10" i="31"/>
  <c r="H10" i="30"/>
  <c r="H10" i="29"/>
  <c r="H10" i="28"/>
  <c r="H10" i="27"/>
  <c r="H10" i="26"/>
  <c r="H10" i="25"/>
  <c r="H10" i="24"/>
  <c r="H10" i="23"/>
  <c r="H10" i="22"/>
  <c r="D11" i="21" l="1"/>
  <c r="D26" i="21"/>
  <c r="C10" i="33"/>
  <c r="J3" i="32"/>
  <c r="C10" i="32"/>
  <c r="J3" i="31"/>
  <c r="C10" i="31"/>
  <c r="J3" i="30"/>
  <c r="C10" i="30"/>
  <c r="J3" i="29"/>
  <c r="C10" i="29"/>
  <c r="J3" i="28"/>
  <c r="C10" i="28"/>
  <c r="J3" i="27"/>
  <c r="C10" i="27"/>
  <c r="J3" i="26"/>
  <c r="C10" i="26"/>
  <c r="J3" i="25"/>
  <c r="C10" i="25"/>
  <c r="D17" i="21"/>
  <c r="D42" i="21" s="1"/>
  <c r="C10" i="24"/>
  <c r="J3" i="23"/>
  <c r="C10" i="23"/>
  <c r="G3" i="22"/>
  <c r="C10" i="22"/>
  <c r="E26" i="21" l="1"/>
  <c r="D51" i="21"/>
  <c r="J3" i="33"/>
  <c r="J3" i="24"/>
  <c r="D25" i="21"/>
  <c r="D24" i="21"/>
  <c r="D23" i="21"/>
  <c r="D22" i="21"/>
  <c r="D21" i="21"/>
  <c r="D20" i="21"/>
  <c r="D16" i="21"/>
  <c r="D41" i="21" s="1"/>
  <c r="D19" i="21"/>
  <c r="D18" i="21"/>
  <c r="D15" i="21"/>
  <c r="D40" i="21" s="1"/>
  <c r="E25" i="21" l="1"/>
  <c r="D50" i="21"/>
  <c r="E24" i="21"/>
  <c r="D49" i="21"/>
  <c r="E23" i="21"/>
  <c r="D48" i="21"/>
  <c r="E22" i="21"/>
  <c r="D47" i="21"/>
  <c r="E21" i="21"/>
  <c r="D46" i="21"/>
  <c r="E20" i="21"/>
  <c r="D45" i="21"/>
  <c r="E19" i="21"/>
  <c r="D44" i="21"/>
  <c r="E18" i="21"/>
  <c r="D43" i="21"/>
  <c r="E16" i="21"/>
  <c r="E17" i="21"/>
  <c r="I30" i="21"/>
  <c r="G30" i="21" s="1"/>
  <c r="D27" i="21"/>
  <c r="O30" i="21" l="1"/>
  <c r="M30" i="21" s="1"/>
  <c r="E27" i="21"/>
  <c r="D29" i="21"/>
</calcChain>
</file>

<file path=xl/sharedStrings.xml><?xml version="1.0" encoding="utf-8"?>
<sst xmlns="http://schemas.openxmlformats.org/spreadsheetml/2006/main" count="203" uniqueCount="42">
  <si>
    <t>Empresa:</t>
  </si>
  <si>
    <t>Empresa ABCDE</t>
  </si>
  <si>
    <t>Data da Venda</t>
  </si>
  <si>
    <t>Cliente</t>
  </si>
  <si>
    <t>CNPJ</t>
  </si>
  <si>
    <t>Descrição da Venda (Produto ou Serviço)</t>
  </si>
  <si>
    <t>Valor da Parcela a Receber</t>
  </si>
  <si>
    <t>Nota Fiscal</t>
  </si>
  <si>
    <t>Status Nota Fiscal</t>
  </si>
  <si>
    <t>Se Cancelada, Nº Nota Fiscal Substituta</t>
  </si>
  <si>
    <t>Data Prevista de Recebimento</t>
  </si>
  <si>
    <t>Nº Parcela deste Mês</t>
  </si>
  <si>
    <t>Nº Total de Parcelas</t>
  </si>
  <si>
    <t>Data Recebimento</t>
  </si>
  <si>
    <t>Empresa ABC</t>
  </si>
  <si>
    <t>11.111.111/0001-11</t>
  </si>
  <si>
    <t>Produto A</t>
  </si>
  <si>
    <t>Ativa</t>
  </si>
  <si>
    <t>Empresa 123</t>
  </si>
  <si>
    <t>11.111.111/0001-12</t>
  </si>
  <si>
    <t>Produto B</t>
  </si>
  <si>
    <t>Empresa XYZ</t>
  </si>
  <si>
    <t>11.111.111/0001-13</t>
  </si>
  <si>
    <t>Produto C</t>
  </si>
  <si>
    <t>NKADHSK</t>
  </si>
  <si>
    <t>Mês</t>
  </si>
  <si>
    <t>Total de Faturamento no Mês</t>
  </si>
  <si>
    <t>% Mês Anterior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</si>
  <si>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</si>
  <si>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</si>
  <si>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</si>
  <si>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</si>
  <si>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</si>
  <si>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</si>
  <si>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</si>
  <si>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</si>
  <si>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</si>
  <si>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</si>
  <si>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</si>
  <si>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</si>
  <si>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Total no Ano:</t>
  </si>
  <si>
    <t>Média Faturamento: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</si>
</sst>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R$&quot;* #,##0.00_-;\-&quot;R$&quot;* #,##0.00_-;_-&quot;R$&quot;* &quot;-&quot;??_-;_-@_-"/>
    <numFmt numFmtId="165" formatCode="0.0"/>
    <numFmt numFmtId="166" formatCode="&quot;R$&quot;#,##0.00"/>
    <numFmt numFmtId="167" formatCode="0.0%"/>
  </numFmts>
  <fonts count="12" x14ac:knownFonts="1">
    <font>
      <sz val="11"/>
      <color theme="1"/>
      <name val="Calibri"/>
      <family val="2"/>
      <scheme val="minor"/>
    </font>
    <font>
      <b/>
      <sz val="14"/>
      <color theme="5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4"/>
      <color theme="8" tint="-0.249977111117893"/>
      <name val="Calibri"/>
      <family val="2"/>
      <scheme val="minor"/>
    </font>
    <font>
      <sz val="16"/>
      <color theme="0" tint="-0.499984740745262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 tint="0.249977111117893"/>
      <name val="Calibri"/>
      <family val="2"/>
      <scheme val="minor"/>
    </font>
    <font>
      <b/>
      <sz val="24"/>
      <color theme="8" tint="-0.499984740745262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1" tint="0.249977111117893"/>
      <name val="Calibri"/>
      <family val="2"/>
      <scheme val="minor"/>
    </font>
    <font>
      <b/>
      <sz val="14"/>
      <color theme="8" tint="-0.499984740745262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79998168889431442"/>
        <bgColor theme="8" tint="0.79998168889431442"/>
      </patternFill>
    </fill>
  </fills>
  <borders count="15">
    <border>
      <left/>
      <right/>
      <top/>
      <bottom/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/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/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/>
      <top style="thin">
        <color theme="0" tint="-4.9989318521683403E-2"/>
      </top>
      <bottom style="thin">
        <color theme="0" tint="-4.9989318521683403E-2"/>
      </bottom>
      <diagonal/>
    </border>
    <border>
      <left/>
      <right style="thin">
        <color theme="0" tint="-4.9989318521683403E-2"/>
      </right>
      <top/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4.9989318521683403E-2"/>
      </right>
      <top/>
      <bottom style="thin">
        <color theme="0" tint="-4.9989318521683403E-2"/>
      </bottom>
      <diagonal/>
    </border>
    <border>
      <left style="thin">
        <color theme="0" tint="-4.9989318521683403E-2"/>
      </left>
      <right/>
      <top/>
      <bottom style="thin">
        <color theme="0" tint="-4.9989318521683403E-2"/>
      </bottom>
      <diagonal/>
    </border>
    <border>
      <left/>
      <right style="thin">
        <color theme="0" tint="-4.9989318521683403E-2"/>
      </right>
      <top style="thin">
        <color theme="0" tint="-4.9989318521683403E-2"/>
      </top>
      <bottom/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/>
      <diagonal/>
    </border>
    <border>
      <left style="thin">
        <color theme="0" tint="-4.9989318521683403E-2"/>
      </left>
      <right/>
      <top style="thin">
        <color theme="0" tint="-4.9989318521683403E-2"/>
      </top>
      <bottom/>
      <diagonal/>
    </border>
    <border>
      <left style="thin">
        <color theme="0" tint="-0.34998626667073579"/>
      </left>
      <right/>
      <top/>
      <bottom/>
      <diagonal/>
    </border>
  </borders>
  <cellStyleXfs count="3">
    <xf numFmtId="0" fontId="0" fillId="0" borderId="0"/>
    <xf numFmtId="164" fontId="5" fillId="0" borderId="0" applyFont="0" applyFill="0" applyBorder="0" applyAlignment="0" applyProtection="0"/>
    <xf numFmtId="9" fontId="5" fillId="0" borderId="0" applyFont="0" applyFill="0" applyBorder="0" applyAlignment="0" applyProtection="0"/>
  </cellStyleXfs>
  <cellXfs count="105">
    <xf numFmtId="0" fontId="0" fillId="0" borderId="0" xfId="0"/>
    <xf numFmtId="0" fontId="0" fillId="2" borderId="0" xfId="0" applyFill="1"/>
    <xf numFmtId="0" fontId="1" fillId="0" borderId="0" xfId="0" applyFont="1"/>
    <xf numFmtId="165" fontId="0" fillId="0" borderId="0" xfId="0" applyNumberFormat="1"/>
    <xf numFmtId="0" fontId="3" fillId="0" borderId="0" xfId="0" applyFont="1" applyAlignment="1">
      <alignment horizontal="center" vertical="center"/>
    </xf>
    <xf numFmtId="0" fontId="2" fillId="3" borderId="8" xfId="0" applyFont="1" applyFill="1" applyBorder="1" applyAlignment="1">
      <alignment vertical="center"/>
    </xf>
    <xf numFmtId="0" fontId="2" fillId="3" borderId="9" xfId="0" applyFont="1" applyFill="1" applyBorder="1" applyAlignment="1">
      <alignment vertical="center"/>
    </xf>
    <xf numFmtId="0" fontId="2" fillId="3" borderId="9" xfId="0" applyFont="1" applyFill="1" applyBorder="1" applyAlignment="1">
      <alignment vertical="center" wrapText="1"/>
    </xf>
    <xf numFmtId="0" fontId="2" fillId="3" borderId="10" xfId="0" applyFont="1" applyFill="1" applyBorder="1" applyAlignment="1">
      <alignment vertical="center" wrapText="1"/>
    </xf>
    <xf numFmtId="0" fontId="8" fillId="0" borderId="0" xfId="0" applyFont="1"/>
    <xf numFmtId="0" fontId="2" fillId="3" borderId="0" xfId="0" applyFont="1" applyFill="1" applyAlignment="1">
      <alignment horizontal="center" vertical="center" wrapText="1"/>
    </xf>
    <xf numFmtId="164" fontId="6" fillId="0" borderId="0" xfId="0" applyNumberFormat="1" applyFont="1" applyAlignment="1">
      <alignment horizontal="center" vertical="center"/>
    </xf>
    <xf numFmtId="164" fontId="6" fillId="4" borderId="0" xfId="0" applyNumberFormat="1" applyFont="1" applyFill="1" applyAlignment="1">
      <alignment horizontal="center" vertical="center"/>
    </xf>
    <xf numFmtId="164" fontId="2" fillId="3" borderId="0" xfId="0" applyNumberFormat="1" applyFont="1" applyFill="1" applyAlignment="1">
      <alignment horizontal="center" vertical="center"/>
    </xf>
    <xf numFmtId="0" fontId="6" fillId="0" borderId="0" xfId="0" applyFont="1" applyProtection="1">
      <protection locked="0"/>
    </xf>
    <xf numFmtId="164" fontId="6" fillId="0" borderId="0" xfId="0" applyNumberFormat="1" applyFont="1" applyProtection="1">
      <protection locked="0"/>
    </xf>
    <xf numFmtId="1" fontId="6" fillId="0" borderId="0" xfId="0" applyNumberFormat="1" applyFont="1" applyAlignment="1" applyProtection="1">
      <alignment horizontal="center" vertical="center"/>
      <protection locked="0"/>
    </xf>
    <xf numFmtId="0" fontId="6" fillId="0" borderId="0" xfId="0" applyFont="1" applyAlignment="1" applyProtection="1">
      <alignment horizontal="right"/>
      <protection locked="0"/>
    </xf>
    <xf numFmtId="0" fontId="6" fillId="0" borderId="0" xfId="0" applyFont="1" applyAlignment="1" applyProtection="1">
      <alignment horizontal="left"/>
      <protection locked="0"/>
    </xf>
    <xf numFmtId="1" fontId="6" fillId="0" borderId="0" xfId="0" applyNumberFormat="1" applyFont="1" applyAlignment="1" applyProtection="1">
      <alignment horizontal="left"/>
      <protection locked="0"/>
    </xf>
    <xf numFmtId="164" fontId="6" fillId="0" borderId="0" xfId="1" applyFont="1" applyFill="1" applyBorder="1" applyProtection="1">
      <protection locked="0"/>
    </xf>
    <xf numFmtId="164" fontId="6" fillId="0" borderId="0" xfId="1" applyFont="1" applyFill="1" applyBorder="1" applyAlignment="1" applyProtection="1">
      <alignment horizontal="center"/>
      <protection locked="0"/>
    </xf>
    <xf numFmtId="164" fontId="6" fillId="0" borderId="0" xfId="1" applyFont="1" applyFill="1" applyBorder="1" applyAlignment="1" applyProtection="1">
      <protection locked="0"/>
    </xf>
    <xf numFmtId="0" fontId="8" fillId="0" borderId="0" xfId="0" applyFont="1" applyAlignment="1">
      <alignment horizontal="left"/>
    </xf>
    <xf numFmtId="14" fontId="6" fillId="5" borderId="6" xfId="0" applyNumberFormat="1" applyFont="1" applyFill="1" applyBorder="1" applyAlignment="1" applyProtection="1">
      <alignment vertical="center"/>
      <protection locked="0"/>
    </xf>
    <xf numFmtId="0" fontId="6" fillId="5" borderId="5" xfId="0" applyFont="1" applyFill="1" applyBorder="1" applyAlignment="1" applyProtection="1">
      <alignment vertical="center"/>
      <protection locked="0"/>
    </xf>
    <xf numFmtId="164" fontId="6" fillId="5" borderId="5" xfId="1" applyFont="1" applyFill="1" applyBorder="1" applyAlignment="1" applyProtection="1">
      <alignment horizontal="center" vertical="center"/>
      <protection locked="0"/>
    </xf>
    <xf numFmtId="14" fontId="6" fillId="5" borderId="5" xfId="0" applyNumberFormat="1" applyFont="1" applyFill="1" applyBorder="1" applyAlignment="1" applyProtection="1">
      <alignment vertical="center"/>
      <protection locked="0"/>
    </xf>
    <xf numFmtId="0" fontId="6" fillId="5" borderId="5" xfId="0" applyFont="1" applyFill="1" applyBorder="1" applyAlignment="1" applyProtection="1">
      <alignment horizontal="center" vertical="center"/>
      <protection locked="0"/>
    </xf>
    <xf numFmtId="14" fontId="6" fillId="5" borderId="7" xfId="0" applyNumberFormat="1" applyFont="1" applyFill="1" applyBorder="1" applyAlignment="1" applyProtection="1">
      <alignment horizontal="right" vertical="center"/>
      <protection locked="0"/>
    </xf>
    <xf numFmtId="14" fontId="6" fillId="0" borderId="11" xfId="0" applyNumberFormat="1" applyFont="1" applyBorder="1" applyAlignment="1" applyProtection="1">
      <alignment vertical="center"/>
      <protection locked="0"/>
    </xf>
    <xf numFmtId="0" fontId="6" fillId="0" borderId="12" xfId="0" applyFont="1" applyBorder="1" applyAlignment="1" applyProtection="1">
      <alignment vertical="center"/>
      <protection locked="0"/>
    </xf>
    <xf numFmtId="164" fontId="6" fillId="0" borderId="12" xfId="1" applyFont="1" applyBorder="1" applyAlignment="1" applyProtection="1">
      <alignment horizontal="center" vertical="center"/>
      <protection locked="0"/>
    </xf>
    <xf numFmtId="14" fontId="6" fillId="0" borderId="12" xfId="0" applyNumberFormat="1" applyFont="1" applyBorder="1" applyAlignment="1" applyProtection="1">
      <alignment vertical="center"/>
      <protection locked="0"/>
    </xf>
    <xf numFmtId="0" fontId="6" fillId="0" borderId="12" xfId="0" applyFont="1" applyBorder="1" applyAlignment="1" applyProtection="1">
      <alignment horizontal="center" vertical="center"/>
      <protection locked="0"/>
    </xf>
    <xf numFmtId="14" fontId="6" fillId="0" borderId="13" xfId="0" applyNumberFormat="1" applyFont="1" applyBorder="1" applyAlignment="1" applyProtection="1">
      <alignment horizontal="right" vertical="center"/>
      <protection locked="0"/>
    </xf>
    <xf numFmtId="14" fontId="6" fillId="0" borderId="0" xfId="0" applyNumberFormat="1" applyFont="1" applyAlignment="1" applyProtection="1">
      <alignment horizontal="right"/>
      <protection locked="0"/>
    </xf>
    <xf numFmtId="14" fontId="6" fillId="0" borderId="0" xfId="0" applyNumberFormat="1" applyFont="1" applyProtection="1">
      <protection locked="0"/>
    </xf>
    <xf numFmtId="0" fontId="6" fillId="0" borderId="0" xfId="0" applyFont="1" applyAlignment="1" applyProtection="1">
      <alignment horizontal="center"/>
      <protection locked="0"/>
    </xf>
    <xf numFmtId="0" fontId="9" fillId="0" borderId="0" xfId="0" applyFont="1" applyAlignment="1" applyProtection="1">
      <alignment horizontal="right" vertical="center" wrapText="1"/>
      <protection locked="0"/>
    </xf>
    <xf numFmtId="0" fontId="9" fillId="0" borderId="0" xfId="0" applyFont="1" applyAlignment="1" applyProtection="1">
      <alignment vertical="center"/>
      <protection locked="0"/>
    </xf>
    <xf numFmtId="0" fontId="9" fillId="0" borderId="0" xfId="0" applyFont="1" applyAlignment="1" applyProtection="1">
      <alignment horizontal="left" vertical="center"/>
      <protection locked="0"/>
    </xf>
    <xf numFmtId="164" fontId="9" fillId="0" borderId="0" xfId="1" applyFont="1" applyFill="1" applyBorder="1" applyAlignment="1" applyProtection="1">
      <alignment vertical="center"/>
      <protection locked="0"/>
    </xf>
    <xf numFmtId="164" fontId="9" fillId="0" borderId="0" xfId="0" applyNumberFormat="1" applyFont="1" applyAlignment="1" applyProtection="1">
      <alignment vertical="center"/>
      <protection locked="0"/>
    </xf>
    <xf numFmtId="0" fontId="9" fillId="0" borderId="0" xfId="0" applyFont="1" applyAlignment="1" applyProtection="1">
      <alignment horizontal="right"/>
      <protection locked="0"/>
    </xf>
    <xf numFmtId="0" fontId="9" fillId="0" borderId="0" xfId="0" applyFont="1" applyProtection="1">
      <protection locked="0"/>
    </xf>
    <xf numFmtId="0" fontId="9" fillId="0" borderId="0" xfId="0" applyFont="1" applyAlignment="1" applyProtection="1">
      <alignment horizontal="left"/>
      <protection locked="0"/>
    </xf>
    <xf numFmtId="164" fontId="9" fillId="0" borderId="0" xfId="1" applyFont="1" applyFill="1" applyBorder="1" applyAlignment="1" applyProtection="1">
      <protection locked="0"/>
    </xf>
    <xf numFmtId="0" fontId="9" fillId="0" borderId="0" xfId="0" applyFont="1" applyAlignment="1" applyProtection="1">
      <alignment vertical="center" wrapText="1"/>
      <protection locked="0"/>
    </xf>
    <xf numFmtId="0" fontId="9" fillId="0" borderId="0" xfId="0" applyFont="1" applyAlignment="1" applyProtection="1">
      <alignment horizontal="left" vertical="center" wrapText="1"/>
      <protection locked="0"/>
    </xf>
    <xf numFmtId="164" fontId="9" fillId="0" borderId="0" xfId="1" applyFont="1" applyFill="1" applyBorder="1" applyAlignment="1" applyProtection="1">
      <alignment horizontal="center" vertical="center" wrapText="1"/>
      <protection locked="0"/>
    </xf>
    <xf numFmtId="0" fontId="9" fillId="0" borderId="0" xfId="0" applyFont="1" applyAlignment="1" applyProtection="1">
      <alignment horizontal="center" vertical="center" wrapText="1"/>
      <protection locked="0"/>
    </xf>
    <xf numFmtId="165" fontId="6" fillId="0" borderId="0" xfId="0" applyNumberFormat="1" applyFont="1" applyAlignment="1" applyProtection="1">
      <alignment horizontal="center"/>
      <protection locked="0"/>
    </xf>
    <xf numFmtId="0" fontId="9" fillId="0" borderId="0" xfId="0" applyFont="1" applyAlignment="1" applyProtection="1">
      <alignment horizontal="right" vertical="center"/>
      <protection locked="0"/>
    </xf>
    <xf numFmtId="1" fontId="9" fillId="0" borderId="0" xfId="0" applyNumberFormat="1" applyFont="1" applyAlignment="1" applyProtection="1">
      <alignment horizontal="left" vertical="center"/>
      <protection locked="0"/>
    </xf>
    <xf numFmtId="164" fontId="6" fillId="0" borderId="0" xfId="1" applyFont="1" applyFill="1" applyBorder="1" applyAlignment="1" applyProtection="1">
      <alignment vertical="center"/>
      <protection locked="0"/>
    </xf>
    <xf numFmtId="165" fontId="9" fillId="0" borderId="0" xfId="0" applyNumberFormat="1" applyFont="1" applyAlignment="1" applyProtection="1">
      <alignment horizontal="center" vertical="center"/>
      <protection locked="0"/>
    </xf>
    <xf numFmtId="164" fontId="9" fillId="0" borderId="0" xfId="1" applyFont="1" applyFill="1" applyBorder="1" applyAlignment="1" applyProtection="1">
      <alignment horizontal="center" vertical="center"/>
      <protection locked="0"/>
    </xf>
    <xf numFmtId="2" fontId="9" fillId="0" borderId="0" xfId="0" applyNumberFormat="1" applyFont="1" applyAlignment="1" applyProtection="1">
      <alignment horizontal="center" vertical="center"/>
      <protection locked="0"/>
    </xf>
    <xf numFmtId="0" fontId="9" fillId="0" borderId="0" xfId="0" applyFont="1" applyAlignment="1" applyProtection="1">
      <alignment horizontal="center" vertical="center"/>
      <protection locked="0"/>
    </xf>
    <xf numFmtId="164" fontId="9" fillId="0" borderId="0" xfId="1" applyFont="1" applyFill="1" applyBorder="1" applyAlignment="1" applyProtection="1">
      <alignment vertical="center" wrapText="1"/>
      <protection locked="0"/>
    </xf>
    <xf numFmtId="164" fontId="6" fillId="0" borderId="0" xfId="1" applyFont="1" applyProtection="1">
      <protection locked="0"/>
    </xf>
    <xf numFmtId="0" fontId="6" fillId="5" borderId="5" xfId="1" applyNumberFormat="1" applyFont="1" applyFill="1" applyBorder="1" applyAlignment="1" applyProtection="1">
      <alignment horizontal="center" vertical="center"/>
      <protection locked="0"/>
    </xf>
    <xf numFmtId="0" fontId="6" fillId="0" borderId="12" xfId="1" applyNumberFormat="1" applyFont="1" applyBorder="1" applyAlignment="1" applyProtection="1">
      <alignment horizontal="center" vertical="center"/>
      <protection locked="0"/>
    </xf>
    <xf numFmtId="0" fontId="6" fillId="0" borderId="0" xfId="1" applyNumberFormat="1" applyFont="1" applyFill="1" applyBorder="1" applyProtection="1">
      <protection locked="0"/>
    </xf>
    <xf numFmtId="0" fontId="9" fillId="0" borderId="0" xfId="1" applyNumberFormat="1" applyFont="1" applyFill="1" applyBorder="1" applyAlignment="1" applyProtection="1">
      <alignment vertical="center"/>
      <protection locked="0"/>
    </xf>
    <xf numFmtId="0" fontId="9" fillId="0" borderId="0" xfId="1" applyNumberFormat="1" applyFont="1" applyFill="1" applyBorder="1" applyAlignment="1" applyProtection="1">
      <protection locked="0"/>
    </xf>
    <xf numFmtId="0" fontId="9" fillId="0" borderId="0" xfId="1" applyNumberFormat="1" applyFont="1" applyFill="1" applyBorder="1" applyAlignment="1" applyProtection="1">
      <alignment horizontal="center" vertical="center" wrapText="1"/>
      <protection locked="0"/>
    </xf>
    <xf numFmtId="0" fontId="6" fillId="0" borderId="0" xfId="1" applyNumberFormat="1" applyFont="1" applyFill="1" applyBorder="1" applyAlignment="1" applyProtection="1">
      <alignment horizontal="center"/>
      <protection locked="0"/>
    </xf>
    <xf numFmtId="0" fontId="6" fillId="0" borderId="0" xfId="1" applyNumberFormat="1" applyFont="1" applyFill="1" applyBorder="1" applyAlignment="1" applyProtection="1">
      <alignment vertical="center"/>
      <protection locked="0"/>
    </xf>
    <xf numFmtId="0" fontId="9" fillId="0" borderId="0" xfId="1" applyNumberFormat="1" applyFont="1" applyFill="1" applyBorder="1" applyAlignment="1" applyProtection="1">
      <alignment horizontal="center" vertical="center"/>
      <protection locked="0"/>
    </xf>
    <xf numFmtId="0" fontId="6" fillId="0" borderId="0" xfId="1" applyNumberFormat="1" applyFont="1" applyFill="1" applyBorder="1" applyAlignment="1" applyProtection="1">
      <protection locked="0"/>
    </xf>
    <xf numFmtId="0" fontId="9" fillId="0" borderId="0" xfId="1" applyNumberFormat="1" applyFont="1" applyFill="1" applyBorder="1" applyAlignment="1" applyProtection="1">
      <alignment vertical="center" wrapText="1"/>
      <protection locked="0"/>
    </xf>
    <xf numFmtId="0" fontId="6" fillId="0" borderId="0" xfId="1" applyNumberFormat="1" applyFont="1" applyProtection="1">
      <protection locked="0"/>
    </xf>
    <xf numFmtId="167" fontId="0" fillId="0" borderId="0" xfId="2" applyNumberFormat="1" applyFont="1" applyAlignment="1">
      <alignment horizontal="center"/>
    </xf>
    <xf numFmtId="167" fontId="0" fillId="4" borderId="0" xfId="2" applyNumberFormat="1" applyFont="1" applyFill="1" applyAlignment="1">
      <alignment horizontal="center"/>
    </xf>
    <xf numFmtId="0" fontId="8" fillId="3" borderId="0" xfId="0" applyFont="1" applyFill="1"/>
    <xf numFmtId="0" fontId="9" fillId="0" borderId="0" xfId="1" applyNumberFormat="1" applyFont="1" applyFill="1" applyBorder="1" applyAlignment="1" applyProtection="1">
      <alignment horizontal="center"/>
      <protection locked="0"/>
    </xf>
    <xf numFmtId="0" fontId="6" fillId="0" borderId="0" xfId="1" applyNumberFormat="1" applyFont="1" applyFill="1" applyBorder="1" applyAlignment="1" applyProtection="1">
      <alignment horizontal="center" vertical="center"/>
      <protection locked="0"/>
    </xf>
    <xf numFmtId="0" fontId="6" fillId="0" borderId="0" xfId="1" applyNumberFormat="1" applyFont="1" applyAlignment="1" applyProtection="1">
      <alignment horizontal="center"/>
      <protection locked="0"/>
    </xf>
    <xf numFmtId="0" fontId="0" fillId="0" borderId="0" xfId="0" applyProtection="1">
      <protection locked="0"/>
    </xf>
    <xf numFmtId="0" fontId="0" fillId="3" borderId="0" xfId="0" applyFill="1"/>
    <xf numFmtId="164" fontId="2" fillId="3" borderId="0" xfId="1" applyFont="1" applyFill="1"/>
    <xf numFmtId="164" fontId="0" fillId="0" borderId="0" xfId="1" applyFont="1"/>
    <xf numFmtId="164" fontId="0" fillId="4" borderId="0" xfId="1" applyFont="1" applyFill="1"/>
    <xf numFmtId="0" fontId="4" fillId="0" borderId="0" xfId="0" applyFont="1" applyAlignment="1">
      <alignment vertical="center"/>
    </xf>
    <xf numFmtId="166" fontId="7" fillId="0" borderId="0" xfId="0" applyNumberFormat="1" applyFont="1" applyAlignment="1">
      <alignment vertical="center" shrinkToFit="1"/>
    </xf>
    <xf numFmtId="0" fontId="4" fillId="0" borderId="14" xfId="0" applyFont="1" applyBorder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4" fillId="0" borderId="1" xfId="0" applyFont="1" applyBorder="1" applyAlignment="1" applyProtection="1">
      <alignment horizontal="left" vertical="center"/>
      <protection locked="0"/>
    </xf>
    <xf numFmtId="0" fontId="4" fillId="0" borderId="2" xfId="0" applyFont="1" applyBorder="1" applyAlignment="1" applyProtection="1">
      <alignment horizontal="left" vertical="center"/>
      <protection locked="0"/>
    </xf>
    <xf numFmtId="0" fontId="4" fillId="0" borderId="3" xfId="0" applyFont="1" applyBorder="1" applyAlignment="1" applyProtection="1">
      <alignment horizontal="left" vertical="center"/>
      <protection locked="0"/>
    </xf>
    <xf numFmtId="166" fontId="7" fillId="0" borderId="0" xfId="0" applyNumberFormat="1" applyFont="1" applyAlignment="1">
      <alignment horizontal="center" vertical="center" shrinkToFi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10" fillId="4" borderId="0" xfId="0" applyFont="1" applyFill="1" applyAlignment="1">
      <alignment horizontal="center" vertical="center"/>
    </xf>
    <xf numFmtId="164" fontId="10" fillId="4" borderId="0" xfId="0" applyNumberFormat="1" applyFont="1" applyFill="1" applyAlignment="1">
      <alignment horizontal="center" vertical="center"/>
    </xf>
    <xf numFmtId="0" fontId="2" fillId="3" borderId="0" xfId="0" applyFont="1" applyFill="1" applyAlignment="1" applyProtection="1">
      <alignment horizontal="center" vertical="center"/>
      <protection locked="0"/>
    </xf>
    <xf numFmtId="0" fontId="2" fillId="3" borderId="0" xfId="0" applyFont="1" applyFill="1" applyAlignment="1">
      <alignment horizontal="center" shrinkToFit="1"/>
    </xf>
    <xf numFmtId="0" fontId="6" fillId="4" borderId="0" xfId="0" applyFont="1" applyFill="1" applyAlignment="1" applyProtection="1">
      <alignment horizontal="center" vertical="center"/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2" fillId="3" borderId="0" xfId="0" applyFont="1" applyFill="1" applyAlignment="1">
      <alignment horizontal="center" vertical="center"/>
    </xf>
    <xf numFmtId="14" fontId="6" fillId="0" borderId="0" xfId="0" applyNumberFormat="1" applyFont="1" applyAlignment="1">
      <alignment horizontal="center" vertical="center"/>
    </xf>
  </cellXfs>
  <cellStyles count="3">
    <cellStyle name="Moeda" xfId="1" builtinId="4"/>
    <cellStyle name="Normal" xfId="0" builtinId="0"/>
    <cellStyle name="Porcentagem" xfId="2" builtinId="5"/>
  </cellStyles>
  <dxfs count="230">
    <dxf>
      <fill>
        <patternFill>
          <bgColor rgb="FFFF0000"/>
        </patternFill>
      </fill>
    </dxf>
    <dxf>
      <font>
        <color theme="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249977111117893"/>
        <name val="Calibri"/>
        <family val="2"/>
        <scheme val="minor"/>
      </font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249977111117893"/>
        <name val="Calibri"/>
        <family val="2"/>
        <scheme val="minor"/>
      </font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249977111117893"/>
        <name val="Calibri"/>
        <family val="2"/>
        <scheme val="minor"/>
      </font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249977111117893"/>
        <name val="Calibri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249977111117893"/>
        <name val="Calibri"/>
        <family val="2"/>
        <scheme val="minor"/>
      </font>
      <numFmt numFmtId="0" formatCode="General"/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249977111117893"/>
        <name val="Calibri"/>
        <family val="2"/>
        <scheme val="minor"/>
      </font>
      <numFmt numFmtId="0" formatCode="General"/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249977111117893"/>
        <name val="Calibri"/>
        <family val="2"/>
        <scheme val="minor"/>
      </font>
      <numFmt numFmtId="0" formatCode="General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249977111117893"/>
        <name val="Calibri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249977111117893"/>
        <name val="Calibri"/>
        <family val="2"/>
        <scheme val="minor"/>
      </font>
      <alignment horizontal="lef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249977111117893"/>
        <name val="Calibri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249977111117893"/>
        <name val="Calibri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249977111117893"/>
        <name val="Calibri"/>
        <family val="2"/>
        <scheme val="minor"/>
      </font>
      <alignment horizontal="right" vertical="bottom" textRotation="0" wrapText="0" indent="0" justifyLastLine="0" shrinkToFit="0" readingOrder="0"/>
      <protection locked="0" hidden="0"/>
    </dxf>
    <dxf>
      <border outline="0">
        <top style="thin">
          <color rgb="FFF2F2F2"/>
        </top>
      </border>
    </dxf>
    <dxf>
      <border outline="0">
        <left style="thin">
          <color rgb="FFF2F2F2"/>
        </left>
        <right style="thin">
          <color rgb="FFF2F2F2"/>
        </right>
        <top style="thin">
          <color rgb="FFF2F2F2"/>
        </top>
        <bottom style="thin">
          <color rgb="FFF2F2F2"/>
        </bottom>
      </border>
    </dxf>
    <dxf>
      <protection locked="0" hidden="0"/>
    </dxf>
    <dxf>
      <border outline="0">
        <bottom style="thin">
          <color rgb="FFF2F2F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8" tint="-0.49998474074526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theme="0" tint="-4.9989318521683403E-2"/>
        </left>
        <right style="thin">
          <color theme="0" tint="-4.9989318521683403E-2"/>
        </right>
        <top/>
        <bottom/>
      </border>
    </dxf>
    <dxf>
      <font>
        <color rgb="FFFF0000"/>
      </font>
    </dxf>
    <dxf>
      <font>
        <color rgb="FFFF000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249977111117893"/>
        <name val="Calibri"/>
        <family val="2"/>
        <scheme val="minor"/>
      </font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249977111117893"/>
        <name val="Calibri"/>
        <family val="2"/>
        <scheme val="minor"/>
      </font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249977111117893"/>
        <name val="Calibri"/>
        <family val="2"/>
        <scheme val="minor"/>
      </font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249977111117893"/>
        <name val="Calibri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249977111117893"/>
        <name val="Calibri"/>
        <family val="2"/>
        <scheme val="minor"/>
      </font>
      <numFmt numFmtId="0" formatCode="General"/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249977111117893"/>
        <name val="Calibri"/>
        <family val="2"/>
        <scheme val="minor"/>
      </font>
      <numFmt numFmtId="0" formatCode="General"/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249977111117893"/>
        <name val="Calibri"/>
        <family val="2"/>
        <scheme val="minor"/>
      </font>
      <numFmt numFmtId="0" formatCode="General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249977111117893"/>
        <name val="Calibri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249977111117893"/>
        <name val="Calibri"/>
        <family val="2"/>
        <scheme val="minor"/>
      </font>
      <alignment horizontal="lef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249977111117893"/>
        <name val="Calibri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249977111117893"/>
        <name val="Calibri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249977111117893"/>
        <name val="Calibri"/>
        <family val="2"/>
        <scheme val="minor"/>
      </font>
      <alignment horizontal="right" vertical="bottom" textRotation="0" wrapText="0" indent="0" justifyLastLine="0" shrinkToFit="0" readingOrder="0"/>
      <protection locked="0" hidden="0"/>
    </dxf>
    <dxf>
      <border outline="0">
        <top style="thin">
          <color rgb="FFF2F2F2"/>
        </top>
      </border>
    </dxf>
    <dxf>
      <border outline="0">
        <left style="thin">
          <color rgb="FFF2F2F2"/>
        </left>
        <right style="thin">
          <color rgb="FFF2F2F2"/>
        </right>
        <top style="thin">
          <color rgb="FFF2F2F2"/>
        </top>
        <bottom style="thin">
          <color rgb="FFF2F2F2"/>
        </bottom>
      </border>
    </dxf>
    <dxf>
      <protection locked="0" hidden="0"/>
    </dxf>
    <dxf>
      <border outline="0">
        <bottom style="thin">
          <color rgb="FFF2F2F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8" tint="-0.49998474074526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theme="0" tint="-4.9989318521683403E-2"/>
        </left>
        <right style="thin">
          <color theme="0" tint="-4.9989318521683403E-2"/>
        </right>
        <top/>
        <bottom/>
      </border>
    </dxf>
    <dxf>
      <font>
        <color rgb="FFFF0000"/>
      </font>
    </dxf>
    <dxf>
      <font>
        <color rgb="FFFF000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249977111117893"/>
        <name val="Calibri"/>
        <family val="2"/>
        <scheme val="minor"/>
      </font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249977111117893"/>
        <name val="Calibri"/>
        <family val="2"/>
        <scheme val="minor"/>
      </font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249977111117893"/>
        <name val="Calibri"/>
        <family val="2"/>
        <scheme val="minor"/>
      </font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249977111117893"/>
        <name val="Calibri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249977111117893"/>
        <name val="Calibri"/>
        <family val="2"/>
        <scheme val="minor"/>
      </font>
      <numFmt numFmtId="0" formatCode="General"/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249977111117893"/>
        <name val="Calibri"/>
        <family val="2"/>
        <scheme val="minor"/>
      </font>
      <numFmt numFmtId="0" formatCode="General"/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249977111117893"/>
        <name val="Calibri"/>
        <family val="2"/>
        <scheme val="minor"/>
      </font>
      <numFmt numFmtId="0" formatCode="General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249977111117893"/>
        <name val="Calibri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249977111117893"/>
        <name val="Calibri"/>
        <family val="2"/>
        <scheme val="minor"/>
      </font>
      <alignment horizontal="lef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249977111117893"/>
        <name val="Calibri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249977111117893"/>
        <name val="Calibri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249977111117893"/>
        <name val="Calibri"/>
        <family val="2"/>
        <scheme val="minor"/>
      </font>
      <alignment horizontal="right" vertical="bottom" textRotation="0" wrapText="0" indent="0" justifyLastLine="0" shrinkToFit="0" readingOrder="0"/>
      <protection locked="0" hidden="0"/>
    </dxf>
    <dxf>
      <border outline="0">
        <top style="thin">
          <color rgb="FFF2F2F2"/>
        </top>
      </border>
    </dxf>
    <dxf>
      <border outline="0">
        <left style="thin">
          <color rgb="FFF2F2F2"/>
        </left>
        <right style="thin">
          <color rgb="FFF2F2F2"/>
        </right>
        <top style="thin">
          <color rgb="FFF2F2F2"/>
        </top>
        <bottom style="thin">
          <color rgb="FFF2F2F2"/>
        </bottom>
      </border>
    </dxf>
    <dxf>
      <protection locked="0" hidden="0"/>
    </dxf>
    <dxf>
      <border outline="0">
        <bottom style="thin">
          <color rgb="FFF2F2F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8" tint="-0.49998474074526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theme="0" tint="-4.9989318521683403E-2"/>
        </left>
        <right style="thin">
          <color theme="0" tint="-4.9989318521683403E-2"/>
        </right>
        <top/>
        <bottom/>
      </border>
    </dxf>
    <dxf>
      <font>
        <color rgb="FFFF0000"/>
      </font>
    </dxf>
    <dxf>
      <font>
        <color rgb="FFFF000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249977111117893"/>
        <name val="Calibri"/>
        <family val="2"/>
        <scheme val="minor"/>
      </font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249977111117893"/>
        <name val="Calibri"/>
        <family val="2"/>
        <scheme val="minor"/>
      </font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249977111117893"/>
        <name val="Calibri"/>
        <family val="2"/>
        <scheme val="minor"/>
      </font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249977111117893"/>
        <name val="Calibri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249977111117893"/>
        <name val="Calibri"/>
        <family val="2"/>
        <scheme val="minor"/>
      </font>
      <numFmt numFmtId="0" formatCode="General"/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249977111117893"/>
        <name val="Calibri"/>
        <family val="2"/>
        <scheme val="minor"/>
      </font>
      <numFmt numFmtId="0" formatCode="General"/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249977111117893"/>
        <name val="Calibri"/>
        <family val="2"/>
        <scheme val="minor"/>
      </font>
      <numFmt numFmtId="0" formatCode="General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249977111117893"/>
        <name val="Calibri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249977111117893"/>
        <name val="Calibri"/>
        <family val="2"/>
        <scheme val="minor"/>
      </font>
      <alignment horizontal="lef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249977111117893"/>
        <name val="Calibri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249977111117893"/>
        <name val="Calibri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249977111117893"/>
        <name val="Calibri"/>
        <family val="2"/>
        <scheme val="minor"/>
      </font>
      <alignment horizontal="right" vertical="bottom" textRotation="0" wrapText="0" indent="0" justifyLastLine="0" shrinkToFit="0" readingOrder="0"/>
      <protection locked="0" hidden="0"/>
    </dxf>
    <dxf>
      <border outline="0">
        <top style="thin">
          <color rgb="FFF2F2F2"/>
        </top>
      </border>
    </dxf>
    <dxf>
      <border outline="0">
        <left style="thin">
          <color rgb="FFF2F2F2"/>
        </left>
        <right style="thin">
          <color rgb="FFF2F2F2"/>
        </right>
        <top style="thin">
          <color rgb="FFF2F2F2"/>
        </top>
        <bottom style="thin">
          <color rgb="FFF2F2F2"/>
        </bottom>
      </border>
    </dxf>
    <dxf>
      <protection locked="0" hidden="0"/>
    </dxf>
    <dxf>
      <border outline="0">
        <bottom style="thin">
          <color rgb="FFF2F2F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8" tint="-0.49998474074526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theme="0" tint="-4.9989318521683403E-2"/>
        </left>
        <right style="thin">
          <color theme="0" tint="-4.9989318521683403E-2"/>
        </right>
        <top/>
        <bottom/>
      </border>
    </dxf>
    <dxf>
      <font>
        <color rgb="FFFF0000"/>
      </font>
    </dxf>
    <dxf>
      <font>
        <color rgb="FFFF000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249977111117893"/>
        <name val="Calibri"/>
        <family val="2"/>
        <scheme val="minor"/>
      </font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249977111117893"/>
        <name val="Calibri"/>
        <family val="2"/>
        <scheme val="minor"/>
      </font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249977111117893"/>
        <name val="Calibri"/>
        <family val="2"/>
        <scheme val="minor"/>
      </font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249977111117893"/>
        <name val="Calibri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249977111117893"/>
        <name val="Calibri"/>
        <family val="2"/>
        <scheme val="minor"/>
      </font>
      <numFmt numFmtId="0" formatCode="General"/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249977111117893"/>
        <name val="Calibri"/>
        <family val="2"/>
        <scheme val="minor"/>
      </font>
      <numFmt numFmtId="0" formatCode="General"/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249977111117893"/>
        <name val="Calibri"/>
        <family val="2"/>
        <scheme val="minor"/>
      </font>
      <numFmt numFmtId="0" formatCode="General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249977111117893"/>
        <name val="Calibri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249977111117893"/>
        <name val="Calibri"/>
        <family val="2"/>
        <scheme val="minor"/>
      </font>
      <alignment horizontal="lef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249977111117893"/>
        <name val="Calibri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249977111117893"/>
        <name val="Calibri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249977111117893"/>
        <name val="Calibri"/>
        <family val="2"/>
        <scheme val="minor"/>
      </font>
      <alignment horizontal="right" vertical="bottom" textRotation="0" wrapText="0" indent="0" justifyLastLine="0" shrinkToFit="0" readingOrder="0"/>
      <protection locked="0" hidden="0"/>
    </dxf>
    <dxf>
      <border outline="0">
        <top style="thin">
          <color rgb="FFF2F2F2"/>
        </top>
      </border>
    </dxf>
    <dxf>
      <border outline="0">
        <left style="thin">
          <color rgb="FFF2F2F2"/>
        </left>
        <right style="thin">
          <color rgb="FFF2F2F2"/>
        </right>
        <top style="thin">
          <color rgb="FFF2F2F2"/>
        </top>
        <bottom style="thin">
          <color rgb="FFF2F2F2"/>
        </bottom>
      </border>
    </dxf>
    <dxf>
      <protection locked="0" hidden="0"/>
    </dxf>
    <dxf>
      <border outline="0">
        <bottom style="thin">
          <color rgb="FFF2F2F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8" tint="-0.49998474074526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theme="0" tint="-4.9989318521683403E-2"/>
        </left>
        <right style="thin">
          <color theme="0" tint="-4.9989318521683403E-2"/>
        </right>
        <top/>
        <bottom/>
      </border>
    </dxf>
    <dxf>
      <font>
        <color rgb="FFFF0000"/>
      </font>
    </dxf>
    <dxf>
      <font>
        <color rgb="FFFF000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249977111117893"/>
        <name val="Calibri"/>
        <family val="2"/>
        <scheme val="minor"/>
      </font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249977111117893"/>
        <name val="Calibri"/>
        <family val="2"/>
        <scheme val="minor"/>
      </font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249977111117893"/>
        <name val="Calibri"/>
        <family val="2"/>
        <scheme val="minor"/>
      </font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249977111117893"/>
        <name val="Calibri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249977111117893"/>
        <name val="Calibri"/>
        <family val="2"/>
        <scheme val="minor"/>
      </font>
      <numFmt numFmtId="0" formatCode="General"/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249977111117893"/>
        <name val="Calibri"/>
        <family val="2"/>
        <scheme val="minor"/>
      </font>
      <numFmt numFmtId="0" formatCode="General"/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249977111117893"/>
        <name val="Calibri"/>
        <family val="2"/>
        <scheme val="minor"/>
      </font>
      <numFmt numFmtId="0" formatCode="General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249977111117893"/>
        <name val="Calibri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249977111117893"/>
        <name val="Calibri"/>
        <family val="2"/>
        <scheme val="minor"/>
      </font>
      <alignment horizontal="lef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249977111117893"/>
        <name val="Calibri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249977111117893"/>
        <name val="Calibri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249977111117893"/>
        <name val="Calibri"/>
        <family val="2"/>
        <scheme val="minor"/>
      </font>
      <alignment horizontal="right" vertical="bottom" textRotation="0" wrapText="0" indent="0" justifyLastLine="0" shrinkToFit="0" readingOrder="0"/>
      <protection locked="0" hidden="0"/>
    </dxf>
    <dxf>
      <border outline="0">
        <top style="thin">
          <color rgb="FFF2F2F2"/>
        </top>
      </border>
    </dxf>
    <dxf>
      <border outline="0">
        <left style="thin">
          <color rgb="FFF2F2F2"/>
        </left>
        <right style="thin">
          <color rgb="FFF2F2F2"/>
        </right>
        <top style="thin">
          <color rgb="FFF2F2F2"/>
        </top>
        <bottom style="thin">
          <color rgb="FFF2F2F2"/>
        </bottom>
      </border>
    </dxf>
    <dxf>
      <protection locked="0" hidden="0"/>
    </dxf>
    <dxf>
      <border outline="0">
        <bottom style="thin">
          <color rgb="FFF2F2F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8" tint="-0.49998474074526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theme="0" tint="-4.9989318521683403E-2"/>
        </left>
        <right style="thin">
          <color theme="0" tint="-4.9989318521683403E-2"/>
        </right>
        <top/>
        <bottom/>
      </border>
    </dxf>
    <dxf>
      <font>
        <color rgb="FFFF0000"/>
      </font>
    </dxf>
    <dxf>
      <font>
        <color rgb="FFFF000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249977111117893"/>
        <name val="Calibri"/>
        <family val="2"/>
        <scheme val="minor"/>
      </font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249977111117893"/>
        <name val="Calibri"/>
        <family val="2"/>
        <scheme val="minor"/>
      </font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249977111117893"/>
        <name val="Calibri"/>
        <family val="2"/>
        <scheme val="minor"/>
      </font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249977111117893"/>
        <name val="Calibri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249977111117893"/>
        <name val="Calibri"/>
        <family val="2"/>
        <scheme val="minor"/>
      </font>
      <numFmt numFmtId="0" formatCode="General"/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249977111117893"/>
        <name val="Calibri"/>
        <family val="2"/>
        <scheme val="minor"/>
      </font>
      <numFmt numFmtId="0" formatCode="General"/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249977111117893"/>
        <name val="Calibri"/>
        <family val="2"/>
        <scheme val="minor"/>
      </font>
      <numFmt numFmtId="0" formatCode="General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249977111117893"/>
        <name val="Calibri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249977111117893"/>
        <name val="Calibri"/>
        <family val="2"/>
        <scheme val="minor"/>
      </font>
      <alignment horizontal="lef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249977111117893"/>
        <name val="Calibri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249977111117893"/>
        <name val="Calibri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249977111117893"/>
        <name val="Calibri"/>
        <family val="2"/>
        <scheme val="minor"/>
      </font>
      <alignment horizontal="right" vertical="bottom" textRotation="0" wrapText="0" indent="0" justifyLastLine="0" shrinkToFit="0" readingOrder="0"/>
      <protection locked="0" hidden="0"/>
    </dxf>
    <dxf>
      <border outline="0">
        <top style="thin">
          <color rgb="FFF2F2F2"/>
        </top>
      </border>
    </dxf>
    <dxf>
      <border outline="0">
        <left style="thin">
          <color rgb="FFF2F2F2"/>
        </left>
        <right style="thin">
          <color rgb="FFF2F2F2"/>
        </right>
        <top style="thin">
          <color rgb="FFF2F2F2"/>
        </top>
        <bottom style="thin">
          <color rgb="FFF2F2F2"/>
        </bottom>
      </border>
    </dxf>
    <dxf>
      <protection locked="0" hidden="0"/>
    </dxf>
    <dxf>
      <border outline="0">
        <bottom style="thin">
          <color rgb="FFF2F2F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8" tint="-0.49998474074526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theme="0" tint="-4.9989318521683403E-2"/>
        </left>
        <right style="thin">
          <color theme="0" tint="-4.9989318521683403E-2"/>
        </right>
        <top/>
        <bottom/>
      </border>
    </dxf>
    <dxf>
      <font>
        <color rgb="FFFF0000"/>
      </font>
    </dxf>
    <dxf>
      <font>
        <color rgb="FFFF000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249977111117893"/>
        <name val="Calibri"/>
        <family val="2"/>
        <scheme val="minor"/>
      </font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249977111117893"/>
        <name val="Calibri"/>
        <family val="2"/>
        <scheme val="minor"/>
      </font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249977111117893"/>
        <name val="Calibri"/>
        <family val="2"/>
        <scheme val="minor"/>
      </font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249977111117893"/>
        <name val="Calibri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249977111117893"/>
        <name val="Calibri"/>
        <family val="2"/>
        <scheme val="minor"/>
      </font>
      <numFmt numFmtId="0" formatCode="General"/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249977111117893"/>
        <name val="Calibri"/>
        <family val="2"/>
        <scheme val="minor"/>
      </font>
      <numFmt numFmtId="0" formatCode="General"/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249977111117893"/>
        <name val="Calibri"/>
        <family val="2"/>
        <scheme val="minor"/>
      </font>
      <numFmt numFmtId="0" formatCode="General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249977111117893"/>
        <name val="Calibri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249977111117893"/>
        <name val="Calibri"/>
        <family val="2"/>
        <scheme val="minor"/>
      </font>
      <alignment horizontal="lef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249977111117893"/>
        <name val="Calibri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249977111117893"/>
        <name val="Calibri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249977111117893"/>
        <name val="Calibri"/>
        <family val="2"/>
        <scheme val="minor"/>
      </font>
      <alignment horizontal="right" vertical="bottom" textRotation="0" wrapText="0" indent="0" justifyLastLine="0" shrinkToFit="0" readingOrder="0"/>
      <protection locked="0" hidden="0"/>
    </dxf>
    <dxf>
      <border outline="0">
        <top style="thin">
          <color rgb="FFF2F2F2"/>
        </top>
      </border>
    </dxf>
    <dxf>
      <border outline="0">
        <left style="thin">
          <color rgb="FFF2F2F2"/>
        </left>
        <right style="thin">
          <color rgb="FFF2F2F2"/>
        </right>
        <top style="thin">
          <color rgb="FFF2F2F2"/>
        </top>
        <bottom style="thin">
          <color rgb="FFF2F2F2"/>
        </bottom>
      </border>
    </dxf>
    <dxf>
      <protection locked="0" hidden="0"/>
    </dxf>
    <dxf>
      <border outline="0">
        <bottom style="thin">
          <color rgb="FFF2F2F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8" tint="-0.49998474074526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theme="0" tint="-4.9989318521683403E-2"/>
        </left>
        <right style="thin">
          <color theme="0" tint="-4.9989318521683403E-2"/>
        </right>
        <top/>
        <bottom/>
      </border>
    </dxf>
    <dxf>
      <font>
        <color rgb="FFFF0000"/>
      </font>
    </dxf>
    <dxf>
      <font>
        <color rgb="FFFF000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249977111117893"/>
        <name val="Calibri"/>
        <family val="2"/>
        <scheme val="minor"/>
      </font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249977111117893"/>
        <name val="Calibri"/>
        <family val="2"/>
        <scheme val="minor"/>
      </font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249977111117893"/>
        <name val="Calibri"/>
        <family val="2"/>
        <scheme val="minor"/>
      </font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249977111117893"/>
        <name val="Calibri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249977111117893"/>
        <name val="Calibri"/>
        <family val="2"/>
        <scheme val="minor"/>
      </font>
      <numFmt numFmtId="0" formatCode="General"/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249977111117893"/>
        <name val="Calibri"/>
        <family val="2"/>
        <scheme val="minor"/>
      </font>
      <numFmt numFmtId="0" formatCode="General"/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249977111117893"/>
        <name val="Calibri"/>
        <family val="2"/>
        <scheme val="minor"/>
      </font>
      <numFmt numFmtId="0" formatCode="General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249977111117893"/>
        <name val="Calibri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249977111117893"/>
        <name val="Calibri"/>
        <family val="2"/>
        <scheme val="minor"/>
      </font>
      <alignment horizontal="lef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249977111117893"/>
        <name val="Calibri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249977111117893"/>
        <name val="Calibri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249977111117893"/>
        <name val="Calibri"/>
        <family val="2"/>
        <scheme val="minor"/>
      </font>
      <alignment horizontal="right" vertical="bottom" textRotation="0" wrapText="0" indent="0" justifyLastLine="0" shrinkToFit="0" readingOrder="0"/>
      <protection locked="0" hidden="0"/>
    </dxf>
    <dxf>
      <border outline="0">
        <top style="thin">
          <color rgb="FFF2F2F2"/>
        </top>
      </border>
    </dxf>
    <dxf>
      <border outline="0">
        <left style="thin">
          <color rgb="FFF2F2F2"/>
        </left>
        <right style="thin">
          <color rgb="FFF2F2F2"/>
        </right>
        <top style="thin">
          <color rgb="FFF2F2F2"/>
        </top>
        <bottom style="thin">
          <color rgb="FFF2F2F2"/>
        </bottom>
      </border>
    </dxf>
    <dxf>
      <protection locked="0" hidden="0"/>
    </dxf>
    <dxf>
      <border outline="0">
        <bottom style="thin">
          <color rgb="FFF2F2F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8" tint="-0.49998474074526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theme="0" tint="-4.9989318521683403E-2"/>
        </left>
        <right style="thin">
          <color theme="0" tint="-4.9989318521683403E-2"/>
        </right>
        <top/>
        <bottom/>
      </border>
    </dxf>
    <dxf>
      <font>
        <color rgb="FFFF0000"/>
      </font>
    </dxf>
    <dxf>
      <font>
        <color rgb="FFFF000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249977111117893"/>
        <name val="Calibri"/>
        <family val="2"/>
        <scheme val="minor"/>
      </font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249977111117893"/>
        <name val="Calibri"/>
        <family val="2"/>
        <scheme val="minor"/>
      </font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249977111117893"/>
        <name val="Calibri"/>
        <family val="2"/>
        <scheme val="minor"/>
      </font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249977111117893"/>
        <name val="Calibri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249977111117893"/>
        <name val="Calibri"/>
        <family val="2"/>
        <scheme val="minor"/>
      </font>
      <numFmt numFmtId="0" formatCode="General"/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249977111117893"/>
        <name val="Calibri"/>
        <family val="2"/>
        <scheme val="minor"/>
      </font>
      <numFmt numFmtId="0" formatCode="General"/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249977111117893"/>
        <name val="Calibri"/>
        <family val="2"/>
        <scheme val="minor"/>
      </font>
      <numFmt numFmtId="0" formatCode="General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249977111117893"/>
        <name val="Calibri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249977111117893"/>
        <name val="Calibri"/>
        <family val="2"/>
        <scheme val="minor"/>
      </font>
      <alignment horizontal="lef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249977111117893"/>
        <name val="Calibri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249977111117893"/>
        <name val="Calibri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249977111117893"/>
        <name val="Calibri"/>
        <family val="2"/>
        <scheme val="minor"/>
      </font>
      <alignment horizontal="right" vertical="bottom" textRotation="0" wrapText="0" indent="0" justifyLastLine="0" shrinkToFit="0" readingOrder="0"/>
      <protection locked="0" hidden="0"/>
    </dxf>
    <dxf>
      <border outline="0">
        <top style="thin">
          <color rgb="FFF2F2F2"/>
        </top>
      </border>
    </dxf>
    <dxf>
      <border outline="0">
        <left style="thin">
          <color rgb="FFF2F2F2"/>
        </left>
        <right style="thin">
          <color rgb="FFF2F2F2"/>
        </right>
        <top style="thin">
          <color rgb="FFF2F2F2"/>
        </top>
        <bottom style="thin">
          <color rgb="FFF2F2F2"/>
        </bottom>
      </border>
    </dxf>
    <dxf>
      <protection locked="0" hidden="0"/>
    </dxf>
    <dxf>
      <border outline="0">
        <bottom style="thin">
          <color rgb="FFF2F2F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8" tint="-0.49998474074526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theme="0" tint="-4.9989318521683403E-2"/>
        </left>
        <right style="thin">
          <color theme="0" tint="-4.9989318521683403E-2"/>
        </right>
        <top/>
        <bottom/>
      </border>
    </dxf>
    <dxf>
      <font>
        <color rgb="FFFF0000"/>
      </font>
    </dxf>
    <dxf>
      <font>
        <color rgb="FFFF000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249977111117893"/>
        <name val="Calibri"/>
        <family val="2"/>
        <scheme val="minor"/>
      </font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249977111117893"/>
        <name val="Calibri"/>
        <family val="2"/>
        <scheme val="minor"/>
      </font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249977111117893"/>
        <name val="Calibri"/>
        <family val="2"/>
        <scheme val="minor"/>
      </font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249977111117893"/>
        <name val="Calibri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249977111117893"/>
        <name val="Calibri"/>
        <family val="2"/>
        <scheme val="minor"/>
      </font>
      <numFmt numFmtId="0" formatCode="General"/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249977111117893"/>
        <name val="Calibri"/>
        <family val="2"/>
        <scheme val="minor"/>
      </font>
      <numFmt numFmtId="0" formatCode="General"/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249977111117893"/>
        <name val="Calibri"/>
        <family val="2"/>
        <scheme val="minor"/>
      </font>
      <numFmt numFmtId="0" formatCode="General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249977111117893"/>
        <name val="Calibri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249977111117893"/>
        <name val="Calibri"/>
        <family val="2"/>
        <scheme val="minor"/>
      </font>
      <alignment horizontal="lef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249977111117893"/>
        <name val="Calibri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249977111117893"/>
        <name val="Calibri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249977111117893"/>
        <name val="Calibri"/>
        <family val="2"/>
        <scheme val="minor"/>
      </font>
      <alignment horizontal="right" vertical="bottom" textRotation="0" wrapText="0" indent="0" justifyLastLine="0" shrinkToFit="0" readingOrder="0"/>
      <protection locked="0" hidden="0"/>
    </dxf>
    <dxf>
      <border outline="0">
        <top style="thin">
          <color rgb="FFF2F2F2"/>
        </top>
      </border>
    </dxf>
    <dxf>
      <border outline="0">
        <left style="thin">
          <color rgb="FFF2F2F2"/>
        </left>
        <right style="thin">
          <color rgb="FFF2F2F2"/>
        </right>
        <top style="thin">
          <color rgb="FFF2F2F2"/>
        </top>
        <bottom style="thin">
          <color rgb="FFF2F2F2"/>
        </bottom>
      </border>
    </dxf>
    <dxf>
      <protection locked="0" hidden="0"/>
    </dxf>
    <dxf>
      <border outline="0">
        <bottom style="thin">
          <color rgb="FFF2F2F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8" tint="-0.49998474074526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theme="0" tint="-4.9989318521683403E-2"/>
        </left>
        <right style="thin">
          <color theme="0" tint="-4.9989318521683403E-2"/>
        </right>
        <top/>
        <bottom/>
      </border>
    </dxf>
    <dxf>
      <font>
        <color rgb="FFFF0000"/>
      </font>
    </dxf>
    <dxf>
      <font>
        <color rgb="FFFF0000"/>
      </font>
    </dxf>
    <dxf>
      <font>
        <strike val="0"/>
        <outline val="0"/>
        <shadow val="0"/>
        <u val="none"/>
        <vertAlign val="baseline"/>
        <sz val="11"/>
        <color theme="1" tint="0.249977111117893"/>
        <name val="Calibri"/>
        <family val="2"/>
        <scheme val="minor"/>
      </font>
      <alignment horizontal="right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 tint="0.249977111117893"/>
        <name val="Calibri"/>
        <family val="2"/>
        <scheme val="minor"/>
      </font>
      <protection locked="0" hidden="0"/>
    </dxf>
    <dxf>
      <font>
        <strike val="0"/>
        <outline val="0"/>
        <shadow val="0"/>
        <u val="none"/>
        <vertAlign val="baseline"/>
        <sz val="11"/>
        <color theme="1" tint="0.249977111117893"/>
        <name val="Calibri"/>
        <family val="2"/>
        <scheme val="minor"/>
      </font>
      <protection locked="0" hidden="0"/>
    </dxf>
    <dxf>
      <font>
        <strike val="0"/>
        <outline val="0"/>
        <shadow val="0"/>
        <u val="none"/>
        <vertAlign val="baseline"/>
        <sz val="11"/>
        <color theme="1" tint="0.249977111117893"/>
        <name val="Calibri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249977111117893"/>
        <name val="Calibri"/>
        <family val="2"/>
        <scheme val="minor"/>
      </font>
      <numFmt numFmtId="0" formatCode="General"/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249977111117893"/>
        <name val="Calibri"/>
        <family val="2"/>
        <scheme val="minor"/>
      </font>
      <numFmt numFmtId="0" formatCode="General"/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249977111117893"/>
        <name val="Calibri"/>
        <family val="2"/>
        <scheme val="minor"/>
      </font>
      <numFmt numFmtId="0" formatCode="General"/>
      <protection locked="0" hidden="0"/>
    </dxf>
    <dxf>
      <font>
        <strike val="0"/>
        <outline val="0"/>
        <shadow val="0"/>
        <u val="none"/>
        <vertAlign val="baseline"/>
        <sz val="11"/>
        <color theme="1" tint="0.249977111117893"/>
        <name val="Calibri"/>
        <family val="2"/>
        <scheme val="minor"/>
      </font>
      <protection locked="0" hidden="0"/>
    </dxf>
    <dxf>
      <font>
        <strike val="0"/>
        <outline val="0"/>
        <shadow val="0"/>
        <u val="none"/>
        <vertAlign val="baseline"/>
        <sz val="11"/>
        <color theme="1" tint="0.249977111117893"/>
        <name val="Calibri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249977111117893"/>
        <name val="Calibri"/>
        <family val="2"/>
        <scheme val="minor"/>
      </font>
      <protection locked="0" hidden="0"/>
    </dxf>
    <dxf>
      <font>
        <strike val="0"/>
        <outline val="0"/>
        <shadow val="0"/>
        <u val="none"/>
        <vertAlign val="baseline"/>
        <sz val="11"/>
        <color theme="1" tint="0.249977111117893"/>
        <name val="Calibri"/>
        <family val="2"/>
        <scheme val="minor"/>
      </font>
      <protection locked="0" hidden="0"/>
    </dxf>
    <dxf>
      <font>
        <strike val="0"/>
        <outline val="0"/>
        <shadow val="0"/>
        <u val="none"/>
        <vertAlign val="baseline"/>
        <sz val="11"/>
        <color theme="1" tint="0.249977111117893"/>
        <name val="Calibri"/>
        <family val="2"/>
        <scheme val="minor"/>
      </font>
      <protection locked="0" hidden="0"/>
    </dxf>
    <dxf>
      <border outline="0">
        <top style="thin">
          <color theme="0" tint="-4.9989318521683403E-2"/>
        </top>
      </border>
    </dxf>
    <dxf>
      <border outline="0">
        <left style="thin">
          <color theme="0" tint="-4.9989318521683403E-2"/>
        </left>
        <right style="thin">
          <color theme="0" tint="-4.9989318521683403E-2"/>
        </right>
        <top style="thin">
          <color theme="0" tint="-4.9989318521683403E-2"/>
        </top>
        <bottom style="thin">
          <color theme="0" tint="-4.9989318521683403E-2"/>
        </bottom>
      </border>
    </dxf>
    <dxf>
      <font>
        <strike val="0"/>
        <outline val="0"/>
        <shadow val="0"/>
        <u val="none"/>
        <vertAlign val="baseline"/>
        <sz val="11"/>
        <color theme="1" tint="0.249977111117893"/>
        <name val="Calibri"/>
        <family val="2"/>
        <scheme val="minor"/>
      </font>
      <protection locked="0" hidden="0"/>
    </dxf>
    <dxf>
      <border outline="0">
        <bottom style="thin">
          <color theme="0" tint="-4.9989318521683403E-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8" tint="-0.49998474074526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theme="0" tint="-4.9989318521683403E-2"/>
        </left>
        <right style="thin">
          <color theme="0" tint="-4.9989318521683403E-2"/>
        </right>
        <top/>
        <bottom/>
      </border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E4F2F4"/>
      <color rgb="FFE5F5FF"/>
      <color rgb="FFCCECFF"/>
      <color rgb="FFE7FFFF"/>
      <color rgb="FFCCFFFF"/>
      <color rgb="FFFF9900"/>
      <color rgb="FF33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Fatutamento Mensal</c:v>
          </c:tx>
          <c:spPr>
            <a:solidFill>
              <a:schemeClr val="accent5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solidFill>
                <a:schemeClr val="accent5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Dash!$B$15:$C$26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Dash!$D$15:$D$26</c:f>
              <c:numCache>
                <c:formatCode>_-"R$"* #,##0.00_-;\-"R$"* #,##0.00_-;_-"R$"* "-"??_-;_-@_-</c:formatCode>
                <c:ptCount val="12"/>
                <c:pt idx="0">
                  <c:v>6250</c:v>
                </c:pt>
                <c:pt idx="1">
                  <c:v>2000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0A-467D-93AB-4FDB1D59DC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531999776"/>
        <c:axId val="531994856"/>
      </c:barChart>
      <c:lineChart>
        <c:grouping val="standard"/>
        <c:varyColors val="0"/>
        <c:ser>
          <c:idx val="1"/>
          <c:order val="1"/>
          <c:tx>
            <c:v>Limite Mensal de Faturamento</c:v>
          </c:tx>
          <c:spPr>
            <a:ln w="12700" cap="rnd">
              <a:solidFill>
                <a:schemeClr val="accent2"/>
              </a:solidFill>
              <a:prstDash val="dash"/>
              <a:round/>
            </a:ln>
            <a:effectLst/>
          </c:spPr>
          <c:marker>
            <c:symbol val="none"/>
          </c:marker>
          <c:cat>
            <c:strRef>
              <c:f>Dash!$B$15:$C$26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Dash!$F$15:$F$26</c:f>
              <c:numCache>
                <c:formatCode>General</c:formatCode>
                <c:ptCount val="12"/>
                <c:pt idx="0">
                  <c:v>6750</c:v>
                </c:pt>
                <c:pt idx="1">
                  <c:v>6750</c:v>
                </c:pt>
                <c:pt idx="2">
                  <c:v>6750</c:v>
                </c:pt>
                <c:pt idx="3">
                  <c:v>6750</c:v>
                </c:pt>
                <c:pt idx="4">
                  <c:v>6750</c:v>
                </c:pt>
                <c:pt idx="5">
                  <c:v>6750</c:v>
                </c:pt>
                <c:pt idx="6">
                  <c:v>6750</c:v>
                </c:pt>
                <c:pt idx="7">
                  <c:v>6750</c:v>
                </c:pt>
                <c:pt idx="8">
                  <c:v>6750</c:v>
                </c:pt>
                <c:pt idx="9">
                  <c:v>6750</c:v>
                </c:pt>
                <c:pt idx="10">
                  <c:v>6750</c:v>
                </c:pt>
                <c:pt idx="11">
                  <c:v>6750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B0A-467D-93AB-4FDB1D59DC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31999776"/>
        <c:axId val="531994856"/>
      </c:lineChart>
      <c:catAx>
        <c:axId val="531999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31994856"/>
        <c:crosses val="autoZero"/>
        <c:auto val="1"/>
        <c:lblAlgn val="ctr"/>
        <c:lblOffset val="100"/>
        <c:noMultiLvlLbl val="0"/>
      </c:catAx>
      <c:valAx>
        <c:axId val="531994856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&quot;R$&quot;* #,##0.00_-;\-&quot;R$&quot;* #,##0.00_-;_-&quot;R$&quot;* &quot;-&quot;??_-;_-@_-" sourceLinked="1"/>
        <c:majorTickMark val="none"/>
        <c:minorTickMark val="none"/>
        <c:tickLblPos val="nextTo"/>
        <c:crossAx val="531999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7" Type="http://schemas.openxmlformats.org/officeDocument/2006/relationships/image" Target="../media/image4.png"/><Relationship Id="rId2" Type="http://schemas.openxmlformats.org/officeDocument/2006/relationships/hyperlink" Target="#'CF01'!B12"/><Relationship Id="rId1" Type="http://schemas.openxmlformats.org/officeDocument/2006/relationships/image" Target="../media/image1.png"/><Relationship Id="rId6" Type="http://schemas.openxmlformats.org/officeDocument/2006/relationships/hyperlink" Target="#'CF01'!A1"/><Relationship Id="rId5" Type="http://schemas.openxmlformats.org/officeDocument/2006/relationships/image" Target="../media/image3.png"/><Relationship Id="rId4" Type="http://schemas.openxmlformats.org/officeDocument/2006/relationships/hyperlink" Target="#Instru&#231;&#245;es!A1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hyperlink" Target="#'CF06'!A1"/><Relationship Id="rId13" Type="http://schemas.openxmlformats.org/officeDocument/2006/relationships/hyperlink" Target="#'CF11'!A1"/><Relationship Id="rId3" Type="http://schemas.openxmlformats.org/officeDocument/2006/relationships/hyperlink" Target="#Dash!A1"/><Relationship Id="rId7" Type="http://schemas.openxmlformats.org/officeDocument/2006/relationships/hyperlink" Target="#'CF05'!A1"/><Relationship Id="rId12" Type="http://schemas.openxmlformats.org/officeDocument/2006/relationships/hyperlink" Target="#'CF10'!A1"/><Relationship Id="rId2" Type="http://schemas.openxmlformats.org/officeDocument/2006/relationships/image" Target="../media/image1.png"/><Relationship Id="rId1" Type="http://schemas.openxmlformats.org/officeDocument/2006/relationships/hyperlink" Target="#Menu!A1"/><Relationship Id="rId6" Type="http://schemas.openxmlformats.org/officeDocument/2006/relationships/hyperlink" Target="#'CF04'!A1"/><Relationship Id="rId11" Type="http://schemas.openxmlformats.org/officeDocument/2006/relationships/hyperlink" Target="#'CF09'!A1"/><Relationship Id="rId5" Type="http://schemas.openxmlformats.org/officeDocument/2006/relationships/hyperlink" Target="#'CF03'!A1"/><Relationship Id="rId10" Type="http://schemas.openxmlformats.org/officeDocument/2006/relationships/hyperlink" Target="#'CF08'!A1"/><Relationship Id="rId4" Type="http://schemas.openxmlformats.org/officeDocument/2006/relationships/hyperlink" Target="#'CF02'!A1"/><Relationship Id="rId9" Type="http://schemas.openxmlformats.org/officeDocument/2006/relationships/hyperlink" Target="#'CF07'!A1"/><Relationship Id="rId14" Type="http://schemas.openxmlformats.org/officeDocument/2006/relationships/hyperlink" Target="#'CF12'!A1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hyperlink" Target="#'CF05'!A1"/><Relationship Id="rId13" Type="http://schemas.openxmlformats.org/officeDocument/2006/relationships/hyperlink" Target="#'CF10'!A1"/><Relationship Id="rId3" Type="http://schemas.openxmlformats.org/officeDocument/2006/relationships/hyperlink" Target="#Dash!A1"/><Relationship Id="rId7" Type="http://schemas.openxmlformats.org/officeDocument/2006/relationships/hyperlink" Target="#'CF04'!A1"/><Relationship Id="rId12" Type="http://schemas.openxmlformats.org/officeDocument/2006/relationships/hyperlink" Target="#'CF09'!A1"/><Relationship Id="rId2" Type="http://schemas.openxmlformats.org/officeDocument/2006/relationships/image" Target="../media/image1.png"/><Relationship Id="rId1" Type="http://schemas.openxmlformats.org/officeDocument/2006/relationships/hyperlink" Target="#Menu!A1"/><Relationship Id="rId6" Type="http://schemas.openxmlformats.org/officeDocument/2006/relationships/hyperlink" Target="#'CF03'!A1"/><Relationship Id="rId11" Type="http://schemas.openxmlformats.org/officeDocument/2006/relationships/hyperlink" Target="#'CF08'!A1"/><Relationship Id="rId5" Type="http://schemas.openxmlformats.org/officeDocument/2006/relationships/hyperlink" Target="#'CF02'!A1"/><Relationship Id="rId15" Type="http://schemas.openxmlformats.org/officeDocument/2006/relationships/hyperlink" Target="#'CF12'!A1"/><Relationship Id="rId10" Type="http://schemas.openxmlformats.org/officeDocument/2006/relationships/hyperlink" Target="#'CF07'!A1"/><Relationship Id="rId4" Type="http://schemas.openxmlformats.org/officeDocument/2006/relationships/hyperlink" Target="#'CF01'!A1"/><Relationship Id="rId9" Type="http://schemas.openxmlformats.org/officeDocument/2006/relationships/hyperlink" Target="#'CF06'!A1"/><Relationship Id="rId14" Type="http://schemas.openxmlformats.org/officeDocument/2006/relationships/hyperlink" Target="#'CF11'!A1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hyperlink" Target="#'CF05'!A1"/><Relationship Id="rId13" Type="http://schemas.openxmlformats.org/officeDocument/2006/relationships/hyperlink" Target="#'CF10'!A1"/><Relationship Id="rId3" Type="http://schemas.openxmlformats.org/officeDocument/2006/relationships/hyperlink" Target="#Dash!A1"/><Relationship Id="rId7" Type="http://schemas.openxmlformats.org/officeDocument/2006/relationships/hyperlink" Target="#'CF04'!A1"/><Relationship Id="rId12" Type="http://schemas.openxmlformats.org/officeDocument/2006/relationships/hyperlink" Target="#'CF09'!A1"/><Relationship Id="rId2" Type="http://schemas.openxmlformats.org/officeDocument/2006/relationships/image" Target="../media/image1.png"/><Relationship Id="rId1" Type="http://schemas.openxmlformats.org/officeDocument/2006/relationships/hyperlink" Target="#Menu!A1"/><Relationship Id="rId6" Type="http://schemas.openxmlformats.org/officeDocument/2006/relationships/hyperlink" Target="#'CF03'!A1"/><Relationship Id="rId11" Type="http://schemas.openxmlformats.org/officeDocument/2006/relationships/hyperlink" Target="#'CF08'!A1"/><Relationship Id="rId5" Type="http://schemas.openxmlformats.org/officeDocument/2006/relationships/hyperlink" Target="#'CF02'!A1"/><Relationship Id="rId15" Type="http://schemas.openxmlformats.org/officeDocument/2006/relationships/hyperlink" Target="#'CF12'!A1"/><Relationship Id="rId10" Type="http://schemas.openxmlformats.org/officeDocument/2006/relationships/hyperlink" Target="#'CF07'!A1"/><Relationship Id="rId4" Type="http://schemas.openxmlformats.org/officeDocument/2006/relationships/hyperlink" Target="#'CF01'!A1"/><Relationship Id="rId9" Type="http://schemas.openxmlformats.org/officeDocument/2006/relationships/hyperlink" Target="#'CF06'!A1"/><Relationship Id="rId14" Type="http://schemas.openxmlformats.org/officeDocument/2006/relationships/hyperlink" Target="#'CF11'!A1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hyperlink" Target="#'CF05'!A1"/><Relationship Id="rId13" Type="http://schemas.openxmlformats.org/officeDocument/2006/relationships/hyperlink" Target="#'CF10'!A1"/><Relationship Id="rId3" Type="http://schemas.openxmlformats.org/officeDocument/2006/relationships/hyperlink" Target="#Dash!A1"/><Relationship Id="rId7" Type="http://schemas.openxmlformats.org/officeDocument/2006/relationships/hyperlink" Target="#'CF04'!A1"/><Relationship Id="rId12" Type="http://schemas.openxmlformats.org/officeDocument/2006/relationships/hyperlink" Target="#'CF09'!A1"/><Relationship Id="rId2" Type="http://schemas.openxmlformats.org/officeDocument/2006/relationships/image" Target="../media/image1.png"/><Relationship Id="rId1" Type="http://schemas.openxmlformats.org/officeDocument/2006/relationships/hyperlink" Target="#Menu!A1"/><Relationship Id="rId6" Type="http://schemas.openxmlformats.org/officeDocument/2006/relationships/hyperlink" Target="#'CF03'!A1"/><Relationship Id="rId11" Type="http://schemas.openxmlformats.org/officeDocument/2006/relationships/hyperlink" Target="#'CF08'!A1"/><Relationship Id="rId5" Type="http://schemas.openxmlformats.org/officeDocument/2006/relationships/hyperlink" Target="#'CF02'!A1"/><Relationship Id="rId15" Type="http://schemas.openxmlformats.org/officeDocument/2006/relationships/hyperlink" Target="#'CF12'!A1"/><Relationship Id="rId10" Type="http://schemas.openxmlformats.org/officeDocument/2006/relationships/hyperlink" Target="#'CF07'!A1"/><Relationship Id="rId4" Type="http://schemas.openxmlformats.org/officeDocument/2006/relationships/hyperlink" Target="#'CF01'!A1"/><Relationship Id="rId9" Type="http://schemas.openxmlformats.org/officeDocument/2006/relationships/hyperlink" Target="#'CF06'!A1"/><Relationship Id="rId14" Type="http://schemas.openxmlformats.org/officeDocument/2006/relationships/hyperlink" Target="#'CF11'!A1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hyperlink" Target="#'CF05'!A1"/><Relationship Id="rId13" Type="http://schemas.openxmlformats.org/officeDocument/2006/relationships/hyperlink" Target="#'CF10'!A1"/><Relationship Id="rId3" Type="http://schemas.openxmlformats.org/officeDocument/2006/relationships/hyperlink" Target="#Dash!A1"/><Relationship Id="rId7" Type="http://schemas.openxmlformats.org/officeDocument/2006/relationships/hyperlink" Target="#'CF04'!A1"/><Relationship Id="rId12" Type="http://schemas.openxmlformats.org/officeDocument/2006/relationships/hyperlink" Target="#'CF09'!A1"/><Relationship Id="rId2" Type="http://schemas.openxmlformats.org/officeDocument/2006/relationships/image" Target="../media/image1.png"/><Relationship Id="rId1" Type="http://schemas.openxmlformats.org/officeDocument/2006/relationships/hyperlink" Target="#Menu!A1"/><Relationship Id="rId6" Type="http://schemas.openxmlformats.org/officeDocument/2006/relationships/hyperlink" Target="#'CF03'!A1"/><Relationship Id="rId11" Type="http://schemas.openxmlformats.org/officeDocument/2006/relationships/hyperlink" Target="#'CF08'!A1"/><Relationship Id="rId5" Type="http://schemas.openxmlformats.org/officeDocument/2006/relationships/hyperlink" Target="#'CF02'!A1"/><Relationship Id="rId15" Type="http://schemas.openxmlformats.org/officeDocument/2006/relationships/hyperlink" Target="#'CF12'!A1"/><Relationship Id="rId10" Type="http://schemas.openxmlformats.org/officeDocument/2006/relationships/hyperlink" Target="#'CF07'!A1"/><Relationship Id="rId4" Type="http://schemas.openxmlformats.org/officeDocument/2006/relationships/hyperlink" Target="#'CF01'!A1"/><Relationship Id="rId9" Type="http://schemas.openxmlformats.org/officeDocument/2006/relationships/hyperlink" Target="#'CF06'!A1"/><Relationship Id="rId14" Type="http://schemas.openxmlformats.org/officeDocument/2006/relationships/hyperlink" Target="#'CF11'!A1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hyperlink" Target="#'CF05'!A1"/><Relationship Id="rId13" Type="http://schemas.openxmlformats.org/officeDocument/2006/relationships/hyperlink" Target="#'CF10'!A1"/><Relationship Id="rId3" Type="http://schemas.openxmlformats.org/officeDocument/2006/relationships/hyperlink" Target="#Dash!A1"/><Relationship Id="rId7" Type="http://schemas.openxmlformats.org/officeDocument/2006/relationships/hyperlink" Target="#'CF04'!A1"/><Relationship Id="rId12" Type="http://schemas.openxmlformats.org/officeDocument/2006/relationships/hyperlink" Target="#'CF09'!A1"/><Relationship Id="rId2" Type="http://schemas.openxmlformats.org/officeDocument/2006/relationships/image" Target="../media/image1.png"/><Relationship Id="rId1" Type="http://schemas.openxmlformats.org/officeDocument/2006/relationships/hyperlink" Target="#Menu!A1"/><Relationship Id="rId6" Type="http://schemas.openxmlformats.org/officeDocument/2006/relationships/hyperlink" Target="#'CF03'!A1"/><Relationship Id="rId11" Type="http://schemas.openxmlformats.org/officeDocument/2006/relationships/hyperlink" Target="#'CF08'!A1"/><Relationship Id="rId5" Type="http://schemas.openxmlformats.org/officeDocument/2006/relationships/hyperlink" Target="#'CF02'!A1"/><Relationship Id="rId15" Type="http://schemas.openxmlformats.org/officeDocument/2006/relationships/hyperlink" Target="#'CF12'!A1"/><Relationship Id="rId10" Type="http://schemas.openxmlformats.org/officeDocument/2006/relationships/hyperlink" Target="#'CF07'!A1"/><Relationship Id="rId4" Type="http://schemas.openxmlformats.org/officeDocument/2006/relationships/hyperlink" Target="#'CF01'!A1"/><Relationship Id="rId9" Type="http://schemas.openxmlformats.org/officeDocument/2006/relationships/hyperlink" Target="#'CF06'!A1"/><Relationship Id="rId14" Type="http://schemas.openxmlformats.org/officeDocument/2006/relationships/hyperlink" Target="#'CF11'!A1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hyperlink" Target="#'CF05'!A1"/><Relationship Id="rId13" Type="http://schemas.openxmlformats.org/officeDocument/2006/relationships/hyperlink" Target="#'CF10'!A1"/><Relationship Id="rId3" Type="http://schemas.openxmlformats.org/officeDocument/2006/relationships/hyperlink" Target="#Dash!A1"/><Relationship Id="rId7" Type="http://schemas.openxmlformats.org/officeDocument/2006/relationships/hyperlink" Target="#'CF04'!A1"/><Relationship Id="rId12" Type="http://schemas.openxmlformats.org/officeDocument/2006/relationships/hyperlink" Target="#'CF09'!A1"/><Relationship Id="rId2" Type="http://schemas.openxmlformats.org/officeDocument/2006/relationships/image" Target="../media/image1.png"/><Relationship Id="rId1" Type="http://schemas.openxmlformats.org/officeDocument/2006/relationships/hyperlink" Target="#Menu!A1"/><Relationship Id="rId6" Type="http://schemas.openxmlformats.org/officeDocument/2006/relationships/hyperlink" Target="#'CF03'!A1"/><Relationship Id="rId11" Type="http://schemas.openxmlformats.org/officeDocument/2006/relationships/hyperlink" Target="#'CF08'!A1"/><Relationship Id="rId5" Type="http://schemas.openxmlformats.org/officeDocument/2006/relationships/hyperlink" Target="#'CF02'!A1"/><Relationship Id="rId15" Type="http://schemas.openxmlformats.org/officeDocument/2006/relationships/hyperlink" Target="#'CF12'!A1"/><Relationship Id="rId10" Type="http://schemas.openxmlformats.org/officeDocument/2006/relationships/hyperlink" Target="#'CF07'!A1"/><Relationship Id="rId4" Type="http://schemas.openxmlformats.org/officeDocument/2006/relationships/hyperlink" Target="#'CF01'!A1"/><Relationship Id="rId9" Type="http://schemas.openxmlformats.org/officeDocument/2006/relationships/hyperlink" Target="#'CF06'!A1"/><Relationship Id="rId14" Type="http://schemas.openxmlformats.org/officeDocument/2006/relationships/hyperlink" Target="#'CF11'!A1"/></Relationships>
</file>

<file path=xl/drawings/_rels/drawing9.xml.rels><?xml version="1.0" encoding="UTF-8" standalone="yes"?>
<Relationships xmlns="http://schemas.openxmlformats.org/package/2006/relationships"><Relationship Id="rId8" Type="http://schemas.openxmlformats.org/officeDocument/2006/relationships/hyperlink" Target="#'CF05'!A1"/><Relationship Id="rId13" Type="http://schemas.openxmlformats.org/officeDocument/2006/relationships/hyperlink" Target="#'CF10'!A1"/><Relationship Id="rId3" Type="http://schemas.openxmlformats.org/officeDocument/2006/relationships/hyperlink" Target="#Dash!A1"/><Relationship Id="rId7" Type="http://schemas.openxmlformats.org/officeDocument/2006/relationships/hyperlink" Target="#'CF04'!A1"/><Relationship Id="rId12" Type="http://schemas.openxmlformats.org/officeDocument/2006/relationships/hyperlink" Target="#'CF09'!A1"/><Relationship Id="rId2" Type="http://schemas.openxmlformats.org/officeDocument/2006/relationships/image" Target="../media/image1.png"/><Relationship Id="rId1" Type="http://schemas.openxmlformats.org/officeDocument/2006/relationships/hyperlink" Target="#Menu!A1"/><Relationship Id="rId6" Type="http://schemas.openxmlformats.org/officeDocument/2006/relationships/hyperlink" Target="#'CF03'!A1"/><Relationship Id="rId11" Type="http://schemas.openxmlformats.org/officeDocument/2006/relationships/hyperlink" Target="#'CF08'!A1"/><Relationship Id="rId5" Type="http://schemas.openxmlformats.org/officeDocument/2006/relationships/hyperlink" Target="#'CF02'!A1"/><Relationship Id="rId15" Type="http://schemas.openxmlformats.org/officeDocument/2006/relationships/hyperlink" Target="#'CF12'!A1"/><Relationship Id="rId10" Type="http://schemas.openxmlformats.org/officeDocument/2006/relationships/hyperlink" Target="#'CF07'!A1"/><Relationship Id="rId4" Type="http://schemas.openxmlformats.org/officeDocument/2006/relationships/hyperlink" Target="#'CF01'!A1"/><Relationship Id="rId9" Type="http://schemas.openxmlformats.org/officeDocument/2006/relationships/hyperlink" Target="#'CF06'!A1"/><Relationship Id="rId14" Type="http://schemas.openxmlformats.org/officeDocument/2006/relationships/hyperlink" Target="#'CF11'!A1"/></Relationships>
</file>

<file path=xl/drawings/_rels/drawing10.xml.rels><?xml version="1.0" encoding="UTF-8" standalone="yes"?>
<Relationships xmlns="http://schemas.openxmlformats.org/package/2006/relationships"><Relationship Id="rId8" Type="http://schemas.openxmlformats.org/officeDocument/2006/relationships/hyperlink" Target="#'CF05'!A1"/><Relationship Id="rId13" Type="http://schemas.openxmlformats.org/officeDocument/2006/relationships/hyperlink" Target="#'CF10'!A1"/><Relationship Id="rId3" Type="http://schemas.openxmlformats.org/officeDocument/2006/relationships/hyperlink" Target="#Dash!A1"/><Relationship Id="rId7" Type="http://schemas.openxmlformats.org/officeDocument/2006/relationships/hyperlink" Target="#'CF04'!A1"/><Relationship Id="rId12" Type="http://schemas.openxmlformats.org/officeDocument/2006/relationships/hyperlink" Target="#'CF09'!A1"/><Relationship Id="rId2" Type="http://schemas.openxmlformats.org/officeDocument/2006/relationships/image" Target="../media/image1.png"/><Relationship Id="rId1" Type="http://schemas.openxmlformats.org/officeDocument/2006/relationships/hyperlink" Target="#Menu!A1"/><Relationship Id="rId6" Type="http://schemas.openxmlformats.org/officeDocument/2006/relationships/hyperlink" Target="#'CF03'!A1"/><Relationship Id="rId11" Type="http://schemas.openxmlformats.org/officeDocument/2006/relationships/hyperlink" Target="#'CF08'!A1"/><Relationship Id="rId5" Type="http://schemas.openxmlformats.org/officeDocument/2006/relationships/hyperlink" Target="#'CF02'!A1"/><Relationship Id="rId15" Type="http://schemas.openxmlformats.org/officeDocument/2006/relationships/hyperlink" Target="#'CF12'!A1"/><Relationship Id="rId10" Type="http://schemas.openxmlformats.org/officeDocument/2006/relationships/hyperlink" Target="#'CF07'!A1"/><Relationship Id="rId4" Type="http://schemas.openxmlformats.org/officeDocument/2006/relationships/hyperlink" Target="#'CF01'!A1"/><Relationship Id="rId9" Type="http://schemas.openxmlformats.org/officeDocument/2006/relationships/hyperlink" Target="#'CF06'!A1"/><Relationship Id="rId14" Type="http://schemas.openxmlformats.org/officeDocument/2006/relationships/hyperlink" Target="#'CF11'!A1"/></Relationships>
</file>

<file path=xl/drawings/_rels/drawing11.xml.rels><?xml version="1.0" encoding="UTF-8" standalone="yes"?>
<Relationships xmlns="http://schemas.openxmlformats.org/package/2006/relationships"><Relationship Id="rId8" Type="http://schemas.openxmlformats.org/officeDocument/2006/relationships/hyperlink" Target="#'CF05'!A1"/><Relationship Id="rId13" Type="http://schemas.openxmlformats.org/officeDocument/2006/relationships/hyperlink" Target="#'CF10'!A1"/><Relationship Id="rId3" Type="http://schemas.openxmlformats.org/officeDocument/2006/relationships/hyperlink" Target="#Dash!A1"/><Relationship Id="rId7" Type="http://schemas.openxmlformats.org/officeDocument/2006/relationships/hyperlink" Target="#'CF04'!A1"/><Relationship Id="rId12" Type="http://schemas.openxmlformats.org/officeDocument/2006/relationships/hyperlink" Target="#'CF09'!A1"/><Relationship Id="rId2" Type="http://schemas.openxmlformats.org/officeDocument/2006/relationships/image" Target="../media/image1.png"/><Relationship Id="rId1" Type="http://schemas.openxmlformats.org/officeDocument/2006/relationships/hyperlink" Target="#Menu!A1"/><Relationship Id="rId6" Type="http://schemas.openxmlformats.org/officeDocument/2006/relationships/hyperlink" Target="#'CF03'!A1"/><Relationship Id="rId11" Type="http://schemas.openxmlformats.org/officeDocument/2006/relationships/hyperlink" Target="#'CF08'!A1"/><Relationship Id="rId5" Type="http://schemas.openxmlformats.org/officeDocument/2006/relationships/hyperlink" Target="#'CF02'!A1"/><Relationship Id="rId15" Type="http://schemas.openxmlformats.org/officeDocument/2006/relationships/hyperlink" Target="#'CF12'!A1"/><Relationship Id="rId10" Type="http://schemas.openxmlformats.org/officeDocument/2006/relationships/hyperlink" Target="#'CF07'!A1"/><Relationship Id="rId4" Type="http://schemas.openxmlformats.org/officeDocument/2006/relationships/hyperlink" Target="#'CF01'!A1"/><Relationship Id="rId9" Type="http://schemas.openxmlformats.org/officeDocument/2006/relationships/hyperlink" Target="#'CF06'!A1"/><Relationship Id="rId14" Type="http://schemas.openxmlformats.org/officeDocument/2006/relationships/hyperlink" Target="#'CF11'!A1"/></Relationships>
</file>

<file path=xl/drawings/_rels/drawing12.xml.rels><?xml version="1.0" encoding="UTF-8" standalone="yes"?>
<Relationships xmlns="http://schemas.openxmlformats.org/package/2006/relationships"><Relationship Id="rId8" Type="http://schemas.openxmlformats.org/officeDocument/2006/relationships/hyperlink" Target="#'CF05'!A1"/><Relationship Id="rId13" Type="http://schemas.openxmlformats.org/officeDocument/2006/relationships/hyperlink" Target="#'CF10'!A1"/><Relationship Id="rId3" Type="http://schemas.openxmlformats.org/officeDocument/2006/relationships/hyperlink" Target="#Dash!A1"/><Relationship Id="rId7" Type="http://schemas.openxmlformats.org/officeDocument/2006/relationships/hyperlink" Target="#'CF04'!A1"/><Relationship Id="rId12" Type="http://schemas.openxmlformats.org/officeDocument/2006/relationships/hyperlink" Target="#'CF09'!A1"/><Relationship Id="rId2" Type="http://schemas.openxmlformats.org/officeDocument/2006/relationships/image" Target="../media/image1.png"/><Relationship Id="rId1" Type="http://schemas.openxmlformats.org/officeDocument/2006/relationships/hyperlink" Target="#Menu!A1"/><Relationship Id="rId6" Type="http://schemas.openxmlformats.org/officeDocument/2006/relationships/hyperlink" Target="#'CF03'!A1"/><Relationship Id="rId11" Type="http://schemas.openxmlformats.org/officeDocument/2006/relationships/hyperlink" Target="#'CF08'!A1"/><Relationship Id="rId5" Type="http://schemas.openxmlformats.org/officeDocument/2006/relationships/hyperlink" Target="#'CF02'!A1"/><Relationship Id="rId15" Type="http://schemas.openxmlformats.org/officeDocument/2006/relationships/hyperlink" Target="#'CF12'!A1"/><Relationship Id="rId10" Type="http://schemas.openxmlformats.org/officeDocument/2006/relationships/hyperlink" Target="#'CF07'!A1"/><Relationship Id="rId4" Type="http://schemas.openxmlformats.org/officeDocument/2006/relationships/hyperlink" Target="#'CF01'!A1"/><Relationship Id="rId9" Type="http://schemas.openxmlformats.org/officeDocument/2006/relationships/hyperlink" Target="#'CF06'!A1"/><Relationship Id="rId14" Type="http://schemas.openxmlformats.org/officeDocument/2006/relationships/hyperlink" Target="#'CF11'!A1"/></Relationships>
</file>

<file path=xl/drawings/_rels/drawing13.xml.rels><?xml version="1.0" encoding="UTF-8" standalone="yes"?>
<Relationships xmlns="http://schemas.openxmlformats.org/package/2006/relationships"><Relationship Id="rId8" Type="http://schemas.openxmlformats.org/officeDocument/2006/relationships/hyperlink" Target="#'CF05'!A1"/><Relationship Id="rId13" Type="http://schemas.openxmlformats.org/officeDocument/2006/relationships/hyperlink" Target="#'CF10'!A1"/><Relationship Id="rId3" Type="http://schemas.openxmlformats.org/officeDocument/2006/relationships/hyperlink" Target="#Dash!A1"/><Relationship Id="rId7" Type="http://schemas.openxmlformats.org/officeDocument/2006/relationships/hyperlink" Target="#'CF04'!A1"/><Relationship Id="rId12" Type="http://schemas.openxmlformats.org/officeDocument/2006/relationships/hyperlink" Target="#'CF09'!A1"/><Relationship Id="rId2" Type="http://schemas.openxmlformats.org/officeDocument/2006/relationships/image" Target="../media/image1.png"/><Relationship Id="rId1" Type="http://schemas.openxmlformats.org/officeDocument/2006/relationships/hyperlink" Target="#Menu!A1"/><Relationship Id="rId6" Type="http://schemas.openxmlformats.org/officeDocument/2006/relationships/hyperlink" Target="#'CF03'!A1"/><Relationship Id="rId11" Type="http://schemas.openxmlformats.org/officeDocument/2006/relationships/hyperlink" Target="#'CF08'!A1"/><Relationship Id="rId5" Type="http://schemas.openxmlformats.org/officeDocument/2006/relationships/hyperlink" Target="#'CF02'!A1"/><Relationship Id="rId15" Type="http://schemas.openxmlformats.org/officeDocument/2006/relationships/hyperlink" Target="#'CF12'!A1"/><Relationship Id="rId10" Type="http://schemas.openxmlformats.org/officeDocument/2006/relationships/hyperlink" Target="#'CF07'!A1"/><Relationship Id="rId4" Type="http://schemas.openxmlformats.org/officeDocument/2006/relationships/hyperlink" Target="#'CF01'!A1"/><Relationship Id="rId9" Type="http://schemas.openxmlformats.org/officeDocument/2006/relationships/hyperlink" Target="#'CF06'!A1"/><Relationship Id="rId14" Type="http://schemas.openxmlformats.org/officeDocument/2006/relationships/hyperlink" Target="#'CF11'!A1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hyperlink" Target="#Menu!A1"/><Relationship Id="rId2" Type="http://schemas.openxmlformats.org/officeDocument/2006/relationships/hyperlink" Target="#'CF01'!B12"/><Relationship Id="rId1" Type="http://schemas.openxmlformats.org/officeDocument/2006/relationships/image" Target="../media/image1.png"/><Relationship Id="rId4" Type="http://schemas.openxmlformats.org/officeDocument/2006/relationships/chart" Target="../charts/chart1.xml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emf"/><Relationship Id="rId7" Type="http://schemas.openxmlformats.org/officeDocument/2006/relationships/image" Target="../media/image8.emf"/><Relationship Id="rId2" Type="http://schemas.openxmlformats.org/officeDocument/2006/relationships/image" Target="../media/image6.emf"/><Relationship Id="rId1" Type="http://schemas.openxmlformats.org/officeDocument/2006/relationships/image" Target="../media/image5.emf"/><Relationship Id="rId6" Type="http://schemas.openxmlformats.org/officeDocument/2006/relationships/hyperlink" Target="#'CF01'!A1"/><Relationship Id="rId5" Type="http://schemas.openxmlformats.org/officeDocument/2006/relationships/image" Target="../media/image1.png"/><Relationship Id="rId4" Type="http://schemas.openxmlformats.org/officeDocument/2006/relationships/hyperlink" Target="#Menu!A1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129540</xdr:colOff>
      <xdr:row>0</xdr:row>
      <xdr:rowOff>0</xdr:rowOff>
    </xdr:from>
    <xdr:ext cx="4579620" cy="571500"/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902638DC-1D2C-4D70-9209-F3090CAE173E}"/>
            </a:ext>
          </a:extLst>
        </xdr:cNvPr>
        <xdr:cNvSpPr txBox="1"/>
      </xdr:nvSpPr>
      <xdr:spPr>
        <a:xfrm>
          <a:off x="2567940" y="0"/>
          <a:ext cx="4579620" cy="5715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r>
            <a:rPr lang="pt-BR" sz="2400" b="1">
              <a:solidFill>
                <a:schemeClr val="accent5">
                  <a:lumMod val="75000"/>
                </a:schemeClr>
              </a:solidFill>
            </a:rPr>
            <a:t>Controle de Faturamento do MEI</a:t>
          </a:r>
        </a:p>
      </xdr:txBody>
    </xdr:sp>
    <xdr:clientData/>
  </xdr:oneCellAnchor>
  <xdr:twoCellAnchor editAs="absolute">
    <xdr:from>
      <xdr:col>0</xdr:col>
      <xdr:colOff>320040</xdr:colOff>
      <xdr:row>0</xdr:row>
      <xdr:rowOff>0</xdr:rowOff>
    </xdr:from>
    <xdr:to>
      <xdr:col>3</xdr:col>
      <xdr:colOff>444241</xdr:colOff>
      <xdr:row>3</xdr:row>
      <xdr:rowOff>9360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D75E4FC4-73BE-4213-8913-6C15B9C7FC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0040" y="0"/>
          <a:ext cx="1953001" cy="55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4</xdr:col>
      <xdr:colOff>137160</xdr:colOff>
      <xdr:row>8</xdr:row>
      <xdr:rowOff>110490</xdr:rowOff>
    </xdr:from>
    <xdr:to>
      <xdr:col>6</xdr:col>
      <xdr:colOff>249960</xdr:colOff>
      <xdr:row>10</xdr:row>
      <xdr:rowOff>9290</xdr:rowOff>
    </xdr:to>
    <xdr:sp macro="" textlink="">
      <xdr:nvSpPr>
        <xdr:cNvPr id="8" name="CaixaDeTexto 7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A86A253-4262-4AAF-B68D-515480C67A72}"/>
            </a:ext>
          </a:extLst>
        </xdr:cNvPr>
        <xdr:cNvSpPr txBox="1"/>
      </xdr:nvSpPr>
      <xdr:spPr>
        <a:xfrm>
          <a:off x="2575560" y="864870"/>
          <a:ext cx="1332000" cy="26456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3175">
          <a:solidFill>
            <a:schemeClr val="bg1">
              <a:lumMod val="9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pt-BR" sz="1100" b="0">
              <a:solidFill>
                <a:schemeClr val="accent5">
                  <a:lumMod val="75000"/>
                </a:schemeClr>
              </a:solidFill>
            </a:rPr>
            <a:t>Acessar a Planilha</a:t>
          </a:r>
        </a:p>
      </xdr:txBody>
    </xdr:sp>
    <xdr:clientData/>
  </xdr:twoCellAnchor>
  <xdr:oneCellAnchor>
    <xdr:from>
      <xdr:col>4</xdr:col>
      <xdr:colOff>129540</xdr:colOff>
      <xdr:row>10</xdr:row>
      <xdr:rowOff>152400</xdr:rowOff>
    </xdr:from>
    <xdr:ext cx="10843260" cy="2377440"/>
    <xdr:sp macro="" textlink="">
      <xdr:nvSpPr>
        <xdr:cNvPr id="10" name="CaixaDeTexto 9">
          <a:extLst>
            <a:ext uri="{FF2B5EF4-FFF2-40B4-BE49-F238E27FC236}">
              <a16:creationId xmlns:a16="http://schemas.microsoft.com/office/drawing/2014/main" id="{21B3FEE2-5CE5-4657-A083-75F09212D5AE}"/>
            </a:ext>
          </a:extLst>
        </xdr:cNvPr>
        <xdr:cNvSpPr txBox="1"/>
      </xdr:nvSpPr>
      <xdr:spPr>
        <a:xfrm>
          <a:off x="2567940" y="1272540"/>
          <a:ext cx="10843260" cy="2377440"/>
        </a:xfrm>
        <a:prstGeom prst="rect">
          <a:avLst/>
        </a:prstGeom>
        <a:solidFill>
          <a:srgbClr val="E4F2F4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pt-BR" sz="1400" b="0" i="0" u="none" strike="noStrike" kern="0" cap="none" spc="0" normalizeH="0" baseline="0" noProof="0">
              <a:ln>
                <a:noFill/>
              </a:ln>
              <a:solidFill>
                <a:prstClr val="white">
                  <a:lumMod val="50000"/>
                </a:prstClr>
              </a:solidFill>
              <a:effectLst/>
              <a:uLnTx/>
              <a:uFillTx/>
              <a:latin typeface="+mn-lt"/>
              <a:ea typeface="+mn-ea"/>
              <a:cs typeface="+mn-cs"/>
            </a:rPr>
            <a:t>Você usará esta planilha para controlar o faturamento da sua empresa MEI.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pt-BR" sz="1400" b="0" i="0" u="none" strike="noStrike" kern="0" cap="none" spc="0" normalizeH="0" baseline="0" noProof="0">
              <a:ln>
                <a:noFill/>
              </a:ln>
              <a:solidFill>
                <a:prstClr val="white">
                  <a:lumMod val="50000"/>
                </a:prstClr>
              </a:solidFill>
              <a:effectLst/>
              <a:uLnTx/>
              <a:uFillTx/>
              <a:latin typeface="+mn-lt"/>
              <a:ea typeface="+mn-ea"/>
              <a:cs typeface="+mn-cs"/>
            </a:rPr>
            <a:t>Através dos lançamentos de suas vendas será possível verificar se o faturamento atingiu o limite mensal de </a:t>
          </a:r>
          <a:r>
            <a:rPr kumimoji="0" lang="pt-BR" sz="1400" b="1" i="0" u="none" strike="noStrike" kern="0" cap="none" spc="0" normalizeH="0" baseline="0" noProof="0">
              <a:ln>
                <a:noFill/>
              </a:ln>
              <a:solidFill>
                <a:prstClr val="white">
                  <a:lumMod val="50000"/>
                </a:prstClr>
              </a:solidFill>
              <a:effectLst/>
              <a:uLnTx/>
              <a:uFillTx/>
              <a:latin typeface="+mn-lt"/>
              <a:ea typeface="+mn-ea"/>
              <a:cs typeface="+mn-cs"/>
            </a:rPr>
            <a:t>R$ 6.750,00 </a:t>
          </a:r>
          <a:r>
            <a:rPr kumimoji="0" lang="pt-BR" sz="1400" b="0" i="0" u="none" strike="noStrike" kern="0" cap="none" spc="0" normalizeH="0" baseline="0" noProof="0">
              <a:ln>
                <a:noFill/>
              </a:ln>
              <a:solidFill>
                <a:prstClr val="white">
                  <a:lumMod val="50000"/>
                </a:prstClr>
              </a:solidFill>
              <a:effectLst/>
              <a:uLnTx/>
              <a:uFillTx/>
              <a:latin typeface="+mn-lt"/>
              <a:ea typeface="+mn-ea"/>
              <a:cs typeface="+mn-cs"/>
            </a:rPr>
            <a:t>e anual de </a:t>
          </a:r>
          <a:r>
            <a:rPr kumimoji="0" lang="pt-BR" sz="1400" b="1" i="0" u="none" strike="noStrike" kern="0" cap="none" spc="0" normalizeH="0" baseline="0" noProof="0">
              <a:ln>
                <a:noFill/>
              </a:ln>
              <a:solidFill>
                <a:prstClr val="white">
                  <a:lumMod val="50000"/>
                </a:prstClr>
              </a:solidFill>
              <a:effectLst/>
              <a:uLnTx/>
              <a:uFillTx/>
              <a:latin typeface="+mn-lt"/>
              <a:ea typeface="+mn-ea"/>
              <a:cs typeface="+mn-cs"/>
            </a:rPr>
            <a:t>R$ 81.000,00</a:t>
          </a:r>
          <a:r>
            <a:rPr kumimoji="0" lang="pt-BR" sz="1400" b="0" i="0" u="none" strike="noStrike" kern="0" cap="none" spc="0" normalizeH="0" baseline="0" noProof="0">
              <a:ln>
                <a:noFill/>
              </a:ln>
              <a:solidFill>
                <a:prstClr val="white">
                  <a:lumMod val="50000"/>
                </a:prstClr>
              </a:solidFill>
              <a:effectLst/>
              <a:uLnTx/>
              <a:uFillTx/>
              <a:latin typeface="+mn-lt"/>
              <a:ea typeface="+mn-ea"/>
              <a:cs typeface="+mn-cs"/>
            </a:rPr>
            <a:t>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pt-BR" sz="1400" b="0" i="0" u="none" strike="noStrike" kern="0" cap="none" spc="0" normalizeH="0" baseline="0" noProof="0">
              <a:ln>
                <a:noFill/>
              </a:ln>
              <a:solidFill>
                <a:prstClr val="white">
                  <a:lumMod val="50000"/>
                </a:prstClr>
              </a:solidFill>
              <a:effectLst/>
              <a:uLnTx/>
              <a:uFillTx/>
              <a:latin typeface="+mn-lt"/>
              <a:ea typeface="+mn-ea"/>
              <a:cs typeface="+mn-cs"/>
            </a:rPr>
            <a:t>Através dela você também poderá controlar os recebimentos das parcelas programadas para meses futuros.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pt-BR" sz="1400" b="0" i="0" u="none" strike="noStrike" kern="0" cap="none" spc="0" normalizeH="0" baseline="0" noProof="0">
            <a:ln>
              <a:noFill/>
            </a:ln>
            <a:solidFill>
              <a:prstClr val="white">
                <a:lumMod val="50000"/>
              </a:prstClr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endParaRPr lang="pt-BR" sz="2000">
            <a:solidFill>
              <a:schemeClr val="accent5">
                <a:lumMod val="75000"/>
              </a:schemeClr>
            </a:solidFill>
          </a:endParaRPr>
        </a:p>
      </xdr:txBody>
    </xdr:sp>
    <xdr:clientData/>
  </xdr:oneCellAnchor>
  <xdr:twoCellAnchor editAs="oneCell">
    <xdr:from>
      <xdr:col>0</xdr:col>
      <xdr:colOff>0</xdr:colOff>
      <xdr:row>11</xdr:row>
      <xdr:rowOff>7620</xdr:rowOff>
    </xdr:from>
    <xdr:to>
      <xdr:col>4</xdr:col>
      <xdr:colOff>12456</xdr:colOff>
      <xdr:row>23</xdr:row>
      <xdr:rowOff>144779</xdr:rowOff>
    </xdr:to>
    <xdr:pic>
      <xdr:nvPicPr>
        <xdr:cNvPr id="11" name="Imagem 10" descr="Imagem relacionada">
          <a:extLst>
            <a:ext uri="{FF2B5EF4-FFF2-40B4-BE49-F238E27FC236}">
              <a16:creationId xmlns:a16="http://schemas.microsoft.com/office/drawing/2014/main" id="{5A844E38-CD9D-47DD-8A92-0839650792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10640"/>
          <a:ext cx="2450856" cy="233171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17</xdr:col>
      <xdr:colOff>480060</xdr:colOff>
      <xdr:row>25</xdr:row>
      <xdr:rowOff>144780</xdr:rowOff>
    </xdr:from>
    <xdr:ext cx="2141805" cy="264560"/>
    <xdr:sp macro="" textlink="">
      <xdr:nvSpPr>
        <xdr:cNvPr id="12" name="CaixaDeTexto 11">
          <a:extLst>
            <a:ext uri="{FF2B5EF4-FFF2-40B4-BE49-F238E27FC236}">
              <a16:creationId xmlns:a16="http://schemas.microsoft.com/office/drawing/2014/main" id="{7B8F10D1-1AA1-47DF-A37C-589F77B3F177}"/>
            </a:ext>
          </a:extLst>
        </xdr:cNvPr>
        <xdr:cNvSpPr txBox="1"/>
      </xdr:nvSpPr>
      <xdr:spPr>
        <a:xfrm>
          <a:off x="10843260" y="4008120"/>
          <a:ext cx="214180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t-BR" sz="1100">
              <a:solidFill>
                <a:schemeClr val="bg1">
                  <a:lumMod val="65000"/>
                </a:schemeClr>
              </a:solidFill>
            </a:rPr>
            <a:t>Esta planilha foi desenvolvida</a:t>
          </a:r>
          <a:r>
            <a:rPr lang="pt-BR" sz="1100" baseline="0">
              <a:solidFill>
                <a:schemeClr val="bg1">
                  <a:lumMod val="65000"/>
                </a:schemeClr>
              </a:solidFill>
            </a:rPr>
            <a:t> por:</a:t>
          </a:r>
          <a:endParaRPr lang="pt-BR" sz="1100">
            <a:solidFill>
              <a:schemeClr val="bg1">
                <a:lumMod val="65000"/>
              </a:schemeClr>
            </a:solidFill>
          </a:endParaRPr>
        </a:p>
      </xdr:txBody>
    </xdr:sp>
    <xdr:clientData/>
  </xdr:oneCellAnchor>
  <xdr:twoCellAnchor editAs="absolute">
    <xdr:from>
      <xdr:col>17</xdr:col>
      <xdr:colOff>495300</xdr:colOff>
      <xdr:row>27</xdr:row>
      <xdr:rowOff>22860</xdr:rowOff>
    </xdr:from>
    <xdr:to>
      <xdr:col>21</xdr:col>
      <xdr:colOff>470180</xdr:colOff>
      <xdr:row>30</xdr:row>
      <xdr:rowOff>14220</xdr:rowOff>
    </xdr:to>
    <xdr:pic>
      <xdr:nvPicPr>
        <xdr:cNvPr id="14" name="Imagem 13">
          <a:extLst>
            <a:ext uri="{FF2B5EF4-FFF2-40B4-BE49-F238E27FC236}">
              <a16:creationId xmlns:a16="http://schemas.microsoft.com/office/drawing/2014/main" id="{67FBD533-52AE-4101-BD95-BAE7921EB82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0583" b="11100"/>
        <a:stretch/>
      </xdr:blipFill>
      <xdr:spPr bwMode="auto">
        <a:xfrm>
          <a:off x="10858500" y="4335780"/>
          <a:ext cx="2413280" cy="54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551997</xdr:colOff>
      <xdr:row>27</xdr:row>
      <xdr:rowOff>106680</xdr:rowOff>
    </xdr:from>
    <xdr:to>
      <xdr:col>9</xdr:col>
      <xdr:colOff>396467</xdr:colOff>
      <xdr:row>30</xdr:row>
      <xdr:rowOff>31241</xdr:rowOff>
    </xdr:to>
    <xdr:grpSp>
      <xdr:nvGrpSpPr>
        <xdr:cNvPr id="6" name="Agrupar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84703A2-06FC-42CA-80AC-71A51D239CFB}"/>
            </a:ext>
          </a:extLst>
        </xdr:cNvPr>
        <xdr:cNvGrpSpPr/>
      </xdr:nvGrpSpPr>
      <xdr:grpSpPr>
        <a:xfrm>
          <a:off x="4095297" y="4564380"/>
          <a:ext cx="1616120" cy="496061"/>
          <a:chOff x="2685597" y="4343400"/>
          <a:chExt cx="1673270" cy="473201"/>
        </a:xfrm>
      </xdr:grpSpPr>
      <xdr:sp macro="" textlink="">
        <xdr:nvSpPr>
          <xdr:cNvPr id="21" name="CaixaDeTexto 20">
            <a:hlinkClick xmlns:r="http://schemas.openxmlformats.org/officeDocument/2006/relationships" r:id="rId4"/>
            <a:extLst>
              <a:ext uri="{FF2B5EF4-FFF2-40B4-BE49-F238E27FC236}">
                <a16:creationId xmlns:a16="http://schemas.microsoft.com/office/drawing/2014/main" id="{0CB0FBE3-423B-4735-9675-F0C3351CED15}"/>
              </a:ext>
            </a:extLst>
          </xdr:cNvPr>
          <xdr:cNvSpPr txBox="1"/>
        </xdr:nvSpPr>
        <xdr:spPr>
          <a:xfrm>
            <a:off x="2956560" y="4442460"/>
            <a:ext cx="1402307" cy="37414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pt-BR" sz="1800" b="1">
                <a:solidFill>
                  <a:schemeClr val="accent5">
                    <a:lumMod val="75000"/>
                  </a:schemeClr>
                </a:solidFill>
              </a:rPr>
              <a:t>INSTRUÇÕES</a:t>
            </a:r>
          </a:p>
        </xdr:txBody>
      </xdr:sp>
      <xdr:pic>
        <xdr:nvPicPr>
          <xdr:cNvPr id="5" name="Imagem 4">
            <a:extLst>
              <a:ext uri="{FF2B5EF4-FFF2-40B4-BE49-F238E27FC236}">
                <a16:creationId xmlns:a16="http://schemas.microsoft.com/office/drawing/2014/main" id="{ED738C14-6F44-462D-A49F-A9664A84668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 cstate="print">
            <a:duotone>
              <a:schemeClr val="accent5">
                <a:shade val="45000"/>
                <a:satMod val="135000"/>
              </a:schemeClr>
              <a:prstClr val="white"/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685597" y="4343400"/>
            <a:ext cx="324303" cy="381000"/>
          </a:xfrm>
          <a:prstGeom prst="rect">
            <a:avLst/>
          </a:prstGeom>
        </xdr:spPr>
      </xdr:pic>
    </xdr:grpSp>
    <xdr:clientData/>
  </xdr:twoCellAnchor>
  <xdr:twoCellAnchor>
    <xdr:from>
      <xdr:col>4</xdr:col>
      <xdr:colOff>160020</xdr:colOff>
      <xdr:row>27</xdr:row>
      <xdr:rowOff>83820</xdr:rowOff>
    </xdr:from>
    <xdr:to>
      <xdr:col>6</xdr:col>
      <xdr:colOff>327661</xdr:colOff>
      <xdr:row>30</xdr:row>
      <xdr:rowOff>35623</xdr:rowOff>
    </xdr:to>
    <xdr:grpSp>
      <xdr:nvGrpSpPr>
        <xdr:cNvPr id="4" name="Agrupar 3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9A6A7864-82B4-4489-BBCB-F371B2321B4B}"/>
            </a:ext>
          </a:extLst>
        </xdr:cNvPr>
        <xdr:cNvGrpSpPr/>
      </xdr:nvGrpSpPr>
      <xdr:grpSpPr>
        <a:xfrm>
          <a:off x="2522220" y="4541520"/>
          <a:ext cx="1348741" cy="523303"/>
          <a:chOff x="2598420" y="4323778"/>
          <a:chExt cx="1386841" cy="500443"/>
        </a:xfrm>
      </xdr:grpSpPr>
      <xdr:pic>
        <xdr:nvPicPr>
          <xdr:cNvPr id="17" name="Imagem 16" descr="Play Red Button transparent PNG - StickPNG">
            <a:extLst>
              <a:ext uri="{FF2B5EF4-FFF2-40B4-BE49-F238E27FC236}">
                <a16:creationId xmlns:a16="http://schemas.microsoft.com/office/drawing/2014/main" id="{527CA99D-E711-4541-BACC-74FBCDB15266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7" cstate="print">
            <a:duotone>
              <a:schemeClr val="accent1">
                <a:shade val="45000"/>
                <a:satMod val="135000"/>
              </a:schemeClr>
              <a:prstClr val="white"/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598420" y="4323778"/>
            <a:ext cx="487680" cy="423208"/>
          </a:xfrm>
          <a:prstGeom prst="rect">
            <a:avLst/>
          </a:prstGeom>
          <a:solidFill>
            <a:srgbClr val="FFFFFF"/>
          </a:solidFill>
        </xdr:spPr>
      </xdr:pic>
      <xdr:sp macro="" textlink="">
        <xdr:nvSpPr>
          <xdr:cNvPr id="18" name="CaixaDeTexto 17">
            <a:hlinkClick xmlns:r="http://schemas.openxmlformats.org/officeDocument/2006/relationships" r:id="rId6"/>
            <a:extLst>
              <a:ext uri="{FF2B5EF4-FFF2-40B4-BE49-F238E27FC236}">
                <a16:creationId xmlns:a16="http://schemas.microsoft.com/office/drawing/2014/main" id="{1FA7ECBE-7CA4-4AF3-ABA3-1E1066239CDC}"/>
              </a:ext>
            </a:extLst>
          </xdr:cNvPr>
          <xdr:cNvSpPr txBox="1"/>
        </xdr:nvSpPr>
        <xdr:spPr>
          <a:xfrm>
            <a:off x="3063241" y="4450080"/>
            <a:ext cx="922020" cy="37414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pt-BR" sz="1800" b="1">
                <a:solidFill>
                  <a:schemeClr val="accent5">
                    <a:lumMod val="75000"/>
                  </a:schemeClr>
                </a:solidFill>
              </a:rPr>
              <a:t>INICIAR</a:t>
            </a:r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1394460</xdr:colOff>
      <xdr:row>0</xdr:row>
      <xdr:rowOff>0</xdr:rowOff>
    </xdr:from>
    <xdr:ext cx="4937760" cy="571500"/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033A2BCA-EDFE-43B6-A9FA-985CE797A772}"/>
            </a:ext>
          </a:extLst>
        </xdr:cNvPr>
        <xdr:cNvSpPr txBox="1"/>
      </xdr:nvSpPr>
      <xdr:spPr>
        <a:xfrm>
          <a:off x="2560320" y="0"/>
          <a:ext cx="4937760" cy="5715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r>
            <a:rPr lang="pt-BR" sz="2400" b="1">
              <a:solidFill>
                <a:schemeClr val="accent5">
                  <a:lumMod val="75000"/>
                </a:schemeClr>
              </a:solidFill>
            </a:rPr>
            <a:t>Controle de Faturamento</a:t>
          </a:r>
          <a:r>
            <a:rPr lang="pt-BR" sz="2400" b="1" baseline="0">
              <a:solidFill>
                <a:schemeClr val="accent5">
                  <a:lumMod val="75000"/>
                </a:schemeClr>
              </a:solidFill>
            </a:rPr>
            <a:t> do MEI</a:t>
          </a:r>
          <a:endParaRPr lang="pt-BR" sz="2400" b="1">
            <a:solidFill>
              <a:schemeClr val="accent5">
                <a:lumMod val="75000"/>
              </a:schemeClr>
            </a:solidFill>
          </a:endParaRPr>
        </a:p>
      </xdr:txBody>
    </xdr:sp>
    <xdr:clientData/>
  </xdr:oneCellAnchor>
  <xdr:twoCellAnchor editAs="absolute">
    <xdr:from>
      <xdr:col>1</xdr:col>
      <xdr:colOff>205740</xdr:colOff>
      <xdr:row>0</xdr:row>
      <xdr:rowOff>0</xdr:rowOff>
    </xdr:from>
    <xdr:to>
      <xdr:col>2</xdr:col>
      <xdr:colOff>1114801</xdr:colOff>
      <xdr:row>3</xdr:row>
      <xdr:rowOff>9360</xdr:rowOff>
    </xdr:to>
    <xdr:pic>
      <xdr:nvPicPr>
        <xdr:cNvPr id="3" name="Imagem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A29FEFE-984E-4BC7-B1DA-6999E0027B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7660" y="0"/>
          <a:ext cx="1953001" cy="55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60960</xdr:colOff>
      <xdr:row>8</xdr:row>
      <xdr:rowOff>30480</xdr:rowOff>
    </xdr:from>
    <xdr:to>
      <xdr:col>1</xdr:col>
      <xdr:colOff>492960</xdr:colOff>
      <xdr:row>8</xdr:row>
      <xdr:rowOff>296880</xdr:rowOff>
    </xdr:to>
    <xdr:sp macro="" textlink="">
      <xdr:nvSpPr>
        <xdr:cNvPr id="4" name="Seta: para a Direita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76E69A7-FF93-4D1A-B657-2B0695354A25}"/>
            </a:ext>
          </a:extLst>
        </xdr:cNvPr>
        <xdr:cNvSpPr/>
      </xdr:nvSpPr>
      <xdr:spPr>
        <a:xfrm flipH="1">
          <a:off x="182880" y="784860"/>
          <a:ext cx="432000" cy="266400"/>
        </a:xfrm>
        <a:prstGeom prst="rightArrow">
          <a:avLst/>
        </a:prstGeom>
        <a:solidFill>
          <a:schemeClr val="accent5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 fPrintsWithSheet="0"/>
  </xdr:twoCellAnchor>
  <xdr:twoCellAnchor editAs="absolute">
    <xdr:from>
      <xdr:col>1</xdr:col>
      <xdr:colOff>632460</xdr:colOff>
      <xdr:row>8</xdr:row>
      <xdr:rowOff>30480</xdr:rowOff>
    </xdr:from>
    <xdr:to>
      <xdr:col>2</xdr:col>
      <xdr:colOff>920520</xdr:colOff>
      <xdr:row>8</xdr:row>
      <xdr:rowOff>295040</xdr:rowOff>
    </xdr:to>
    <xdr:sp macro="" textlink="">
      <xdr:nvSpPr>
        <xdr:cNvPr id="5" name="CaixaDeTexto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C749DFFD-9E42-4D7A-9F69-7F009D2C478D}"/>
            </a:ext>
          </a:extLst>
        </xdr:cNvPr>
        <xdr:cNvSpPr txBox="1"/>
      </xdr:nvSpPr>
      <xdr:spPr>
        <a:xfrm>
          <a:off x="754380" y="784860"/>
          <a:ext cx="1332000" cy="26456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3175">
          <a:solidFill>
            <a:schemeClr val="bg1">
              <a:lumMod val="9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pt-BR" sz="1100" b="0">
              <a:solidFill>
                <a:schemeClr val="accent5">
                  <a:lumMod val="75000"/>
                </a:schemeClr>
              </a:solidFill>
            </a:rPr>
            <a:t>Relatório</a:t>
          </a:r>
          <a:r>
            <a:rPr lang="pt-BR" sz="1100" b="0" baseline="0">
              <a:solidFill>
                <a:schemeClr val="accent5">
                  <a:lumMod val="75000"/>
                </a:schemeClr>
              </a:solidFill>
            </a:rPr>
            <a:t> Geral</a:t>
          </a:r>
          <a:endParaRPr lang="pt-BR" sz="1100" b="0">
            <a:solidFill>
              <a:schemeClr val="accent5">
                <a:lumMod val="75000"/>
              </a:schemeClr>
            </a:solidFill>
          </a:endParaRPr>
        </a:p>
      </xdr:txBody>
    </xdr:sp>
    <xdr:clientData fPrintsWithSheet="0"/>
  </xdr:twoCellAnchor>
  <xdr:twoCellAnchor editAs="absolute">
    <xdr:from>
      <xdr:col>2</xdr:col>
      <xdr:colOff>975360</xdr:colOff>
      <xdr:row>8</xdr:row>
      <xdr:rowOff>30480</xdr:rowOff>
    </xdr:from>
    <xdr:to>
      <xdr:col>2</xdr:col>
      <xdr:colOff>2307360</xdr:colOff>
      <xdr:row>8</xdr:row>
      <xdr:rowOff>295040</xdr:rowOff>
    </xdr:to>
    <xdr:sp macro="[0]!Imprimir" textlink="">
      <xdr:nvSpPr>
        <xdr:cNvPr id="6" name="CaixaDeTexto 5">
          <a:extLst>
            <a:ext uri="{FF2B5EF4-FFF2-40B4-BE49-F238E27FC236}">
              <a16:creationId xmlns:a16="http://schemas.microsoft.com/office/drawing/2014/main" id="{9ABEA605-AE82-48E6-991F-0736B8AB3BFE}"/>
            </a:ext>
          </a:extLst>
        </xdr:cNvPr>
        <xdr:cNvSpPr txBox="1"/>
      </xdr:nvSpPr>
      <xdr:spPr>
        <a:xfrm>
          <a:off x="2141220" y="784860"/>
          <a:ext cx="1332000" cy="26456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3175">
          <a:solidFill>
            <a:schemeClr val="bg1">
              <a:lumMod val="9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pt-BR" sz="1100" b="0">
              <a:solidFill>
                <a:schemeClr val="accent5">
                  <a:lumMod val="75000"/>
                </a:schemeClr>
              </a:solidFill>
            </a:rPr>
            <a:t>Imprimir</a:t>
          </a:r>
        </a:p>
      </xdr:txBody>
    </xdr:sp>
    <xdr:clientData fPrintsWithSheet="0"/>
  </xdr:twoCellAnchor>
  <xdr:oneCellAnchor>
    <xdr:from>
      <xdr:col>6</xdr:col>
      <xdr:colOff>800100</xdr:colOff>
      <xdr:row>8</xdr:row>
      <xdr:rowOff>38100</xdr:rowOff>
    </xdr:from>
    <xdr:ext cx="2463389" cy="311496"/>
    <xdr:sp macro="" textlink="">
      <xdr:nvSpPr>
        <xdr:cNvPr id="7" name="CaixaDeTexto 6">
          <a:extLst>
            <a:ext uri="{FF2B5EF4-FFF2-40B4-BE49-F238E27FC236}">
              <a16:creationId xmlns:a16="http://schemas.microsoft.com/office/drawing/2014/main" id="{988400A9-BA10-4599-B757-ACB0C21E80D4}"/>
            </a:ext>
          </a:extLst>
        </xdr:cNvPr>
        <xdr:cNvSpPr txBox="1"/>
      </xdr:nvSpPr>
      <xdr:spPr>
        <a:xfrm>
          <a:off x="10515600" y="792480"/>
          <a:ext cx="2463389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pt-BR" sz="1400">
              <a:solidFill>
                <a:schemeClr val="accent5">
                  <a:lumMod val="50000"/>
                </a:schemeClr>
              </a:solidFill>
            </a:rPr>
            <a:t>Total de Vendas em </a:t>
          </a:r>
          <a:r>
            <a:rPr lang="pt-BR" sz="1400" b="1">
              <a:solidFill>
                <a:schemeClr val="accent5">
                  <a:lumMod val="50000"/>
                </a:schemeClr>
              </a:solidFill>
            </a:rPr>
            <a:t>Janeiro</a:t>
          </a:r>
          <a:r>
            <a:rPr lang="pt-BR" sz="1400">
              <a:solidFill>
                <a:schemeClr val="accent5">
                  <a:lumMod val="50000"/>
                </a:schemeClr>
              </a:solidFill>
            </a:rPr>
            <a:t>:</a:t>
          </a:r>
        </a:p>
      </xdr:txBody>
    </xdr:sp>
    <xdr:clientData/>
  </xdr:oneCellAnchor>
  <xdr:twoCellAnchor editAs="absolute">
    <xdr:from>
      <xdr:col>2</xdr:col>
      <xdr:colOff>2346960</xdr:colOff>
      <xdr:row>8</xdr:row>
      <xdr:rowOff>30480</xdr:rowOff>
    </xdr:from>
    <xdr:to>
      <xdr:col>3</xdr:col>
      <xdr:colOff>353700</xdr:colOff>
      <xdr:row>8</xdr:row>
      <xdr:rowOff>296880</xdr:rowOff>
    </xdr:to>
    <xdr:sp macro="" textlink="">
      <xdr:nvSpPr>
        <xdr:cNvPr id="8" name="CaixaDeTexto 7">
          <a:extLst>
            <a:ext uri="{FF2B5EF4-FFF2-40B4-BE49-F238E27FC236}">
              <a16:creationId xmlns:a16="http://schemas.microsoft.com/office/drawing/2014/main" id="{35379223-783C-4BA2-89A4-8B46AEE31591}"/>
            </a:ext>
          </a:extLst>
        </xdr:cNvPr>
        <xdr:cNvSpPr txBox="1"/>
      </xdr:nvSpPr>
      <xdr:spPr>
        <a:xfrm>
          <a:off x="3512820" y="784860"/>
          <a:ext cx="468000" cy="266400"/>
        </a:xfrm>
        <a:prstGeom prst="rect">
          <a:avLst/>
        </a:prstGeom>
        <a:solidFill>
          <a:schemeClr val="accent2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 b="0">
              <a:solidFill>
                <a:schemeClr val="bg1"/>
              </a:solidFill>
            </a:rPr>
            <a:t>JAN</a:t>
          </a:r>
        </a:p>
      </xdr:txBody>
    </xdr:sp>
    <xdr:clientData fPrintsWithSheet="0"/>
  </xdr:twoCellAnchor>
  <xdr:twoCellAnchor editAs="absolute">
    <xdr:from>
      <xdr:col>3</xdr:col>
      <xdr:colOff>388295</xdr:colOff>
      <xdr:row>8</xdr:row>
      <xdr:rowOff>30480</xdr:rowOff>
    </xdr:from>
    <xdr:to>
      <xdr:col>3</xdr:col>
      <xdr:colOff>856295</xdr:colOff>
      <xdr:row>8</xdr:row>
      <xdr:rowOff>296880</xdr:rowOff>
    </xdr:to>
    <xdr:sp macro="" textlink="">
      <xdr:nvSpPr>
        <xdr:cNvPr id="9" name="CaixaDeTexto 8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BDB958FB-437A-4C0C-A9BB-12AB4983925D}"/>
            </a:ext>
          </a:extLst>
        </xdr:cNvPr>
        <xdr:cNvSpPr txBox="1"/>
      </xdr:nvSpPr>
      <xdr:spPr>
        <a:xfrm>
          <a:off x="4015415" y="784860"/>
          <a:ext cx="468000" cy="26640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>
              <a:solidFill>
                <a:schemeClr val="accent5">
                  <a:lumMod val="75000"/>
                </a:schemeClr>
              </a:solidFill>
            </a:rPr>
            <a:t>FEV</a:t>
          </a:r>
        </a:p>
      </xdr:txBody>
    </xdr:sp>
    <xdr:clientData fPrintsWithSheet="0"/>
  </xdr:twoCellAnchor>
  <xdr:twoCellAnchor editAs="absolute">
    <xdr:from>
      <xdr:col>3</xdr:col>
      <xdr:colOff>890890</xdr:colOff>
      <xdr:row>8</xdr:row>
      <xdr:rowOff>30480</xdr:rowOff>
    </xdr:from>
    <xdr:to>
      <xdr:col>3</xdr:col>
      <xdr:colOff>1358890</xdr:colOff>
      <xdr:row>8</xdr:row>
      <xdr:rowOff>296880</xdr:rowOff>
    </xdr:to>
    <xdr:sp macro="" textlink="">
      <xdr:nvSpPr>
        <xdr:cNvPr id="10" name="CaixaDeTexto 9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C1FC3406-D3B0-4E4F-BD53-3BD37365F688}"/>
            </a:ext>
          </a:extLst>
        </xdr:cNvPr>
        <xdr:cNvSpPr txBox="1"/>
      </xdr:nvSpPr>
      <xdr:spPr>
        <a:xfrm>
          <a:off x="4518010" y="784860"/>
          <a:ext cx="468000" cy="26640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>
              <a:solidFill>
                <a:schemeClr val="accent5">
                  <a:lumMod val="75000"/>
                </a:schemeClr>
              </a:solidFill>
            </a:rPr>
            <a:t>MAR</a:t>
          </a:r>
        </a:p>
      </xdr:txBody>
    </xdr:sp>
    <xdr:clientData fPrintsWithSheet="0"/>
  </xdr:twoCellAnchor>
  <xdr:twoCellAnchor editAs="absolute">
    <xdr:from>
      <xdr:col>4</xdr:col>
      <xdr:colOff>2835</xdr:colOff>
      <xdr:row>8</xdr:row>
      <xdr:rowOff>30480</xdr:rowOff>
    </xdr:from>
    <xdr:to>
      <xdr:col>4</xdr:col>
      <xdr:colOff>436545</xdr:colOff>
      <xdr:row>8</xdr:row>
      <xdr:rowOff>296880</xdr:rowOff>
    </xdr:to>
    <xdr:sp macro="" textlink="">
      <xdr:nvSpPr>
        <xdr:cNvPr id="11" name="CaixaDeTexto 10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75D8C627-5DBA-48FD-8FE2-50BFC6E4444B}"/>
            </a:ext>
          </a:extLst>
        </xdr:cNvPr>
        <xdr:cNvSpPr txBox="1"/>
      </xdr:nvSpPr>
      <xdr:spPr>
        <a:xfrm>
          <a:off x="5020605" y="784860"/>
          <a:ext cx="468000" cy="26640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>
              <a:solidFill>
                <a:schemeClr val="accent5">
                  <a:lumMod val="75000"/>
                </a:schemeClr>
              </a:solidFill>
            </a:rPr>
            <a:t>ABR</a:t>
          </a:r>
        </a:p>
      </xdr:txBody>
    </xdr:sp>
    <xdr:clientData fPrintsWithSheet="0"/>
  </xdr:twoCellAnchor>
  <xdr:twoCellAnchor editAs="absolute">
    <xdr:from>
      <xdr:col>4</xdr:col>
      <xdr:colOff>471140</xdr:colOff>
      <xdr:row>8</xdr:row>
      <xdr:rowOff>30480</xdr:rowOff>
    </xdr:from>
    <xdr:to>
      <xdr:col>4</xdr:col>
      <xdr:colOff>939140</xdr:colOff>
      <xdr:row>8</xdr:row>
      <xdr:rowOff>296880</xdr:rowOff>
    </xdr:to>
    <xdr:sp macro="" textlink="">
      <xdr:nvSpPr>
        <xdr:cNvPr id="12" name="CaixaDeTexto 11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5F56C346-A91F-4AFC-B8A6-06FDB00B04D7}"/>
            </a:ext>
          </a:extLst>
        </xdr:cNvPr>
        <xdr:cNvSpPr txBox="1"/>
      </xdr:nvSpPr>
      <xdr:spPr>
        <a:xfrm>
          <a:off x="5523200" y="784860"/>
          <a:ext cx="468000" cy="26640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>
              <a:solidFill>
                <a:schemeClr val="accent5">
                  <a:lumMod val="75000"/>
                </a:schemeClr>
              </a:solidFill>
            </a:rPr>
            <a:t>MAI</a:t>
          </a:r>
        </a:p>
      </xdr:txBody>
    </xdr:sp>
    <xdr:clientData fPrintsWithSheet="0"/>
  </xdr:twoCellAnchor>
  <xdr:twoCellAnchor editAs="absolute">
    <xdr:from>
      <xdr:col>4</xdr:col>
      <xdr:colOff>973735</xdr:colOff>
      <xdr:row>8</xdr:row>
      <xdr:rowOff>30480</xdr:rowOff>
    </xdr:from>
    <xdr:to>
      <xdr:col>4</xdr:col>
      <xdr:colOff>1394110</xdr:colOff>
      <xdr:row>8</xdr:row>
      <xdr:rowOff>296880</xdr:rowOff>
    </xdr:to>
    <xdr:sp macro="" textlink="">
      <xdr:nvSpPr>
        <xdr:cNvPr id="13" name="CaixaDeTexto 12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7F8E17BE-F589-42BD-A9A6-F838284B7392}"/>
            </a:ext>
          </a:extLst>
        </xdr:cNvPr>
        <xdr:cNvSpPr txBox="1"/>
      </xdr:nvSpPr>
      <xdr:spPr>
        <a:xfrm>
          <a:off x="6025795" y="784860"/>
          <a:ext cx="468000" cy="26640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>
              <a:solidFill>
                <a:schemeClr val="accent5">
                  <a:lumMod val="75000"/>
                </a:schemeClr>
              </a:solidFill>
            </a:rPr>
            <a:t>JUN</a:t>
          </a:r>
        </a:p>
      </xdr:txBody>
    </xdr:sp>
    <xdr:clientData fPrintsWithSheet="0"/>
  </xdr:twoCellAnchor>
  <xdr:twoCellAnchor editAs="absolute">
    <xdr:from>
      <xdr:col>4</xdr:col>
      <xdr:colOff>1483950</xdr:colOff>
      <xdr:row>8</xdr:row>
      <xdr:rowOff>30480</xdr:rowOff>
    </xdr:from>
    <xdr:to>
      <xdr:col>4</xdr:col>
      <xdr:colOff>1951950</xdr:colOff>
      <xdr:row>8</xdr:row>
      <xdr:rowOff>296880</xdr:rowOff>
    </xdr:to>
    <xdr:sp macro="" textlink="">
      <xdr:nvSpPr>
        <xdr:cNvPr id="14" name="CaixaDeTexto 13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7729C87B-801A-4FBF-8690-FAA3779F3CD7}"/>
            </a:ext>
          </a:extLst>
        </xdr:cNvPr>
        <xdr:cNvSpPr txBox="1"/>
      </xdr:nvSpPr>
      <xdr:spPr>
        <a:xfrm>
          <a:off x="6528390" y="784860"/>
          <a:ext cx="468000" cy="26640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>
              <a:solidFill>
                <a:schemeClr val="accent5">
                  <a:lumMod val="75000"/>
                </a:schemeClr>
              </a:solidFill>
            </a:rPr>
            <a:t>JUL</a:t>
          </a:r>
        </a:p>
      </xdr:txBody>
    </xdr:sp>
    <xdr:clientData fPrintsWithSheet="0"/>
  </xdr:twoCellAnchor>
  <xdr:twoCellAnchor editAs="absolute">
    <xdr:from>
      <xdr:col>4</xdr:col>
      <xdr:colOff>1986545</xdr:colOff>
      <xdr:row>8</xdr:row>
      <xdr:rowOff>30480</xdr:rowOff>
    </xdr:from>
    <xdr:to>
      <xdr:col>4</xdr:col>
      <xdr:colOff>2454545</xdr:colOff>
      <xdr:row>8</xdr:row>
      <xdr:rowOff>296880</xdr:rowOff>
    </xdr:to>
    <xdr:sp macro="" textlink="">
      <xdr:nvSpPr>
        <xdr:cNvPr id="15" name="CaixaDeTexto 14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744056EC-DD28-4588-BEEC-1A6FD66AE3E0}"/>
            </a:ext>
          </a:extLst>
        </xdr:cNvPr>
        <xdr:cNvSpPr txBox="1"/>
      </xdr:nvSpPr>
      <xdr:spPr>
        <a:xfrm>
          <a:off x="7030985" y="784860"/>
          <a:ext cx="468000" cy="26640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>
              <a:solidFill>
                <a:schemeClr val="accent5">
                  <a:lumMod val="75000"/>
                </a:schemeClr>
              </a:solidFill>
            </a:rPr>
            <a:t>AGO</a:t>
          </a:r>
        </a:p>
      </xdr:txBody>
    </xdr:sp>
    <xdr:clientData fPrintsWithSheet="0"/>
  </xdr:twoCellAnchor>
  <xdr:twoCellAnchor editAs="absolute">
    <xdr:from>
      <xdr:col>4</xdr:col>
      <xdr:colOff>2489140</xdr:colOff>
      <xdr:row>8</xdr:row>
      <xdr:rowOff>30480</xdr:rowOff>
    </xdr:from>
    <xdr:to>
      <xdr:col>5</xdr:col>
      <xdr:colOff>53920</xdr:colOff>
      <xdr:row>8</xdr:row>
      <xdr:rowOff>296880</xdr:rowOff>
    </xdr:to>
    <xdr:sp macro="" textlink="">
      <xdr:nvSpPr>
        <xdr:cNvPr id="16" name="CaixaDeTexto 15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8A745992-AB7F-4F8D-BD7E-2C12A57ADB0A}"/>
            </a:ext>
          </a:extLst>
        </xdr:cNvPr>
        <xdr:cNvSpPr txBox="1"/>
      </xdr:nvSpPr>
      <xdr:spPr>
        <a:xfrm>
          <a:off x="7533580" y="784860"/>
          <a:ext cx="468000" cy="26640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>
              <a:solidFill>
                <a:schemeClr val="accent5">
                  <a:lumMod val="75000"/>
                </a:schemeClr>
              </a:solidFill>
            </a:rPr>
            <a:t>SET</a:t>
          </a:r>
        </a:p>
      </xdr:txBody>
    </xdr:sp>
    <xdr:clientData fPrintsWithSheet="0"/>
  </xdr:twoCellAnchor>
  <xdr:twoCellAnchor editAs="absolute">
    <xdr:from>
      <xdr:col>5</xdr:col>
      <xdr:colOff>88515</xdr:colOff>
      <xdr:row>8</xdr:row>
      <xdr:rowOff>30480</xdr:rowOff>
    </xdr:from>
    <xdr:to>
      <xdr:col>5</xdr:col>
      <xdr:colOff>548895</xdr:colOff>
      <xdr:row>8</xdr:row>
      <xdr:rowOff>296880</xdr:rowOff>
    </xdr:to>
    <xdr:sp macro="" textlink="">
      <xdr:nvSpPr>
        <xdr:cNvPr id="17" name="CaixaDeTexto 16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E1D55AB3-7A4E-4E17-A4E0-1E0B6B9E0491}"/>
            </a:ext>
          </a:extLst>
        </xdr:cNvPr>
        <xdr:cNvSpPr txBox="1"/>
      </xdr:nvSpPr>
      <xdr:spPr>
        <a:xfrm>
          <a:off x="8036175" y="784860"/>
          <a:ext cx="468000" cy="26640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>
              <a:solidFill>
                <a:schemeClr val="accent5">
                  <a:lumMod val="75000"/>
                </a:schemeClr>
              </a:solidFill>
            </a:rPr>
            <a:t>OUT</a:t>
          </a:r>
        </a:p>
      </xdr:txBody>
    </xdr:sp>
    <xdr:clientData fPrintsWithSheet="0"/>
  </xdr:twoCellAnchor>
  <xdr:twoCellAnchor editAs="absolute">
    <xdr:from>
      <xdr:col>5</xdr:col>
      <xdr:colOff>583490</xdr:colOff>
      <xdr:row>8</xdr:row>
      <xdr:rowOff>30480</xdr:rowOff>
    </xdr:from>
    <xdr:to>
      <xdr:col>5</xdr:col>
      <xdr:colOff>1051490</xdr:colOff>
      <xdr:row>8</xdr:row>
      <xdr:rowOff>296880</xdr:rowOff>
    </xdr:to>
    <xdr:sp macro="" textlink="">
      <xdr:nvSpPr>
        <xdr:cNvPr id="18" name="CaixaDeTexto 17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744CA411-52F8-43E1-AD44-1D95D11BD463}"/>
            </a:ext>
          </a:extLst>
        </xdr:cNvPr>
        <xdr:cNvSpPr txBox="1"/>
      </xdr:nvSpPr>
      <xdr:spPr>
        <a:xfrm>
          <a:off x="8538770" y="784860"/>
          <a:ext cx="468000" cy="26640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>
              <a:solidFill>
                <a:schemeClr val="accent5">
                  <a:lumMod val="75000"/>
                </a:schemeClr>
              </a:solidFill>
            </a:rPr>
            <a:t>NOV</a:t>
          </a:r>
        </a:p>
      </xdr:txBody>
    </xdr:sp>
    <xdr:clientData fPrintsWithSheet="0"/>
  </xdr:twoCellAnchor>
  <xdr:twoCellAnchor editAs="absolute">
    <xdr:from>
      <xdr:col>5</xdr:col>
      <xdr:colOff>1086085</xdr:colOff>
      <xdr:row>8</xdr:row>
      <xdr:rowOff>30480</xdr:rowOff>
    </xdr:from>
    <xdr:to>
      <xdr:col>5</xdr:col>
      <xdr:colOff>1561705</xdr:colOff>
      <xdr:row>8</xdr:row>
      <xdr:rowOff>296880</xdr:rowOff>
    </xdr:to>
    <xdr:sp macro="" textlink="">
      <xdr:nvSpPr>
        <xdr:cNvPr id="19" name="CaixaDeTexto 18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CBEF27A9-9909-471C-A84F-26DB2DE1FA7F}"/>
            </a:ext>
          </a:extLst>
        </xdr:cNvPr>
        <xdr:cNvSpPr txBox="1"/>
      </xdr:nvSpPr>
      <xdr:spPr>
        <a:xfrm>
          <a:off x="9041365" y="784860"/>
          <a:ext cx="468000" cy="26640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>
              <a:solidFill>
                <a:schemeClr val="accent5">
                  <a:lumMod val="75000"/>
                </a:schemeClr>
              </a:solidFill>
            </a:rPr>
            <a:t>DEZ</a:t>
          </a:r>
        </a:p>
      </xdr:txBody>
    </xdr:sp>
    <xdr:clientData fPrintsWithSheet="0"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1394460</xdr:colOff>
      <xdr:row>0</xdr:row>
      <xdr:rowOff>0</xdr:rowOff>
    </xdr:from>
    <xdr:ext cx="4937760" cy="571500"/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11FAE154-4C14-4316-87A7-B8B0BDC2138C}"/>
            </a:ext>
          </a:extLst>
        </xdr:cNvPr>
        <xdr:cNvSpPr txBox="1"/>
      </xdr:nvSpPr>
      <xdr:spPr>
        <a:xfrm>
          <a:off x="2560320" y="0"/>
          <a:ext cx="4937760" cy="5715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r>
            <a:rPr lang="pt-BR" sz="2400" b="1">
              <a:solidFill>
                <a:schemeClr val="accent5">
                  <a:lumMod val="75000"/>
                </a:schemeClr>
              </a:solidFill>
            </a:rPr>
            <a:t>Controle de Faturamento</a:t>
          </a:r>
          <a:r>
            <a:rPr lang="pt-BR" sz="2400" b="1" baseline="0">
              <a:solidFill>
                <a:schemeClr val="accent5">
                  <a:lumMod val="75000"/>
                </a:schemeClr>
              </a:solidFill>
            </a:rPr>
            <a:t> do MEI</a:t>
          </a:r>
          <a:endParaRPr lang="pt-BR" sz="2400" b="1">
            <a:solidFill>
              <a:schemeClr val="accent5">
                <a:lumMod val="75000"/>
              </a:schemeClr>
            </a:solidFill>
          </a:endParaRPr>
        </a:p>
      </xdr:txBody>
    </xdr:sp>
    <xdr:clientData/>
  </xdr:oneCellAnchor>
  <xdr:twoCellAnchor editAs="absolute">
    <xdr:from>
      <xdr:col>1</xdr:col>
      <xdr:colOff>205740</xdr:colOff>
      <xdr:row>0</xdr:row>
      <xdr:rowOff>0</xdr:rowOff>
    </xdr:from>
    <xdr:to>
      <xdr:col>2</xdr:col>
      <xdr:colOff>1114801</xdr:colOff>
      <xdr:row>3</xdr:row>
      <xdr:rowOff>9360</xdr:rowOff>
    </xdr:to>
    <xdr:pic>
      <xdr:nvPicPr>
        <xdr:cNvPr id="3" name="Imagem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98CAEBE-B73B-410A-890D-6FD37C1E95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7660" y="0"/>
          <a:ext cx="1953001" cy="55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60960</xdr:colOff>
      <xdr:row>8</xdr:row>
      <xdr:rowOff>30480</xdr:rowOff>
    </xdr:from>
    <xdr:to>
      <xdr:col>1</xdr:col>
      <xdr:colOff>492960</xdr:colOff>
      <xdr:row>8</xdr:row>
      <xdr:rowOff>296880</xdr:rowOff>
    </xdr:to>
    <xdr:sp macro="" textlink="">
      <xdr:nvSpPr>
        <xdr:cNvPr id="4" name="Seta: para a Direita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2DC0829-4132-478E-B43E-52569F2C9D93}"/>
            </a:ext>
          </a:extLst>
        </xdr:cNvPr>
        <xdr:cNvSpPr/>
      </xdr:nvSpPr>
      <xdr:spPr>
        <a:xfrm flipH="1">
          <a:off x="182880" y="784860"/>
          <a:ext cx="432000" cy="266400"/>
        </a:xfrm>
        <a:prstGeom prst="rightArrow">
          <a:avLst/>
        </a:prstGeom>
        <a:solidFill>
          <a:schemeClr val="accent5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 fPrintsWithSheet="0"/>
  </xdr:twoCellAnchor>
  <xdr:twoCellAnchor editAs="absolute">
    <xdr:from>
      <xdr:col>1</xdr:col>
      <xdr:colOff>632460</xdr:colOff>
      <xdr:row>8</xdr:row>
      <xdr:rowOff>30480</xdr:rowOff>
    </xdr:from>
    <xdr:to>
      <xdr:col>2</xdr:col>
      <xdr:colOff>920520</xdr:colOff>
      <xdr:row>8</xdr:row>
      <xdr:rowOff>295040</xdr:rowOff>
    </xdr:to>
    <xdr:sp macro="" textlink="">
      <xdr:nvSpPr>
        <xdr:cNvPr id="5" name="CaixaDeTexto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5AF12116-5776-431D-B170-41527ACC95FD}"/>
            </a:ext>
          </a:extLst>
        </xdr:cNvPr>
        <xdr:cNvSpPr txBox="1"/>
      </xdr:nvSpPr>
      <xdr:spPr>
        <a:xfrm>
          <a:off x="754380" y="784860"/>
          <a:ext cx="1332000" cy="26456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3175">
          <a:solidFill>
            <a:schemeClr val="bg1">
              <a:lumMod val="9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pt-BR" sz="1100" b="0">
              <a:solidFill>
                <a:schemeClr val="accent5">
                  <a:lumMod val="75000"/>
                </a:schemeClr>
              </a:solidFill>
            </a:rPr>
            <a:t>Relatório</a:t>
          </a:r>
          <a:r>
            <a:rPr lang="pt-BR" sz="1100" b="0" baseline="0">
              <a:solidFill>
                <a:schemeClr val="accent5">
                  <a:lumMod val="75000"/>
                </a:schemeClr>
              </a:solidFill>
            </a:rPr>
            <a:t> Geral</a:t>
          </a:r>
          <a:endParaRPr lang="pt-BR" sz="1100" b="0">
            <a:solidFill>
              <a:schemeClr val="accent5">
                <a:lumMod val="75000"/>
              </a:schemeClr>
            </a:solidFill>
          </a:endParaRPr>
        </a:p>
      </xdr:txBody>
    </xdr:sp>
    <xdr:clientData fPrintsWithSheet="0"/>
  </xdr:twoCellAnchor>
  <xdr:twoCellAnchor editAs="absolute">
    <xdr:from>
      <xdr:col>2</xdr:col>
      <xdr:colOff>975360</xdr:colOff>
      <xdr:row>8</xdr:row>
      <xdr:rowOff>30480</xdr:rowOff>
    </xdr:from>
    <xdr:to>
      <xdr:col>2</xdr:col>
      <xdr:colOff>2307360</xdr:colOff>
      <xdr:row>8</xdr:row>
      <xdr:rowOff>295040</xdr:rowOff>
    </xdr:to>
    <xdr:sp macro="[0]!Imprimir" textlink="">
      <xdr:nvSpPr>
        <xdr:cNvPr id="6" name="CaixaDeTexto 5">
          <a:extLst>
            <a:ext uri="{FF2B5EF4-FFF2-40B4-BE49-F238E27FC236}">
              <a16:creationId xmlns:a16="http://schemas.microsoft.com/office/drawing/2014/main" id="{A3AF9CEE-D6DD-423F-A4A5-EA199DD7EE28}"/>
            </a:ext>
          </a:extLst>
        </xdr:cNvPr>
        <xdr:cNvSpPr txBox="1"/>
      </xdr:nvSpPr>
      <xdr:spPr>
        <a:xfrm>
          <a:off x="2141220" y="784860"/>
          <a:ext cx="1332000" cy="26456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3175">
          <a:solidFill>
            <a:schemeClr val="bg1">
              <a:lumMod val="9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pt-BR" sz="1100" b="0">
              <a:solidFill>
                <a:schemeClr val="accent5">
                  <a:lumMod val="75000"/>
                </a:schemeClr>
              </a:solidFill>
            </a:rPr>
            <a:t>Imprimir</a:t>
          </a:r>
        </a:p>
      </xdr:txBody>
    </xdr:sp>
    <xdr:clientData fPrintsWithSheet="0"/>
  </xdr:twoCellAnchor>
  <xdr:oneCellAnchor>
    <xdr:from>
      <xdr:col>6</xdr:col>
      <xdr:colOff>769620</xdr:colOff>
      <xdr:row>8</xdr:row>
      <xdr:rowOff>22860</xdr:rowOff>
    </xdr:from>
    <xdr:ext cx="2463389" cy="311496"/>
    <xdr:sp macro="" textlink="">
      <xdr:nvSpPr>
        <xdr:cNvPr id="7" name="CaixaDeTexto 6">
          <a:extLst>
            <a:ext uri="{FF2B5EF4-FFF2-40B4-BE49-F238E27FC236}">
              <a16:creationId xmlns:a16="http://schemas.microsoft.com/office/drawing/2014/main" id="{A4A103CA-7D38-4E59-BE1C-7357A9343253}"/>
            </a:ext>
          </a:extLst>
        </xdr:cNvPr>
        <xdr:cNvSpPr txBox="1"/>
      </xdr:nvSpPr>
      <xdr:spPr>
        <a:xfrm>
          <a:off x="10485120" y="777240"/>
          <a:ext cx="2463389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pt-BR" sz="1400">
              <a:solidFill>
                <a:schemeClr val="accent5">
                  <a:lumMod val="50000"/>
                </a:schemeClr>
              </a:solidFill>
            </a:rPr>
            <a:t>Total de Vendas em </a:t>
          </a:r>
          <a:r>
            <a:rPr lang="pt-BR" sz="1400" b="1">
              <a:solidFill>
                <a:schemeClr val="accent5">
                  <a:lumMod val="50000"/>
                </a:schemeClr>
              </a:solidFill>
            </a:rPr>
            <a:t>Fevereiro:</a:t>
          </a:r>
          <a:endParaRPr lang="pt-BR" sz="1400">
            <a:solidFill>
              <a:schemeClr val="accent5">
                <a:lumMod val="50000"/>
              </a:schemeClr>
            </a:solidFill>
          </a:endParaRPr>
        </a:p>
      </xdr:txBody>
    </xdr:sp>
    <xdr:clientData/>
  </xdr:oneCellAnchor>
  <xdr:twoCellAnchor editAs="absolute">
    <xdr:from>
      <xdr:col>2</xdr:col>
      <xdr:colOff>2346960</xdr:colOff>
      <xdr:row>8</xdr:row>
      <xdr:rowOff>30480</xdr:rowOff>
    </xdr:from>
    <xdr:to>
      <xdr:col>3</xdr:col>
      <xdr:colOff>353700</xdr:colOff>
      <xdr:row>8</xdr:row>
      <xdr:rowOff>296880</xdr:rowOff>
    </xdr:to>
    <xdr:sp macro="" textlink="">
      <xdr:nvSpPr>
        <xdr:cNvPr id="8" name="CaixaDeTexto 7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5C1B4321-BC92-4E5F-B3F0-760192E30ECB}"/>
            </a:ext>
          </a:extLst>
        </xdr:cNvPr>
        <xdr:cNvSpPr txBox="1"/>
      </xdr:nvSpPr>
      <xdr:spPr>
        <a:xfrm>
          <a:off x="3512820" y="784860"/>
          <a:ext cx="468000" cy="26640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 b="0">
              <a:solidFill>
                <a:schemeClr val="accent5">
                  <a:lumMod val="75000"/>
                </a:schemeClr>
              </a:solidFill>
            </a:rPr>
            <a:t>JAN</a:t>
          </a:r>
        </a:p>
      </xdr:txBody>
    </xdr:sp>
    <xdr:clientData fPrintsWithSheet="0"/>
  </xdr:twoCellAnchor>
  <xdr:twoCellAnchor editAs="absolute">
    <xdr:from>
      <xdr:col>3</xdr:col>
      <xdr:colOff>388295</xdr:colOff>
      <xdr:row>8</xdr:row>
      <xdr:rowOff>30480</xdr:rowOff>
    </xdr:from>
    <xdr:to>
      <xdr:col>3</xdr:col>
      <xdr:colOff>856295</xdr:colOff>
      <xdr:row>8</xdr:row>
      <xdr:rowOff>296880</xdr:rowOff>
    </xdr:to>
    <xdr:sp macro="" textlink="">
      <xdr:nvSpPr>
        <xdr:cNvPr id="9" name="CaixaDeTexto 8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696A7E6B-718C-4E79-90BE-8668D8F4A6A1}"/>
            </a:ext>
          </a:extLst>
        </xdr:cNvPr>
        <xdr:cNvSpPr txBox="1"/>
      </xdr:nvSpPr>
      <xdr:spPr>
        <a:xfrm>
          <a:off x="4015415" y="784860"/>
          <a:ext cx="468000" cy="266400"/>
        </a:xfrm>
        <a:prstGeom prst="rect">
          <a:avLst/>
        </a:prstGeom>
        <a:solidFill>
          <a:schemeClr val="accent2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>
              <a:solidFill>
                <a:schemeClr val="bg1"/>
              </a:solidFill>
            </a:rPr>
            <a:t>FEV</a:t>
          </a:r>
        </a:p>
      </xdr:txBody>
    </xdr:sp>
    <xdr:clientData fPrintsWithSheet="0"/>
  </xdr:twoCellAnchor>
  <xdr:twoCellAnchor editAs="absolute">
    <xdr:from>
      <xdr:col>3</xdr:col>
      <xdr:colOff>890890</xdr:colOff>
      <xdr:row>8</xdr:row>
      <xdr:rowOff>30480</xdr:rowOff>
    </xdr:from>
    <xdr:to>
      <xdr:col>3</xdr:col>
      <xdr:colOff>1358890</xdr:colOff>
      <xdr:row>8</xdr:row>
      <xdr:rowOff>296880</xdr:rowOff>
    </xdr:to>
    <xdr:sp macro="" textlink="">
      <xdr:nvSpPr>
        <xdr:cNvPr id="10" name="CaixaDeTexto 9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8E3D9EA9-6A3D-4DA6-8D27-DF5C0ED817F9}"/>
            </a:ext>
          </a:extLst>
        </xdr:cNvPr>
        <xdr:cNvSpPr txBox="1"/>
      </xdr:nvSpPr>
      <xdr:spPr>
        <a:xfrm>
          <a:off x="4518010" y="784860"/>
          <a:ext cx="468000" cy="26640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>
              <a:solidFill>
                <a:schemeClr val="accent5">
                  <a:lumMod val="75000"/>
                </a:schemeClr>
              </a:solidFill>
            </a:rPr>
            <a:t>MAR</a:t>
          </a:r>
        </a:p>
      </xdr:txBody>
    </xdr:sp>
    <xdr:clientData fPrintsWithSheet="0"/>
  </xdr:twoCellAnchor>
  <xdr:twoCellAnchor editAs="absolute">
    <xdr:from>
      <xdr:col>4</xdr:col>
      <xdr:colOff>2835</xdr:colOff>
      <xdr:row>8</xdr:row>
      <xdr:rowOff>30480</xdr:rowOff>
    </xdr:from>
    <xdr:to>
      <xdr:col>4</xdr:col>
      <xdr:colOff>436545</xdr:colOff>
      <xdr:row>8</xdr:row>
      <xdr:rowOff>296880</xdr:rowOff>
    </xdr:to>
    <xdr:sp macro="" textlink="">
      <xdr:nvSpPr>
        <xdr:cNvPr id="11" name="CaixaDeTexto 10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C952F6A3-D110-4A73-B7AB-9E2AA8100CFA}"/>
            </a:ext>
          </a:extLst>
        </xdr:cNvPr>
        <xdr:cNvSpPr txBox="1"/>
      </xdr:nvSpPr>
      <xdr:spPr>
        <a:xfrm>
          <a:off x="5020605" y="784860"/>
          <a:ext cx="468000" cy="26640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>
              <a:solidFill>
                <a:schemeClr val="accent5">
                  <a:lumMod val="75000"/>
                </a:schemeClr>
              </a:solidFill>
            </a:rPr>
            <a:t>ABR</a:t>
          </a:r>
        </a:p>
      </xdr:txBody>
    </xdr:sp>
    <xdr:clientData fPrintsWithSheet="0"/>
  </xdr:twoCellAnchor>
  <xdr:twoCellAnchor editAs="absolute">
    <xdr:from>
      <xdr:col>4</xdr:col>
      <xdr:colOff>471140</xdr:colOff>
      <xdr:row>8</xdr:row>
      <xdr:rowOff>30480</xdr:rowOff>
    </xdr:from>
    <xdr:to>
      <xdr:col>4</xdr:col>
      <xdr:colOff>939140</xdr:colOff>
      <xdr:row>8</xdr:row>
      <xdr:rowOff>296880</xdr:rowOff>
    </xdr:to>
    <xdr:sp macro="" textlink="">
      <xdr:nvSpPr>
        <xdr:cNvPr id="12" name="CaixaDeTexto 11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46F58442-9042-4C6A-A86F-345865D3BE75}"/>
            </a:ext>
          </a:extLst>
        </xdr:cNvPr>
        <xdr:cNvSpPr txBox="1"/>
      </xdr:nvSpPr>
      <xdr:spPr>
        <a:xfrm>
          <a:off x="5523200" y="784860"/>
          <a:ext cx="468000" cy="26640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>
              <a:solidFill>
                <a:schemeClr val="accent5">
                  <a:lumMod val="75000"/>
                </a:schemeClr>
              </a:solidFill>
            </a:rPr>
            <a:t>MAI</a:t>
          </a:r>
        </a:p>
      </xdr:txBody>
    </xdr:sp>
    <xdr:clientData fPrintsWithSheet="0"/>
  </xdr:twoCellAnchor>
  <xdr:twoCellAnchor editAs="absolute">
    <xdr:from>
      <xdr:col>4</xdr:col>
      <xdr:colOff>973735</xdr:colOff>
      <xdr:row>8</xdr:row>
      <xdr:rowOff>30480</xdr:rowOff>
    </xdr:from>
    <xdr:to>
      <xdr:col>4</xdr:col>
      <xdr:colOff>1394110</xdr:colOff>
      <xdr:row>8</xdr:row>
      <xdr:rowOff>296880</xdr:rowOff>
    </xdr:to>
    <xdr:sp macro="" textlink="">
      <xdr:nvSpPr>
        <xdr:cNvPr id="13" name="CaixaDeTexto 12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C0D57C47-9CCA-406E-B16B-32E33D448975}"/>
            </a:ext>
          </a:extLst>
        </xdr:cNvPr>
        <xdr:cNvSpPr txBox="1"/>
      </xdr:nvSpPr>
      <xdr:spPr>
        <a:xfrm>
          <a:off x="6025795" y="784860"/>
          <a:ext cx="468000" cy="26640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>
              <a:solidFill>
                <a:schemeClr val="accent5">
                  <a:lumMod val="75000"/>
                </a:schemeClr>
              </a:solidFill>
            </a:rPr>
            <a:t>JUN</a:t>
          </a:r>
        </a:p>
      </xdr:txBody>
    </xdr:sp>
    <xdr:clientData fPrintsWithSheet="0"/>
  </xdr:twoCellAnchor>
  <xdr:twoCellAnchor editAs="absolute">
    <xdr:from>
      <xdr:col>4</xdr:col>
      <xdr:colOff>1483950</xdr:colOff>
      <xdr:row>8</xdr:row>
      <xdr:rowOff>30480</xdr:rowOff>
    </xdr:from>
    <xdr:to>
      <xdr:col>4</xdr:col>
      <xdr:colOff>1951950</xdr:colOff>
      <xdr:row>8</xdr:row>
      <xdr:rowOff>296880</xdr:rowOff>
    </xdr:to>
    <xdr:sp macro="" textlink="">
      <xdr:nvSpPr>
        <xdr:cNvPr id="14" name="CaixaDeTexto 13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1633CF31-B755-415A-8A48-6E7AF77F98D2}"/>
            </a:ext>
          </a:extLst>
        </xdr:cNvPr>
        <xdr:cNvSpPr txBox="1"/>
      </xdr:nvSpPr>
      <xdr:spPr>
        <a:xfrm>
          <a:off x="6528390" y="784860"/>
          <a:ext cx="468000" cy="26640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>
              <a:solidFill>
                <a:schemeClr val="accent5">
                  <a:lumMod val="75000"/>
                </a:schemeClr>
              </a:solidFill>
            </a:rPr>
            <a:t>JUL</a:t>
          </a:r>
        </a:p>
      </xdr:txBody>
    </xdr:sp>
    <xdr:clientData fPrintsWithSheet="0"/>
  </xdr:twoCellAnchor>
  <xdr:twoCellAnchor editAs="absolute">
    <xdr:from>
      <xdr:col>4</xdr:col>
      <xdr:colOff>1986545</xdr:colOff>
      <xdr:row>8</xdr:row>
      <xdr:rowOff>30480</xdr:rowOff>
    </xdr:from>
    <xdr:to>
      <xdr:col>4</xdr:col>
      <xdr:colOff>2454545</xdr:colOff>
      <xdr:row>8</xdr:row>
      <xdr:rowOff>296880</xdr:rowOff>
    </xdr:to>
    <xdr:sp macro="" textlink="">
      <xdr:nvSpPr>
        <xdr:cNvPr id="15" name="CaixaDeTexto 14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53FC9AD4-4D34-4EFC-8B9A-9AFF911421E6}"/>
            </a:ext>
          </a:extLst>
        </xdr:cNvPr>
        <xdr:cNvSpPr txBox="1"/>
      </xdr:nvSpPr>
      <xdr:spPr>
        <a:xfrm>
          <a:off x="7030985" y="784860"/>
          <a:ext cx="468000" cy="26640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>
              <a:solidFill>
                <a:schemeClr val="accent5">
                  <a:lumMod val="75000"/>
                </a:schemeClr>
              </a:solidFill>
            </a:rPr>
            <a:t>AGO</a:t>
          </a:r>
        </a:p>
      </xdr:txBody>
    </xdr:sp>
    <xdr:clientData fPrintsWithSheet="0"/>
  </xdr:twoCellAnchor>
  <xdr:twoCellAnchor editAs="absolute">
    <xdr:from>
      <xdr:col>4</xdr:col>
      <xdr:colOff>2489140</xdr:colOff>
      <xdr:row>8</xdr:row>
      <xdr:rowOff>30480</xdr:rowOff>
    </xdr:from>
    <xdr:to>
      <xdr:col>5</xdr:col>
      <xdr:colOff>53920</xdr:colOff>
      <xdr:row>8</xdr:row>
      <xdr:rowOff>296880</xdr:rowOff>
    </xdr:to>
    <xdr:sp macro="" textlink="">
      <xdr:nvSpPr>
        <xdr:cNvPr id="16" name="CaixaDeTexto 15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FC5F088B-1BDD-457A-893E-12EDDF78536E}"/>
            </a:ext>
          </a:extLst>
        </xdr:cNvPr>
        <xdr:cNvSpPr txBox="1"/>
      </xdr:nvSpPr>
      <xdr:spPr>
        <a:xfrm>
          <a:off x="7533580" y="784860"/>
          <a:ext cx="468000" cy="26640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>
              <a:solidFill>
                <a:schemeClr val="accent5">
                  <a:lumMod val="75000"/>
                </a:schemeClr>
              </a:solidFill>
            </a:rPr>
            <a:t>SET</a:t>
          </a:r>
        </a:p>
      </xdr:txBody>
    </xdr:sp>
    <xdr:clientData fPrintsWithSheet="0"/>
  </xdr:twoCellAnchor>
  <xdr:twoCellAnchor editAs="absolute">
    <xdr:from>
      <xdr:col>5</xdr:col>
      <xdr:colOff>88515</xdr:colOff>
      <xdr:row>8</xdr:row>
      <xdr:rowOff>30480</xdr:rowOff>
    </xdr:from>
    <xdr:to>
      <xdr:col>5</xdr:col>
      <xdr:colOff>548895</xdr:colOff>
      <xdr:row>8</xdr:row>
      <xdr:rowOff>296880</xdr:rowOff>
    </xdr:to>
    <xdr:sp macro="" textlink="">
      <xdr:nvSpPr>
        <xdr:cNvPr id="17" name="CaixaDeTexto 16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4980F9FC-C2C2-4488-A37C-ADFA7880E416}"/>
            </a:ext>
          </a:extLst>
        </xdr:cNvPr>
        <xdr:cNvSpPr txBox="1"/>
      </xdr:nvSpPr>
      <xdr:spPr>
        <a:xfrm>
          <a:off x="8036175" y="784860"/>
          <a:ext cx="468000" cy="26640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>
              <a:solidFill>
                <a:schemeClr val="accent5">
                  <a:lumMod val="75000"/>
                </a:schemeClr>
              </a:solidFill>
            </a:rPr>
            <a:t>OUT</a:t>
          </a:r>
        </a:p>
      </xdr:txBody>
    </xdr:sp>
    <xdr:clientData fPrintsWithSheet="0"/>
  </xdr:twoCellAnchor>
  <xdr:twoCellAnchor editAs="absolute">
    <xdr:from>
      <xdr:col>5</xdr:col>
      <xdr:colOff>583490</xdr:colOff>
      <xdr:row>8</xdr:row>
      <xdr:rowOff>30480</xdr:rowOff>
    </xdr:from>
    <xdr:to>
      <xdr:col>5</xdr:col>
      <xdr:colOff>1051490</xdr:colOff>
      <xdr:row>8</xdr:row>
      <xdr:rowOff>296880</xdr:rowOff>
    </xdr:to>
    <xdr:sp macro="" textlink="">
      <xdr:nvSpPr>
        <xdr:cNvPr id="18" name="CaixaDeTexto 17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A0F6E5D1-13C5-4AD5-A750-6B209AD01406}"/>
            </a:ext>
          </a:extLst>
        </xdr:cNvPr>
        <xdr:cNvSpPr txBox="1"/>
      </xdr:nvSpPr>
      <xdr:spPr>
        <a:xfrm>
          <a:off x="8538770" y="784860"/>
          <a:ext cx="468000" cy="26640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>
              <a:solidFill>
                <a:schemeClr val="accent5">
                  <a:lumMod val="75000"/>
                </a:schemeClr>
              </a:solidFill>
            </a:rPr>
            <a:t>NOV</a:t>
          </a:r>
        </a:p>
      </xdr:txBody>
    </xdr:sp>
    <xdr:clientData fPrintsWithSheet="0"/>
  </xdr:twoCellAnchor>
  <xdr:twoCellAnchor editAs="absolute">
    <xdr:from>
      <xdr:col>5</xdr:col>
      <xdr:colOff>1086085</xdr:colOff>
      <xdr:row>8</xdr:row>
      <xdr:rowOff>30480</xdr:rowOff>
    </xdr:from>
    <xdr:to>
      <xdr:col>5</xdr:col>
      <xdr:colOff>1561705</xdr:colOff>
      <xdr:row>8</xdr:row>
      <xdr:rowOff>296880</xdr:rowOff>
    </xdr:to>
    <xdr:sp macro="" textlink="">
      <xdr:nvSpPr>
        <xdr:cNvPr id="19" name="CaixaDeTexto 18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DC9F131E-F3DD-4AD5-AC59-0C3A297FAB79}"/>
            </a:ext>
          </a:extLst>
        </xdr:cNvPr>
        <xdr:cNvSpPr txBox="1"/>
      </xdr:nvSpPr>
      <xdr:spPr>
        <a:xfrm>
          <a:off x="9041365" y="784860"/>
          <a:ext cx="468000" cy="26640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>
              <a:solidFill>
                <a:schemeClr val="accent5">
                  <a:lumMod val="75000"/>
                </a:schemeClr>
              </a:solidFill>
            </a:rPr>
            <a:t>DEZ</a:t>
          </a:r>
        </a:p>
      </xdr:txBody>
    </xdr:sp>
    <xdr:clientData fPrintsWithSheet="0"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1394460</xdr:colOff>
      <xdr:row>0</xdr:row>
      <xdr:rowOff>0</xdr:rowOff>
    </xdr:from>
    <xdr:ext cx="4937760" cy="571500"/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E91DE78E-B547-4211-84B2-B4E118EE66A7}"/>
            </a:ext>
          </a:extLst>
        </xdr:cNvPr>
        <xdr:cNvSpPr txBox="1"/>
      </xdr:nvSpPr>
      <xdr:spPr>
        <a:xfrm>
          <a:off x="2560320" y="0"/>
          <a:ext cx="4937760" cy="5715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r>
            <a:rPr lang="pt-BR" sz="2400" b="1">
              <a:solidFill>
                <a:schemeClr val="accent5">
                  <a:lumMod val="75000"/>
                </a:schemeClr>
              </a:solidFill>
            </a:rPr>
            <a:t>Controle de Faturamento</a:t>
          </a:r>
          <a:r>
            <a:rPr lang="pt-BR" sz="2400" b="1" baseline="0">
              <a:solidFill>
                <a:schemeClr val="accent5">
                  <a:lumMod val="75000"/>
                </a:schemeClr>
              </a:solidFill>
            </a:rPr>
            <a:t> do MEI</a:t>
          </a:r>
          <a:endParaRPr lang="pt-BR" sz="2400" b="1">
            <a:solidFill>
              <a:schemeClr val="accent5">
                <a:lumMod val="75000"/>
              </a:schemeClr>
            </a:solidFill>
          </a:endParaRPr>
        </a:p>
      </xdr:txBody>
    </xdr:sp>
    <xdr:clientData/>
  </xdr:oneCellAnchor>
  <xdr:twoCellAnchor editAs="absolute">
    <xdr:from>
      <xdr:col>1</xdr:col>
      <xdr:colOff>205740</xdr:colOff>
      <xdr:row>0</xdr:row>
      <xdr:rowOff>0</xdr:rowOff>
    </xdr:from>
    <xdr:to>
      <xdr:col>2</xdr:col>
      <xdr:colOff>1114801</xdr:colOff>
      <xdr:row>3</xdr:row>
      <xdr:rowOff>9360</xdr:rowOff>
    </xdr:to>
    <xdr:pic>
      <xdr:nvPicPr>
        <xdr:cNvPr id="3" name="Imagem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997A6B8-EBEB-40D7-B1E9-3CBD233F18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7660" y="0"/>
          <a:ext cx="1953001" cy="55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60960</xdr:colOff>
      <xdr:row>8</xdr:row>
      <xdr:rowOff>30480</xdr:rowOff>
    </xdr:from>
    <xdr:to>
      <xdr:col>1</xdr:col>
      <xdr:colOff>492960</xdr:colOff>
      <xdr:row>8</xdr:row>
      <xdr:rowOff>296880</xdr:rowOff>
    </xdr:to>
    <xdr:sp macro="" textlink="">
      <xdr:nvSpPr>
        <xdr:cNvPr id="4" name="Seta: para a Direita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885EE2E-C823-423B-8874-53E519C40537}"/>
            </a:ext>
          </a:extLst>
        </xdr:cNvPr>
        <xdr:cNvSpPr/>
      </xdr:nvSpPr>
      <xdr:spPr>
        <a:xfrm flipH="1">
          <a:off x="182880" y="784860"/>
          <a:ext cx="432000" cy="266400"/>
        </a:xfrm>
        <a:prstGeom prst="rightArrow">
          <a:avLst/>
        </a:prstGeom>
        <a:solidFill>
          <a:schemeClr val="accent5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 fPrintsWithSheet="0"/>
  </xdr:twoCellAnchor>
  <xdr:twoCellAnchor editAs="absolute">
    <xdr:from>
      <xdr:col>1</xdr:col>
      <xdr:colOff>632460</xdr:colOff>
      <xdr:row>8</xdr:row>
      <xdr:rowOff>30480</xdr:rowOff>
    </xdr:from>
    <xdr:to>
      <xdr:col>2</xdr:col>
      <xdr:colOff>920520</xdr:colOff>
      <xdr:row>8</xdr:row>
      <xdr:rowOff>295040</xdr:rowOff>
    </xdr:to>
    <xdr:sp macro="" textlink="">
      <xdr:nvSpPr>
        <xdr:cNvPr id="5" name="CaixaDeTexto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DB89796C-36BF-44AE-8474-CF5797B5FA77}"/>
            </a:ext>
          </a:extLst>
        </xdr:cNvPr>
        <xdr:cNvSpPr txBox="1"/>
      </xdr:nvSpPr>
      <xdr:spPr>
        <a:xfrm>
          <a:off x="754380" y="784860"/>
          <a:ext cx="1332000" cy="26456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3175">
          <a:solidFill>
            <a:schemeClr val="bg1">
              <a:lumMod val="9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pt-BR" sz="1100" b="0">
              <a:solidFill>
                <a:schemeClr val="accent5">
                  <a:lumMod val="75000"/>
                </a:schemeClr>
              </a:solidFill>
            </a:rPr>
            <a:t>Relatório</a:t>
          </a:r>
          <a:r>
            <a:rPr lang="pt-BR" sz="1100" b="0" baseline="0">
              <a:solidFill>
                <a:schemeClr val="accent5">
                  <a:lumMod val="75000"/>
                </a:schemeClr>
              </a:solidFill>
            </a:rPr>
            <a:t> Geral</a:t>
          </a:r>
          <a:endParaRPr lang="pt-BR" sz="1100" b="0">
            <a:solidFill>
              <a:schemeClr val="accent5">
                <a:lumMod val="75000"/>
              </a:schemeClr>
            </a:solidFill>
          </a:endParaRPr>
        </a:p>
      </xdr:txBody>
    </xdr:sp>
    <xdr:clientData fPrintsWithSheet="0"/>
  </xdr:twoCellAnchor>
  <xdr:twoCellAnchor editAs="absolute">
    <xdr:from>
      <xdr:col>2</xdr:col>
      <xdr:colOff>975360</xdr:colOff>
      <xdr:row>8</xdr:row>
      <xdr:rowOff>30480</xdr:rowOff>
    </xdr:from>
    <xdr:to>
      <xdr:col>2</xdr:col>
      <xdr:colOff>2307360</xdr:colOff>
      <xdr:row>8</xdr:row>
      <xdr:rowOff>295040</xdr:rowOff>
    </xdr:to>
    <xdr:sp macro="[0]!Imprimir" textlink="">
      <xdr:nvSpPr>
        <xdr:cNvPr id="6" name="CaixaDeTexto 5">
          <a:extLst>
            <a:ext uri="{FF2B5EF4-FFF2-40B4-BE49-F238E27FC236}">
              <a16:creationId xmlns:a16="http://schemas.microsoft.com/office/drawing/2014/main" id="{07F3F2B5-48D1-4A8C-84A4-8C43E9BBF157}"/>
            </a:ext>
          </a:extLst>
        </xdr:cNvPr>
        <xdr:cNvSpPr txBox="1"/>
      </xdr:nvSpPr>
      <xdr:spPr>
        <a:xfrm>
          <a:off x="2141220" y="784860"/>
          <a:ext cx="1332000" cy="26456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3175">
          <a:solidFill>
            <a:schemeClr val="bg1">
              <a:lumMod val="9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pt-BR" sz="1100" b="0">
              <a:solidFill>
                <a:schemeClr val="accent5">
                  <a:lumMod val="75000"/>
                </a:schemeClr>
              </a:solidFill>
            </a:rPr>
            <a:t>Imprimir</a:t>
          </a:r>
        </a:p>
      </xdr:txBody>
    </xdr:sp>
    <xdr:clientData fPrintsWithSheet="0"/>
  </xdr:twoCellAnchor>
  <xdr:oneCellAnchor>
    <xdr:from>
      <xdr:col>6</xdr:col>
      <xdr:colOff>739140</xdr:colOff>
      <xdr:row>8</xdr:row>
      <xdr:rowOff>53340</xdr:rowOff>
    </xdr:from>
    <xdr:ext cx="2463389" cy="311496"/>
    <xdr:sp macro="" textlink="">
      <xdr:nvSpPr>
        <xdr:cNvPr id="7" name="CaixaDeTexto 6">
          <a:extLst>
            <a:ext uri="{FF2B5EF4-FFF2-40B4-BE49-F238E27FC236}">
              <a16:creationId xmlns:a16="http://schemas.microsoft.com/office/drawing/2014/main" id="{F6321588-6AEE-43DD-B448-6D61256897B0}"/>
            </a:ext>
          </a:extLst>
        </xdr:cNvPr>
        <xdr:cNvSpPr txBox="1"/>
      </xdr:nvSpPr>
      <xdr:spPr>
        <a:xfrm>
          <a:off x="10454640" y="807720"/>
          <a:ext cx="2463389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pt-BR" sz="1400">
              <a:solidFill>
                <a:schemeClr val="accent5">
                  <a:lumMod val="50000"/>
                </a:schemeClr>
              </a:solidFill>
            </a:rPr>
            <a:t>Total de Vendas em </a:t>
          </a:r>
          <a:r>
            <a:rPr lang="pt-BR" sz="1400" b="1">
              <a:solidFill>
                <a:schemeClr val="accent5">
                  <a:lumMod val="50000"/>
                </a:schemeClr>
              </a:solidFill>
            </a:rPr>
            <a:t>Março:</a:t>
          </a:r>
          <a:endParaRPr lang="pt-BR" sz="1400">
            <a:solidFill>
              <a:schemeClr val="accent5">
                <a:lumMod val="50000"/>
              </a:schemeClr>
            </a:solidFill>
          </a:endParaRPr>
        </a:p>
      </xdr:txBody>
    </xdr:sp>
    <xdr:clientData/>
  </xdr:oneCellAnchor>
  <xdr:twoCellAnchor editAs="absolute">
    <xdr:from>
      <xdr:col>2</xdr:col>
      <xdr:colOff>2346960</xdr:colOff>
      <xdr:row>8</xdr:row>
      <xdr:rowOff>30480</xdr:rowOff>
    </xdr:from>
    <xdr:to>
      <xdr:col>3</xdr:col>
      <xdr:colOff>353700</xdr:colOff>
      <xdr:row>8</xdr:row>
      <xdr:rowOff>296880</xdr:rowOff>
    </xdr:to>
    <xdr:sp macro="" textlink="">
      <xdr:nvSpPr>
        <xdr:cNvPr id="8" name="CaixaDeTexto 7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FD6601A3-ED0D-4223-8367-3884F478260E}"/>
            </a:ext>
          </a:extLst>
        </xdr:cNvPr>
        <xdr:cNvSpPr txBox="1"/>
      </xdr:nvSpPr>
      <xdr:spPr>
        <a:xfrm>
          <a:off x="3512820" y="784860"/>
          <a:ext cx="468000" cy="26640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 b="0">
              <a:solidFill>
                <a:schemeClr val="accent5">
                  <a:lumMod val="75000"/>
                </a:schemeClr>
              </a:solidFill>
            </a:rPr>
            <a:t>JAN</a:t>
          </a:r>
        </a:p>
      </xdr:txBody>
    </xdr:sp>
    <xdr:clientData fPrintsWithSheet="0"/>
  </xdr:twoCellAnchor>
  <xdr:twoCellAnchor editAs="absolute">
    <xdr:from>
      <xdr:col>3</xdr:col>
      <xdr:colOff>388295</xdr:colOff>
      <xdr:row>8</xdr:row>
      <xdr:rowOff>30480</xdr:rowOff>
    </xdr:from>
    <xdr:to>
      <xdr:col>3</xdr:col>
      <xdr:colOff>856295</xdr:colOff>
      <xdr:row>8</xdr:row>
      <xdr:rowOff>296880</xdr:rowOff>
    </xdr:to>
    <xdr:sp macro="" textlink="">
      <xdr:nvSpPr>
        <xdr:cNvPr id="9" name="CaixaDeTexto 8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9DCA48C-4531-4137-B8A6-D0800E52429B}"/>
            </a:ext>
          </a:extLst>
        </xdr:cNvPr>
        <xdr:cNvSpPr txBox="1"/>
      </xdr:nvSpPr>
      <xdr:spPr>
        <a:xfrm>
          <a:off x="4015415" y="784860"/>
          <a:ext cx="468000" cy="26640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>
              <a:solidFill>
                <a:schemeClr val="accent5">
                  <a:lumMod val="75000"/>
                </a:schemeClr>
              </a:solidFill>
            </a:rPr>
            <a:t>FEV</a:t>
          </a:r>
        </a:p>
      </xdr:txBody>
    </xdr:sp>
    <xdr:clientData fPrintsWithSheet="0"/>
  </xdr:twoCellAnchor>
  <xdr:twoCellAnchor editAs="absolute">
    <xdr:from>
      <xdr:col>3</xdr:col>
      <xdr:colOff>890890</xdr:colOff>
      <xdr:row>8</xdr:row>
      <xdr:rowOff>30480</xdr:rowOff>
    </xdr:from>
    <xdr:to>
      <xdr:col>3</xdr:col>
      <xdr:colOff>1358890</xdr:colOff>
      <xdr:row>8</xdr:row>
      <xdr:rowOff>296880</xdr:rowOff>
    </xdr:to>
    <xdr:sp macro="" textlink="">
      <xdr:nvSpPr>
        <xdr:cNvPr id="10" name="CaixaDeTexto 9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F82D68A4-D922-48B2-9402-0998440BF94E}"/>
            </a:ext>
          </a:extLst>
        </xdr:cNvPr>
        <xdr:cNvSpPr txBox="1"/>
      </xdr:nvSpPr>
      <xdr:spPr>
        <a:xfrm>
          <a:off x="4518010" y="784860"/>
          <a:ext cx="468000" cy="266400"/>
        </a:xfrm>
        <a:prstGeom prst="rect">
          <a:avLst/>
        </a:prstGeom>
        <a:solidFill>
          <a:schemeClr val="accent2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>
              <a:solidFill>
                <a:schemeClr val="bg1"/>
              </a:solidFill>
            </a:rPr>
            <a:t>MAR</a:t>
          </a:r>
        </a:p>
      </xdr:txBody>
    </xdr:sp>
    <xdr:clientData fPrintsWithSheet="0"/>
  </xdr:twoCellAnchor>
  <xdr:twoCellAnchor editAs="absolute">
    <xdr:from>
      <xdr:col>4</xdr:col>
      <xdr:colOff>2835</xdr:colOff>
      <xdr:row>8</xdr:row>
      <xdr:rowOff>30480</xdr:rowOff>
    </xdr:from>
    <xdr:to>
      <xdr:col>4</xdr:col>
      <xdr:colOff>436545</xdr:colOff>
      <xdr:row>8</xdr:row>
      <xdr:rowOff>296880</xdr:rowOff>
    </xdr:to>
    <xdr:sp macro="" textlink="">
      <xdr:nvSpPr>
        <xdr:cNvPr id="11" name="CaixaDeTexto 10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C5FB274B-84A6-4544-8FC3-23E83C656C0B}"/>
            </a:ext>
          </a:extLst>
        </xdr:cNvPr>
        <xdr:cNvSpPr txBox="1"/>
      </xdr:nvSpPr>
      <xdr:spPr>
        <a:xfrm>
          <a:off x="5020605" y="784860"/>
          <a:ext cx="468000" cy="26640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>
              <a:solidFill>
                <a:schemeClr val="accent5">
                  <a:lumMod val="75000"/>
                </a:schemeClr>
              </a:solidFill>
            </a:rPr>
            <a:t>ABR</a:t>
          </a:r>
        </a:p>
      </xdr:txBody>
    </xdr:sp>
    <xdr:clientData fPrintsWithSheet="0"/>
  </xdr:twoCellAnchor>
  <xdr:twoCellAnchor editAs="absolute">
    <xdr:from>
      <xdr:col>4</xdr:col>
      <xdr:colOff>471140</xdr:colOff>
      <xdr:row>8</xdr:row>
      <xdr:rowOff>30480</xdr:rowOff>
    </xdr:from>
    <xdr:to>
      <xdr:col>4</xdr:col>
      <xdr:colOff>939140</xdr:colOff>
      <xdr:row>8</xdr:row>
      <xdr:rowOff>296880</xdr:rowOff>
    </xdr:to>
    <xdr:sp macro="" textlink="">
      <xdr:nvSpPr>
        <xdr:cNvPr id="12" name="CaixaDeTexto 11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4CEFE6BC-C848-4A06-B911-2B2EF1F6144F}"/>
            </a:ext>
          </a:extLst>
        </xdr:cNvPr>
        <xdr:cNvSpPr txBox="1"/>
      </xdr:nvSpPr>
      <xdr:spPr>
        <a:xfrm>
          <a:off x="5523200" y="784860"/>
          <a:ext cx="468000" cy="26640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>
              <a:solidFill>
                <a:schemeClr val="accent5">
                  <a:lumMod val="75000"/>
                </a:schemeClr>
              </a:solidFill>
            </a:rPr>
            <a:t>MAI</a:t>
          </a:r>
        </a:p>
      </xdr:txBody>
    </xdr:sp>
    <xdr:clientData fPrintsWithSheet="0"/>
  </xdr:twoCellAnchor>
  <xdr:twoCellAnchor editAs="absolute">
    <xdr:from>
      <xdr:col>4</xdr:col>
      <xdr:colOff>973735</xdr:colOff>
      <xdr:row>8</xdr:row>
      <xdr:rowOff>30480</xdr:rowOff>
    </xdr:from>
    <xdr:to>
      <xdr:col>4</xdr:col>
      <xdr:colOff>1394110</xdr:colOff>
      <xdr:row>8</xdr:row>
      <xdr:rowOff>296880</xdr:rowOff>
    </xdr:to>
    <xdr:sp macro="" textlink="">
      <xdr:nvSpPr>
        <xdr:cNvPr id="13" name="CaixaDeTexto 12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81FA2D67-A983-4FCA-AEF7-D3AB29333D5C}"/>
            </a:ext>
          </a:extLst>
        </xdr:cNvPr>
        <xdr:cNvSpPr txBox="1"/>
      </xdr:nvSpPr>
      <xdr:spPr>
        <a:xfrm>
          <a:off x="6025795" y="784860"/>
          <a:ext cx="468000" cy="26640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>
              <a:solidFill>
                <a:schemeClr val="accent5">
                  <a:lumMod val="75000"/>
                </a:schemeClr>
              </a:solidFill>
            </a:rPr>
            <a:t>JUN</a:t>
          </a:r>
        </a:p>
      </xdr:txBody>
    </xdr:sp>
    <xdr:clientData fPrintsWithSheet="0"/>
  </xdr:twoCellAnchor>
  <xdr:twoCellAnchor editAs="absolute">
    <xdr:from>
      <xdr:col>4</xdr:col>
      <xdr:colOff>1483950</xdr:colOff>
      <xdr:row>8</xdr:row>
      <xdr:rowOff>30480</xdr:rowOff>
    </xdr:from>
    <xdr:to>
      <xdr:col>4</xdr:col>
      <xdr:colOff>1951950</xdr:colOff>
      <xdr:row>8</xdr:row>
      <xdr:rowOff>296880</xdr:rowOff>
    </xdr:to>
    <xdr:sp macro="" textlink="">
      <xdr:nvSpPr>
        <xdr:cNvPr id="14" name="CaixaDeTexto 13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ED587E0A-5897-4C9B-B8FF-FD0672E078B2}"/>
            </a:ext>
          </a:extLst>
        </xdr:cNvPr>
        <xdr:cNvSpPr txBox="1"/>
      </xdr:nvSpPr>
      <xdr:spPr>
        <a:xfrm>
          <a:off x="6528390" y="784860"/>
          <a:ext cx="468000" cy="26640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>
              <a:solidFill>
                <a:schemeClr val="accent5">
                  <a:lumMod val="75000"/>
                </a:schemeClr>
              </a:solidFill>
            </a:rPr>
            <a:t>JUL</a:t>
          </a:r>
        </a:p>
      </xdr:txBody>
    </xdr:sp>
    <xdr:clientData fPrintsWithSheet="0"/>
  </xdr:twoCellAnchor>
  <xdr:twoCellAnchor editAs="absolute">
    <xdr:from>
      <xdr:col>4</xdr:col>
      <xdr:colOff>1986545</xdr:colOff>
      <xdr:row>8</xdr:row>
      <xdr:rowOff>30480</xdr:rowOff>
    </xdr:from>
    <xdr:to>
      <xdr:col>4</xdr:col>
      <xdr:colOff>2454545</xdr:colOff>
      <xdr:row>8</xdr:row>
      <xdr:rowOff>296880</xdr:rowOff>
    </xdr:to>
    <xdr:sp macro="" textlink="">
      <xdr:nvSpPr>
        <xdr:cNvPr id="15" name="CaixaDeTexto 14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A1C8F48B-EA58-4B7F-AFA2-12314119A32B}"/>
            </a:ext>
          </a:extLst>
        </xdr:cNvPr>
        <xdr:cNvSpPr txBox="1"/>
      </xdr:nvSpPr>
      <xdr:spPr>
        <a:xfrm>
          <a:off x="7030985" y="784860"/>
          <a:ext cx="468000" cy="26640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>
              <a:solidFill>
                <a:schemeClr val="accent5">
                  <a:lumMod val="75000"/>
                </a:schemeClr>
              </a:solidFill>
            </a:rPr>
            <a:t>AGO</a:t>
          </a:r>
        </a:p>
      </xdr:txBody>
    </xdr:sp>
    <xdr:clientData fPrintsWithSheet="0"/>
  </xdr:twoCellAnchor>
  <xdr:twoCellAnchor editAs="absolute">
    <xdr:from>
      <xdr:col>4</xdr:col>
      <xdr:colOff>2489140</xdr:colOff>
      <xdr:row>8</xdr:row>
      <xdr:rowOff>30480</xdr:rowOff>
    </xdr:from>
    <xdr:to>
      <xdr:col>5</xdr:col>
      <xdr:colOff>53920</xdr:colOff>
      <xdr:row>8</xdr:row>
      <xdr:rowOff>296880</xdr:rowOff>
    </xdr:to>
    <xdr:sp macro="" textlink="">
      <xdr:nvSpPr>
        <xdr:cNvPr id="16" name="CaixaDeTexto 15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CDCAA511-B4A6-47CD-A3C9-24E14FB08240}"/>
            </a:ext>
          </a:extLst>
        </xdr:cNvPr>
        <xdr:cNvSpPr txBox="1"/>
      </xdr:nvSpPr>
      <xdr:spPr>
        <a:xfrm>
          <a:off x="7533580" y="784860"/>
          <a:ext cx="468000" cy="26640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>
              <a:solidFill>
                <a:schemeClr val="accent5">
                  <a:lumMod val="75000"/>
                </a:schemeClr>
              </a:solidFill>
            </a:rPr>
            <a:t>SET</a:t>
          </a:r>
        </a:p>
      </xdr:txBody>
    </xdr:sp>
    <xdr:clientData fPrintsWithSheet="0"/>
  </xdr:twoCellAnchor>
  <xdr:twoCellAnchor editAs="absolute">
    <xdr:from>
      <xdr:col>5</xdr:col>
      <xdr:colOff>88515</xdr:colOff>
      <xdr:row>8</xdr:row>
      <xdr:rowOff>30480</xdr:rowOff>
    </xdr:from>
    <xdr:to>
      <xdr:col>5</xdr:col>
      <xdr:colOff>548895</xdr:colOff>
      <xdr:row>8</xdr:row>
      <xdr:rowOff>296880</xdr:rowOff>
    </xdr:to>
    <xdr:sp macro="" textlink="">
      <xdr:nvSpPr>
        <xdr:cNvPr id="17" name="CaixaDeTexto 16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23784F10-400C-4074-9A78-EA99AEC01E1F}"/>
            </a:ext>
          </a:extLst>
        </xdr:cNvPr>
        <xdr:cNvSpPr txBox="1"/>
      </xdr:nvSpPr>
      <xdr:spPr>
        <a:xfrm>
          <a:off x="8036175" y="784860"/>
          <a:ext cx="468000" cy="26640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>
              <a:solidFill>
                <a:schemeClr val="accent5">
                  <a:lumMod val="75000"/>
                </a:schemeClr>
              </a:solidFill>
            </a:rPr>
            <a:t>OUT</a:t>
          </a:r>
        </a:p>
      </xdr:txBody>
    </xdr:sp>
    <xdr:clientData fPrintsWithSheet="0"/>
  </xdr:twoCellAnchor>
  <xdr:twoCellAnchor editAs="absolute">
    <xdr:from>
      <xdr:col>5</xdr:col>
      <xdr:colOff>583490</xdr:colOff>
      <xdr:row>8</xdr:row>
      <xdr:rowOff>30480</xdr:rowOff>
    </xdr:from>
    <xdr:to>
      <xdr:col>5</xdr:col>
      <xdr:colOff>1051490</xdr:colOff>
      <xdr:row>8</xdr:row>
      <xdr:rowOff>296880</xdr:rowOff>
    </xdr:to>
    <xdr:sp macro="" textlink="">
      <xdr:nvSpPr>
        <xdr:cNvPr id="18" name="CaixaDeTexto 17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34482B81-7C65-4481-B8CE-BDB702FDE857}"/>
            </a:ext>
          </a:extLst>
        </xdr:cNvPr>
        <xdr:cNvSpPr txBox="1"/>
      </xdr:nvSpPr>
      <xdr:spPr>
        <a:xfrm>
          <a:off x="8538770" y="784860"/>
          <a:ext cx="468000" cy="26640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>
              <a:solidFill>
                <a:schemeClr val="accent5">
                  <a:lumMod val="75000"/>
                </a:schemeClr>
              </a:solidFill>
            </a:rPr>
            <a:t>NOV</a:t>
          </a:r>
        </a:p>
      </xdr:txBody>
    </xdr:sp>
    <xdr:clientData fPrintsWithSheet="0"/>
  </xdr:twoCellAnchor>
  <xdr:twoCellAnchor editAs="absolute">
    <xdr:from>
      <xdr:col>5</xdr:col>
      <xdr:colOff>1086085</xdr:colOff>
      <xdr:row>8</xdr:row>
      <xdr:rowOff>30480</xdr:rowOff>
    </xdr:from>
    <xdr:to>
      <xdr:col>5</xdr:col>
      <xdr:colOff>1561705</xdr:colOff>
      <xdr:row>8</xdr:row>
      <xdr:rowOff>296880</xdr:rowOff>
    </xdr:to>
    <xdr:sp macro="" textlink="">
      <xdr:nvSpPr>
        <xdr:cNvPr id="19" name="CaixaDeTexto 18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BE4F28A5-CF3B-40C0-97F9-988AA6AB2BEA}"/>
            </a:ext>
          </a:extLst>
        </xdr:cNvPr>
        <xdr:cNvSpPr txBox="1"/>
      </xdr:nvSpPr>
      <xdr:spPr>
        <a:xfrm>
          <a:off x="9041365" y="784860"/>
          <a:ext cx="468000" cy="26640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>
              <a:solidFill>
                <a:schemeClr val="accent5">
                  <a:lumMod val="75000"/>
                </a:schemeClr>
              </a:solidFill>
            </a:rPr>
            <a:t>DEZ</a:t>
          </a:r>
        </a:p>
      </xdr:txBody>
    </xdr:sp>
    <xdr:clientData fPrintsWithSheet="0"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1394460</xdr:colOff>
      <xdr:row>0</xdr:row>
      <xdr:rowOff>0</xdr:rowOff>
    </xdr:from>
    <xdr:ext cx="4937760" cy="571500"/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6E399793-632A-4CFE-BB3A-C29B5589FA09}"/>
            </a:ext>
          </a:extLst>
        </xdr:cNvPr>
        <xdr:cNvSpPr txBox="1"/>
      </xdr:nvSpPr>
      <xdr:spPr>
        <a:xfrm>
          <a:off x="2560320" y="0"/>
          <a:ext cx="4937760" cy="5715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r>
            <a:rPr lang="pt-BR" sz="2400" b="1">
              <a:solidFill>
                <a:schemeClr val="accent5">
                  <a:lumMod val="75000"/>
                </a:schemeClr>
              </a:solidFill>
            </a:rPr>
            <a:t>Controle de Faturamento</a:t>
          </a:r>
          <a:r>
            <a:rPr lang="pt-BR" sz="2400" b="1" baseline="0">
              <a:solidFill>
                <a:schemeClr val="accent5">
                  <a:lumMod val="75000"/>
                </a:schemeClr>
              </a:solidFill>
            </a:rPr>
            <a:t> do MEI</a:t>
          </a:r>
          <a:endParaRPr lang="pt-BR" sz="2400" b="1">
            <a:solidFill>
              <a:schemeClr val="accent5">
                <a:lumMod val="75000"/>
              </a:schemeClr>
            </a:solidFill>
          </a:endParaRPr>
        </a:p>
      </xdr:txBody>
    </xdr:sp>
    <xdr:clientData/>
  </xdr:oneCellAnchor>
  <xdr:twoCellAnchor editAs="absolute">
    <xdr:from>
      <xdr:col>1</xdr:col>
      <xdr:colOff>205740</xdr:colOff>
      <xdr:row>0</xdr:row>
      <xdr:rowOff>0</xdr:rowOff>
    </xdr:from>
    <xdr:to>
      <xdr:col>2</xdr:col>
      <xdr:colOff>1114801</xdr:colOff>
      <xdr:row>3</xdr:row>
      <xdr:rowOff>9360</xdr:rowOff>
    </xdr:to>
    <xdr:pic>
      <xdr:nvPicPr>
        <xdr:cNvPr id="3" name="Imagem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2D91CDF-6A9A-42F5-B3FB-4B21F44D36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7660" y="0"/>
          <a:ext cx="1953001" cy="55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60960</xdr:colOff>
      <xdr:row>8</xdr:row>
      <xdr:rowOff>30480</xdr:rowOff>
    </xdr:from>
    <xdr:to>
      <xdr:col>1</xdr:col>
      <xdr:colOff>492960</xdr:colOff>
      <xdr:row>8</xdr:row>
      <xdr:rowOff>296880</xdr:rowOff>
    </xdr:to>
    <xdr:sp macro="" textlink="">
      <xdr:nvSpPr>
        <xdr:cNvPr id="4" name="Seta: para a Direita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9F30406-66C3-4FAF-A022-3B5587D23D52}"/>
            </a:ext>
          </a:extLst>
        </xdr:cNvPr>
        <xdr:cNvSpPr/>
      </xdr:nvSpPr>
      <xdr:spPr>
        <a:xfrm flipH="1">
          <a:off x="182880" y="784860"/>
          <a:ext cx="432000" cy="266400"/>
        </a:xfrm>
        <a:prstGeom prst="rightArrow">
          <a:avLst/>
        </a:prstGeom>
        <a:solidFill>
          <a:schemeClr val="accent5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 fPrintsWithSheet="0"/>
  </xdr:twoCellAnchor>
  <xdr:twoCellAnchor editAs="absolute">
    <xdr:from>
      <xdr:col>1</xdr:col>
      <xdr:colOff>632460</xdr:colOff>
      <xdr:row>8</xdr:row>
      <xdr:rowOff>30480</xdr:rowOff>
    </xdr:from>
    <xdr:to>
      <xdr:col>2</xdr:col>
      <xdr:colOff>920520</xdr:colOff>
      <xdr:row>8</xdr:row>
      <xdr:rowOff>295040</xdr:rowOff>
    </xdr:to>
    <xdr:sp macro="" textlink="">
      <xdr:nvSpPr>
        <xdr:cNvPr id="5" name="CaixaDeTexto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F5B0677A-8BEF-4720-B477-4854D798B4C7}"/>
            </a:ext>
          </a:extLst>
        </xdr:cNvPr>
        <xdr:cNvSpPr txBox="1"/>
      </xdr:nvSpPr>
      <xdr:spPr>
        <a:xfrm>
          <a:off x="754380" y="784860"/>
          <a:ext cx="1332000" cy="26456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3175">
          <a:solidFill>
            <a:schemeClr val="bg1">
              <a:lumMod val="9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pt-BR" sz="1100" b="0">
              <a:solidFill>
                <a:schemeClr val="accent5">
                  <a:lumMod val="75000"/>
                </a:schemeClr>
              </a:solidFill>
            </a:rPr>
            <a:t>Relatório</a:t>
          </a:r>
          <a:r>
            <a:rPr lang="pt-BR" sz="1100" b="0" baseline="0">
              <a:solidFill>
                <a:schemeClr val="accent5">
                  <a:lumMod val="75000"/>
                </a:schemeClr>
              </a:solidFill>
            </a:rPr>
            <a:t> Geral</a:t>
          </a:r>
          <a:endParaRPr lang="pt-BR" sz="1100" b="0">
            <a:solidFill>
              <a:schemeClr val="accent5">
                <a:lumMod val="75000"/>
              </a:schemeClr>
            </a:solidFill>
          </a:endParaRPr>
        </a:p>
      </xdr:txBody>
    </xdr:sp>
    <xdr:clientData fPrintsWithSheet="0"/>
  </xdr:twoCellAnchor>
  <xdr:twoCellAnchor editAs="absolute">
    <xdr:from>
      <xdr:col>2</xdr:col>
      <xdr:colOff>975360</xdr:colOff>
      <xdr:row>8</xdr:row>
      <xdr:rowOff>30480</xdr:rowOff>
    </xdr:from>
    <xdr:to>
      <xdr:col>2</xdr:col>
      <xdr:colOff>2307360</xdr:colOff>
      <xdr:row>8</xdr:row>
      <xdr:rowOff>295040</xdr:rowOff>
    </xdr:to>
    <xdr:sp macro="[0]!Imprimir" textlink="">
      <xdr:nvSpPr>
        <xdr:cNvPr id="6" name="CaixaDeTexto 5">
          <a:extLst>
            <a:ext uri="{FF2B5EF4-FFF2-40B4-BE49-F238E27FC236}">
              <a16:creationId xmlns:a16="http://schemas.microsoft.com/office/drawing/2014/main" id="{897EB31C-BBBB-42FE-B272-6C53AFBFB16B}"/>
            </a:ext>
          </a:extLst>
        </xdr:cNvPr>
        <xdr:cNvSpPr txBox="1"/>
      </xdr:nvSpPr>
      <xdr:spPr>
        <a:xfrm>
          <a:off x="2141220" y="784860"/>
          <a:ext cx="1332000" cy="26456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3175">
          <a:solidFill>
            <a:schemeClr val="bg1">
              <a:lumMod val="9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pt-BR" sz="1100" b="0">
              <a:solidFill>
                <a:schemeClr val="accent5">
                  <a:lumMod val="75000"/>
                </a:schemeClr>
              </a:solidFill>
            </a:rPr>
            <a:t>Imprimir</a:t>
          </a:r>
        </a:p>
      </xdr:txBody>
    </xdr:sp>
    <xdr:clientData fPrintsWithSheet="0"/>
  </xdr:twoCellAnchor>
  <xdr:oneCellAnchor>
    <xdr:from>
      <xdr:col>6</xdr:col>
      <xdr:colOff>792480</xdr:colOff>
      <xdr:row>8</xdr:row>
      <xdr:rowOff>45720</xdr:rowOff>
    </xdr:from>
    <xdr:ext cx="2463389" cy="311496"/>
    <xdr:sp macro="" textlink="">
      <xdr:nvSpPr>
        <xdr:cNvPr id="7" name="CaixaDeTexto 6">
          <a:extLst>
            <a:ext uri="{FF2B5EF4-FFF2-40B4-BE49-F238E27FC236}">
              <a16:creationId xmlns:a16="http://schemas.microsoft.com/office/drawing/2014/main" id="{FAF8B7A2-7389-4CEE-B01E-AF7E3FD15BD7}"/>
            </a:ext>
          </a:extLst>
        </xdr:cNvPr>
        <xdr:cNvSpPr txBox="1"/>
      </xdr:nvSpPr>
      <xdr:spPr>
        <a:xfrm>
          <a:off x="10507980" y="800100"/>
          <a:ext cx="2463389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pt-BR" sz="1400">
              <a:solidFill>
                <a:schemeClr val="accent5">
                  <a:lumMod val="50000"/>
                </a:schemeClr>
              </a:solidFill>
            </a:rPr>
            <a:t>Total de Vendas em </a:t>
          </a:r>
          <a:r>
            <a:rPr lang="pt-BR" sz="1400" b="1">
              <a:solidFill>
                <a:schemeClr val="accent5">
                  <a:lumMod val="50000"/>
                </a:schemeClr>
              </a:solidFill>
            </a:rPr>
            <a:t>Abril</a:t>
          </a:r>
          <a:r>
            <a:rPr lang="pt-BR" sz="1400">
              <a:solidFill>
                <a:schemeClr val="accent5">
                  <a:lumMod val="50000"/>
                </a:schemeClr>
              </a:solidFill>
            </a:rPr>
            <a:t>:</a:t>
          </a:r>
        </a:p>
      </xdr:txBody>
    </xdr:sp>
    <xdr:clientData/>
  </xdr:oneCellAnchor>
  <xdr:twoCellAnchor editAs="absolute">
    <xdr:from>
      <xdr:col>2</xdr:col>
      <xdr:colOff>2346960</xdr:colOff>
      <xdr:row>8</xdr:row>
      <xdr:rowOff>30480</xdr:rowOff>
    </xdr:from>
    <xdr:to>
      <xdr:col>3</xdr:col>
      <xdr:colOff>353700</xdr:colOff>
      <xdr:row>8</xdr:row>
      <xdr:rowOff>296880</xdr:rowOff>
    </xdr:to>
    <xdr:sp macro="" textlink="">
      <xdr:nvSpPr>
        <xdr:cNvPr id="8" name="CaixaDeTexto 7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3F6349E1-DE53-4ADD-BFF6-9C0A4F9DD617}"/>
            </a:ext>
          </a:extLst>
        </xdr:cNvPr>
        <xdr:cNvSpPr txBox="1"/>
      </xdr:nvSpPr>
      <xdr:spPr>
        <a:xfrm>
          <a:off x="3512820" y="784860"/>
          <a:ext cx="468000" cy="26640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 b="0">
              <a:solidFill>
                <a:schemeClr val="accent5">
                  <a:lumMod val="75000"/>
                </a:schemeClr>
              </a:solidFill>
            </a:rPr>
            <a:t>JAN</a:t>
          </a:r>
        </a:p>
      </xdr:txBody>
    </xdr:sp>
    <xdr:clientData fPrintsWithSheet="0"/>
  </xdr:twoCellAnchor>
  <xdr:twoCellAnchor editAs="absolute">
    <xdr:from>
      <xdr:col>3</xdr:col>
      <xdr:colOff>388295</xdr:colOff>
      <xdr:row>8</xdr:row>
      <xdr:rowOff>30480</xdr:rowOff>
    </xdr:from>
    <xdr:to>
      <xdr:col>3</xdr:col>
      <xdr:colOff>856295</xdr:colOff>
      <xdr:row>8</xdr:row>
      <xdr:rowOff>296880</xdr:rowOff>
    </xdr:to>
    <xdr:sp macro="" textlink="">
      <xdr:nvSpPr>
        <xdr:cNvPr id="9" name="CaixaDeTexto 8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EDB30DF9-625A-49D7-BE45-69356313AD59}"/>
            </a:ext>
          </a:extLst>
        </xdr:cNvPr>
        <xdr:cNvSpPr txBox="1"/>
      </xdr:nvSpPr>
      <xdr:spPr>
        <a:xfrm>
          <a:off x="4015415" y="784860"/>
          <a:ext cx="468000" cy="26640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>
              <a:solidFill>
                <a:schemeClr val="accent5">
                  <a:lumMod val="75000"/>
                </a:schemeClr>
              </a:solidFill>
            </a:rPr>
            <a:t>FEV</a:t>
          </a:r>
        </a:p>
      </xdr:txBody>
    </xdr:sp>
    <xdr:clientData fPrintsWithSheet="0"/>
  </xdr:twoCellAnchor>
  <xdr:twoCellAnchor editAs="absolute">
    <xdr:from>
      <xdr:col>3</xdr:col>
      <xdr:colOff>890890</xdr:colOff>
      <xdr:row>8</xdr:row>
      <xdr:rowOff>30480</xdr:rowOff>
    </xdr:from>
    <xdr:to>
      <xdr:col>3</xdr:col>
      <xdr:colOff>1358890</xdr:colOff>
      <xdr:row>8</xdr:row>
      <xdr:rowOff>296880</xdr:rowOff>
    </xdr:to>
    <xdr:sp macro="" textlink="">
      <xdr:nvSpPr>
        <xdr:cNvPr id="10" name="CaixaDeTexto 9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DA484C17-0E26-4AAD-9DA4-CA88C3E89743}"/>
            </a:ext>
          </a:extLst>
        </xdr:cNvPr>
        <xdr:cNvSpPr txBox="1"/>
      </xdr:nvSpPr>
      <xdr:spPr>
        <a:xfrm>
          <a:off x="4518010" y="784860"/>
          <a:ext cx="468000" cy="26640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>
              <a:solidFill>
                <a:schemeClr val="accent5">
                  <a:lumMod val="75000"/>
                </a:schemeClr>
              </a:solidFill>
            </a:rPr>
            <a:t>MAR</a:t>
          </a:r>
        </a:p>
      </xdr:txBody>
    </xdr:sp>
    <xdr:clientData fPrintsWithSheet="0"/>
  </xdr:twoCellAnchor>
  <xdr:twoCellAnchor editAs="absolute">
    <xdr:from>
      <xdr:col>4</xdr:col>
      <xdr:colOff>2835</xdr:colOff>
      <xdr:row>8</xdr:row>
      <xdr:rowOff>30480</xdr:rowOff>
    </xdr:from>
    <xdr:to>
      <xdr:col>4</xdr:col>
      <xdr:colOff>436545</xdr:colOff>
      <xdr:row>8</xdr:row>
      <xdr:rowOff>296880</xdr:rowOff>
    </xdr:to>
    <xdr:sp macro="" textlink="">
      <xdr:nvSpPr>
        <xdr:cNvPr id="11" name="CaixaDeTexto 10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461FA9DE-025B-4855-B69B-A7EE0B1A1D60}"/>
            </a:ext>
          </a:extLst>
        </xdr:cNvPr>
        <xdr:cNvSpPr txBox="1"/>
      </xdr:nvSpPr>
      <xdr:spPr>
        <a:xfrm>
          <a:off x="5020605" y="784860"/>
          <a:ext cx="468000" cy="266400"/>
        </a:xfrm>
        <a:prstGeom prst="rect">
          <a:avLst/>
        </a:prstGeom>
        <a:solidFill>
          <a:schemeClr val="accent2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>
              <a:solidFill>
                <a:schemeClr val="bg1"/>
              </a:solidFill>
            </a:rPr>
            <a:t>ABR</a:t>
          </a:r>
        </a:p>
      </xdr:txBody>
    </xdr:sp>
    <xdr:clientData fPrintsWithSheet="0"/>
  </xdr:twoCellAnchor>
  <xdr:twoCellAnchor editAs="absolute">
    <xdr:from>
      <xdr:col>4</xdr:col>
      <xdr:colOff>471140</xdr:colOff>
      <xdr:row>8</xdr:row>
      <xdr:rowOff>30480</xdr:rowOff>
    </xdr:from>
    <xdr:to>
      <xdr:col>4</xdr:col>
      <xdr:colOff>939140</xdr:colOff>
      <xdr:row>8</xdr:row>
      <xdr:rowOff>296880</xdr:rowOff>
    </xdr:to>
    <xdr:sp macro="" textlink="">
      <xdr:nvSpPr>
        <xdr:cNvPr id="12" name="CaixaDeTexto 11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4D155B05-4E66-41B0-BCFD-C10A53D07998}"/>
            </a:ext>
          </a:extLst>
        </xdr:cNvPr>
        <xdr:cNvSpPr txBox="1"/>
      </xdr:nvSpPr>
      <xdr:spPr>
        <a:xfrm>
          <a:off x="5523200" y="784860"/>
          <a:ext cx="468000" cy="26640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>
              <a:solidFill>
                <a:schemeClr val="accent5">
                  <a:lumMod val="75000"/>
                </a:schemeClr>
              </a:solidFill>
            </a:rPr>
            <a:t>MAI</a:t>
          </a:r>
        </a:p>
      </xdr:txBody>
    </xdr:sp>
    <xdr:clientData fPrintsWithSheet="0"/>
  </xdr:twoCellAnchor>
  <xdr:twoCellAnchor editAs="absolute">
    <xdr:from>
      <xdr:col>4</xdr:col>
      <xdr:colOff>973735</xdr:colOff>
      <xdr:row>8</xdr:row>
      <xdr:rowOff>30480</xdr:rowOff>
    </xdr:from>
    <xdr:to>
      <xdr:col>4</xdr:col>
      <xdr:colOff>1441735</xdr:colOff>
      <xdr:row>8</xdr:row>
      <xdr:rowOff>296880</xdr:rowOff>
    </xdr:to>
    <xdr:sp macro="" textlink="">
      <xdr:nvSpPr>
        <xdr:cNvPr id="13" name="CaixaDeTexto 12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E31384EF-EF18-4997-939A-7F1FE0CC8470}"/>
            </a:ext>
          </a:extLst>
        </xdr:cNvPr>
        <xdr:cNvSpPr txBox="1"/>
      </xdr:nvSpPr>
      <xdr:spPr>
        <a:xfrm>
          <a:off x="6025795" y="784860"/>
          <a:ext cx="468000" cy="26640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>
              <a:solidFill>
                <a:schemeClr val="accent5">
                  <a:lumMod val="75000"/>
                </a:schemeClr>
              </a:solidFill>
            </a:rPr>
            <a:t>JUN</a:t>
          </a:r>
        </a:p>
      </xdr:txBody>
    </xdr:sp>
    <xdr:clientData fPrintsWithSheet="0"/>
  </xdr:twoCellAnchor>
  <xdr:twoCellAnchor editAs="absolute">
    <xdr:from>
      <xdr:col>4</xdr:col>
      <xdr:colOff>1483950</xdr:colOff>
      <xdr:row>8</xdr:row>
      <xdr:rowOff>30480</xdr:rowOff>
    </xdr:from>
    <xdr:to>
      <xdr:col>4</xdr:col>
      <xdr:colOff>1951950</xdr:colOff>
      <xdr:row>8</xdr:row>
      <xdr:rowOff>296880</xdr:rowOff>
    </xdr:to>
    <xdr:sp macro="" textlink="">
      <xdr:nvSpPr>
        <xdr:cNvPr id="14" name="CaixaDeTexto 13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43CE96B5-486C-4C5E-806D-D8B2DB5DCDD1}"/>
            </a:ext>
          </a:extLst>
        </xdr:cNvPr>
        <xdr:cNvSpPr txBox="1"/>
      </xdr:nvSpPr>
      <xdr:spPr>
        <a:xfrm>
          <a:off x="6528390" y="784860"/>
          <a:ext cx="468000" cy="26640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>
              <a:solidFill>
                <a:schemeClr val="accent5">
                  <a:lumMod val="75000"/>
                </a:schemeClr>
              </a:solidFill>
            </a:rPr>
            <a:t>JUL</a:t>
          </a:r>
        </a:p>
      </xdr:txBody>
    </xdr:sp>
    <xdr:clientData fPrintsWithSheet="0"/>
  </xdr:twoCellAnchor>
  <xdr:twoCellAnchor editAs="absolute">
    <xdr:from>
      <xdr:col>4</xdr:col>
      <xdr:colOff>1986545</xdr:colOff>
      <xdr:row>8</xdr:row>
      <xdr:rowOff>30480</xdr:rowOff>
    </xdr:from>
    <xdr:to>
      <xdr:col>4</xdr:col>
      <xdr:colOff>2454545</xdr:colOff>
      <xdr:row>8</xdr:row>
      <xdr:rowOff>296880</xdr:rowOff>
    </xdr:to>
    <xdr:sp macro="" textlink="">
      <xdr:nvSpPr>
        <xdr:cNvPr id="15" name="CaixaDeTexto 14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9B925BB4-98E1-43D1-9A43-96FDD0CFE14C}"/>
            </a:ext>
          </a:extLst>
        </xdr:cNvPr>
        <xdr:cNvSpPr txBox="1"/>
      </xdr:nvSpPr>
      <xdr:spPr>
        <a:xfrm>
          <a:off x="7030985" y="784860"/>
          <a:ext cx="468000" cy="26640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>
              <a:solidFill>
                <a:schemeClr val="accent5">
                  <a:lumMod val="75000"/>
                </a:schemeClr>
              </a:solidFill>
            </a:rPr>
            <a:t>AGO</a:t>
          </a:r>
        </a:p>
      </xdr:txBody>
    </xdr:sp>
    <xdr:clientData fPrintsWithSheet="0"/>
  </xdr:twoCellAnchor>
  <xdr:twoCellAnchor editAs="absolute">
    <xdr:from>
      <xdr:col>4</xdr:col>
      <xdr:colOff>2489140</xdr:colOff>
      <xdr:row>8</xdr:row>
      <xdr:rowOff>30480</xdr:rowOff>
    </xdr:from>
    <xdr:to>
      <xdr:col>5</xdr:col>
      <xdr:colOff>53920</xdr:colOff>
      <xdr:row>8</xdr:row>
      <xdr:rowOff>296880</xdr:rowOff>
    </xdr:to>
    <xdr:sp macro="" textlink="">
      <xdr:nvSpPr>
        <xdr:cNvPr id="16" name="CaixaDeTexto 15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F4394C65-26A2-48D7-9A4D-3E85A18AE3BB}"/>
            </a:ext>
          </a:extLst>
        </xdr:cNvPr>
        <xdr:cNvSpPr txBox="1"/>
      </xdr:nvSpPr>
      <xdr:spPr>
        <a:xfrm>
          <a:off x="7533580" y="784860"/>
          <a:ext cx="468000" cy="26640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>
              <a:solidFill>
                <a:schemeClr val="accent5">
                  <a:lumMod val="75000"/>
                </a:schemeClr>
              </a:solidFill>
            </a:rPr>
            <a:t>SET</a:t>
          </a:r>
        </a:p>
      </xdr:txBody>
    </xdr:sp>
    <xdr:clientData fPrintsWithSheet="0"/>
  </xdr:twoCellAnchor>
  <xdr:twoCellAnchor editAs="absolute">
    <xdr:from>
      <xdr:col>5</xdr:col>
      <xdr:colOff>88515</xdr:colOff>
      <xdr:row>8</xdr:row>
      <xdr:rowOff>30480</xdr:rowOff>
    </xdr:from>
    <xdr:to>
      <xdr:col>5</xdr:col>
      <xdr:colOff>548895</xdr:colOff>
      <xdr:row>8</xdr:row>
      <xdr:rowOff>296880</xdr:rowOff>
    </xdr:to>
    <xdr:sp macro="" textlink="">
      <xdr:nvSpPr>
        <xdr:cNvPr id="17" name="CaixaDeTexto 16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0008C9AD-ADB0-4153-A624-85FE0D006B6A}"/>
            </a:ext>
          </a:extLst>
        </xdr:cNvPr>
        <xdr:cNvSpPr txBox="1"/>
      </xdr:nvSpPr>
      <xdr:spPr>
        <a:xfrm>
          <a:off x="8036175" y="784860"/>
          <a:ext cx="468000" cy="26640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>
              <a:solidFill>
                <a:schemeClr val="accent5">
                  <a:lumMod val="75000"/>
                </a:schemeClr>
              </a:solidFill>
            </a:rPr>
            <a:t>OUT</a:t>
          </a:r>
        </a:p>
      </xdr:txBody>
    </xdr:sp>
    <xdr:clientData fPrintsWithSheet="0"/>
  </xdr:twoCellAnchor>
  <xdr:twoCellAnchor editAs="absolute">
    <xdr:from>
      <xdr:col>5</xdr:col>
      <xdr:colOff>583490</xdr:colOff>
      <xdr:row>8</xdr:row>
      <xdr:rowOff>30480</xdr:rowOff>
    </xdr:from>
    <xdr:to>
      <xdr:col>5</xdr:col>
      <xdr:colOff>1051490</xdr:colOff>
      <xdr:row>8</xdr:row>
      <xdr:rowOff>296880</xdr:rowOff>
    </xdr:to>
    <xdr:sp macro="" textlink="">
      <xdr:nvSpPr>
        <xdr:cNvPr id="18" name="CaixaDeTexto 17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FAA8356B-368C-4294-839E-D61AC2FFEB7E}"/>
            </a:ext>
          </a:extLst>
        </xdr:cNvPr>
        <xdr:cNvSpPr txBox="1"/>
      </xdr:nvSpPr>
      <xdr:spPr>
        <a:xfrm>
          <a:off x="8538770" y="784860"/>
          <a:ext cx="468000" cy="26640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>
              <a:solidFill>
                <a:schemeClr val="accent5">
                  <a:lumMod val="75000"/>
                </a:schemeClr>
              </a:solidFill>
            </a:rPr>
            <a:t>NOV</a:t>
          </a:r>
        </a:p>
      </xdr:txBody>
    </xdr:sp>
    <xdr:clientData fPrintsWithSheet="0"/>
  </xdr:twoCellAnchor>
  <xdr:twoCellAnchor editAs="absolute">
    <xdr:from>
      <xdr:col>5</xdr:col>
      <xdr:colOff>1086085</xdr:colOff>
      <xdr:row>8</xdr:row>
      <xdr:rowOff>30480</xdr:rowOff>
    </xdr:from>
    <xdr:to>
      <xdr:col>5</xdr:col>
      <xdr:colOff>1561705</xdr:colOff>
      <xdr:row>8</xdr:row>
      <xdr:rowOff>296880</xdr:rowOff>
    </xdr:to>
    <xdr:sp macro="" textlink="">
      <xdr:nvSpPr>
        <xdr:cNvPr id="19" name="CaixaDeTexto 18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8873572E-FAE1-4540-A2A7-17C3A474EE64}"/>
            </a:ext>
          </a:extLst>
        </xdr:cNvPr>
        <xdr:cNvSpPr txBox="1"/>
      </xdr:nvSpPr>
      <xdr:spPr>
        <a:xfrm>
          <a:off x="9041365" y="784860"/>
          <a:ext cx="468000" cy="26640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>
              <a:solidFill>
                <a:schemeClr val="accent5">
                  <a:lumMod val="75000"/>
                </a:schemeClr>
              </a:solidFill>
            </a:rPr>
            <a:t>DEZ</a:t>
          </a:r>
        </a:p>
      </xdr:txBody>
    </xdr:sp>
    <xdr:clientData fPrintsWithSheet="0"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1394460</xdr:colOff>
      <xdr:row>0</xdr:row>
      <xdr:rowOff>0</xdr:rowOff>
    </xdr:from>
    <xdr:ext cx="4937760" cy="571500"/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7FE828F9-B6EF-482C-84A0-E4342BCDC1BC}"/>
            </a:ext>
          </a:extLst>
        </xdr:cNvPr>
        <xdr:cNvSpPr txBox="1"/>
      </xdr:nvSpPr>
      <xdr:spPr>
        <a:xfrm>
          <a:off x="2560320" y="0"/>
          <a:ext cx="4937760" cy="5715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r>
            <a:rPr lang="pt-BR" sz="2400" b="1">
              <a:solidFill>
                <a:schemeClr val="accent5">
                  <a:lumMod val="75000"/>
                </a:schemeClr>
              </a:solidFill>
            </a:rPr>
            <a:t>Controle de Faturamento</a:t>
          </a:r>
          <a:r>
            <a:rPr lang="pt-BR" sz="2400" b="1" baseline="0">
              <a:solidFill>
                <a:schemeClr val="accent5">
                  <a:lumMod val="75000"/>
                </a:schemeClr>
              </a:solidFill>
            </a:rPr>
            <a:t> do MEI</a:t>
          </a:r>
          <a:endParaRPr lang="pt-BR" sz="2400" b="1">
            <a:solidFill>
              <a:schemeClr val="accent5">
                <a:lumMod val="75000"/>
              </a:schemeClr>
            </a:solidFill>
          </a:endParaRPr>
        </a:p>
      </xdr:txBody>
    </xdr:sp>
    <xdr:clientData/>
  </xdr:oneCellAnchor>
  <xdr:twoCellAnchor editAs="absolute">
    <xdr:from>
      <xdr:col>1</xdr:col>
      <xdr:colOff>205740</xdr:colOff>
      <xdr:row>0</xdr:row>
      <xdr:rowOff>0</xdr:rowOff>
    </xdr:from>
    <xdr:to>
      <xdr:col>2</xdr:col>
      <xdr:colOff>1114801</xdr:colOff>
      <xdr:row>3</xdr:row>
      <xdr:rowOff>9360</xdr:rowOff>
    </xdr:to>
    <xdr:pic>
      <xdr:nvPicPr>
        <xdr:cNvPr id="3" name="Imagem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FC9B015-31F7-4CE0-AEDE-2EBBC2E76B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7660" y="0"/>
          <a:ext cx="1953001" cy="55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60960</xdr:colOff>
      <xdr:row>8</xdr:row>
      <xdr:rowOff>30480</xdr:rowOff>
    </xdr:from>
    <xdr:to>
      <xdr:col>1</xdr:col>
      <xdr:colOff>492960</xdr:colOff>
      <xdr:row>8</xdr:row>
      <xdr:rowOff>296880</xdr:rowOff>
    </xdr:to>
    <xdr:sp macro="" textlink="">
      <xdr:nvSpPr>
        <xdr:cNvPr id="4" name="Seta: para a Direita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BDC0064-3725-4C58-AF6A-F4876F18B843}"/>
            </a:ext>
          </a:extLst>
        </xdr:cNvPr>
        <xdr:cNvSpPr/>
      </xdr:nvSpPr>
      <xdr:spPr>
        <a:xfrm flipH="1">
          <a:off x="182880" y="784860"/>
          <a:ext cx="432000" cy="266400"/>
        </a:xfrm>
        <a:prstGeom prst="rightArrow">
          <a:avLst/>
        </a:prstGeom>
        <a:solidFill>
          <a:schemeClr val="accent5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 fPrintsWithSheet="0"/>
  </xdr:twoCellAnchor>
  <xdr:twoCellAnchor editAs="absolute">
    <xdr:from>
      <xdr:col>1</xdr:col>
      <xdr:colOff>632460</xdr:colOff>
      <xdr:row>8</xdr:row>
      <xdr:rowOff>30480</xdr:rowOff>
    </xdr:from>
    <xdr:to>
      <xdr:col>2</xdr:col>
      <xdr:colOff>920520</xdr:colOff>
      <xdr:row>8</xdr:row>
      <xdr:rowOff>295040</xdr:rowOff>
    </xdr:to>
    <xdr:sp macro="" textlink="">
      <xdr:nvSpPr>
        <xdr:cNvPr id="5" name="CaixaDeTexto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3B72F046-382F-4CA4-95FD-2068EEC2E84B}"/>
            </a:ext>
          </a:extLst>
        </xdr:cNvPr>
        <xdr:cNvSpPr txBox="1"/>
      </xdr:nvSpPr>
      <xdr:spPr>
        <a:xfrm>
          <a:off x="754380" y="784860"/>
          <a:ext cx="1332000" cy="26456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3175">
          <a:solidFill>
            <a:schemeClr val="bg1">
              <a:lumMod val="9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pt-BR" sz="1100" b="0">
              <a:solidFill>
                <a:schemeClr val="accent5">
                  <a:lumMod val="75000"/>
                </a:schemeClr>
              </a:solidFill>
            </a:rPr>
            <a:t>Relatório</a:t>
          </a:r>
          <a:r>
            <a:rPr lang="pt-BR" sz="1100" b="0" baseline="0">
              <a:solidFill>
                <a:schemeClr val="accent5">
                  <a:lumMod val="75000"/>
                </a:schemeClr>
              </a:solidFill>
            </a:rPr>
            <a:t> Geral</a:t>
          </a:r>
          <a:endParaRPr lang="pt-BR" sz="1100" b="0">
            <a:solidFill>
              <a:schemeClr val="accent5">
                <a:lumMod val="75000"/>
              </a:schemeClr>
            </a:solidFill>
          </a:endParaRPr>
        </a:p>
      </xdr:txBody>
    </xdr:sp>
    <xdr:clientData fPrintsWithSheet="0"/>
  </xdr:twoCellAnchor>
  <xdr:twoCellAnchor editAs="absolute">
    <xdr:from>
      <xdr:col>2</xdr:col>
      <xdr:colOff>975360</xdr:colOff>
      <xdr:row>8</xdr:row>
      <xdr:rowOff>30480</xdr:rowOff>
    </xdr:from>
    <xdr:to>
      <xdr:col>2</xdr:col>
      <xdr:colOff>2307360</xdr:colOff>
      <xdr:row>8</xdr:row>
      <xdr:rowOff>295040</xdr:rowOff>
    </xdr:to>
    <xdr:sp macro="[0]!Imprimir" textlink="">
      <xdr:nvSpPr>
        <xdr:cNvPr id="6" name="CaixaDeTexto 5">
          <a:extLst>
            <a:ext uri="{FF2B5EF4-FFF2-40B4-BE49-F238E27FC236}">
              <a16:creationId xmlns:a16="http://schemas.microsoft.com/office/drawing/2014/main" id="{BB702F98-0461-4F2F-A3BA-1F33E40B10C3}"/>
            </a:ext>
          </a:extLst>
        </xdr:cNvPr>
        <xdr:cNvSpPr txBox="1"/>
      </xdr:nvSpPr>
      <xdr:spPr>
        <a:xfrm>
          <a:off x="2141220" y="784860"/>
          <a:ext cx="1332000" cy="26456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3175">
          <a:solidFill>
            <a:schemeClr val="bg1">
              <a:lumMod val="9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pt-BR" sz="1100" b="0">
              <a:solidFill>
                <a:schemeClr val="accent5">
                  <a:lumMod val="75000"/>
                </a:schemeClr>
              </a:solidFill>
            </a:rPr>
            <a:t>Imprimir</a:t>
          </a:r>
        </a:p>
      </xdr:txBody>
    </xdr:sp>
    <xdr:clientData fPrintsWithSheet="0"/>
  </xdr:twoCellAnchor>
  <xdr:oneCellAnchor>
    <xdr:from>
      <xdr:col>6</xdr:col>
      <xdr:colOff>777240</xdr:colOff>
      <xdr:row>8</xdr:row>
      <xdr:rowOff>38100</xdr:rowOff>
    </xdr:from>
    <xdr:ext cx="2463389" cy="311496"/>
    <xdr:sp macro="" textlink="">
      <xdr:nvSpPr>
        <xdr:cNvPr id="7" name="CaixaDeTexto 6">
          <a:extLst>
            <a:ext uri="{FF2B5EF4-FFF2-40B4-BE49-F238E27FC236}">
              <a16:creationId xmlns:a16="http://schemas.microsoft.com/office/drawing/2014/main" id="{1DD1AA98-3A81-4EB1-8CCC-CD627977A209}"/>
            </a:ext>
          </a:extLst>
        </xdr:cNvPr>
        <xdr:cNvSpPr txBox="1"/>
      </xdr:nvSpPr>
      <xdr:spPr>
        <a:xfrm>
          <a:off x="10492740" y="792480"/>
          <a:ext cx="2463389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pt-BR" sz="1400">
              <a:solidFill>
                <a:schemeClr val="accent5">
                  <a:lumMod val="50000"/>
                </a:schemeClr>
              </a:solidFill>
            </a:rPr>
            <a:t>Total de Vendas em </a:t>
          </a:r>
          <a:r>
            <a:rPr lang="pt-BR" sz="1400" b="1">
              <a:solidFill>
                <a:schemeClr val="accent5">
                  <a:lumMod val="50000"/>
                </a:schemeClr>
              </a:solidFill>
            </a:rPr>
            <a:t>Maio</a:t>
          </a:r>
          <a:r>
            <a:rPr lang="pt-BR" sz="1400">
              <a:solidFill>
                <a:schemeClr val="accent5">
                  <a:lumMod val="50000"/>
                </a:schemeClr>
              </a:solidFill>
            </a:rPr>
            <a:t>:</a:t>
          </a:r>
        </a:p>
      </xdr:txBody>
    </xdr:sp>
    <xdr:clientData/>
  </xdr:oneCellAnchor>
  <xdr:twoCellAnchor editAs="absolute">
    <xdr:from>
      <xdr:col>2</xdr:col>
      <xdr:colOff>2346960</xdr:colOff>
      <xdr:row>8</xdr:row>
      <xdr:rowOff>30480</xdr:rowOff>
    </xdr:from>
    <xdr:to>
      <xdr:col>3</xdr:col>
      <xdr:colOff>353700</xdr:colOff>
      <xdr:row>8</xdr:row>
      <xdr:rowOff>296880</xdr:rowOff>
    </xdr:to>
    <xdr:sp macro="" textlink="">
      <xdr:nvSpPr>
        <xdr:cNvPr id="8" name="CaixaDeTexto 7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66061C31-549E-4D4D-AEBB-8A5530F67733}"/>
            </a:ext>
          </a:extLst>
        </xdr:cNvPr>
        <xdr:cNvSpPr txBox="1"/>
      </xdr:nvSpPr>
      <xdr:spPr>
        <a:xfrm>
          <a:off x="3512820" y="784860"/>
          <a:ext cx="468000" cy="26640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 b="0">
              <a:solidFill>
                <a:schemeClr val="accent5">
                  <a:lumMod val="75000"/>
                </a:schemeClr>
              </a:solidFill>
            </a:rPr>
            <a:t>JAN</a:t>
          </a:r>
        </a:p>
      </xdr:txBody>
    </xdr:sp>
    <xdr:clientData fPrintsWithSheet="0"/>
  </xdr:twoCellAnchor>
  <xdr:twoCellAnchor editAs="absolute">
    <xdr:from>
      <xdr:col>3</xdr:col>
      <xdr:colOff>388295</xdr:colOff>
      <xdr:row>8</xdr:row>
      <xdr:rowOff>30480</xdr:rowOff>
    </xdr:from>
    <xdr:to>
      <xdr:col>3</xdr:col>
      <xdr:colOff>856295</xdr:colOff>
      <xdr:row>8</xdr:row>
      <xdr:rowOff>296880</xdr:rowOff>
    </xdr:to>
    <xdr:sp macro="" textlink="">
      <xdr:nvSpPr>
        <xdr:cNvPr id="9" name="CaixaDeTexto 8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1FD48F88-3DC7-4B7B-BB1D-62B85B4735EE}"/>
            </a:ext>
          </a:extLst>
        </xdr:cNvPr>
        <xdr:cNvSpPr txBox="1"/>
      </xdr:nvSpPr>
      <xdr:spPr>
        <a:xfrm>
          <a:off x="4015415" y="784860"/>
          <a:ext cx="468000" cy="26640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>
              <a:solidFill>
                <a:schemeClr val="accent5">
                  <a:lumMod val="75000"/>
                </a:schemeClr>
              </a:solidFill>
            </a:rPr>
            <a:t>FEV</a:t>
          </a:r>
        </a:p>
      </xdr:txBody>
    </xdr:sp>
    <xdr:clientData fPrintsWithSheet="0"/>
  </xdr:twoCellAnchor>
  <xdr:twoCellAnchor editAs="absolute">
    <xdr:from>
      <xdr:col>3</xdr:col>
      <xdr:colOff>890890</xdr:colOff>
      <xdr:row>8</xdr:row>
      <xdr:rowOff>30480</xdr:rowOff>
    </xdr:from>
    <xdr:to>
      <xdr:col>3</xdr:col>
      <xdr:colOff>1358890</xdr:colOff>
      <xdr:row>8</xdr:row>
      <xdr:rowOff>296880</xdr:rowOff>
    </xdr:to>
    <xdr:sp macro="" textlink="">
      <xdr:nvSpPr>
        <xdr:cNvPr id="10" name="CaixaDeTexto 9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19F9B7C-54D8-415D-8F06-743A7E358F96}"/>
            </a:ext>
          </a:extLst>
        </xdr:cNvPr>
        <xdr:cNvSpPr txBox="1"/>
      </xdr:nvSpPr>
      <xdr:spPr>
        <a:xfrm>
          <a:off x="4518010" y="784860"/>
          <a:ext cx="468000" cy="26640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>
              <a:solidFill>
                <a:schemeClr val="accent5">
                  <a:lumMod val="75000"/>
                </a:schemeClr>
              </a:solidFill>
            </a:rPr>
            <a:t>MAR</a:t>
          </a:r>
        </a:p>
      </xdr:txBody>
    </xdr:sp>
    <xdr:clientData fPrintsWithSheet="0"/>
  </xdr:twoCellAnchor>
  <xdr:twoCellAnchor editAs="absolute">
    <xdr:from>
      <xdr:col>4</xdr:col>
      <xdr:colOff>2835</xdr:colOff>
      <xdr:row>8</xdr:row>
      <xdr:rowOff>30480</xdr:rowOff>
    </xdr:from>
    <xdr:to>
      <xdr:col>4</xdr:col>
      <xdr:colOff>436545</xdr:colOff>
      <xdr:row>8</xdr:row>
      <xdr:rowOff>296880</xdr:rowOff>
    </xdr:to>
    <xdr:sp macro="" textlink="">
      <xdr:nvSpPr>
        <xdr:cNvPr id="11" name="CaixaDeTexto 10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43F66A88-5706-408D-A730-23249BA4CAFE}"/>
            </a:ext>
          </a:extLst>
        </xdr:cNvPr>
        <xdr:cNvSpPr txBox="1"/>
      </xdr:nvSpPr>
      <xdr:spPr>
        <a:xfrm>
          <a:off x="5020605" y="784860"/>
          <a:ext cx="468000" cy="26640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>
              <a:solidFill>
                <a:schemeClr val="accent5">
                  <a:lumMod val="75000"/>
                </a:schemeClr>
              </a:solidFill>
            </a:rPr>
            <a:t>ABR</a:t>
          </a:r>
        </a:p>
      </xdr:txBody>
    </xdr:sp>
    <xdr:clientData fPrintsWithSheet="0"/>
  </xdr:twoCellAnchor>
  <xdr:twoCellAnchor editAs="absolute">
    <xdr:from>
      <xdr:col>4</xdr:col>
      <xdr:colOff>471140</xdr:colOff>
      <xdr:row>8</xdr:row>
      <xdr:rowOff>30480</xdr:rowOff>
    </xdr:from>
    <xdr:to>
      <xdr:col>4</xdr:col>
      <xdr:colOff>939140</xdr:colOff>
      <xdr:row>8</xdr:row>
      <xdr:rowOff>296880</xdr:rowOff>
    </xdr:to>
    <xdr:sp macro="" textlink="">
      <xdr:nvSpPr>
        <xdr:cNvPr id="12" name="CaixaDeTexto 11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7658A127-BE9D-4F41-A20C-E3007EC87010}"/>
            </a:ext>
          </a:extLst>
        </xdr:cNvPr>
        <xdr:cNvSpPr txBox="1"/>
      </xdr:nvSpPr>
      <xdr:spPr>
        <a:xfrm>
          <a:off x="5523200" y="784860"/>
          <a:ext cx="468000" cy="266400"/>
        </a:xfrm>
        <a:prstGeom prst="rect">
          <a:avLst/>
        </a:prstGeom>
        <a:solidFill>
          <a:schemeClr val="accent2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>
              <a:solidFill>
                <a:schemeClr val="bg1"/>
              </a:solidFill>
            </a:rPr>
            <a:t>MAI</a:t>
          </a:r>
        </a:p>
      </xdr:txBody>
    </xdr:sp>
    <xdr:clientData fPrintsWithSheet="0"/>
  </xdr:twoCellAnchor>
  <xdr:twoCellAnchor editAs="absolute">
    <xdr:from>
      <xdr:col>4</xdr:col>
      <xdr:colOff>973735</xdr:colOff>
      <xdr:row>8</xdr:row>
      <xdr:rowOff>30480</xdr:rowOff>
    </xdr:from>
    <xdr:to>
      <xdr:col>4</xdr:col>
      <xdr:colOff>1441735</xdr:colOff>
      <xdr:row>8</xdr:row>
      <xdr:rowOff>296880</xdr:rowOff>
    </xdr:to>
    <xdr:sp macro="" textlink="">
      <xdr:nvSpPr>
        <xdr:cNvPr id="13" name="CaixaDeTexto 12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72C9F146-C6E0-4C46-A006-CF04B70157E7}"/>
            </a:ext>
          </a:extLst>
        </xdr:cNvPr>
        <xdr:cNvSpPr txBox="1"/>
      </xdr:nvSpPr>
      <xdr:spPr>
        <a:xfrm>
          <a:off x="6025795" y="784860"/>
          <a:ext cx="468000" cy="26640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>
              <a:solidFill>
                <a:schemeClr val="accent5">
                  <a:lumMod val="75000"/>
                </a:schemeClr>
              </a:solidFill>
            </a:rPr>
            <a:t>JUN</a:t>
          </a:r>
        </a:p>
      </xdr:txBody>
    </xdr:sp>
    <xdr:clientData fPrintsWithSheet="0"/>
  </xdr:twoCellAnchor>
  <xdr:twoCellAnchor editAs="absolute">
    <xdr:from>
      <xdr:col>4</xdr:col>
      <xdr:colOff>1483950</xdr:colOff>
      <xdr:row>8</xdr:row>
      <xdr:rowOff>30480</xdr:rowOff>
    </xdr:from>
    <xdr:to>
      <xdr:col>4</xdr:col>
      <xdr:colOff>1951950</xdr:colOff>
      <xdr:row>8</xdr:row>
      <xdr:rowOff>296880</xdr:rowOff>
    </xdr:to>
    <xdr:sp macro="" textlink="">
      <xdr:nvSpPr>
        <xdr:cNvPr id="14" name="CaixaDeTexto 13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A1893770-C17B-4187-9343-1557040F5FED}"/>
            </a:ext>
          </a:extLst>
        </xdr:cNvPr>
        <xdr:cNvSpPr txBox="1"/>
      </xdr:nvSpPr>
      <xdr:spPr>
        <a:xfrm>
          <a:off x="6528390" y="784860"/>
          <a:ext cx="468000" cy="26640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>
              <a:solidFill>
                <a:schemeClr val="accent5">
                  <a:lumMod val="75000"/>
                </a:schemeClr>
              </a:solidFill>
            </a:rPr>
            <a:t>JUL</a:t>
          </a:r>
        </a:p>
      </xdr:txBody>
    </xdr:sp>
    <xdr:clientData fPrintsWithSheet="0"/>
  </xdr:twoCellAnchor>
  <xdr:twoCellAnchor editAs="absolute">
    <xdr:from>
      <xdr:col>4</xdr:col>
      <xdr:colOff>1986545</xdr:colOff>
      <xdr:row>8</xdr:row>
      <xdr:rowOff>30480</xdr:rowOff>
    </xdr:from>
    <xdr:to>
      <xdr:col>4</xdr:col>
      <xdr:colOff>2454545</xdr:colOff>
      <xdr:row>8</xdr:row>
      <xdr:rowOff>296880</xdr:rowOff>
    </xdr:to>
    <xdr:sp macro="" textlink="">
      <xdr:nvSpPr>
        <xdr:cNvPr id="15" name="CaixaDeTexto 14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8888A7FC-CD64-435C-95C2-331CEBB0A45A}"/>
            </a:ext>
          </a:extLst>
        </xdr:cNvPr>
        <xdr:cNvSpPr txBox="1"/>
      </xdr:nvSpPr>
      <xdr:spPr>
        <a:xfrm>
          <a:off x="7030985" y="784860"/>
          <a:ext cx="468000" cy="26640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>
              <a:solidFill>
                <a:schemeClr val="accent5">
                  <a:lumMod val="75000"/>
                </a:schemeClr>
              </a:solidFill>
            </a:rPr>
            <a:t>AGO</a:t>
          </a:r>
        </a:p>
      </xdr:txBody>
    </xdr:sp>
    <xdr:clientData fPrintsWithSheet="0"/>
  </xdr:twoCellAnchor>
  <xdr:twoCellAnchor editAs="absolute">
    <xdr:from>
      <xdr:col>4</xdr:col>
      <xdr:colOff>2489140</xdr:colOff>
      <xdr:row>8</xdr:row>
      <xdr:rowOff>30480</xdr:rowOff>
    </xdr:from>
    <xdr:to>
      <xdr:col>5</xdr:col>
      <xdr:colOff>53920</xdr:colOff>
      <xdr:row>8</xdr:row>
      <xdr:rowOff>296880</xdr:rowOff>
    </xdr:to>
    <xdr:sp macro="" textlink="">
      <xdr:nvSpPr>
        <xdr:cNvPr id="16" name="CaixaDeTexto 15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0DF9AE2D-BE7D-4A9F-BF3B-1BFF164C788C}"/>
            </a:ext>
          </a:extLst>
        </xdr:cNvPr>
        <xdr:cNvSpPr txBox="1"/>
      </xdr:nvSpPr>
      <xdr:spPr>
        <a:xfrm>
          <a:off x="7533580" y="784860"/>
          <a:ext cx="468000" cy="26640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>
              <a:solidFill>
                <a:schemeClr val="accent5">
                  <a:lumMod val="75000"/>
                </a:schemeClr>
              </a:solidFill>
            </a:rPr>
            <a:t>SET</a:t>
          </a:r>
        </a:p>
      </xdr:txBody>
    </xdr:sp>
    <xdr:clientData fPrintsWithSheet="0"/>
  </xdr:twoCellAnchor>
  <xdr:twoCellAnchor editAs="absolute">
    <xdr:from>
      <xdr:col>5</xdr:col>
      <xdr:colOff>88515</xdr:colOff>
      <xdr:row>8</xdr:row>
      <xdr:rowOff>30480</xdr:rowOff>
    </xdr:from>
    <xdr:to>
      <xdr:col>5</xdr:col>
      <xdr:colOff>548895</xdr:colOff>
      <xdr:row>8</xdr:row>
      <xdr:rowOff>296880</xdr:rowOff>
    </xdr:to>
    <xdr:sp macro="" textlink="">
      <xdr:nvSpPr>
        <xdr:cNvPr id="17" name="CaixaDeTexto 16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AF16F5F2-DB07-4BA0-B3B2-E00640BB8088}"/>
            </a:ext>
          </a:extLst>
        </xdr:cNvPr>
        <xdr:cNvSpPr txBox="1"/>
      </xdr:nvSpPr>
      <xdr:spPr>
        <a:xfrm>
          <a:off x="8036175" y="784860"/>
          <a:ext cx="468000" cy="26640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>
              <a:solidFill>
                <a:schemeClr val="accent5">
                  <a:lumMod val="75000"/>
                </a:schemeClr>
              </a:solidFill>
            </a:rPr>
            <a:t>OUT</a:t>
          </a:r>
        </a:p>
      </xdr:txBody>
    </xdr:sp>
    <xdr:clientData fPrintsWithSheet="0"/>
  </xdr:twoCellAnchor>
  <xdr:twoCellAnchor editAs="absolute">
    <xdr:from>
      <xdr:col>5</xdr:col>
      <xdr:colOff>583490</xdr:colOff>
      <xdr:row>8</xdr:row>
      <xdr:rowOff>30480</xdr:rowOff>
    </xdr:from>
    <xdr:to>
      <xdr:col>5</xdr:col>
      <xdr:colOff>1051490</xdr:colOff>
      <xdr:row>8</xdr:row>
      <xdr:rowOff>296880</xdr:rowOff>
    </xdr:to>
    <xdr:sp macro="" textlink="">
      <xdr:nvSpPr>
        <xdr:cNvPr id="18" name="CaixaDeTexto 17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2D1157D5-6FF2-4AA4-A77C-2834774E4FED}"/>
            </a:ext>
          </a:extLst>
        </xdr:cNvPr>
        <xdr:cNvSpPr txBox="1"/>
      </xdr:nvSpPr>
      <xdr:spPr>
        <a:xfrm>
          <a:off x="8538770" y="784860"/>
          <a:ext cx="468000" cy="26640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>
              <a:solidFill>
                <a:schemeClr val="accent5">
                  <a:lumMod val="75000"/>
                </a:schemeClr>
              </a:solidFill>
            </a:rPr>
            <a:t>NOV</a:t>
          </a:r>
        </a:p>
      </xdr:txBody>
    </xdr:sp>
    <xdr:clientData fPrintsWithSheet="0"/>
  </xdr:twoCellAnchor>
  <xdr:twoCellAnchor editAs="absolute">
    <xdr:from>
      <xdr:col>5</xdr:col>
      <xdr:colOff>1086085</xdr:colOff>
      <xdr:row>8</xdr:row>
      <xdr:rowOff>30480</xdr:rowOff>
    </xdr:from>
    <xdr:to>
      <xdr:col>5</xdr:col>
      <xdr:colOff>1561705</xdr:colOff>
      <xdr:row>8</xdr:row>
      <xdr:rowOff>296880</xdr:rowOff>
    </xdr:to>
    <xdr:sp macro="" textlink="">
      <xdr:nvSpPr>
        <xdr:cNvPr id="19" name="CaixaDeTexto 18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891FDE24-CA06-4A93-8CF0-D5805B4679D4}"/>
            </a:ext>
          </a:extLst>
        </xdr:cNvPr>
        <xdr:cNvSpPr txBox="1"/>
      </xdr:nvSpPr>
      <xdr:spPr>
        <a:xfrm>
          <a:off x="9041365" y="784860"/>
          <a:ext cx="468000" cy="26640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>
              <a:solidFill>
                <a:schemeClr val="accent5">
                  <a:lumMod val="75000"/>
                </a:schemeClr>
              </a:solidFill>
            </a:rPr>
            <a:t>DEZ</a:t>
          </a:r>
        </a:p>
      </xdr:txBody>
    </xdr:sp>
    <xdr:clientData fPrintsWithSheet="0"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1394460</xdr:colOff>
      <xdr:row>0</xdr:row>
      <xdr:rowOff>0</xdr:rowOff>
    </xdr:from>
    <xdr:ext cx="4937760" cy="571500"/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7852099D-A6BD-4F2C-B749-CF50F7CE82D5}"/>
            </a:ext>
          </a:extLst>
        </xdr:cNvPr>
        <xdr:cNvSpPr txBox="1"/>
      </xdr:nvSpPr>
      <xdr:spPr>
        <a:xfrm>
          <a:off x="2560320" y="0"/>
          <a:ext cx="4937760" cy="5715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r>
            <a:rPr lang="pt-BR" sz="2400" b="1">
              <a:solidFill>
                <a:schemeClr val="accent5">
                  <a:lumMod val="75000"/>
                </a:schemeClr>
              </a:solidFill>
            </a:rPr>
            <a:t>Controle de Faturamento</a:t>
          </a:r>
          <a:r>
            <a:rPr lang="pt-BR" sz="2400" b="1" baseline="0">
              <a:solidFill>
                <a:schemeClr val="accent5">
                  <a:lumMod val="75000"/>
                </a:schemeClr>
              </a:solidFill>
            </a:rPr>
            <a:t> do MEI</a:t>
          </a:r>
          <a:endParaRPr lang="pt-BR" sz="2400" b="1">
            <a:solidFill>
              <a:schemeClr val="accent5">
                <a:lumMod val="75000"/>
              </a:schemeClr>
            </a:solidFill>
          </a:endParaRPr>
        </a:p>
      </xdr:txBody>
    </xdr:sp>
    <xdr:clientData/>
  </xdr:oneCellAnchor>
  <xdr:twoCellAnchor editAs="absolute">
    <xdr:from>
      <xdr:col>1</xdr:col>
      <xdr:colOff>205740</xdr:colOff>
      <xdr:row>0</xdr:row>
      <xdr:rowOff>0</xdr:rowOff>
    </xdr:from>
    <xdr:to>
      <xdr:col>2</xdr:col>
      <xdr:colOff>1114801</xdr:colOff>
      <xdr:row>3</xdr:row>
      <xdr:rowOff>9360</xdr:rowOff>
    </xdr:to>
    <xdr:pic>
      <xdr:nvPicPr>
        <xdr:cNvPr id="3" name="Imagem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4230E45-DF71-4CAE-B3FA-933292128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7660" y="0"/>
          <a:ext cx="1953001" cy="55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60960</xdr:colOff>
      <xdr:row>8</xdr:row>
      <xdr:rowOff>30480</xdr:rowOff>
    </xdr:from>
    <xdr:to>
      <xdr:col>1</xdr:col>
      <xdr:colOff>492960</xdr:colOff>
      <xdr:row>8</xdr:row>
      <xdr:rowOff>296880</xdr:rowOff>
    </xdr:to>
    <xdr:sp macro="" textlink="">
      <xdr:nvSpPr>
        <xdr:cNvPr id="4" name="Seta: para a Direita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96CDF87-FBB0-4C28-97C9-A6A96EAABBED}"/>
            </a:ext>
          </a:extLst>
        </xdr:cNvPr>
        <xdr:cNvSpPr/>
      </xdr:nvSpPr>
      <xdr:spPr>
        <a:xfrm flipH="1">
          <a:off x="182880" y="784860"/>
          <a:ext cx="432000" cy="266400"/>
        </a:xfrm>
        <a:prstGeom prst="rightArrow">
          <a:avLst/>
        </a:prstGeom>
        <a:solidFill>
          <a:schemeClr val="accent5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 fPrintsWithSheet="0"/>
  </xdr:twoCellAnchor>
  <xdr:twoCellAnchor editAs="absolute">
    <xdr:from>
      <xdr:col>1</xdr:col>
      <xdr:colOff>632460</xdr:colOff>
      <xdr:row>8</xdr:row>
      <xdr:rowOff>30480</xdr:rowOff>
    </xdr:from>
    <xdr:to>
      <xdr:col>2</xdr:col>
      <xdr:colOff>920520</xdr:colOff>
      <xdr:row>8</xdr:row>
      <xdr:rowOff>295040</xdr:rowOff>
    </xdr:to>
    <xdr:sp macro="" textlink="">
      <xdr:nvSpPr>
        <xdr:cNvPr id="5" name="CaixaDeTexto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5909655-CE97-4CDA-A3B0-79DC835250D5}"/>
            </a:ext>
          </a:extLst>
        </xdr:cNvPr>
        <xdr:cNvSpPr txBox="1"/>
      </xdr:nvSpPr>
      <xdr:spPr>
        <a:xfrm>
          <a:off x="754380" y="784860"/>
          <a:ext cx="1332000" cy="26456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3175">
          <a:solidFill>
            <a:schemeClr val="bg1">
              <a:lumMod val="9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pt-BR" sz="1100" b="0">
              <a:solidFill>
                <a:schemeClr val="accent5">
                  <a:lumMod val="75000"/>
                </a:schemeClr>
              </a:solidFill>
            </a:rPr>
            <a:t>Relatório</a:t>
          </a:r>
          <a:r>
            <a:rPr lang="pt-BR" sz="1100" b="0" baseline="0">
              <a:solidFill>
                <a:schemeClr val="accent5">
                  <a:lumMod val="75000"/>
                </a:schemeClr>
              </a:solidFill>
            </a:rPr>
            <a:t> Geral</a:t>
          </a:r>
          <a:endParaRPr lang="pt-BR" sz="1100" b="0">
            <a:solidFill>
              <a:schemeClr val="accent5">
                <a:lumMod val="75000"/>
              </a:schemeClr>
            </a:solidFill>
          </a:endParaRPr>
        </a:p>
      </xdr:txBody>
    </xdr:sp>
    <xdr:clientData fPrintsWithSheet="0"/>
  </xdr:twoCellAnchor>
  <xdr:twoCellAnchor editAs="absolute">
    <xdr:from>
      <xdr:col>2</xdr:col>
      <xdr:colOff>975360</xdr:colOff>
      <xdr:row>8</xdr:row>
      <xdr:rowOff>30480</xdr:rowOff>
    </xdr:from>
    <xdr:to>
      <xdr:col>2</xdr:col>
      <xdr:colOff>2307360</xdr:colOff>
      <xdr:row>8</xdr:row>
      <xdr:rowOff>295040</xdr:rowOff>
    </xdr:to>
    <xdr:sp macro="[0]!Imprimir" textlink="">
      <xdr:nvSpPr>
        <xdr:cNvPr id="6" name="CaixaDeTexto 5">
          <a:extLst>
            <a:ext uri="{FF2B5EF4-FFF2-40B4-BE49-F238E27FC236}">
              <a16:creationId xmlns:a16="http://schemas.microsoft.com/office/drawing/2014/main" id="{3D1B5188-0C93-4916-97AA-2A6E19A38291}"/>
            </a:ext>
          </a:extLst>
        </xdr:cNvPr>
        <xdr:cNvSpPr txBox="1"/>
      </xdr:nvSpPr>
      <xdr:spPr>
        <a:xfrm>
          <a:off x="2141220" y="784860"/>
          <a:ext cx="1332000" cy="26456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3175">
          <a:solidFill>
            <a:schemeClr val="bg1">
              <a:lumMod val="9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pt-BR" sz="1100" b="0">
              <a:solidFill>
                <a:schemeClr val="accent5">
                  <a:lumMod val="75000"/>
                </a:schemeClr>
              </a:solidFill>
            </a:rPr>
            <a:t>Imprimir</a:t>
          </a:r>
        </a:p>
      </xdr:txBody>
    </xdr:sp>
    <xdr:clientData fPrintsWithSheet="0"/>
  </xdr:twoCellAnchor>
  <xdr:oneCellAnchor>
    <xdr:from>
      <xdr:col>6</xdr:col>
      <xdr:colOff>769620</xdr:colOff>
      <xdr:row>8</xdr:row>
      <xdr:rowOff>68580</xdr:rowOff>
    </xdr:from>
    <xdr:ext cx="2463389" cy="311496"/>
    <xdr:sp macro="" textlink="">
      <xdr:nvSpPr>
        <xdr:cNvPr id="7" name="CaixaDeTexto 6">
          <a:extLst>
            <a:ext uri="{FF2B5EF4-FFF2-40B4-BE49-F238E27FC236}">
              <a16:creationId xmlns:a16="http://schemas.microsoft.com/office/drawing/2014/main" id="{216237E6-030F-44F8-BFA9-3D0362FF86C8}"/>
            </a:ext>
          </a:extLst>
        </xdr:cNvPr>
        <xdr:cNvSpPr txBox="1"/>
      </xdr:nvSpPr>
      <xdr:spPr>
        <a:xfrm>
          <a:off x="10485120" y="822960"/>
          <a:ext cx="2463389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pt-BR" sz="1400">
              <a:solidFill>
                <a:schemeClr val="accent5">
                  <a:lumMod val="50000"/>
                </a:schemeClr>
              </a:solidFill>
            </a:rPr>
            <a:t>Total de Vendas em </a:t>
          </a:r>
          <a:r>
            <a:rPr lang="pt-BR" sz="1400" b="1">
              <a:solidFill>
                <a:schemeClr val="accent5">
                  <a:lumMod val="50000"/>
                </a:schemeClr>
              </a:solidFill>
            </a:rPr>
            <a:t>Junho</a:t>
          </a:r>
          <a:r>
            <a:rPr lang="pt-BR" sz="1400">
              <a:solidFill>
                <a:schemeClr val="accent5">
                  <a:lumMod val="50000"/>
                </a:schemeClr>
              </a:solidFill>
            </a:rPr>
            <a:t>:</a:t>
          </a:r>
        </a:p>
      </xdr:txBody>
    </xdr:sp>
    <xdr:clientData/>
  </xdr:oneCellAnchor>
  <xdr:twoCellAnchor editAs="absolute">
    <xdr:from>
      <xdr:col>2</xdr:col>
      <xdr:colOff>2346960</xdr:colOff>
      <xdr:row>8</xdr:row>
      <xdr:rowOff>30480</xdr:rowOff>
    </xdr:from>
    <xdr:to>
      <xdr:col>3</xdr:col>
      <xdr:colOff>353700</xdr:colOff>
      <xdr:row>8</xdr:row>
      <xdr:rowOff>296880</xdr:rowOff>
    </xdr:to>
    <xdr:sp macro="" textlink="">
      <xdr:nvSpPr>
        <xdr:cNvPr id="8" name="CaixaDeTexto 7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5C3C5E05-D745-4E6B-8DAC-114DC4800F48}"/>
            </a:ext>
          </a:extLst>
        </xdr:cNvPr>
        <xdr:cNvSpPr txBox="1"/>
      </xdr:nvSpPr>
      <xdr:spPr>
        <a:xfrm>
          <a:off x="3512820" y="784860"/>
          <a:ext cx="468000" cy="26640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 b="0">
              <a:solidFill>
                <a:schemeClr val="accent5">
                  <a:lumMod val="75000"/>
                </a:schemeClr>
              </a:solidFill>
            </a:rPr>
            <a:t>JAN</a:t>
          </a:r>
        </a:p>
      </xdr:txBody>
    </xdr:sp>
    <xdr:clientData fPrintsWithSheet="0"/>
  </xdr:twoCellAnchor>
  <xdr:twoCellAnchor editAs="absolute">
    <xdr:from>
      <xdr:col>3</xdr:col>
      <xdr:colOff>388295</xdr:colOff>
      <xdr:row>8</xdr:row>
      <xdr:rowOff>30480</xdr:rowOff>
    </xdr:from>
    <xdr:to>
      <xdr:col>3</xdr:col>
      <xdr:colOff>856295</xdr:colOff>
      <xdr:row>8</xdr:row>
      <xdr:rowOff>296880</xdr:rowOff>
    </xdr:to>
    <xdr:sp macro="" textlink="">
      <xdr:nvSpPr>
        <xdr:cNvPr id="9" name="CaixaDeTexto 8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1344DDC2-97FD-4EA8-8EC4-E7E946E22003}"/>
            </a:ext>
          </a:extLst>
        </xdr:cNvPr>
        <xdr:cNvSpPr txBox="1"/>
      </xdr:nvSpPr>
      <xdr:spPr>
        <a:xfrm>
          <a:off x="4015415" y="784860"/>
          <a:ext cx="468000" cy="26640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>
              <a:solidFill>
                <a:schemeClr val="accent5">
                  <a:lumMod val="75000"/>
                </a:schemeClr>
              </a:solidFill>
            </a:rPr>
            <a:t>FEV</a:t>
          </a:r>
        </a:p>
      </xdr:txBody>
    </xdr:sp>
    <xdr:clientData fPrintsWithSheet="0"/>
  </xdr:twoCellAnchor>
  <xdr:twoCellAnchor editAs="absolute">
    <xdr:from>
      <xdr:col>3</xdr:col>
      <xdr:colOff>890890</xdr:colOff>
      <xdr:row>8</xdr:row>
      <xdr:rowOff>30480</xdr:rowOff>
    </xdr:from>
    <xdr:to>
      <xdr:col>3</xdr:col>
      <xdr:colOff>1358890</xdr:colOff>
      <xdr:row>8</xdr:row>
      <xdr:rowOff>296880</xdr:rowOff>
    </xdr:to>
    <xdr:sp macro="" textlink="">
      <xdr:nvSpPr>
        <xdr:cNvPr id="10" name="CaixaDeTexto 9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5E3BB5AF-E96E-425B-BA3E-D43399D43E17}"/>
            </a:ext>
          </a:extLst>
        </xdr:cNvPr>
        <xdr:cNvSpPr txBox="1"/>
      </xdr:nvSpPr>
      <xdr:spPr>
        <a:xfrm>
          <a:off x="4518010" y="784860"/>
          <a:ext cx="468000" cy="26640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>
              <a:solidFill>
                <a:schemeClr val="accent5">
                  <a:lumMod val="75000"/>
                </a:schemeClr>
              </a:solidFill>
            </a:rPr>
            <a:t>MAR</a:t>
          </a:r>
        </a:p>
      </xdr:txBody>
    </xdr:sp>
    <xdr:clientData fPrintsWithSheet="0"/>
  </xdr:twoCellAnchor>
  <xdr:twoCellAnchor editAs="absolute">
    <xdr:from>
      <xdr:col>4</xdr:col>
      <xdr:colOff>2835</xdr:colOff>
      <xdr:row>8</xdr:row>
      <xdr:rowOff>30480</xdr:rowOff>
    </xdr:from>
    <xdr:to>
      <xdr:col>4</xdr:col>
      <xdr:colOff>436545</xdr:colOff>
      <xdr:row>8</xdr:row>
      <xdr:rowOff>296880</xdr:rowOff>
    </xdr:to>
    <xdr:sp macro="" textlink="">
      <xdr:nvSpPr>
        <xdr:cNvPr id="11" name="CaixaDeTexto 10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D7E716DC-AC24-49C1-8E1A-118DC30B5B45}"/>
            </a:ext>
          </a:extLst>
        </xdr:cNvPr>
        <xdr:cNvSpPr txBox="1"/>
      </xdr:nvSpPr>
      <xdr:spPr>
        <a:xfrm>
          <a:off x="5020605" y="784860"/>
          <a:ext cx="468000" cy="26640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>
              <a:solidFill>
                <a:schemeClr val="accent5">
                  <a:lumMod val="75000"/>
                </a:schemeClr>
              </a:solidFill>
            </a:rPr>
            <a:t>ABR</a:t>
          </a:r>
        </a:p>
      </xdr:txBody>
    </xdr:sp>
    <xdr:clientData fPrintsWithSheet="0"/>
  </xdr:twoCellAnchor>
  <xdr:twoCellAnchor editAs="absolute">
    <xdr:from>
      <xdr:col>4</xdr:col>
      <xdr:colOff>471140</xdr:colOff>
      <xdr:row>8</xdr:row>
      <xdr:rowOff>30480</xdr:rowOff>
    </xdr:from>
    <xdr:to>
      <xdr:col>4</xdr:col>
      <xdr:colOff>939140</xdr:colOff>
      <xdr:row>8</xdr:row>
      <xdr:rowOff>296880</xdr:rowOff>
    </xdr:to>
    <xdr:sp macro="" textlink="">
      <xdr:nvSpPr>
        <xdr:cNvPr id="12" name="CaixaDeTexto 11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5C02F6F9-0CBF-48EF-B88E-E3528A0FC78C}"/>
            </a:ext>
          </a:extLst>
        </xdr:cNvPr>
        <xdr:cNvSpPr txBox="1"/>
      </xdr:nvSpPr>
      <xdr:spPr>
        <a:xfrm>
          <a:off x="5523200" y="784860"/>
          <a:ext cx="468000" cy="26640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>
              <a:solidFill>
                <a:schemeClr val="accent5">
                  <a:lumMod val="75000"/>
                </a:schemeClr>
              </a:solidFill>
            </a:rPr>
            <a:t>MAI</a:t>
          </a:r>
        </a:p>
      </xdr:txBody>
    </xdr:sp>
    <xdr:clientData fPrintsWithSheet="0"/>
  </xdr:twoCellAnchor>
  <xdr:twoCellAnchor editAs="absolute">
    <xdr:from>
      <xdr:col>4</xdr:col>
      <xdr:colOff>973735</xdr:colOff>
      <xdr:row>8</xdr:row>
      <xdr:rowOff>30480</xdr:rowOff>
    </xdr:from>
    <xdr:to>
      <xdr:col>4</xdr:col>
      <xdr:colOff>1441735</xdr:colOff>
      <xdr:row>8</xdr:row>
      <xdr:rowOff>296880</xdr:rowOff>
    </xdr:to>
    <xdr:sp macro="" textlink="">
      <xdr:nvSpPr>
        <xdr:cNvPr id="13" name="CaixaDeTexto 12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A88357CD-FF12-445D-9A7B-D60F1B04B39F}"/>
            </a:ext>
          </a:extLst>
        </xdr:cNvPr>
        <xdr:cNvSpPr txBox="1"/>
      </xdr:nvSpPr>
      <xdr:spPr>
        <a:xfrm>
          <a:off x="6025795" y="784860"/>
          <a:ext cx="468000" cy="266400"/>
        </a:xfrm>
        <a:prstGeom prst="rect">
          <a:avLst/>
        </a:prstGeom>
        <a:solidFill>
          <a:schemeClr val="accent2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>
              <a:solidFill>
                <a:schemeClr val="bg1"/>
              </a:solidFill>
            </a:rPr>
            <a:t>JUN</a:t>
          </a:r>
        </a:p>
      </xdr:txBody>
    </xdr:sp>
    <xdr:clientData fPrintsWithSheet="0"/>
  </xdr:twoCellAnchor>
  <xdr:twoCellAnchor editAs="absolute">
    <xdr:from>
      <xdr:col>4</xdr:col>
      <xdr:colOff>1483950</xdr:colOff>
      <xdr:row>8</xdr:row>
      <xdr:rowOff>30480</xdr:rowOff>
    </xdr:from>
    <xdr:to>
      <xdr:col>4</xdr:col>
      <xdr:colOff>1951950</xdr:colOff>
      <xdr:row>8</xdr:row>
      <xdr:rowOff>296880</xdr:rowOff>
    </xdr:to>
    <xdr:sp macro="" textlink="">
      <xdr:nvSpPr>
        <xdr:cNvPr id="14" name="CaixaDeTexto 13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3C60BC09-25FC-4BBB-97BE-433B1776F356}"/>
            </a:ext>
          </a:extLst>
        </xdr:cNvPr>
        <xdr:cNvSpPr txBox="1"/>
      </xdr:nvSpPr>
      <xdr:spPr>
        <a:xfrm>
          <a:off x="6528390" y="784860"/>
          <a:ext cx="468000" cy="26640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>
              <a:solidFill>
                <a:schemeClr val="accent5">
                  <a:lumMod val="75000"/>
                </a:schemeClr>
              </a:solidFill>
            </a:rPr>
            <a:t>JUL</a:t>
          </a:r>
        </a:p>
      </xdr:txBody>
    </xdr:sp>
    <xdr:clientData fPrintsWithSheet="0"/>
  </xdr:twoCellAnchor>
  <xdr:twoCellAnchor editAs="absolute">
    <xdr:from>
      <xdr:col>4</xdr:col>
      <xdr:colOff>1986545</xdr:colOff>
      <xdr:row>8</xdr:row>
      <xdr:rowOff>30480</xdr:rowOff>
    </xdr:from>
    <xdr:to>
      <xdr:col>4</xdr:col>
      <xdr:colOff>2454545</xdr:colOff>
      <xdr:row>8</xdr:row>
      <xdr:rowOff>296880</xdr:rowOff>
    </xdr:to>
    <xdr:sp macro="" textlink="">
      <xdr:nvSpPr>
        <xdr:cNvPr id="15" name="CaixaDeTexto 14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BFB4E24F-8873-4B52-9F5A-D30D7111F96B}"/>
            </a:ext>
          </a:extLst>
        </xdr:cNvPr>
        <xdr:cNvSpPr txBox="1"/>
      </xdr:nvSpPr>
      <xdr:spPr>
        <a:xfrm>
          <a:off x="7030985" y="784860"/>
          <a:ext cx="468000" cy="26640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>
              <a:solidFill>
                <a:schemeClr val="accent5">
                  <a:lumMod val="75000"/>
                </a:schemeClr>
              </a:solidFill>
            </a:rPr>
            <a:t>AGO</a:t>
          </a:r>
        </a:p>
      </xdr:txBody>
    </xdr:sp>
    <xdr:clientData fPrintsWithSheet="0"/>
  </xdr:twoCellAnchor>
  <xdr:twoCellAnchor editAs="absolute">
    <xdr:from>
      <xdr:col>4</xdr:col>
      <xdr:colOff>2489140</xdr:colOff>
      <xdr:row>8</xdr:row>
      <xdr:rowOff>30480</xdr:rowOff>
    </xdr:from>
    <xdr:to>
      <xdr:col>5</xdr:col>
      <xdr:colOff>53920</xdr:colOff>
      <xdr:row>8</xdr:row>
      <xdr:rowOff>296880</xdr:rowOff>
    </xdr:to>
    <xdr:sp macro="" textlink="">
      <xdr:nvSpPr>
        <xdr:cNvPr id="16" name="CaixaDeTexto 15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46E6E6C4-1DCE-4576-B97D-66490407532A}"/>
            </a:ext>
          </a:extLst>
        </xdr:cNvPr>
        <xdr:cNvSpPr txBox="1"/>
      </xdr:nvSpPr>
      <xdr:spPr>
        <a:xfrm>
          <a:off x="7533580" y="784860"/>
          <a:ext cx="468000" cy="26640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>
              <a:solidFill>
                <a:schemeClr val="accent5">
                  <a:lumMod val="75000"/>
                </a:schemeClr>
              </a:solidFill>
            </a:rPr>
            <a:t>SET</a:t>
          </a:r>
        </a:p>
      </xdr:txBody>
    </xdr:sp>
    <xdr:clientData fPrintsWithSheet="0"/>
  </xdr:twoCellAnchor>
  <xdr:twoCellAnchor editAs="absolute">
    <xdr:from>
      <xdr:col>5</xdr:col>
      <xdr:colOff>88515</xdr:colOff>
      <xdr:row>8</xdr:row>
      <xdr:rowOff>30480</xdr:rowOff>
    </xdr:from>
    <xdr:to>
      <xdr:col>5</xdr:col>
      <xdr:colOff>548895</xdr:colOff>
      <xdr:row>8</xdr:row>
      <xdr:rowOff>296880</xdr:rowOff>
    </xdr:to>
    <xdr:sp macro="" textlink="">
      <xdr:nvSpPr>
        <xdr:cNvPr id="17" name="CaixaDeTexto 16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C21AFB5B-B240-40AE-ACF8-673E6199E061}"/>
            </a:ext>
          </a:extLst>
        </xdr:cNvPr>
        <xdr:cNvSpPr txBox="1"/>
      </xdr:nvSpPr>
      <xdr:spPr>
        <a:xfrm>
          <a:off x="8036175" y="784860"/>
          <a:ext cx="468000" cy="26640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>
              <a:solidFill>
                <a:schemeClr val="accent5">
                  <a:lumMod val="75000"/>
                </a:schemeClr>
              </a:solidFill>
            </a:rPr>
            <a:t>OUT</a:t>
          </a:r>
        </a:p>
      </xdr:txBody>
    </xdr:sp>
    <xdr:clientData fPrintsWithSheet="0"/>
  </xdr:twoCellAnchor>
  <xdr:twoCellAnchor editAs="absolute">
    <xdr:from>
      <xdr:col>5</xdr:col>
      <xdr:colOff>583490</xdr:colOff>
      <xdr:row>8</xdr:row>
      <xdr:rowOff>30480</xdr:rowOff>
    </xdr:from>
    <xdr:to>
      <xdr:col>5</xdr:col>
      <xdr:colOff>1051490</xdr:colOff>
      <xdr:row>8</xdr:row>
      <xdr:rowOff>296880</xdr:rowOff>
    </xdr:to>
    <xdr:sp macro="" textlink="">
      <xdr:nvSpPr>
        <xdr:cNvPr id="18" name="CaixaDeTexto 17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3E3B328B-F238-4592-8CBE-D2D070616E9A}"/>
            </a:ext>
          </a:extLst>
        </xdr:cNvPr>
        <xdr:cNvSpPr txBox="1"/>
      </xdr:nvSpPr>
      <xdr:spPr>
        <a:xfrm>
          <a:off x="8538770" y="784860"/>
          <a:ext cx="468000" cy="26640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>
              <a:solidFill>
                <a:schemeClr val="accent5">
                  <a:lumMod val="75000"/>
                </a:schemeClr>
              </a:solidFill>
            </a:rPr>
            <a:t>NOV</a:t>
          </a:r>
        </a:p>
      </xdr:txBody>
    </xdr:sp>
    <xdr:clientData fPrintsWithSheet="0"/>
  </xdr:twoCellAnchor>
  <xdr:twoCellAnchor editAs="absolute">
    <xdr:from>
      <xdr:col>5</xdr:col>
      <xdr:colOff>1086085</xdr:colOff>
      <xdr:row>8</xdr:row>
      <xdr:rowOff>30480</xdr:rowOff>
    </xdr:from>
    <xdr:to>
      <xdr:col>5</xdr:col>
      <xdr:colOff>1561705</xdr:colOff>
      <xdr:row>8</xdr:row>
      <xdr:rowOff>296880</xdr:rowOff>
    </xdr:to>
    <xdr:sp macro="" textlink="">
      <xdr:nvSpPr>
        <xdr:cNvPr id="19" name="CaixaDeTexto 18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653A6008-2F6E-47AF-9043-8D5B7459AACA}"/>
            </a:ext>
          </a:extLst>
        </xdr:cNvPr>
        <xdr:cNvSpPr txBox="1"/>
      </xdr:nvSpPr>
      <xdr:spPr>
        <a:xfrm>
          <a:off x="9041365" y="784860"/>
          <a:ext cx="468000" cy="26640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>
              <a:solidFill>
                <a:schemeClr val="accent5">
                  <a:lumMod val="75000"/>
                </a:schemeClr>
              </a:solidFill>
            </a:rPr>
            <a:t>DEZ</a:t>
          </a:r>
        </a:p>
      </xdr:txBody>
    </xdr:sp>
    <xdr:clientData fPrintsWithSheet="0"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1394460</xdr:colOff>
      <xdr:row>0</xdr:row>
      <xdr:rowOff>0</xdr:rowOff>
    </xdr:from>
    <xdr:ext cx="4937760" cy="571500"/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5A95DB46-3CBF-4A83-AFDE-DEC212BE6AC5}"/>
            </a:ext>
          </a:extLst>
        </xdr:cNvPr>
        <xdr:cNvSpPr txBox="1"/>
      </xdr:nvSpPr>
      <xdr:spPr>
        <a:xfrm>
          <a:off x="2560320" y="0"/>
          <a:ext cx="4937760" cy="5715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r>
            <a:rPr lang="pt-BR" sz="2400" b="1">
              <a:solidFill>
                <a:schemeClr val="accent5">
                  <a:lumMod val="75000"/>
                </a:schemeClr>
              </a:solidFill>
            </a:rPr>
            <a:t>Controle de Faturamento</a:t>
          </a:r>
          <a:r>
            <a:rPr lang="pt-BR" sz="2400" b="1" baseline="0">
              <a:solidFill>
                <a:schemeClr val="accent5">
                  <a:lumMod val="75000"/>
                </a:schemeClr>
              </a:solidFill>
            </a:rPr>
            <a:t> do MEI</a:t>
          </a:r>
          <a:endParaRPr lang="pt-BR" sz="2400" b="1">
            <a:solidFill>
              <a:schemeClr val="accent5">
                <a:lumMod val="75000"/>
              </a:schemeClr>
            </a:solidFill>
          </a:endParaRPr>
        </a:p>
      </xdr:txBody>
    </xdr:sp>
    <xdr:clientData/>
  </xdr:oneCellAnchor>
  <xdr:twoCellAnchor editAs="absolute">
    <xdr:from>
      <xdr:col>1</xdr:col>
      <xdr:colOff>205740</xdr:colOff>
      <xdr:row>0</xdr:row>
      <xdr:rowOff>0</xdr:rowOff>
    </xdr:from>
    <xdr:to>
      <xdr:col>2</xdr:col>
      <xdr:colOff>1114801</xdr:colOff>
      <xdr:row>3</xdr:row>
      <xdr:rowOff>9360</xdr:rowOff>
    </xdr:to>
    <xdr:pic>
      <xdr:nvPicPr>
        <xdr:cNvPr id="3" name="Imagem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81AA9BD-72B9-4F05-888D-BC55502708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7660" y="0"/>
          <a:ext cx="1953001" cy="55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60960</xdr:colOff>
      <xdr:row>8</xdr:row>
      <xdr:rowOff>30480</xdr:rowOff>
    </xdr:from>
    <xdr:to>
      <xdr:col>1</xdr:col>
      <xdr:colOff>492960</xdr:colOff>
      <xdr:row>8</xdr:row>
      <xdr:rowOff>296880</xdr:rowOff>
    </xdr:to>
    <xdr:sp macro="" textlink="">
      <xdr:nvSpPr>
        <xdr:cNvPr id="4" name="Seta: para a Direita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7A279FD-FAE1-4B74-BB20-C7AA8F485E9B}"/>
            </a:ext>
          </a:extLst>
        </xdr:cNvPr>
        <xdr:cNvSpPr/>
      </xdr:nvSpPr>
      <xdr:spPr>
        <a:xfrm flipH="1">
          <a:off x="182880" y="784860"/>
          <a:ext cx="432000" cy="266400"/>
        </a:xfrm>
        <a:prstGeom prst="rightArrow">
          <a:avLst/>
        </a:prstGeom>
        <a:solidFill>
          <a:schemeClr val="accent5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 fPrintsWithSheet="0"/>
  </xdr:twoCellAnchor>
  <xdr:twoCellAnchor editAs="absolute">
    <xdr:from>
      <xdr:col>1</xdr:col>
      <xdr:colOff>632460</xdr:colOff>
      <xdr:row>8</xdr:row>
      <xdr:rowOff>30480</xdr:rowOff>
    </xdr:from>
    <xdr:to>
      <xdr:col>2</xdr:col>
      <xdr:colOff>920520</xdr:colOff>
      <xdr:row>8</xdr:row>
      <xdr:rowOff>295040</xdr:rowOff>
    </xdr:to>
    <xdr:sp macro="" textlink="">
      <xdr:nvSpPr>
        <xdr:cNvPr id="5" name="CaixaDeTexto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8F37BDA4-5647-4421-878B-5D0F69C620F7}"/>
            </a:ext>
          </a:extLst>
        </xdr:cNvPr>
        <xdr:cNvSpPr txBox="1"/>
      </xdr:nvSpPr>
      <xdr:spPr>
        <a:xfrm>
          <a:off x="754380" y="784860"/>
          <a:ext cx="1332000" cy="26456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3175">
          <a:solidFill>
            <a:schemeClr val="bg1">
              <a:lumMod val="9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pt-BR" sz="1100" b="0">
              <a:solidFill>
                <a:schemeClr val="accent5">
                  <a:lumMod val="75000"/>
                </a:schemeClr>
              </a:solidFill>
            </a:rPr>
            <a:t>Relatório</a:t>
          </a:r>
          <a:r>
            <a:rPr lang="pt-BR" sz="1100" b="0" baseline="0">
              <a:solidFill>
                <a:schemeClr val="accent5">
                  <a:lumMod val="75000"/>
                </a:schemeClr>
              </a:solidFill>
            </a:rPr>
            <a:t> Geral</a:t>
          </a:r>
          <a:endParaRPr lang="pt-BR" sz="1100" b="0">
            <a:solidFill>
              <a:schemeClr val="accent5">
                <a:lumMod val="75000"/>
              </a:schemeClr>
            </a:solidFill>
          </a:endParaRPr>
        </a:p>
      </xdr:txBody>
    </xdr:sp>
    <xdr:clientData fPrintsWithSheet="0"/>
  </xdr:twoCellAnchor>
  <xdr:twoCellAnchor editAs="absolute">
    <xdr:from>
      <xdr:col>2</xdr:col>
      <xdr:colOff>975360</xdr:colOff>
      <xdr:row>8</xdr:row>
      <xdr:rowOff>30480</xdr:rowOff>
    </xdr:from>
    <xdr:to>
      <xdr:col>2</xdr:col>
      <xdr:colOff>2307360</xdr:colOff>
      <xdr:row>8</xdr:row>
      <xdr:rowOff>295040</xdr:rowOff>
    </xdr:to>
    <xdr:sp macro="[0]!Imprimir" textlink="">
      <xdr:nvSpPr>
        <xdr:cNvPr id="6" name="CaixaDeTexto 5">
          <a:extLst>
            <a:ext uri="{FF2B5EF4-FFF2-40B4-BE49-F238E27FC236}">
              <a16:creationId xmlns:a16="http://schemas.microsoft.com/office/drawing/2014/main" id="{9EC64B87-D479-40E6-9031-D287480D1237}"/>
            </a:ext>
          </a:extLst>
        </xdr:cNvPr>
        <xdr:cNvSpPr txBox="1"/>
      </xdr:nvSpPr>
      <xdr:spPr>
        <a:xfrm>
          <a:off x="2141220" y="784860"/>
          <a:ext cx="1332000" cy="26456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3175">
          <a:solidFill>
            <a:schemeClr val="bg1">
              <a:lumMod val="9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pt-BR" sz="1100" b="0">
              <a:solidFill>
                <a:schemeClr val="accent5">
                  <a:lumMod val="75000"/>
                </a:schemeClr>
              </a:solidFill>
            </a:rPr>
            <a:t>Imprimir</a:t>
          </a:r>
        </a:p>
      </xdr:txBody>
    </xdr:sp>
    <xdr:clientData fPrintsWithSheet="0"/>
  </xdr:twoCellAnchor>
  <xdr:oneCellAnchor>
    <xdr:from>
      <xdr:col>6</xdr:col>
      <xdr:colOff>739140</xdr:colOff>
      <xdr:row>8</xdr:row>
      <xdr:rowOff>53340</xdr:rowOff>
    </xdr:from>
    <xdr:ext cx="2463389" cy="311496"/>
    <xdr:sp macro="" textlink="">
      <xdr:nvSpPr>
        <xdr:cNvPr id="7" name="CaixaDeTexto 6">
          <a:extLst>
            <a:ext uri="{FF2B5EF4-FFF2-40B4-BE49-F238E27FC236}">
              <a16:creationId xmlns:a16="http://schemas.microsoft.com/office/drawing/2014/main" id="{B411962D-7716-4ADB-AF71-77210BEB3FC3}"/>
            </a:ext>
          </a:extLst>
        </xdr:cNvPr>
        <xdr:cNvSpPr txBox="1"/>
      </xdr:nvSpPr>
      <xdr:spPr>
        <a:xfrm>
          <a:off x="10454640" y="807720"/>
          <a:ext cx="2463389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pt-BR" sz="1400">
              <a:solidFill>
                <a:schemeClr val="accent5">
                  <a:lumMod val="50000"/>
                </a:schemeClr>
              </a:solidFill>
            </a:rPr>
            <a:t>Total de Vendas em </a:t>
          </a:r>
          <a:r>
            <a:rPr lang="pt-BR" sz="1400" b="1">
              <a:solidFill>
                <a:schemeClr val="accent5">
                  <a:lumMod val="50000"/>
                </a:schemeClr>
              </a:solidFill>
            </a:rPr>
            <a:t>Julho</a:t>
          </a:r>
          <a:r>
            <a:rPr lang="pt-BR" sz="1400">
              <a:solidFill>
                <a:schemeClr val="accent5">
                  <a:lumMod val="50000"/>
                </a:schemeClr>
              </a:solidFill>
            </a:rPr>
            <a:t>:</a:t>
          </a:r>
        </a:p>
      </xdr:txBody>
    </xdr:sp>
    <xdr:clientData/>
  </xdr:oneCellAnchor>
  <xdr:twoCellAnchor editAs="absolute">
    <xdr:from>
      <xdr:col>2</xdr:col>
      <xdr:colOff>2346960</xdr:colOff>
      <xdr:row>8</xdr:row>
      <xdr:rowOff>30480</xdr:rowOff>
    </xdr:from>
    <xdr:to>
      <xdr:col>3</xdr:col>
      <xdr:colOff>353700</xdr:colOff>
      <xdr:row>8</xdr:row>
      <xdr:rowOff>296880</xdr:rowOff>
    </xdr:to>
    <xdr:sp macro="" textlink="">
      <xdr:nvSpPr>
        <xdr:cNvPr id="8" name="CaixaDeTexto 7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BC55432F-5306-4FE0-A464-EB439B9332CB}"/>
            </a:ext>
          </a:extLst>
        </xdr:cNvPr>
        <xdr:cNvSpPr txBox="1"/>
      </xdr:nvSpPr>
      <xdr:spPr>
        <a:xfrm>
          <a:off x="3512820" y="784860"/>
          <a:ext cx="468000" cy="26640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 b="0">
              <a:solidFill>
                <a:schemeClr val="accent5">
                  <a:lumMod val="75000"/>
                </a:schemeClr>
              </a:solidFill>
            </a:rPr>
            <a:t>JAN</a:t>
          </a:r>
        </a:p>
      </xdr:txBody>
    </xdr:sp>
    <xdr:clientData fPrintsWithSheet="0"/>
  </xdr:twoCellAnchor>
  <xdr:twoCellAnchor editAs="absolute">
    <xdr:from>
      <xdr:col>3</xdr:col>
      <xdr:colOff>388295</xdr:colOff>
      <xdr:row>8</xdr:row>
      <xdr:rowOff>30480</xdr:rowOff>
    </xdr:from>
    <xdr:to>
      <xdr:col>3</xdr:col>
      <xdr:colOff>856295</xdr:colOff>
      <xdr:row>8</xdr:row>
      <xdr:rowOff>296880</xdr:rowOff>
    </xdr:to>
    <xdr:sp macro="" textlink="">
      <xdr:nvSpPr>
        <xdr:cNvPr id="9" name="CaixaDeTexto 8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7C4E3B14-AF8F-416A-9D3D-133577394ECD}"/>
            </a:ext>
          </a:extLst>
        </xdr:cNvPr>
        <xdr:cNvSpPr txBox="1"/>
      </xdr:nvSpPr>
      <xdr:spPr>
        <a:xfrm>
          <a:off x="4015415" y="784860"/>
          <a:ext cx="468000" cy="26640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>
              <a:solidFill>
                <a:schemeClr val="accent5">
                  <a:lumMod val="75000"/>
                </a:schemeClr>
              </a:solidFill>
            </a:rPr>
            <a:t>FEV</a:t>
          </a:r>
        </a:p>
      </xdr:txBody>
    </xdr:sp>
    <xdr:clientData fPrintsWithSheet="0"/>
  </xdr:twoCellAnchor>
  <xdr:twoCellAnchor editAs="absolute">
    <xdr:from>
      <xdr:col>3</xdr:col>
      <xdr:colOff>890890</xdr:colOff>
      <xdr:row>8</xdr:row>
      <xdr:rowOff>30480</xdr:rowOff>
    </xdr:from>
    <xdr:to>
      <xdr:col>3</xdr:col>
      <xdr:colOff>1358890</xdr:colOff>
      <xdr:row>8</xdr:row>
      <xdr:rowOff>296880</xdr:rowOff>
    </xdr:to>
    <xdr:sp macro="" textlink="">
      <xdr:nvSpPr>
        <xdr:cNvPr id="10" name="CaixaDeTexto 9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CC73477E-877D-4992-8343-6BD2D06EB97F}"/>
            </a:ext>
          </a:extLst>
        </xdr:cNvPr>
        <xdr:cNvSpPr txBox="1"/>
      </xdr:nvSpPr>
      <xdr:spPr>
        <a:xfrm>
          <a:off x="4518010" y="784860"/>
          <a:ext cx="468000" cy="26640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>
              <a:solidFill>
                <a:schemeClr val="accent5">
                  <a:lumMod val="75000"/>
                </a:schemeClr>
              </a:solidFill>
            </a:rPr>
            <a:t>MAR</a:t>
          </a:r>
        </a:p>
      </xdr:txBody>
    </xdr:sp>
    <xdr:clientData fPrintsWithSheet="0"/>
  </xdr:twoCellAnchor>
  <xdr:twoCellAnchor editAs="absolute">
    <xdr:from>
      <xdr:col>4</xdr:col>
      <xdr:colOff>2835</xdr:colOff>
      <xdr:row>8</xdr:row>
      <xdr:rowOff>30480</xdr:rowOff>
    </xdr:from>
    <xdr:to>
      <xdr:col>4</xdr:col>
      <xdr:colOff>436545</xdr:colOff>
      <xdr:row>8</xdr:row>
      <xdr:rowOff>296880</xdr:rowOff>
    </xdr:to>
    <xdr:sp macro="" textlink="">
      <xdr:nvSpPr>
        <xdr:cNvPr id="11" name="CaixaDeTexto 10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CB4F0EF8-E52A-401E-98ED-6452D72905DC}"/>
            </a:ext>
          </a:extLst>
        </xdr:cNvPr>
        <xdr:cNvSpPr txBox="1"/>
      </xdr:nvSpPr>
      <xdr:spPr>
        <a:xfrm>
          <a:off x="5020605" y="784860"/>
          <a:ext cx="468000" cy="26640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>
              <a:solidFill>
                <a:schemeClr val="accent5">
                  <a:lumMod val="75000"/>
                </a:schemeClr>
              </a:solidFill>
            </a:rPr>
            <a:t>ABR</a:t>
          </a:r>
        </a:p>
      </xdr:txBody>
    </xdr:sp>
    <xdr:clientData fPrintsWithSheet="0"/>
  </xdr:twoCellAnchor>
  <xdr:twoCellAnchor editAs="absolute">
    <xdr:from>
      <xdr:col>4</xdr:col>
      <xdr:colOff>471140</xdr:colOff>
      <xdr:row>8</xdr:row>
      <xdr:rowOff>30480</xdr:rowOff>
    </xdr:from>
    <xdr:to>
      <xdr:col>4</xdr:col>
      <xdr:colOff>939140</xdr:colOff>
      <xdr:row>8</xdr:row>
      <xdr:rowOff>296880</xdr:rowOff>
    </xdr:to>
    <xdr:sp macro="" textlink="">
      <xdr:nvSpPr>
        <xdr:cNvPr id="12" name="CaixaDeTexto 11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F1FF5F8E-89FA-4636-BC71-2027F850C8B5}"/>
            </a:ext>
          </a:extLst>
        </xdr:cNvPr>
        <xdr:cNvSpPr txBox="1"/>
      </xdr:nvSpPr>
      <xdr:spPr>
        <a:xfrm>
          <a:off x="5523200" y="784860"/>
          <a:ext cx="468000" cy="26640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>
              <a:solidFill>
                <a:schemeClr val="accent5">
                  <a:lumMod val="75000"/>
                </a:schemeClr>
              </a:solidFill>
            </a:rPr>
            <a:t>MAI</a:t>
          </a:r>
        </a:p>
      </xdr:txBody>
    </xdr:sp>
    <xdr:clientData fPrintsWithSheet="0"/>
  </xdr:twoCellAnchor>
  <xdr:twoCellAnchor editAs="absolute">
    <xdr:from>
      <xdr:col>4</xdr:col>
      <xdr:colOff>973735</xdr:colOff>
      <xdr:row>8</xdr:row>
      <xdr:rowOff>30480</xdr:rowOff>
    </xdr:from>
    <xdr:to>
      <xdr:col>4</xdr:col>
      <xdr:colOff>1441735</xdr:colOff>
      <xdr:row>8</xdr:row>
      <xdr:rowOff>296880</xdr:rowOff>
    </xdr:to>
    <xdr:sp macro="" textlink="">
      <xdr:nvSpPr>
        <xdr:cNvPr id="13" name="CaixaDeTexto 12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E83FDDB6-5BA4-469F-925F-67016A9914F4}"/>
            </a:ext>
          </a:extLst>
        </xdr:cNvPr>
        <xdr:cNvSpPr txBox="1"/>
      </xdr:nvSpPr>
      <xdr:spPr>
        <a:xfrm>
          <a:off x="6025795" y="784860"/>
          <a:ext cx="468000" cy="26640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>
              <a:solidFill>
                <a:schemeClr val="accent5">
                  <a:lumMod val="75000"/>
                </a:schemeClr>
              </a:solidFill>
            </a:rPr>
            <a:t>JUN</a:t>
          </a:r>
        </a:p>
      </xdr:txBody>
    </xdr:sp>
    <xdr:clientData fPrintsWithSheet="0"/>
  </xdr:twoCellAnchor>
  <xdr:twoCellAnchor editAs="absolute">
    <xdr:from>
      <xdr:col>4</xdr:col>
      <xdr:colOff>1483950</xdr:colOff>
      <xdr:row>8</xdr:row>
      <xdr:rowOff>30480</xdr:rowOff>
    </xdr:from>
    <xdr:to>
      <xdr:col>4</xdr:col>
      <xdr:colOff>1951950</xdr:colOff>
      <xdr:row>8</xdr:row>
      <xdr:rowOff>296880</xdr:rowOff>
    </xdr:to>
    <xdr:sp macro="" textlink="">
      <xdr:nvSpPr>
        <xdr:cNvPr id="14" name="CaixaDeTexto 13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6E86F3DA-17D9-4B15-B7B7-4DE156FD59EE}"/>
            </a:ext>
          </a:extLst>
        </xdr:cNvPr>
        <xdr:cNvSpPr txBox="1"/>
      </xdr:nvSpPr>
      <xdr:spPr>
        <a:xfrm>
          <a:off x="6528390" y="784860"/>
          <a:ext cx="468000" cy="266400"/>
        </a:xfrm>
        <a:prstGeom prst="rect">
          <a:avLst/>
        </a:prstGeom>
        <a:solidFill>
          <a:schemeClr val="accent2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>
              <a:solidFill>
                <a:schemeClr val="bg1"/>
              </a:solidFill>
            </a:rPr>
            <a:t>JUL</a:t>
          </a:r>
        </a:p>
      </xdr:txBody>
    </xdr:sp>
    <xdr:clientData fPrintsWithSheet="0"/>
  </xdr:twoCellAnchor>
  <xdr:twoCellAnchor editAs="absolute">
    <xdr:from>
      <xdr:col>4</xdr:col>
      <xdr:colOff>1986545</xdr:colOff>
      <xdr:row>8</xdr:row>
      <xdr:rowOff>30480</xdr:rowOff>
    </xdr:from>
    <xdr:to>
      <xdr:col>4</xdr:col>
      <xdr:colOff>2454545</xdr:colOff>
      <xdr:row>8</xdr:row>
      <xdr:rowOff>296880</xdr:rowOff>
    </xdr:to>
    <xdr:sp macro="" textlink="">
      <xdr:nvSpPr>
        <xdr:cNvPr id="15" name="CaixaDeTexto 14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D57DE648-467E-482A-A1A4-5BB6929D10F0}"/>
            </a:ext>
          </a:extLst>
        </xdr:cNvPr>
        <xdr:cNvSpPr txBox="1"/>
      </xdr:nvSpPr>
      <xdr:spPr>
        <a:xfrm>
          <a:off x="7030985" y="784860"/>
          <a:ext cx="468000" cy="26640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>
              <a:solidFill>
                <a:schemeClr val="accent5">
                  <a:lumMod val="75000"/>
                </a:schemeClr>
              </a:solidFill>
            </a:rPr>
            <a:t>AGO</a:t>
          </a:r>
        </a:p>
      </xdr:txBody>
    </xdr:sp>
    <xdr:clientData fPrintsWithSheet="0"/>
  </xdr:twoCellAnchor>
  <xdr:twoCellAnchor editAs="absolute">
    <xdr:from>
      <xdr:col>4</xdr:col>
      <xdr:colOff>2489140</xdr:colOff>
      <xdr:row>8</xdr:row>
      <xdr:rowOff>30480</xdr:rowOff>
    </xdr:from>
    <xdr:to>
      <xdr:col>5</xdr:col>
      <xdr:colOff>53920</xdr:colOff>
      <xdr:row>8</xdr:row>
      <xdr:rowOff>296880</xdr:rowOff>
    </xdr:to>
    <xdr:sp macro="" textlink="">
      <xdr:nvSpPr>
        <xdr:cNvPr id="16" name="CaixaDeTexto 15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30915F4D-24F5-4CAB-ACB2-C00D421305AA}"/>
            </a:ext>
          </a:extLst>
        </xdr:cNvPr>
        <xdr:cNvSpPr txBox="1"/>
      </xdr:nvSpPr>
      <xdr:spPr>
        <a:xfrm>
          <a:off x="7533580" y="784860"/>
          <a:ext cx="468000" cy="26640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>
              <a:solidFill>
                <a:schemeClr val="accent5">
                  <a:lumMod val="75000"/>
                </a:schemeClr>
              </a:solidFill>
            </a:rPr>
            <a:t>SET</a:t>
          </a:r>
        </a:p>
      </xdr:txBody>
    </xdr:sp>
    <xdr:clientData fPrintsWithSheet="0"/>
  </xdr:twoCellAnchor>
  <xdr:twoCellAnchor editAs="absolute">
    <xdr:from>
      <xdr:col>5</xdr:col>
      <xdr:colOff>88515</xdr:colOff>
      <xdr:row>8</xdr:row>
      <xdr:rowOff>30480</xdr:rowOff>
    </xdr:from>
    <xdr:to>
      <xdr:col>5</xdr:col>
      <xdr:colOff>548895</xdr:colOff>
      <xdr:row>8</xdr:row>
      <xdr:rowOff>296880</xdr:rowOff>
    </xdr:to>
    <xdr:sp macro="" textlink="">
      <xdr:nvSpPr>
        <xdr:cNvPr id="17" name="CaixaDeTexto 16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75A2EB80-BF7E-495B-9F72-791623EA0B6A}"/>
            </a:ext>
          </a:extLst>
        </xdr:cNvPr>
        <xdr:cNvSpPr txBox="1"/>
      </xdr:nvSpPr>
      <xdr:spPr>
        <a:xfrm>
          <a:off x="8036175" y="784860"/>
          <a:ext cx="468000" cy="26640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>
              <a:solidFill>
                <a:schemeClr val="accent5">
                  <a:lumMod val="75000"/>
                </a:schemeClr>
              </a:solidFill>
            </a:rPr>
            <a:t>OUT</a:t>
          </a:r>
        </a:p>
      </xdr:txBody>
    </xdr:sp>
    <xdr:clientData fPrintsWithSheet="0"/>
  </xdr:twoCellAnchor>
  <xdr:twoCellAnchor editAs="absolute">
    <xdr:from>
      <xdr:col>5</xdr:col>
      <xdr:colOff>583490</xdr:colOff>
      <xdr:row>8</xdr:row>
      <xdr:rowOff>30480</xdr:rowOff>
    </xdr:from>
    <xdr:to>
      <xdr:col>5</xdr:col>
      <xdr:colOff>1051490</xdr:colOff>
      <xdr:row>8</xdr:row>
      <xdr:rowOff>296880</xdr:rowOff>
    </xdr:to>
    <xdr:sp macro="" textlink="">
      <xdr:nvSpPr>
        <xdr:cNvPr id="18" name="CaixaDeTexto 17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CA23A4B7-15E0-4DCF-B692-7D3D446A8DA5}"/>
            </a:ext>
          </a:extLst>
        </xdr:cNvPr>
        <xdr:cNvSpPr txBox="1"/>
      </xdr:nvSpPr>
      <xdr:spPr>
        <a:xfrm>
          <a:off x="8538770" y="784860"/>
          <a:ext cx="468000" cy="26640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>
              <a:solidFill>
                <a:schemeClr val="accent5">
                  <a:lumMod val="75000"/>
                </a:schemeClr>
              </a:solidFill>
            </a:rPr>
            <a:t>NOV</a:t>
          </a:r>
        </a:p>
      </xdr:txBody>
    </xdr:sp>
    <xdr:clientData fPrintsWithSheet="0"/>
  </xdr:twoCellAnchor>
  <xdr:twoCellAnchor editAs="absolute">
    <xdr:from>
      <xdr:col>5</xdr:col>
      <xdr:colOff>1086085</xdr:colOff>
      <xdr:row>8</xdr:row>
      <xdr:rowOff>30480</xdr:rowOff>
    </xdr:from>
    <xdr:to>
      <xdr:col>5</xdr:col>
      <xdr:colOff>1561705</xdr:colOff>
      <xdr:row>8</xdr:row>
      <xdr:rowOff>296880</xdr:rowOff>
    </xdr:to>
    <xdr:sp macro="" textlink="">
      <xdr:nvSpPr>
        <xdr:cNvPr id="19" name="CaixaDeTexto 18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FC9A9274-0341-44F8-BEA2-3C23ACE18535}"/>
            </a:ext>
          </a:extLst>
        </xdr:cNvPr>
        <xdr:cNvSpPr txBox="1"/>
      </xdr:nvSpPr>
      <xdr:spPr>
        <a:xfrm>
          <a:off x="9041365" y="784860"/>
          <a:ext cx="468000" cy="26640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>
              <a:solidFill>
                <a:schemeClr val="accent5">
                  <a:lumMod val="75000"/>
                </a:schemeClr>
              </a:solidFill>
            </a:rPr>
            <a:t>DEZ</a:t>
          </a:r>
        </a:p>
      </xdr:txBody>
    </xdr:sp>
    <xdr:clientData fPrintsWithSheet="0"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1394460</xdr:colOff>
      <xdr:row>0</xdr:row>
      <xdr:rowOff>0</xdr:rowOff>
    </xdr:from>
    <xdr:ext cx="4937760" cy="571500"/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E3E1B03E-5307-4C5F-814E-612168ADEB9B}"/>
            </a:ext>
          </a:extLst>
        </xdr:cNvPr>
        <xdr:cNvSpPr txBox="1"/>
      </xdr:nvSpPr>
      <xdr:spPr>
        <a:xfrm>
          <a:off x="2560320" y="0"/>
          <a:ext cx="4937760" cy="5715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r>
            <a:rPr lang="pt-BR" sz="2400" b="1">
              <a:solidFill>
                <a:schemeClr val="accent5">
                  <a:lumMod val="75000"/>
                </a:schemeClr>
              </a:solidFill>
            </a:rPr>
            <a:t>Controle de Faturamento</a:t>
          </a:r>
          <a:r>
            <a:rPr lang="pt-BR" sz="2400" b="1" baseline="0">
              <a:solidFill>
                <a:schemeClr val="accent5">
                  <a:lumMod val="75000"/>
                </a:schemeClr>
              </a:solidFill>
            </a:rPr>
            <a:t> do MEI</a:t>
          </a:r>
          <a:endParaRPr lang="pt-BR" sz="2400" b="1">
            <a:solidFill>
              <a:schemeClr val="accent5">
                <a:lumMod val="75000"/>
              </a:schemeClr>
            </a:solidFill>
          </a:endParaRPr>
        </a:p>
      </xdr:txBody>
    </xdr:sp>
    <xdr:clientData/>
  </xdr:oneCellAnchor>
  <xdr:twoCellAnchor editAs="absolute">
    <xdr:from>
      <xdr:col>1</xdr:col>
      <xdr:colOff>205740</xdr:colOff>
      <xdr:row>0</xdr:row>
      <xdr:rowOff>0</xdr:rowOff>
    </xdr:from>
    <xdr:to>
      <xdr:col>2</xdr:col>
      <xdr:colOff>1114801</xdr:colOff>
      <xdr:row>3</xdr:row>
      <xdr:rowOff>9360</xdr:rowOff>
    </xdr:to>
    <xdr:pic>
      <xdr:nvPicPr>
        <xdr:cNvPr id="3" name="Imagem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AC6B5DF-E799-43C1-A7BA-2305CB88DD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7660" y="0"/>
          <a:ext cx="1953001" cy="55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60960</xdr:colOff>
      <xdr:row>8</xdr:row>
      <xdr:rowOff>30480</xdr:rowOff>
    </xdr:from>
    <xdr:to>
      <xdr:col>1</xdr:col>
      <xdr:colOff>492960</xdr:colOff>
      <xdr:row>8</xdr:row>
      <xdr:rowOff>296880</xdr:rowOff>
    </xdr:to>
    <xdr:sp macro="" textlink="">
      <xdr:nvSpPr>
        <xdr:cNvPr id="4" name="Seta: para a Direita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8FB86FE-CD1A-4A95-8B3D-C8161EE9B8A4}"/>
            </a:ext>
          </a:extLst>
        </xdr:cNvPr>
        <xdr:cNvSpPr/>
      </xdr:nvSpPr>
      <xdr:spPr>
        <a:xfrm flipH="1">
          <a:off x="182880" y="784860"/>
          <a:ext cx="432000" cy="266400"/>
        </a:xfrm>
        <a:prstGeom prst="rightArrow">
          <a:avLst/>
        </a:prstGeom>
        <a:solidFill>
          <a:schemeClr val="accent5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 fPrintsWithSheet="0"/>
  </xdr:twoCellAnchor>
  <xdr:twoCellAnchor editAs="absolute">
    <xdr:from>
      <xdr:col>1</xdr:col>
      <xdr:colOff>632460</xdr:colOff>
      <xdr:row>8</xdr:row>
      <xdr:rowOff>30480</xdr:rowOff>
    </xdr:from>
    <xdr:to>
      <xdr:col>2</xdr:col>
      <xdr:colOff>920520</xdr:colOff>
      <xdr:row>8</xdr:row>
      <xdr:rowOff>295040</xdr:rowOff>
    </xdr:to>
    <xdr:sp macro="" textlink="">
      <xdr:nvSpPr>
        <xdr:cNvPr id="5" name="CaixaDeTexto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5C0D1492-FD38-46BA-B24B-126D3FB5B9D3}"/>
            </a:ext>
          </a:extLst>
        </xdr:cNvPr>
        <xdr:cNvSpPr txBox="1"/>
      </xdr:nvSpPr>
      <xdr:spPr>
        <a:xfrm>
          <a:off x="754380" y="784860"/>
          <a:ext cx="1332000" cy="26456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3175">
          <a:solidFill>
            <a:schemeClr val="bg1">
              <a:lumMod val="9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pt-BR" sz="1100" b="0">
              <a:solidFill>
                <a:schemeClr val="accent5">
                  <a:lumMod val="75000"/>
                </a:schemeClr>
              </a:solidFill>
            </a:rPr>
            <a:t>Relatório</a:t>
          </a:r>
          <a:r>
            <a:rPr lang="pt-BR" sz="1100" b="0" baseline="0">
              <a:solidFill>
                <a:schemeClr val="accent5">
                  <a:lumMod val="75000"/>
                </a:schemeClr>
              </a:solidFill>
            </a:rPr>
            <a:t> Geral</a:t>
          </a:r>
          <a:endParaRPr lang="pt-BR" sz="1100" b="0">
            <a:solidFill>
              <a:schemeClr val="accent5">
                <a:lumMod val="75000"/>
              </a:schemeClr>
            </a:solidFill>
          </a:endParaRPr>
        </a:p>
      </xdr:txBody>
    </xdr:sp>
    <xdr:clientData fPrintsWithSheet="0"/>
  </xdr:twoCellAnchor>
  <xdr:twoCellAnchor editAs="absolute">
    <xdr:from>
      <xdr:col>2</xdr:col>
      <xdr:colOff>975360</xdr:colOff>
      <xdr:row>8</xdr:row>
      <xdr:rowOff>30480</xdr:rowOff>
    </xdr:from>
    <xdr:to>
      <xdr:col>2</xdr:col>
      <xdr:colOff>2307360</xdr:colOff>
      <xdr:row>8</xdr:row>
      <xdr:rowOff>295040</xdr:rowOff>
    </xdr:to>
    <xdr:sp macro="[0]!Imprimir" textlink="">
      <xdr:nvSpPr>
        <xdr:cNvPr id="6" name="CaixaDeTexto 5">
          <a:extLst>
            <a:ext uri="{FF2B5EF4-FFF2-40B4-BE49-F238E27FC236}">
              <a16:creationId xmlns:a16="http://schemas.microsoft.com/office/drawing/2014/main" id="{CC683BD9-95EB-45D9-8448-4150D0B79021}"/>
            </a:ext>
          </a:extLst>
        </xdr:cNvPr>
        <xdr:cNvSpPr txBox="1"/>
      </xdr:nvSpPr>
      <xdr:spPr>
        <a:xfrm>
          <a:off x="2141220" y="784860"/>
          <a:ext cx="1332000" cy="26456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3175">
          <a:solidFill>
            <a:schemeClr val="bg1">
              <a:lumMod val="9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pt-BR" sz="1100" b="0">
              <a:solidFill>
                <a:schemeClr val="accent5">
                  <a:lumMod val="75000"/>
                </a:schemeClr>
              </a:solidFill>
            </a:rPr>
            <a:t>Imprimir</a:t>
          </a:r>
        </a:p>
      </xdr:txBody>
    </xdr:sp>
    <xdr:clientData fPrintsWithSheet="0"/>
  </xdr:twoCellAnchor>
  <xdr:oneCellAnchor>
    <xdr:from>
      <xdr:col>6</xdr:col>
      <xdr:colOff>784860</xdr:colOff>
      <xdr:row>8</xdr:row>
      <xdr:rowOff>45720</xdr:rowOff>
    </xdr:from>
    <xdr:ext cx="2463389" cy="311496"/>
    <xdr:sp macro="" textlink="">
      <xdr:nvSpPr>
        <xdr:cNvPr id="7" name="CaixaDeTexto 6">
          <a:extLst>
            <a:ext uri="{FF2B5EF4-FFF2-40B4-BE49-F238E27FC236}">
              <a16:creationId xmlns:a16="http://schemas.microsoft.com/office/drawing/2014/main" id="{FFB2B0D3-E5AC-4639-B49B-69B7CA2F4BDC}"/>
            </a:ext>
          </a:extLst>
        </xdr:cNvPr>
        <xdr:cNvSpPr txBox="1"/>
      </xdr:nvSpPr>
      <xdr:spPr>
        <a:xfrm>
          <a:off x="10500360" y="800100"/>
          <a:ext cx="2463389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pt-BR" sz="1400">
              <a:solidFill>
                <a:schemeClr val="accent5">
                  <a:lumMod val="50000"/>
                </a:schemeClr>
              </a:solidFill>
            </a:rPr>
            <a:t>Total de Vendas em </a:t>
          </a:r>
          <a:r>
            <a:rPr lang="pt-BR" sz="1400" b="1">
              <a:solidFill>
                <a:schemeClr val="accent5">
                  <a:lumMod val="50000"/>
                </a:schemeClr>
              </a:solidFill>
            </a:rPr>
            <a:t>Agosto</a:t>
          </a:r>
          <a:r>
            <a:rPr lang="pt-BR" sz="1400">
              <a:solidFill>
                <a:schemeClr val="accent5">
                  <a:lumMod val="50000"/>
                </a:schemeClr>
              </a:solidFill>
            </a:rPr>
            <a:t>:</a:t>
          </a:r>
        </a:p>
      </xdr:txBody>
    </xdr:sp>
    <xdr:clientData/>
  </xdr:oneCellAnchor>
  <xdr:twoCellAnchor editAs="absolute">
    <xdr:from>
      <xdr:col>2</xdr:col>
      <xdr:colOff>2346960</xdr:colOff>
      <xdr:row>8</xdr:row>
      <xdr:rowOff>30480</xdr:rowOff>
    </xdr:from>
    <xdr:to>
      <xdr:col>3</xdr:col>
      <xdr:colOff>353700</xdr:colOff>
      <xdr:row>8</xdr:row>
      <xdr:rowOff>296880</xdr:rowOff>
    </xdr:to>
    <xdr:sp macro="" textlink="">
      <xdr:nvSpPr>
        <xdr:cNvPr id="8" name="CaixaDeTexto 7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9D3DC5B9-34C5-4EDD-A4CF-C8968BCC08F5}"/>
            </a:ext>
          </a:extLst>
        </xdr:cNvPr>
        <xdr:cNvSpPr txBox="1"/>
      </xdr:nvSpPr>
      <xdr:spPr>
        <a:xfrm>
          <a:off x="3512820" y="784860"/>
          <a:ext cx="468000" cy="26640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 b="0">
              <a:solidFill>
                <a:schemeClr val="accent5">
                  <a:lumMod val="75000"/>
                </a:schemeClr>
              </a:solidFill>
            </a:rPr>
            <a:t>JAN</a:t>
          </a:r>
        </a:p>
      </xdr:txBody>
    </xdr:sp>
    <xdr:clientData fPrintsWithSheet="0"/>
  </xdr:twoCellAnchor>
  <xdr:twoCellAnchor editAs="absolute">
    <xdr:from>
      <xdr:col>3</xdr:col>
      <xdr:colOff>388295</xdr:colOff>
      <xdr:row>8</xdr:row>
      <xdr:rowOff>30480</xdr:rowOff>
    </xdr:from>
    <xdr:to>
      <xdr:col>3</xdr:col>
      <xdr:colOff>856295</xdr:colOff>
      <xdr:row>8</xdr:row>
      <xdr:rowOff>296880</xdr:rowOff>
    </xdr:to>
    <xdr:sp macro="" textlink="">
      <xdr:nvSpPr>
        <xdr:cNvPr id="9" name="CaixaDeTexto 8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4D17F686-2E86-4B91-AB69-972194EA0DA2}"/>
            </a:ext>
          </a:extLst>
        </xdr:cNvPr>
        <xdr:cNvSpPr txBox="1"/>
      </xdr:nvSpPr>
      <xdr:spPr>
        <a:xfrm>
          <a:off x="4015415" y="784860"/>
          <a:ext cx="468000" cy="26640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>
              <a:solidFill>
                <a:schemeClr val="accent5">
                  <a:lumMod val="75000"/>
                </a:schemeClr>
              </a:solidFill>
            </a:rPr>
            <a:t>FEV</a:t>
          </a:r>
        </a:p>
      </xdr:txBody>
    </xdr:sp>
    <xdr:clientData fPrintsWithSheet="0"/>
  </xdr:twoCellAnchor>
  <xdr:twoCellAnchor editAs="absolute">
    <xdr:from>
      <xdr:col>3</xdr:col>
      <xdr:colOff>890890</xdr:colOff>
      <xdr:row>8</xdr:row>
      <xdr:rowOff>30480</xdr:rowOff>
    </xdr:from>
    <xdr:to>
      <xdr:col>3</xdr:col>
      <xdr:colOff>1358890</xdr:colOff>
      <xdr:row>8</xdr:row>
      <xdr:rowOff>296880</xdr:rowOff>
    </xdr:to>
    <xdr:sp macro="" textlink="">
      <xdr:nvSpPr>
        <xdr:cNvPr id="10" name="CaixaDeTexto 9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F363DC1F-99C3-4CA0-A98A-6BA7AF107DFF}"/>
            </a:ext>
          </a:extLst>
        </xdr:cNvPr>
        <xdr:cNvSpPr txBox="1"/>
      </xdr:nvSpPr>
      <xdr:spPr>
        <a:xfrm>
          <a:off x="4518010" y="784860"/>
          <a:ext cx="468000" cy="26640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>
              <a:solidFill>
                <a:schemeClr val="accent5">
                  <a:lumMod val="75000"/>
                </a:schemeClr>
              </a:solidFill>
            </a:rPr>
            <a:t>MAR</a:t>
          </a:r>
        </a:p>
      </xdr:txBody>
    </xdr:sp>
    <xdr:clientData fPrintsWithSheet="0"/>
  </xdr:twoCellAnchor>
  <xdr:twoCellAnchor editAs="absolute">
    <xdr:from>
      <xdr:col>4</xdr:col>
      <xdr:colOff>2835</xdr:colOff>
      <xdr:row>8</xdr:row>
      <xdr:rowOff>30480</xdr:rowOff>
    </xdr:from>
    <xdr:to>
      <xdr:col>4</xdr:col>
      <xdr:colOff>436545</xdr:colOff>
      <xdr:row>8</xdr:row>
      <xdr:rowOff>296880</xdr:rowOff>
    </xdr:to>
    <xdr:sp macro="" textlink="">
      <xdr:nvSpPr>
        <xdr:cNvPr id="11" name="CaixaDeTexto 10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A204CCCD-1096-4D88-83F3-6EC2428CC12D}"/>
            </a:ext>
          </a:extLst>
        </xdr:cNvPr>
        <xdr:cNvSpPr txBox="1"/>
      </xdr:nvSpPr>
      <xdr:spPr>
        <a:xfrm>
          <a:off x="5020605" y="784860"/>
          <a:ext cx="468000" cy="26640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>
              <a:solidFill>
                <a:schemeClr val="accent5">
                  <a:lumMod val="75000"/>
                </a:schemeClr>
              </a:solidFill>
            </a:rPr>
            <a:t>ABR</a:t>
          </a:r>
        </a:p>
      </xdr:txBody>
    </xdr:sp>
    <xdr:clientData fPrintsWithSheet="0"/>
  </xdr:twoCellAnchor>
  <xdr:twoCellAnchor editAs="absolute">
    <xdr:from>
      <xdr:col>4</xdr:col>
      <xdr:colOff>471140</xdr:colOff>
      <xdr:row>8</xdr:row>
      <xdr:rowOff>30480</xdr:rowOff>
    </xdr:from>
    <xdr:to>
      <xdr:col>4</xdr:col>
      <xdr:colOff>939140</xdr:colOff>
      <xdr:row>8</xdr:row>
      <xdr:rowOff>296880</xdr:rowOff>
    </xdr:to>
    <xdr:sp macro="" textlink="">
      <xdr:nvSpPr>
        <xdr:cNvPr id="12" name="CaixaDeTexto 11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D0C82576-CB39-4C5E-BEFE-4130C068270F}"/>
            </a:ext>
          </a:extLst>
        </xdr:cNvPr>
        <xdr:cNvSpPr txBox="1"/>
      </xdr:nvSpPr>
      <xdr:spPr>
        <a:xfrm>
          <a:off x="5523200" y="784860"/>
          <a:ext cx="468000" cy="26640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>
              <a:solidFill>
                <a:schemeClr val="accent5">
                  <a:lumMod val="75000"/>
                </a:schemeClr>
              </a:solidFill>
            </a:rPr>
            <a:t>MAI</a:t>
          </a:r>
        </a:p>
      </xdr:txBody>
    </xdr:sp>
    <xdr:clientData fPrintsWithSheet="0"/>
  </xdr:twoCellAnchor>
  <xdr:twoCellAnchor editAs="absolute">
    <xdr:from>
      <xdr:col>4</xdr:col>
      <xdr:colOff>973735</xdr:colOff>
      <xdr:row>8</xdr:row>
      <xdr:rowOff>30480</xdr:rowOff>
    </xdr:from>
    <xdr:to>
      <xdr:col>4</xdr:col>
      <xdr:colOff>1441735</xdr:colOff>
      <xdr:row>8</xdr:row>
      <xdr:rowOff>296880</xdr:rowOff>
    </xdr:to>
    <xdr:sp macro="" textlink="">
      <xdr:nvSpPr>
        <xdr:cNvPr id="13" name="CaixaDeTexto 12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9B784DCE-FDC3-4512-91AE-323DC4284A9B}"/>
            </a:ext>
          </a:extLst>
        </xdr:cNvPr>
        <xdr:cNvSpPr txBox="1"/>
      </xdr:nvSpPr>
      <xdr:spPr>
        <a:xfrm>
          <a:off x="6025795" y="784860"/>
          <a:ext cx="468000" cy="26640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>
              <a:solidFill>
                <a:schemeClr val="accent5">
                  <a:lumMod val="75000"/>
                </a:schemeClr>
              </a:solidFill>
            </a:rPr>
            <a:t>JUN</a:t>
          </a:r>
        </a:p>
      </xdr:txBody>
    </xdr:sp>
    <xdr:clientData fPrintsWithSheet="0"/>
  </xdr:twoCellAnchor>
  <xdr:twoCellAnchor editAs="absolute">
    <xdr:from>
      <xdr:col>4</xdr:col>
      <xdr:colOff>1483950</xdr:colOff>
      <xdr:row>8</xdr:row>
      <xdr:rowOff>30480</xdr:rowOff>
    </xdr:from>
    <xdr:to>
      <xdr:col>4</xdr:col>
      <xdr:colOff>1951950</xdr:colOff>
      <xdr:row>8</xdr:row>
      <xdr:rowOff>296880</xdr:rowOff>
    </xdr:to>
    <xdr:sp macro="" textlink="">
      <xdr:nvSpPr>
        <xdr:cNvPr id="14" name="CaixaDeTexto 13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17CF2C1F-ACED-4209-8B9E-C3C1DC2D26F7}"/>
            </a:ext>
          </a:extLst>
        </xdr:cNvPr>
        <xdr:cNvSpPr txBox="1"/>
      </xdr:nvSpPr>
      <xdr:spPr>
        <a:xfrm>
          <a:off x="6528390" y="784860"/>
          <a:ext cx="468000" cy="26640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>
              <a:solidFill>
                <a:schemeClr val="accent5">
                  <a:lumMod val="75000"/>
                </a:schemeClr>
              </a:solidFill>
            </a:rPr>
            <a:t>JUL</a:t>
          </a:r>
        </a:p>
      </xdr:txBody>
    </xdr:sp>
    <xdr:clientData fPrintsWithSheet="0"/>
  </xdr:twoCellAnchor>
  <xdr:twoCellAnchor editAs="absolute">
    <xdr:from>
      <xdr:col>4</xdr:col>
      <xdr:colOff>1986545</xdr:colOff>
      <xdr:row>8</xdr:row>
      <xdr:rowOff>30480</xdr:rowOff>
    </xdr:from>
    <xdr:to>
      <xdr:col>4</xdr:col>
      <xdr:colOff>2454545</xdr:colOff>
      <xdr:row>8</xdr:row>
      <xdr:rowOff>296880</xdr:rowOff>
    </xdr:to>
    <xdr:sp macro="" textlink="">
      <xdr:nvSpPr>
        <xdr:cNvPr id="15" name="CaixaDeTexto 14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54BE9508-B3BB-4670-B812-4C3412FB19F8}"/>
            </a:ext>
          </a:extLst>
        </xdr:cNvPr>
        <xdr:cNvSpPr txBox="1"/>
      </xdr:nvSpPr>
      <xdr:spPr>
        <a:xfrm>
          <a:off x="7030985" y="784860"/>
          <a:ext cx="468000" cy="266400"/>
        </a:xfrm>
        <a:prstGeom prst="rect">
          <a:avLst/>
        </a:prstGeom>
        <a:solidFill>
          <a:schemeClr val="accent2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>
              <a:solidFill>
                <a:schemeClr val="bg1"/>
              </a:solidFill>
            </a:rPr>
            <a:t>AGO</a:t>
          </a:r>
        </a:p>
      </xdr:txBody>
    </xdr:sp>
    <xdr:clientData fPrintsWithSheet="0"/>
  </xdr:twoCellAnchor>
  <xdr:twoCellAnchor editAs="absolute">
    <xdr:from>
      <xdr:col>4</xdr:col>
      <xdr:colOff>2489140</xdr:colOff>
      <xdr:row>8</xdr:row>
      <xdr:rowOff>30480</xdr:rowOff>
    </xdr:from>
    <xdr:to>
      <xdr:col>5</xdr:col>
      <xdr:colOff>53920</xdr:colOff>
      <xdr:row>8</xdr:row>
      <xdr:rowOff>296880</xdr:rowOff>
    </xdr:to>
    <xdr:sp macro="" textlink="">
      <xdr:nvSpPr>
        <xdr:cNvPr id="16" name="CaixaDeTexto 15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BD5F08EB-7AAC-4A09-B9CB-62A630A4E055}"/>
            </a:ext>
          </a:extLst>
        </xdr:cNvPr>
        <xdr:cNvSpPr txBox="1"/>
      </xdr:nvSpPr>
      <xdr:spPr>
        <a:xfrm>
          <a:off x="7533580" y="784860"/>
          <a:ext cx="468000" cy="26640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>
              <a:solidFill>
                <a:schemeClr val="accent5">
                  <a:lumMod val="75000"/>
                </a:schemeClr>
              </a:solidFill>
            </a:rPr>
            <a:t>SET</a:t>
          </a:r>
        </a:p>
      </xdr:txBody>
    </xdr:sp>
    <xdr:clientData fPrintsWithSheet="0"/>
  </xdr:twoCellAnchor>
  <xdr:twoCellAnchor editAs="absolute">
    <xdr:from>
      <xdr:col>5</xdr:col>
      <xdr:colOff>88515</xdr:colOff>
      <xdr:row>8</xdr:row>
      <xdr:rowOff>30480</xdr:rowOff>
    </xdr:from>
    <xdr:to>
      <xdr:col>5</xdr:col>
      <xdr:colOff>548895</xdr:colOff>
      <xdr:row>8</xdr:row>
      <xdr:rowOff>296880</xdr:rowOff>
    </xdr:to>
    <xdr:sp macro="" textlink="">
      <xdr:nvSpPr>
        <xdr:cNvPr id="17" name="CaixaDeTexto 16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033B7012-E964-4E7A-91D5-97C7764D1094}"/>
            </a:ext>
          </a:extLst>
        </xdr:cNvPr>
        <xdr:cNvSpPr txBox="1"/>
      </xdr:nvSpPr>
      <xdr:spPr>
        <a:xfrm>
          <a:off x="8036175" y="784860"/>
          <a:ext cx="468000" cy="26640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>
              <a:solidFill>
                <a:schemeClr val="accent5">
                  <a:lumMod val="75000"/>
                </a:schemeClr>
              </a:solidFill>
            </a:rPr>
            <a:t>OUT</a:t>
          </a:r>
        </a:p>
      </xdr:txBody>
    </xdr:sp>
    <xdr:clientData fPrintsWithSheet="0"/>
  </xdr:twoCellAnchor>
  <xdr:twoCellAnchor editAs="absolute">
    <xdr:from>
      <xdr:col>5</xdr:col>
      <xdr:colOff>583490</xdr:colOff>
      <xdr:row>8</xdr:row>
      <xdr:rowOff>30480</xdr:rowOff>
    </xdr:from>
    <xdr:to>
      <xdr:col>5</xdr:col>
      <xdr:colOff>1051490</xdr:colOff>
      <xdr:row>8</xdr:row>
      <xdr:rowOff>296880</xdr:rowOff>
    </xdr:to>
    <xdr:sp macro="" textlink="">
      <xdr:nvSpPr>
        <xdr:cNvPr id="18" name="CaixaDeTexto 17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83A1F781-3020-4726-B950-A6E7006A49D0}"/>
            </a:ext>
          </a:extLst>
        </xdr:cNvPr>
        <xdr:cNvSpPr txBox="1"/>
      </xdr:nvSpPr>
      <xdr:spPr>
        <a:xfrm>
          <a:off x="8538770" y="784860"/>
          <a:ext cx="468000" cy="26640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>
              <a:solidFill>
                <a:schemeClr val="accent5">
                  <a:lumMod val="75000"/>
                </a:schemeClr>
              </a:solidFill>
            </a:rPr>
            <a:t>NOV</a:t>
          </a:r>
        </a:p>
      </xdr:txBody>
    </xdr:sp>
    <xdr:clientData fPrintsWithSheet="0"/>
  </xdr:twoCellAnchor>
  <xdr:twoCellAnchor editAs="absolute">
    <xdr:from>
      <xdr:col>5</xdr:col>
      <xdr:colOff>1086085</xdr:colOff>
      <xdr:row>8</xdr:row>
      <xdr:rowOff>30480</xdr:rowOff>
    </xdr:from>
    <xdr:to>
      <xdr:col>5</xdr:col>
      <xdr:colOff>1561705</xdr:colOff>
      <xdr:row>8</xdr:row>
      <xdr:rowOff>296880</xdr:rowOff>
    </xdr:to>
    <xdr:sp macro="" textlink="">
      <xdr:nvSpPr>
        <xdr:cNvPr id="19" name="CaixaDeTexto 18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B8E38463-72D4-42C3-BBA7-2E5D5E489870}"/>
            </a:ext>
          </a:extLst>
        </xdr:cNvPr>
        <xdr:cNvSpPr txBox="1"/>
      </xdr:nvSpPr>
      <xdr:spPr>
        <a:xfrm>
          <a:off x="9041365" y="784860"/>
          <a:ext cx="468000" cy="26640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>
              <a:solidFill>
                <a:schemeClr val="accent5">
                  <a:lumMod val="75000"/>
                </a:schemeClr>
              </a:solidFill>
            </a:rPr>
            <a:t>DEZ</a:t>
          </a:r>
        </a:p>
      </xdr:txBody>
    </xdr:sp>
    <xdr:clientData fPrintsWithSheet="0"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1394460</xdr:colOff>
      <xdr:row>0</xdr:row>
      <xdr:rowOff>0</xdr:rowOff>
    </xdr:from>
    <xdr:ext cx="4937760" cy="571500"/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6516DA60-0757-4F8E-8A64-2B994DFD0BE7}"/>
            </a:ext>
          </a:extLst>
        </xdr:cNvPr>
        <xdr:cNvSpPr txBox="1"/>
      </xdr:nvSpPr>
      <xdr:spPr>
        <a:xfrm>
          <a:off x="2560320" y="0"/>
          <a:ext cx="4937760" cy="5715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r>
            <a:rPr lang="pt-BR" sz="2400" b="1">
              <a:solidFill>
                <a:schemeClr val="accent5">
                  <a:lumMod val="75000"/>
                </a:schemeClr>
              </a:solidFill>
            </a:rPr>
            <a:t>Controle de Faturamento</a:t>
          </a:r>
          <a:r>
            <a:rPr lang="pt-BR" sz="2400" b="1" baseline="0">
              <a:solidFill>
                <a:schemeClr val="accent5">
                  <a:lumMod val="75000"/>
                </a:schemeClr>
              </a:solidFill>
            </a:rPr>
            <a:t> do MEI</a:t>
          </a:r>
          <a:endParaRPr lang="pt-BR" sz="2400" b="1">
            <a:solidFill>
              <a:schemeClr val="accent5">
                <a:lumMod val="75000"/>
              </a:schemeClr>
            </a:solidFill>
          </a:endParaRPr>
        </a:p>
      </xdr:txBody>
    </xdr:sp>
    <xdr:clientData/>
  </xdr:oneCellAnchor>
  <xdr:twoCellAnchor editAs="absolute">
    <xdr:from>
      <xdr:col>1</xdr:col>
      <xdr:colOff>205740</xdr:colOff>
      <xdr:row>0</xdr:row>
      <xdr:rowOff>0</xdr:rowOff>
    </xdr:from>
    <xdr:to>
      <xdr:col>2</xdr:col>
      <xdr:colOff>1114801</xdr:colOff>
      <xdr:row>3</xdr:row>
      <xdr:rowOff>9360</xdr:rowOff>
    </xdr:to>
    <xdr:pic>
      <xdr:nvPicPr>
        <xdr:cNvPr id="3" name="Imagem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100B54C-DACE-42B1-9672-7D8BDD769A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7660" y="0"/>
          <a:ext cx="1953001" cy="55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60960</xdr:colOff>
      <xdr:row>8</xdr:row>
      <xdr:rowOff>30480</xdr:rowOff>
    </xdr:from>
    <xdr:to>
      <xdr:col>1</xdr:col>
      <xdr:colOff>492960</xdr:colOff>
      <xdr:row>8</xdr:row>
      <xdr:rowOff>296880</xdr:rowOff>
    </xdr:to>
    <xdr:sp macro="" textlink="">
      <xdr:nvSpPr>
        <xdr:cNvPr id="4" name="Seta: para a Direita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E3B79ED-7D2F-4B8B-B2DE-B07A663A007D}"/>
            </a:ext>
          </a:extLst>
        </xdr:cNvPr>
        <xdr:cNvSpPr/>
      </xdr:nvSpPr>
      <xdr:spPr>
        <a:xfrm flipH="1">
          <a:off x="182880" y="784860"/>
          <a:ext cx="432000" cy="266400"/>
        </a:xfrm>
        <a:prstGeom prst="rightArrow">
          <a:avLst/>
        </a:prstGeom>
        <a:solidFill>
          <a:schemeClr val="accent5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 fPrintsWithSheet="0"/>
  </xdr:twoCellAnchor>
  <xdr:twoCellAnchor editAs="absolute">
    <xdr:from>
      <xdr:col>1</xdr:col>
      <xdr:colOff>632460</xdr:colOff>
      <xdr:row>8</xdr:row>
      <xdr:rowOff>30480</xdr:rowOff>
    </xdr:from>
    <xdr:to>
      <xdr:col>2</xdr:col>
      <xdr:colOff>920520</xdr:colOff>
      <xdr:row>8</xdr:row>
      <xdr:rowOff>295040</xdr:rowOff>
    </xdr:to>
    <xdr:sp macro="" textlink="">
      <xdr:nvSpPr>
        <xdr:cNvPr id="5" name="CaixaDeTexto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F11C7FBF-B836-4C32-A477-5429059676E4}"/>
            </a:ext>
          </a:extLst>
        </xdr:cNvPr>
        <xdr:cNvSpPr txBox="1"/>
      </xdr:nvSpPr>
      <xdr:spPr>
        <a:xfrm>
          <a:off x="754380" y="784860"/>
          <a:ext cx="1332000" cy="26456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3175">
          <a:solidFill>
            <a:schemeClr val="bg1">
              <a:lumMod val="9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pt-BR" sz="1100" b="0">
              <a:solidFill>
                <a:schemeClr val="accent5">
                  <a:lumMod val="75000"/>
                </a:schemeClr>
              </a:solidFill>
            </a:rPr>
            <a:t>Relatório</a:t>
          </a:r>
          <a:r>
            <a:rPr lang="pt-BR" sz="1100" b="0" baseline="0">
              <a:solidFill>
                <a:schemeClr val="accent5">
                  <a:lumMod val="75000"/>
                </a:schemeClr>
              </a:solidFill>
            </a:rPr>
            <a:t> Geral</a:t>
          </a:r>
          <a:endParaRPr lang="pt-BR" sz="1100" b="0">
            <a:solidFill>
              <a:schemeClr val="accent5">
                <a:lumMod val="75000"/>
              </a:schemeClr>
            </a:solidFill>
          </a:endParaRPr>
        </a:p>
      </xdr:txBody>
    </xdr:sp>
    <xdr:clientData fPrintsWithSheet="0"/>
  </xdr:twoCellAnchor>
  <xdr:twoCellAnchor editAs="absolute">
    <xdr:from>
      <xdr:col>2</xdr:col>
      <xdr:colOff>975360</xdr:colOff>
      <xdr:row>8</xdr:row>
      <xdr:rowOff>30480</xdr:rowOff>
    </xdr:from>
    <xdr:to>
      <xdr:col>2</xdr:col>
      <xdr:colOff>2307360</xdr:colOff>
      <xdr:row>8</xdr:row>
      <xdr:rowOff>295040</xdr:rowOff>
    </xdr:to>
    <xdr:sp macro="[0]!Imprimir" textlink="">
      <xdr:nvSpPr>
        <xdr:cNvPr id="6" name="CaixaDeTexto 5">
          <a:extLst>
            <a:ext uri="{FF2B5EF4-FFF2-40B4-BE49-F238E27FC236}">
              <a16:creationId xmlns:a16="http://schemas.microsoft.com/office/drawing/2014/main" id="{9AC392E5-FE9C-4027-B714-1EE8BD6DFB50}"/>
            </a:ext>
          </a:extLst>
        </xdr:cNvPr>
        <xdr:cNvSpPr txBox="1"/>
      </xdr:nvSpPr>
      <xdr:spPr>
        <a:xfrm>
          <a:off x="2141220" y="784860"/>
          <a:ext cx="1332000" cy="26456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3175">
          <a:solidFill>
            <a:schemeClr val="bg1">
              <a:lumMod val="9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pt-BR" sz="1100" b="0">
              <a:solidFill>
                <a:schemeClr val="accent5">
                  <a:lumMod val="75000"/>
                </a:schemeClr>
              </a:solidFill>
            </a:rPr>
            <a:t>Imprimir</a:t>
          </a:r>
        </a:p>
      </xdr:txBody>
    </xdr:sp>
    <xdr:clientData fPrintsWithSheet="0"/>
  </xdr:twoCellAnchor>
  <xdr:oneCellAnchor>
    <xdr:from>
      <xdr:col>6</xdr:col>
      <xdr:colOff>784860</xdr:colOff>
      <xdr:row>8</xdr:row>
      <xdr:rowOff>83820</xdr:rowOff>
    </xdr:from>
    <xdr:ext cx="2463389" cy="311496"/>
    <xdr:sp macro="" textlink="">
      <xdr:nvSpPr>
        <xdr:cNvPr id="7" name="CaixaDeTexto 6">
          <a:extLst>
            <a:ext uri="{FF2B5EF4-FFF2-40B4-BE49-F238E27FC236}">
              <a16:creationId xmlns:a16="http://schemas.microsoft.com/office/drawing/2014/main" id="{B39639EE-36C9-4C00-8E00-A29884C2D260}"/>
            </a:ext>
          </a:extLst>
        </xdr:cNvPr>
        <xdr:cNvSpPr txBox="1"/>
      </xdr:nvSpPr>
      <xdr:spPr>
        <a:xfrm>
          <a:off x="10500360" y="838200"/>
          <a:ext cx="2463389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pt-BR" sz="1400">
              <a:solidFill>
                <a:schemeClr val="accent5">
                  <a:lumMod val="50000"/>
                </a:schemeClr>
              </a:solidFill>
            </a:rPr>
            <a:t>Total de Vendas em </a:t>
          </a:r>
          <a:r>
            <a:rPr lang="pt-BR" sz="1400" b="1">
              <a:solidFill>
                <a:schemeClr val="accent5">
                  <a:lumMod val="50000"/>
                </a:schemeClr>
              </a:solidFill>
            </a:rPr>
            <a:t>Setembro</a:t>
          </a:r>
          <a:r>
            <a:rPr lang="pt-BR" sz="1400">
              <a:solidFill>
                <a:schemeClr val="accent5">
                  <a:lumMod val="50000"/>
                </a:schemeClr>
              </a:solidFill>
            </a:rPr>
            <a:t>:</a:t>
          </a:r>
        </a:p>
      </xdr:txBody>
    </xdr:sp>
    <xdr:clientData/>
  </xdr:oneCellAnchor>
  <xdr:twoCellAnchor editAs="absolute">
    <xdr:from>
      <xdr:col>2</xdr:col>
      <xdr:colOff>2346960</xdr:colOff>
      <xdr:row>8</xdr:row>
      <xdr:rowOff>30480</xdr:rowOff>
    </xdr:from>
    <xdr:to>
      <xdr:col>3</xdr:col>
      <xdr:colOff>353700</xdr:colOff>
      <xdr:row>8</xdr:row>
      <xdr:rowOff>296880</xdr:rowOff>
    </xdr:to>
    <xdr:sp macro="" textlink="">
      <xdr:nvSpPr>
        <xdr:cNvPr id="8" name="CaixaDeTexto 7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2DCE7485-6D12-47A1-AC29-3870ECA085DA}"/>
            </a:ext>
          </a:extLst>
        </xdr:cNvPr>
        <xdr:cNvSpPr txBox="1"/>
      </xdr:nvSpPr>
      <xdr:spPr>
        <a:xfrm>
          <a:off x="3512820" y="784860"/>
          <a:ext cx="468000" cy="26640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 b="0">
              <a:solidFill>
                <a:schemeClr val="accent5">
                  <a:lumMod val="75000"/>
                </a:schemeClr>
              </a:solidFill>
            </a:rPr>
            <a:t>JAN</a:t>
          </a:r>
        </a:p>
      </xdr:txBody>
    </xdr:sp>
    <xdr:clientData fPrintsWithSheet="0"/>
  </xdr:twoCellAnchor>
  <xdr:twoCellAnchor editAs="absolute">
    <xdr:from>
      <xdr:col>3</xdr:col>
      <xdr:colOff>388295</xdr:colOff>
      <xdr:row>8</xdr:row>
      <xdr:rowOff>30480</xdr:rowOff>
    </xdr:from>
    <xdr:to>
      <xdr:col>3</xdr:col>
      <xdr:colOff>856295</xdr:colOff>
      <xdr:row>8</xdr:row>
      <xdr:rowOff>296880</xdr:rowOff>
    </xdr:to>
    <xdr:sp macro="" textlink="">
      <xdr:nvSpPr>
        <xdr:cNvPr id="9" name="CaixaDeTexto 8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A6C6DA55-47C8-4FFC-9842-61140297E54A}"/>
            </a:ext>
          </a:extLst>
        </xdr:cNvPr>
        <xdr:cNvSpPr txBox="1"/>
      </xdr:nvSpPr>
      <xdr:spPr>
        <a:xfrm>
          <a:off x="4015415" y="784860"/>
          <a:ext cx="468000" cy="26640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>
              <a:solidFill>
                <a:schemeClr val="accent5">
                  <a:lumMod val="75000"/>
                </a:schemeClr>
              </a:solidFill>
            </a:rPr>
            <a:t>FEV</a:t>
          </a:r>
        </a:p>
      </xdr:txBody>
    </xdr:sp>
    <xdr:clientData fPrintsWithSheet="0"/>
  </xdr:twoCellAnchor>
  <xdr:twoCellAnchor editAs="absolute">
    <xdr:from>
      <xdr:col>3</xdr:col>
      <xdr:colOff>890890</xdr:colOff>
      <xdr:row>8</xdr:row>
      <xdr:rowOff>30480</xdr:rowOff>
    </xdr:from>
    <xdr:to>
      <xdr:col>3</xdr:col>
      <xdr:colOff>1358890</xdr:colOff>
      <xdr:row>8</xdr:row>
      <xdr:rowOff>296880</xdr:rowOff>
    </xdr:to>
    <xdr:sp macro="" textlink="">
      <xdr:nvSpPr>
        <xdr:cNvPr id="10" name="CaixaDeTexto 9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A2D6F555-40E1-4277-A84D-78607673016A}"/>
            </a:ext>
          </a:extLst>
        </xdr:cNvPr>
        <xdr:cNvSpPr txBox="1"/>
      </xdr:nvSpPr>
      <xdr:spPr>
        <a:xfrm>
          <a:off x="4518010" y="784860"/>
          <a:ext cx="468000" cy="26640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>
              <a:solidFill>
                <a:schemeClr val="accent5">
                  <a:lumMod val="75000"/>
                </a:schemeClr>
              </a:solidFill>
            </a:rPr>
            <a:t>MAR</a:t>
          </a:r>
        </a:p>
      </xdr:txBody>
    </xdr:sp>
    <xdr:clientData fPrintsWithSheet="0"/>
  </xdr:twoCellAnchor>
  <xdr:twoCellAnchor editAs="absolute">
    <xdr:from>
      <xdr:col>4</xdr:col>
      <xdr:colOff>2835</xdr:colOff>
      <xdr:row>8</xdr:row>
      <xdr:rowOff>30480</xdr:rowOff>
    </xdr:from>
    <xdr:to>
      <xdr:col>4</xdr:col>
      <xdr:colOff>436545</xdr:colOff>
      <xdr:row>8</xdr:row>
      <xdr:rowOff>296880</xdr:rowOff>
    </xdr:to>
    <xdr:sp macro="" textlink="">
      <xdr:nvSpPr>
        <xdr:cNvPr id="11" name="CaixaDeTexto 10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3D6D2FBD-51BB-44A4-A8A2-FF9784054024}"/>
            </a:ext>
          </a:extLst>
        </xdr:cNvPr>
        <xdr:cNvSpPr txBox="1"/>
      </xdr:nvSpPr>
      <xdr:spPr>
        <a:xfrm>
          <a:off x="5020605" y="784860"/>
          <a:ext cx="468000" cy="26640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>
              <a:solidFill>
                <a:schemeClr val="accent5">
                  <a:lumMod val="75000"/>
                </a:schemeClr>
              </a:solidFill>
            </a:rPr>
            <a:t>ABR</a:t>
          </a:r>
        </a:p>
      </xdr:txBody>
    </xdr:sp>
    <xdr:clientData fPrintsWithSheet="0"/>
  </xdr:twoCellAnchor>
  <xdr:twoCellAnchor editAs="absolute">
    <xdr:from>
      <xdr:col>4</xdr:col>
      <xdr:colOff>471140</xdr:colOff>
      <xdr:row>8</xdr:row>
      <xdr:rowOff>30480</xdr:rowOff>
    </xdr:from>
    <xdr:to>
      <xdr:col>4</xdr:col>
      <xdr:colOff>939140</xdr:colOff>
      <xdr:row>8</xdr:row>
      <xdr:rowOff>296880</xdr:rowOff>
    </xdr:to>
    <xdr:sp macro="" textlink="">
      <xdr:nvSpPr>
        <xdr:cNvPr id="12" name="CaixaDeTexto 11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7D3E670-E56A-44B6-A785-528335F38420}"/>
            </a:ext>
          </a:extLst>
        </xdr:cNvPr>
        <xdr:cNvSpPr txBox="1"/>
      </xdr:nvSpPr>
      <xdr:spPr>
        <a:xfrm>
          <a:off x="5523200" y="784860"/>
          <a:ext cx="468000" cy="26640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>
              <a:solidFill>
                <a:schemeClr val="accent5">
                  <a:lumMod val="75000"/>
                </a:schemeClr>
              </a:solidFill>
            </a:rPr>
            <a:t>MAI</a:t>
          </a:r>
        </a:p>
      </xdr:txBody>
    </xdr:sp>
    <xdr:clientData fPrintsWithSheet="0"/>
  </xdr:twoCellAnchor>
  <xdr:twoCellAnchor editAs="absolute">
    <xdr:from>
      <xdr:col>4</xdr:col>
      <xdr:colOff>973735</xdr:colOff>
      <xdr:row>8</xdr:row>
      <xdr:rowOff>30480</xdr:rowOff>
    </xdr:from>
    <xdr:to>
      <xdr:col>4</xdr:col>
      <xdr:colOff>1441735</xdr:colOff>
      <xdr:row>8</xdr:row>
      <xdr:rowOff>296880</xdr:rowOff>
    </xdr:to>
    <xdr:sp macro="" textlink="">
      <xdr:nvSpPr>
        <xdr:cNvPr id="13" name="CaixaDeTexto 12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24F2D550-1EA2-4588-AF74-7CD2C982BB32}"/>
            </a:ext>
          </a:extLst>
        </xdr:cNvPr>
        <xdr:cNvSpPr txBox="1"/>
      </xdr:nvSpPr>
      <xdr:spPr>
        <a:xfrm>
          <a:off x="6025795" y="784860"/>
          <a:ext cx="468000" cy="26640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>
              <a:solidFill>
                <a:schemeClr val="accent5">
                  <a:lumMod val="75000"/>
                </a:schemeClr>
              </a:solidFill>
            </a:rPr>
            <a:t>JUN</a:t>
          </a:r>
        </a:p>
      </xdr:txBody>
    </xdr:sp>
    <xdr:clientData fPrintsWithSheet="0"/>
  </xdr:twoCellAnchor>
  <xdr:twoCellAnchor editAs="absolute">
    <xdr:from>
      <xdr:col>4</xdr:col>
      <xdr:colOff>1483950</xdr:colOff>
      <xdr:row>8</xdr:row>
      <xdr:rowOff>30480</xdr:rowOff>
    </xdr:from>
    <xdr:to>
      <xdr:col>4</xdr:col>
      <xdr:colOff>1951950</xdr:colOff>
      <xdr:row>8</xdr:row>
      <xdr:rowOff>296880</xdr:rowOff>
    </xdr:to>
    <xdr:sp macro="" textlink="">
      <xdr:nvSpPr>
        <xdr:cNvPr id="14" name="CaixaDeTexto 13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A0C03E8C-A178-42E2-A7A3-F7ED3F7B96F7}"/>
            </a:ext>
          </a:extLst>
        </xdr:cNvPr>
        <xdr:cNvSpPr txBox="1"/>
      </xdr:nvSpPr>
      <xdr:spPr>
        <a:xfrm>
          <a:off x="6528390" y="784860"/>
          <a:ext cx="468000" cy="26640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>
              <a:solidFill>
                <a:schemeClr val="accent5">
                  <a:lumMod val="75000"/>
                </a:schemeClr>
              </a:solidFill>
            </a:rPr>
            <a:t>JUL</a:t>
          </a:r>
        </a:p>
      </xdr:txBody>
    </xdr:sp>
    <xdr:clientData fPrintsWithSheet="0"/>
  </xdr:twoCellAnchor>
  <xdr:twoCellAnchor editAs="absolute">
    <xdr:from>
      <xdr:col>4</xdr:col>
      <xdr:colOff>1986545</xdr:colOff>
      <xdr:row>8</xdr:row>
      <xdr:rowOff>30480</xdr:rowOff>
    </xdr:from>
    <xdr:to>
      <xdr:col>4</xdr:col>
      <xdr:colOff>2454545</xdr:colOff>
      <xdr:row>8</xdr:row>
      <xdr:rowOff>296880</xdr:rowOff>
    </xdr:to>
    <xdr:sp macro="" textlink="">
      <xdr:nvSpPr>
        <xdr:cNvPr id="15" name="CaixaDeTexto 14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561E2416-EA05-41B4-B444-E626509F43B5}"/>
            </a:ext>
          </a:extLst>
        </xdr:cNvPr>
        <xdr:cNvSpPr txBox="1"/>
      </xdr:nvSpPr>
      <xdr:spPr>
        <a:xfrm>
          <a:off x="7030985" y="784860"/>
          <a:ext cx="468000" cy="26640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>
              <a:solidFill>
                <a:schemeClr val="accent5">
                  <a:lumMod val="75000"/>
                </a:schemeClr>
              </a:solidFill>
            </a:rPr>
            <a:t>AGO</a:t>
          </a:r>
        </a:p>
      </xdr:txBody>
    </xdr:sp>
    <xdr:clientData fPrintsWithSheet="0"/>
  </xdr:twoCellAnchor>
  <xdr:twoCellAnchor editAs="absolute">
    <xdr:from>
      <xdr:col>4</xdr:col>
      <xdr:colOff>2489140</xdr:colOff>
      <xdr:row>8</xdr:row>
      <xdr:rowOff>30480</xdr:rowOff>
    </xdr:from>
    <xdr:to>
      <xdr:col>5</xdr:col>
      <xdr:colOff>53920</xdr:colOff>
      <xdr:row>8</xdr:row>
      <xdr:rowOff>296880</xdr:rowOff>
    </xdr:to>
    <xdr:sp macro="" textlink="">
      <xdr:nvSpPr>
        <xdr:cNvPr id="16" name="CaixaDeTexto 15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99B12970-7B56-4EF2-AF66-ED66D9D69B05}"/>
            </a:ext>
          </a:extLst>
        </xdr:cNvPr>
        <xdr:cNvSpPr txBox="1"/>
      </xdr:nvSpPr>
      <xdr:spPr>
        <a:xfrm>
          <a:off x="7533580" y="784860"/>
          <a:ext cx="468000" cy="266400"/>
        </a:xfrm>
        <a:prstGeom prst="rect">
          <a:avLst/>
        </a:prstGeom>
        <a:solidFill>
          <a:schemeClr val="accent2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>
              <a:solidFill>
                <a:schemeClr val="bg1"/>
              </a:solidFill>
            </a:rPr>
            <a:t>SET</a:t>
          </a:r>
        </a:p>
      </xdr:txBody>
    </xdr:sp>
    <xdr:clientData fPrintsWithSheet="0"/>
  </xdr:twoCellAnchor>
  <xdr:twoCellAnchor editAs="absolute">
    <xdr:from>
      <xdr:col>5</xdr:col>
      <xdr:colOff>88515</xdr:colOff>
      <xdr:row>8</xdr:row>
      <xdr:rowOff>30480</xdr:rowOff>
    </xdr:from>
    <xdr:to>
      <xdr:col>5</xdr:col>
      <xdr:colOff>548895</xdr:colOff>
      <xdr:row>8</xdr:row>
      <xdr:rowOff>296880</xdr:rowOff>
    </xdr:to>
    <xdr:sp macro="" textlink="">
      <xdr:nvSpPr>
        <xdr:cNvPr id="17" name="CaixaDeTexto 16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9B0DBDA2-EB3D-42E6-B668-AB11011373A7}"/>
            </a:ext>
          </a:extLst>
        </xdr:cNvPr>
        <xdr:cNvSpPr txBox="1"/>
      </xdr:nvSpPr>
      <xdr:spPr>
        <a:xfrm>
          <a:off x="8036175" y="784860"/>
          <a:ext cx="468000" cy="26640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>
              <a:solidFill>
                <a:schemeClr val="accent5">
                  <a:lumMod val="75000"/>
                </a:schemeClr>
              </a:solidFill>
            </a:rPr>
            <a:t>OUT</a:t>
          </a:r>
        </a:p>
      </xdr:txBody>
    </xdr:sp>
    <xdr:clientData fPrintsWithSheet="0"/>
  </xdr:twoCellAnchor>
  <xdr:twoCellAnchor editAs="absolute">
    <xdr:from>
      <xdr:col>5</xdr:col>
      <xdr:colOff>583490</xdr:colOff>
      <xdr:row>8</xdr:row>
      <xdr:rowOff>30480</xdr:rowOff>
    </xdr:from>
    <xdr:to>
      <xdr:col>5</xdr:col>
      <xdr:colOff>1051490</xdr:colOff>
      <xdr:row>8</xdr:row>
      <xdr:rowOff>296880</xdr:rowOff>
    </xdr:to>
    <xdr:sp macro="" textlink="">
      <xdr:nvSpPr>
        <xdr:cNvPr id="18" name="CaixaDeTexto 17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CA6691B2-CF16-40D1-AF1A-80837873BE6E}"/>
            </a:ext>
          </a:extLst>
        </xdr:cNvPr>
        <xdr:cNvSpPr txBox="1"/>
      </xdr:nvSpPr>
      <xdr:spPr>
        <a:xfrm>
          <a:off x="8538770" y="784860"/>
          <a:ext cx="468000" cy="26640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>
              <a:solidFill>
                <a:schemeClr val="accent5">
                  <a:lumMod val="75000"/>
                </a:schemeClr>
              </a:solidFill>
            </a:rPr>
            <a:t>NOV</a:t>
          </a:r>
        </a:p>
      </xdr:txBody>
    </xdr:sp>
    <xdr:clientData fPrintsWithSheet="0"/>
  </xdr:twoCellAnchor>
  <xdr:twoCellAnchor editAs="absolute">
    <xdr:from>
      <xdr:col>5</xdr:col>
      <xdr:colOff>1086085</xdr:colOff>
      <xdr:row>8</xdr:row>
      <xdr:rowOff>30480</xdr:rowOff>
    </xdr:from>
    <xdr:to>
      <xdr:col>5</xdr:col>
      <xdr:colOff>1561705</xdr:colOff>
      <xdr:row>8</xdr:row>
      <xdr:rowOff>296880</xdr:rowOff>
    </xdr:to>
    <xdr:sp macro="" textlink="">
      <xdr:nvSpPr>
        <xdr:cNvPr id="19" name="CaixaDeTexto 18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0E37B70E-0109-4CF9-A6C1-A2561023DDAF}"/>
            </a:ext>
          </a:extLst>
        </xdr:cNvPr>
        <xdr:cNvSpPr txBox="1"/>
      </xdr:nvSpPr>
      <xdr:spPr>
        <a:xfrm>
          <a:off x="9041365" y="784860"/>
          <a:ext cx="468000" cy="26640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>
              <a:solidFill>
                <a:schemeClr val="accent5">
                  <a:lumMod val="75000"/>
                </a:schemeClr>
              </a:solidFill>
            </a:rPr>
            <a:t>DEZ</a:t>
          </a:r>
        </a:p>
      </xdr:txBody>
    </xdr:sp>
    <xdr:clientData fPrintsWithSheet="0"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1394460</xdr:colOff>
      <xdr:row>0</xdr:row>
      <xdr:rowOff>0</xdr:rowOff>
    </xdr:from>
    <xdr:ext cx="4937760" cy="571500"/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5E4A30A9-0BB1-4E92-BF1B-DB77D421BB96}"/>
            </a:ext>
          </a:extLst>
        </xdr:cNvPr>
        <xdr:cNvSpPr txBox="1"/>
      </xdr:nvSpPr>
      <xdr:spPr>
        <a:xfrm>
          <a:off x="2560320" y="0"/>
          <a:ext cx="4937760" cy="5715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r>
            <a:rPr lang="pt-BR" sz="2400" b="1">
              <a:solidFill>
                <a:schemeClr val="accent5">
                  <a:lumMod val="75000"/>
                </a:schemeClr>
              </a:solidFill>
            </a:rPr>
            <a:t>Controle de Faturamento</a:t>
          </a:r>
          <a:r>
            <a:rPr lang="pt-BR" sz="2400" b="1" baseline="0">
              <a:solidFill>
                <a:schemeClr val="accent5">
                  <a:lumMod val="75000"/>
                </a:schemeClr>
              </a:solidFill>
            </a:rPr>
            <a:t> do MEI</a:t>
          </a:r>
          <a:endParaRPr lang="pt-BR" sz="2400" b="1">
            <a:solidFill>
              <a:schemeClr val="accent5">
                <a:lumMod val="75000"/>
              </a:schemeClr>
            </a:solidFill>
          </a:endParaRPr>
        </a:p>
      </xdr:txBody>
    </xdr:sp>
    <xdr:clientData/>
  </xdr:oneCellAnchor>
  <xdr:twoCellAnchor editAs="absolute">
    <xdr:from>
      <xdr:col>1</xdr:col>
      <xdr:colOff>205740</xdr:colOff>
      <xdr:row>0</xdr:row>
      <xdr:rowOff>0</xdr:rowOff>
    </xdr:from>
    <xdr:to>
      <xdr:col>2</xdr:col>
      <xdr:colOff>1114801</xdr:colOff>
      <xdr:row>3</xdr:row>
      <xdr:rowOff>9360</xdr:rowOff>
    </xdr:to>
    <xdr:pic>
      <xdr:nvPicPr>
        <xdr:cNvPr id="3" name="Imagem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EBC2D9F-0F5A-4DC5-86A0-CA1EB4A047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7660" y="0"/>
          <a:ext cx="1953001" cy="55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60960</xdr:colOff>
      <xdr:row>8</xdr:row>
      <xdr:rowOff>30480</xdr:rowOff>
    </xdr:from>
    <xdr:to>
      <xdr:col>1</xdr:col>
      <xdr:colOff>492960</xdr:colOff>
      <xdr:row>8</xdr:row>
      <xdr:rowOff>296880</xdr:rowOff>
    </xdr:to>
    <xdr:sp macro="" textlink="">
      <xdr:nvSpPr>
        <xdr:cNvPr id="4" name="Seta: para a Direita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A570002-25E2-41CF-8513-5D2BE9A7BF1D}"/>
            </a:ext>
          </a:extLst>
        </xdr:cNvPr>
        <xdr:cNvSpPr/>
      </xdr:nvSpPr>
      <xdr:spPr>
        <a:xfrm flipH="1">
          <a:off x="182880" y="784860"/>
          <a:ext cx="432000" cy="266400"/>
        </a:xfrm>
        <a:prstGeom prst="rightArrow">
          <a:avLst/>
        </a:prstGeom>
        <a:solidFill>
          <a:schemeClr val="accent5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 fPrintsWithSheet="0"/>
  </xdr:twoCellAnchor>
  <xdr:twoCellAnchor editAs="absolute">
    <xdr:from>
      <xdr:col>1</xdr:col>
      <xdr:colOff>632460</xdr:colOff>
      <xdr:row>8</xdr:row>
      <xdr:rowOff>30480</xdr:rowOff>
    </xdr:from>
    <xdr:to>
      <xdr:col>2</xdr:col>
      <xdr:colOff>920520</xdr:colOff>
      <xdr:row>8</xdr:row>
      <xdr:rowOff>295040</xdr:rowOff>
    </xdr:to>
    <xdr:sp macro="" textlink="">
      <xdr:nvSpPr>
        <xdr:cNvPr id="5" name="CaixaDeTexto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FC950ACE-5359-4EAD-B5D6-A77482A272F8}"/>
            </a:ext>
          </a:extLst>
        </xdr:cNvPr>
        <xdr:cNvSpPr txBox="1"/>
      </xdr:nvSpPr>
      <xdr:spPr>
        <a:xfrm>
          <a:off x="754380" y="784860"/>
          <a:ext cx="1332000" cy="26456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3175">
          <a:solidFill>
            <a:schemeClr val="bg1">
              <a:lumMod val="9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pt-BR" sz="1100" b="0">
              <a:solidFill>
                <a:schemeClr val="accent5">
                  <a:lumMod val="75000"/>
                </a:schemeClr>
              </a:solidFill>
            </a:rPr>
            <a:t>Relatório</a:t>
          </a:r>
          <a:r>
            <a:rPr lang="pt-BR" sz="1100" b="0" baseline="0">
              <a:solidFill>
                <a:schemeClr val="accent5">
                  <a:lumMod val="75000"/>
                </a:schemeClr>
              </a:solidFill>
            </a:rPr>
            <a:t> Geral</a:t>
          </a:r>
          <a:endParaRPr lang="pt-BR" sz="1100" b="0">
            <a:solidFill>
              <a:schemeClr val="accent5">
                <a:lumMod val="75000"/>
              </a:schemeClr>
            </a:solidFill>
          </a:endParaRPr>
        </a:p>
      </xdr:txBody>
    </xdr:sp>
    <xdr:clientData fPrintsWithSheet="0"/>
  </xdr:twoCellAnchor>
  <xdr:twoCellAnchor editAs="absolute">
    <xdr:from>
      <xdr:col>2</xdr:col>
      <xdr:colOff>975360</xdr:colOff>
      <xdr:row>8</xdr:row>
      <xdr:rowOff>30480</xdr:rowOff>
    </xdr:from>
    <xdr:to>
      <xdr:col>2</xdr:col>
      <xdr:colOff>2307360</xdr:colOff>
      <xdr:row>8</xdr:row>
      <xdr:rowOff>295040</xdr:rowOff>
    </xdr:to>
    <xdr:sp macro="[0]!Imprimir" textlink="">
      <xdr:nvSpPr>
        <xdr:cNvPr id="6" name="CaixaDeTexto 5">
          <a:extLst>
            <a:ext uri="{FF2B5EF4-FFF2-40B4-BE49-F238E27FC236}">
              <a16:creationId xmlns:a16="http://schemas.microsoft.com/office/drawing/2014/main" id="{4D38BE98-820E-48FD-BBB9-7860F592E837}"/>
            </a:ext>
          </a:extLst>
        </xdr:cNvPr>
        <xdr:cNvSpPr txBox="1"/>
      </xdr:nvSpPr>
      <xdr:spPr>
        <a:xfrm>
          <a:off x="2141220" y="784860"/>
          <a:ext cx="1332000" cy="26456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3175">
          <a:solidFill>
            <a:schemeClr val="bg1">
              <a:lumMod val="9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pt-BR" sz="1100" b="0">
              <a:solidFill>
                <a:schemeClr val="accent5">
                  <a:lumMod val="75000"/>
                </a:schemeClr>
              </a:solidFill>
            </a:rPr>
            <a:t>Imprimir</a:t>
          </a:r>
        </a:p>
      </xdr:txBody>
    </xdr:sp>
    <xdr:clientData fPrintsWithSheet="0"/>
  </xdr:twoCellAnchor>
  <xdr:oneCellAnchor>
    <xdr:from>
      <xdr:col>6</xdr:col>
      <xdr:colOff>800100</xdr:colOff>
      <xdr:row>8</xdr:row>
      <xdr:rowOff>68580</xdr:rowOff>
    </xdr:from>
    <xdr:ext cx="2463389" cy="311496"/>
    <xdr:sp macro="" textlink="">
      <xdr:nvSpPr>
        <xdr:cNvPr id="7" name="CaixaDeTexto 6">
          <a:extLst>
            <a:ext uri="{FF2B5EF4-FFF2-40B4-BE49-F238E27FC236}">
              <a16:creationId xmlns:a16="http://schemas.microsoft.com/office/drawing/2014/main" id="{86313233-E7FD-4694-A922-B20834A29BC5}"/>
            </a:ext>
          </a:extLst>
        </xdr:cNvPr>
        <xdr:cNvSpPr txBox="1"/>
      </xdr:nvSpPr>
      <xdr:spPr>
        <a:xfrm>
          <a:off x="10515600" y="822960"/>
          <a:ext cx="2463389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pt-BR" sz="1400">
              <a:solidFill>
                <a:schemeClr val="accent5">
                  <a:lumMod val="50000"/>
                </a:schemeClr>
              </a:solidFill>
            </a:rPr>
            <a:t>Total de Vendas em </a:t>
          </a:r>
          <a:r>
            <a:rPr lang="pt-BR" sz="1400" b="1">
              <a:solidFill>
                <a:schemeClr val="accent5">
                  <a:lumMod val="50000"/>
                </a:schemeClr>
              </a:solidFill>
            </a:rPr>
            <a:t>Outubro</a:t>
          </a:r>
          <a:r>
            <a:rPr lang="pt-BR" sz="1400">
              <a:solidFill>
                <a:schemeClr val="accent5">
                  <a:lumMod val="50000"/>
                </a:schemeClr>
              </a:solidFill>
            </a:rPr>
            <a:t>:</a:t>
          </a:r>
        </a:p>
      </xdr:txBody>
    </xdr:sp>
    <xdr:clientData/>
  </xdr:oneCellAnchor>
  <xdr:twoCellAnchor editAs="absolute">
    <xdr:from>
      <xdr:col>2</xdr:col>
      <xdr:colOff>2346960</xdr:colOff>
      <xdr:row>8</xdr:row>
      <xdr:rowOff>30480</xdr:rowOff>
    </xdr:from>
    <xdr:to>
      <xdr:col>3</xdr:col>
      <xdr:colOff>353700</xdr:colOff>
      <xdr:row>8</xdr:row>
      <xdr:rowOff>296880</xdr:rowOff>
    </xdr:to>
    <xdr:sp macro="" textlink="">
      <xdr:nvSpPr>
        <xdr:cNvPr id="8" name="CaixaDeTexto 7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DBC4286C-6102-4C6F-854E-9DB47AC76678}"/>
            </a:ext>
          </a:extLst>
        </xdr:cNvPr>
        <xdr:cNvSpPr txBox="1"/>
      </xdr:nvSpPr>
      <xdr:spPr>
        <a:xfrm>
          <a:off x="3512820" y="784860"/>
          <a:ext cx="468000" cy="26640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 b="0">
              <a:solidFill>
                <a:schemeClr val="accent5">
                  <a:lumMod val="75000"/>
                </a:schemeClr>
              </a:solidFill>
            </a:rPr>
            <a:t>JAN</a:t>
          </a:r>
        </a:p>
      </xdr:txBody>
    </xdr:sp>
    <xdr:clientData fPrintsWithSheet="0"/>
  </xdr:twoCellAnchor>
  <xdr:twoCellAnchor editAs="absolute">
    <xdr:from>
      <xdr:col>3</xdr:col>
      <xdr:colOff>388295</xdr:colOff>
      <xdr:row>8</xdr:row>
      <xdr:rowOff>30480</xdr:rowOff>
    </xdr:from>
    <xdr:to>
      <xdr:col>3</xdr:col>
      <xdr:colOff>856295</xdr:colOff>
      <xdr:row>8</xdr:row>
      <xdr:rowOff>296880</xdr:rowOff>
    </xdr:to>
    <xdr:sp macro="" textlink="">
      <xdr:nvSpPr>
        <xdr:cNvPr id="9" name="CaixaDeTexto 8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ED584D2-BEC4-4826-8395-59767414FDB7}"/>
            </a:ext>
          </a:extLst>
        </xdr:cNvPr>
        <xdr:cNvSpPr txBox="1"/>
      </xdr:nvSpPr>
      <xdr:spPr>
        <a:xfrm>
          <a:off x="4015415" y="784860"/>
          <a:ext cx="468000" cy="26640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>
              <a:solidFill>
                <a:schemeClr val="accent5">
                  <a:lumMod val="75000"/>
                </a:schemeClr>
              </a:solidFill>
            </a:rPr>
            <a:t>FEV</a:t>
          </a:r>
        </a:p>
      </xdr:txBody>
    </xdr:sp>
    <xdr:clientData fPrintsWithSheet="0"/>
  </xdr:twoCellAnchor>
  <xdr:twoCellAnchor editAs="absolute">
    <xdr:from>
      <xdr:col>3</xdr:col>
      <xdr:colOff>890890</xdr:colOff>
      <xdr:row>8</xdr:row>
      <xdr:rowOff>30480</xdr:rowOff>
    </xdr:from>
    <xdr:to>
      <xdr:col>3</xdr:col>
      <xdr:colOff>1358890</xdr:colOff>
      <xdr:row>8</xdr:row>
      <xdr:rowOff>296880</xdr:rowOff>
    </xdr:to>
    <xdr:sp macro="" textlink="">
      <xdr:nvSpPr>
        <xdr:cNvPr id="10" name="CaixaDeTexto 9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EC0E5AB3-70C8-4D51-BABE-F3436F3329F6}"/>
            </a:ext>
          </a:extLst>
        </xdr:cNvPr>
        <xdr:cNvSpPr txBox="1"/>
      </xdr:nvSpPr>
      <xdr:spPr>
        <a:xfrm>
          <a:off x="4518010" y="784860"/>
          <a:ext cx="468000" cy="26640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>
              <a:solidFill>
                <a:schemeClr val="accent5">
                  <a:lumMod val="75000"/>
                </a:schemeClr>
              </a:solidFill>
            </a:rPr>
            <a:t>MAR</a:t>
          </a:r>
        </a:p>
      </xdr:txBody>
    </xdr:sp>
    <xdr:clientData fPrintsWithSheet="0"/>
  </xdr:twoCellAnchor>
  <xdr:twoCellAnchor editAs="absolute">
    <xdr:from>
      <xdr:col>4</xdr:col>
      <xdr:colOff>2835</xdr:colOff>
      <xdr:row>8</xdr:row>
      <xdr:rowOff>30480</xdr:rowOff>
    </xdr:from>
    <xdr:to>
      <xdr:col>4</xdr:col>
      <xdr:colOff>436545</xdr:colOff>
      <xdr:row>8</xdr:row>
      <xdr:rowOff>296880</xdr:rowOff>
    </xdr:to>
    <xdr:sp macro="" textlink="">
      <xdr:nvSpPr>
        <xdr:cNvPr id="11" name="CaixaDeTexto 10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A9517A5D-98D1-4F06-A35D-12A88A6B071B}"/>
            </a:ext>
          </a:extLst>
        </xdr:cNvPr>
        <xdr:cNvSpPr txBox="1"/>
      </xdr:nvSpPr>
      <xdr:spPr>
        <a:xfrm>
          <a:off x="5020605" y="784860"/>
          <a:ext cx="468000" cy="26640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>
              <a:solidFill>
                <a:schemeClr val="accent5">
                  <a:lumMod val="75000"/>
                </a:schemeClr>
              </a:solidFill>
            </a:rPr>
            <a:t>ABR</a:t>
          </a:r>
        </a:p>
      </xdr:txBody>
    </xdr:sp>
    <xdr:clientData fPrintsWithSheet="0"/>
  </xdr:twoCellAnchor>
  <xdr:twoCellAnchor editAs="absolute">
    <xdr:from>
      <xdr:col>4</xdr:col>
      <xdr:colOff>471140</xdr:colOff>
      <xdr:row>8</xdr:row>
      <xdr:rowOff>30480</xdr:rowOff>
    </xdr:from>
    <xdr:to>
      <xdr:col>4</xdr:col>
      <xdr:colOff>939140</xdr:colOff>
      <xdr:row>8</xdr:row>
      <xdr:rowOff>296880</xdr:rowOff>
    </xdr:to>
    <xdr:sp macro="" textlink="">
      <xdr:nvSpPr>
        <xdr:cNvPr id="12" name="CaixaDeTexto 11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A538D208-FC26-40F9-9D67-50DFA8CC2FC3}"/>
            </a:ext>
          </a:extLst>
        </xdr:cNvPr>
        <xdr:cNvSpPr txBox="1"/>
      </xdr:nvSpPr>
      <xdr:spPr>
        <a:xfrm>
          <a:off x="5523200" y="784860"/>
          <a:ext cx="468000" cy="26640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>
              <a:solidFill>
                <a:schemeClr val="accent5">
                  <a:lumMod val="75000"/>
                </a:schemeClr>
              </a:solidFill>
            </a:rPr>
            <a:t>MAI</a:t>
          </a:r>
        </a:p>
      </xdr:txBody>
    </xdr:sp>
    <xdr:clientData fPrintsWithSheet="0"/>
  </xdr:twoCellAnchor>
  <xdr:twoCellAnchor editAs="absolute">
    <xdr:from>
      <xdr:col>4</xdr:col>
      <xdr:colOff>973735</xdr:colOff>
      <xdr:row>8</xdr:row>
      <xdr:rowOff>30480</xdr:rowOff>
    </xdr:from>
    <xdr:to>
      <xdr:col>4</xdr:col>
      <xdr:colOff>1441735</xdr:colOff>
      <xdr:row>8</xdr:row>
      <xdr:rowOff>296880</xdr:rowOff>
    </xdr:to>
    <xdr:sp macro="" textlink="">
      <xdr:nvSpPr>
        <xdr:cNvPr id="13" name="CaixaDeTexto 12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396ED11C-C063-4720-AD99-0700F4E39433}"/>
            </a:ext>
          </a:extLst>
        </xdr:cNvPr>
        <xdr:cNvSpPr txBox="1"/>
      </xdr:nvSpPr>
      <xdr:spPr>
        <a:xfrm>
          <a:off x="6025795" y="784860"/>
          <a:ext cx="468000" cy="26640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>
              <a:solidFill>
                <a:schemeClr val="accent5">
                  <a:lumMod val="75000"/>
                </a:schemeClr>
              </a:solidFill>
            </a:rPr>
            <a:t>JUN</a:t>
          </a:r>
        </a:p>
      </xdr:txBody>
    </xdr:sp>
    <xdr:clientData fPrintsWithSheet="0"/>
  </xdr:twoCellAnchor>
  <xdr:twoCellAnchor editAs="absolute">
    <xdr:from>
      <xdr:col>4</xdr:col>
      <xdr:colOff>1483950</xdr:colOff>
      <xdr:row>8</xdr:row>
      <xdr:rowOff>30480</xdr:rowOff>
    </xdr:from>
    <xdr:to>
      <xdr:col>4</xdr:col>
      <xdr:colOff>1951950</xdr:colOff>
      <xdr:row>8</xdr:row>
      <xdr:rowOff>296880</xdr:rowOff>
    </xdr:to>
    <xdr:sp macro="" textlink="">
      <xdr:nvSpPr>
        <xdr:cNvPr id="14" name="CaixaDeTexto 13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8FA2C674-59B2-46FD-9502-4D61DFCCEF0D}"/>
            </a:ext>
          </a:extLst>
        </xdr:cNvPr>
        <xdr:cNvSpPr txBox="1"/>
      </xdr:nvSpPr>
      <xdr:spPr>
        <a:xfrm>
          <a:off x="6528390" y="784860"/>
          <a:ext cx="468000" cy="26640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>
              <a:solidFill>
                <a:schemeClr val="accent5">
                  <a:lumMod val="75000"/>
                </a:schemeClr>
              </a:solidFill>
            </a:rPr>
            <a:t>JUL</a:t>
          </a:r>
        </a:p>
      </xdr:txBody>
    </xdr:sp>
    <xdr:clientData fPrintsWithSheet="0"/>
  </xdr:twoCellAnchor>
  <xdr:twoCellAnchor editAs="absolute">
    <xdr:from>
      <xdr:col>4</xdr:col>
      <xdr:colOff>1986545</xdr:colOff>
      <xdr:row>8</xdr:row>
      <xdr:rowOff>30480</xdr:rowOff>
    </xdr:from>
    <xdr:to>
      <xdr:col>4</xdr:col>
      <xdr:colOff>2454545</xdr:colOff>
      <xdr:row>8</xdr:row>
      <xdr:rowOff>296880</xdr:rowOff>
    </xdr:to>
    <xdr:sp macro="" textlink="">
      <xdr:nvSpPr>
        <xdr:cNvPr id="15" name="CaixaDeTexto 14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5D303303-B18F-4725-A8EE-A5ABC7A6C124}"/>
            </a:ext>
          </a:extLst>
        </xdr:cNvPr>
        <xdr:cNvSpPr txBox="1"/>
      </xdr:nvSpPr>
      <xdr:spPr>
        <a:xfrm>
          <a:off x="7030985" y="784860"/>
          <a:ext cx="468000" cy="26640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>
              <a:solidFill>
                <a:schemeClr val="accent5">
                  <a:lumMod val="75000"/>
                </a:schemeClr>
              </a:solidFill>
            </a:rPr>
            <a:t>AGO</a:t>
          </a:r>
        </a:p>
      </xdr:txBody>
    </xdr:sp>
    <xdr:clientData fPrintsWithSheet="0"/>
  </xdr:twoCellAnchor>
  <xdr:twoCellAnchor editAs="absolute">
    <xdr:from>
      <xdr:col>4</xdr:col>
      <xdr:colOff>2489140</xdr:colOff>
      <xdr:row>8</xdr:row>
      <xdr:rowOff>30480</xdr:rowOff>
    </xdr:from>
    <xdr:to>
      <xdr:col>5</xdr:col>
      <xdr:colOff>53920</xdr:colOff>
      <xdr:row>8</xdr:row>
      <xdr:rowOff>296880</xdr:rowOff>
    </xdr:to>
    <xdr:sp macro="" textlink="">
      <xdr:nvSpPr>
        <xdr:cNvPr id="16" name="CaixaDeTexto 15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4AEA90F7-42F3-4725-9D59-B09607CBCA2A}"/>
            </a:ext>
          </a:extLst>
        </xdr:cNvPr>
        <xdr:cNvSpPr txBox="1"/>
      </xdr:nvSpPr>
      <xdr:spPr>
        <a:xfrm>
          <a:off x="7533580" y="784860"/>
          <a:ext cx="468000" cy="26640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>
              <a:solidFill>
                <a:schemeClr val="accent5">
                  <a:lumMod val="75000"/>
                </a:schemeClr>
              </a:solidFill>
            </a:rPr>
            <a:t>SET</a:t>
          </a:r>
        </a:p>
      </xdr:txBody>
    </xdr:sp>
    <xdr:clientData fPrintsWithSheet="0"/>
  </xdr:twoCellAnchor>
  <xdr:twoCellAnchor editAs="absolute">
    <xdr:from>
      <xdr:col>5</xdr:col>
      <xdr:colOff>88515</xdr:colOff>
      <xdr:row>8</xdr:row>
      <xdr:rowOff>30480</xdr:rowOff>
    </xdr:from>
    <xdr:to>
      <xdr:col>5</xdr:col>
      <xdr:colOff>548895</xdr:colOff>
      <xdr:row>8</xdr:row>
      <xdr:rowOff>296880</xdr:rowOff>
    </xdr:to>
    <xdr:sp macro="" textlink="">
      <xdr:nvSpPr>
        <xdr:cNvPr id="17" name="CaixaDeTexto 16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BD3E3F09-59A5-4248-AA5F-2E2DFCC944E5}"/>
            </a:ext>
          </a:extLst>
        </xdr:cNvPr>
        <xdr:cNvSpPr txBox="1"/>
      </xdr:nvSpPr>
      <xdr:spPr>
        <a:xfrm>
          <a:off x="8036175" y="784860"/>
          <a:ext cx="468000" cy="266400"/>
        </a:xfrm>
        <a:prstGeom prst="rect">
          <a:avLst/>
        </a:prstGeom>
        <a:solidFill>
          <a:schemeClr val="accent2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>
              <a:solidFill>
                <a:schemeClr val="bg1"/>
              </a:solidFill>
            </a:rPr>
            <a:t>OUT</a:t>
          </a:r>
        </a:p>
      </xdr:txBody>
    </xdr:sp>
    <xdr:clientData fPrintsWithSheet="0"/>
  </xdr:twoCellAnchor>
  <xdr:twoCellAnchor editAs="absolute">
    <xdr:from>
      <xdr:col>5</xdr:col>
      <xdr:colOff>583490</xdr:colOff>
      <xdr:row>8</xdr:row>
      <xdr:rowOff>30480</xdr:rowOff>
    </xdr:from>
    <xdr:to>
      <xdr:col>5</xdr:col>
      <xdr:colOff>1051490</xdr:colOff>
      <xdr:row>8</xdr:row>
      <xdr:rowOff>296880</xdr:rowOff>
    </xdr:to>
    <xdr:sp macro="" textlink="">
      <xdr:nvSpPr>
        <xdr:cNvPr id="18" name="CaixaDeTexto 17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5ACE9611-F952-452C-A38F-04CC9BC46AF4}"/>
            </a:ext>
          </a:extLst>
        </xdr:cNvPr>
        <xdr:cNvSpPr txBox="1"/>
      </xdr:nvSpPr>
      <xdr:spPr>
        <a:xfrm>
          <a:off x="8538770" y="784860"/>
          <a:ext cx="468000" cy="26640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>
              <a:solidFill>
                <a:schemeClr val="accent5">
                  <a:lumMod val="75000"/>
                </a:schemeClr>
              </a:solidFill>
            </a:rPr>
            <a:t>NOV</a:t>
          </a:r>
        </a:p>
      </xdr:txBody>
    </xdr:sp>
    <xdr:clientData fPrintsWithSheet="0"/>
  </xdr:twoCellAnchor>
  <xdr:twoCellAnchor editAs="absolute">
    <xdr:from>
      <xdr:col>5</xdr:col>
      <xdr:colOff>1086085</xdr:colOff>
      <xdr:row>8</xdr:row>
      <xdr:rowOff>30480</xdr:rowOff>
    </xdr:from>
    <xdr:to>
      <xdr:col>5</xdr:col>
      <xdr:colOff>1561705</xdr:colOff>
      <xdr:row>8</xdr:row>
      <xdr:rowOff>296880</xdr:rowOff>
    </xdr:to>
    <xdr:sp macro="" textlink="">
      <xdr:nvSpPr>
        <xdr:cNvPr id="19" name="CaixaDeTexto 18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CB485A0D-C94A-4C60-BFB3-AEA2E89B9A09}"/>
            </a:ext>
          </a:extLst>
        </xdr:cNvPr>
        <xdr:cNvSpPr txBox="1"/>
      </xdr:nvSpPr>
      <xdr:spPr>
        <a:xfrm>
          <a:off x="9041365" y="784860"/>
          <a:ext cx="468000" cy="26640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>
              <a:solidFill>
                <a:schemeClr val="accent5">
                  <a:lumMod val="75000"/>
                </a:schemeClr>
              </a:solidFill>
            </a:rPr>
            <a:t>DEZ</a:t>
          </a:r>
        </a:p>
      </xdr:txBody>
    </xdr:sp>
    <xdr:clientData fPrintsWithSheet="0"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1394460</xdr:colOff>
      <xdr:row>0</xdr:row>
      <xdr:rowOff>0</xdr:rowOff>
    </xdr:from>
    <xdr:ext cx="4937760" cy="571500"/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D11A4D32-E8C6-4A6D-9447-B2C956C667AF}"/>
            </a:ext>
          </a:extLst>
        </xdr:cNvPr>
        <xdr:cNvSpPr txBox="1"/>
      </xdr:nvSpPr>
      <xdr:spPr>
        <a:xfrm>
          <a:off x="2560320" y="0"/>
          <a:ext cx="4937760" cy="5715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r>
            <a:rPr lang="pt-BR" sz="2400" b="1">
              <a:solidFill>
                <a:schemeClr val="accent5">
                  <a:lumMod val="75000"/>
                </a:schemeClr>
              </a:solidFill>
            </a:rPr>
            <a:t>Controle de Faturamento</a:t>
          </a:r>
          <a:r>
            <a:rPr lang="pt-BR" sz="2400" b="1" baseline="0">
              <a:solidFill>
                <a:schemeClr val="accent5">
                  <a:lumMod val="75000"/>
                </a:schemeClr>
              </a:solidFill>
            </a:rPr>
            <a:t> do MEI</a:t>
          </a:r>
          <a:endParaRPr lang="pt-BR" sz="2400" b="1">
            <a:solidFill>
              <a:schemeClr val="accent5">
                <a:lumMod val="75000"/>
              </a:schemeClr>
            </a:solidFill>
          </a:endParaRPr>
        </a:p>
      </xdr:txBody>
    </xdr:sp>
    <xdr:clientData/>
  </xdr:oneCellAnchor>
  <xdr:twoCellAnchor editAs="absolute">
    <xdr:from>
      <xdr:col>1</xdr:col>
      <xdr:colOff>205740</xdr:colOff>
      <xdr:row>0</xdr:row>
      <xdr:rowOff>0</xdr:rowOff>
    </xdr:from>
    <xdr:to>
      <xdr:col>2</xdr:col>
      <xdr:colOff>1114801</xdr:colOff>
      <xdr:row>3</xdr:row>
      <xdr:rowOff>9360</xdr:rowOff>
    </xdr:to>
    <xdr:pic>
      <xdr:nvPicPr>
        <xdr:cNvPr id="3" name="Imagem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12BEB2C-5C0A-4515-95AF-73F74D2A3C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7660" y="0"/>
          <a:ext cx="1953001" cy="55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60960</xdr:colOff>
      <xdr:row>8</xdr:row>
      <xdr:rowOff>30480</xdr:rowOff>
    </xdr:from>
    <xdr:to>
      <xdr:col>1</xdr:col>
      <xdr:colOff>492960</xdr:colOff>
      <xdr:row>8</xdr:row>
      <xdr:rowOff>296880</xdr:rowOff>
    </xdr:to>
    <xdr:sp macro="" textlink="">
      <xdr:nvSpPr>
        <xdr:cNvPr id="4" name="Seta: para a Direita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498893A-2F45-44B5-8EDA-3AAB83BCF894}"/>
            </a:ext>
          </a:extLst>
        </xdr:cNvPr>
        <xdr:cNvSpPr/>
      </xdr:nvSpPr>
      <xdr:spPr>
        <a:xfrm flipH="1">
          <a:off x="182880" y="784860"/>
          <a:ext cx="432000" cy="266400"/>
        </a:xfrm>
        <a:prstGeom prst="rightArrow">
          <a:avLst/>
        </a:prstGeom>
        <a:solidFill>
          <a:schemeClr val="accent5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 fPrintsWithSheet="0"/>
  </xdr:twoCellAnchor>
  <xdr:twoCellAnchor editAs="absolute">
    <xdr:from>
      <xdr:col>1</xdr:col>
      <xdr:colOff>632460</xdr:colOff>
      <xdr:row>8</xdr:row>
      <xdr:rowOff>30480</xdr:rowOff>
    </xdr:from>
    <xdr:to>
      <xdr:col>2</xdr:col>
      <xdr:colOff>920520</xdr:colOff>
      <xdr:row>8</xdr:row>
      <xdr:rowOff>295040</xdr:rowOff>
    </xdr:to>
    <xdr:sp macro="" textlink="">
      <xdr:nvSpPr>
        <xdr:cNvPr id="5" name="CaixaDeTexto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CC734A5E-8F7F-47E5-A2D7-A537641EEEB6}"/>
            </a:ext>
          </a:extLst>
        </xdr:cNvPr>
        <xdr:cNvSpPr txBox="1"/>
      </xdr:nvSpPr>
      <xdr:spPr>
        <a:xfrm>
          <a:off x="754380" y="784860"/>
          <a:ext cx="1332000" cy="26456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3175">
          <a:solidFill>
            <a:schemeClr val="bg1">
              <a:lumMod val="9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pt-BR" sz="1100" b="0">
              <a:solidFill>
                <a:schemeClr val="accent5">
                  <a:lumMod val="75000"/>
                </a:schemeClr>
              </a:solidFill>
            </a:rPr>
            <a:t>Relatório</a:t>
          </a:r>
          <a:r>
            <a:rPr lang="pt-BR" sz="1100" b="0" baseline="0">
              <a:solidFill>
                <a:schemeClr val="accent5">
                  <a:lumMod val="75000"/>
                </a:schemeClr>
              </a:solidFill>
            </a:rPr>
            <a:t> Geral</a:t>
          </a:r>
          <a:endParaRPr lang="pt-BR" sz="1100" b="0">
            <a:solidFill>
              <a:schemeClr val="accent5">
                <a:lumMod val="75000"/>
              </a:schemeClr>
            </a:solidFill>
          </a:endParaRPr>
        </a:p>
      </xdr:txBody>
    </xdr:sp>
    <xdr:clientData fPrintsWithSheet="0"/>
  </xdr:twoCellAnchor>
  <xdr:twoCellAnchor editAs="absolute">
    <xdr:from>
      <xdr:col>2</xdr:col>
      <xdr:colOff>975360</xdr:colOff>
      <xdr:row>8</xdr:row>
      <xdr:rowOff>30480</xdr:rowOff>
    </xdr:from>
    <xdr:to>
      <xdr:col>2</xdr:col>
      <xdr:colOff>2307360</xdr:colOff>
      <xdr:row>8</xdr:row>
      <xdr:rowOff>295040</xdr:rowOff>
    </xdr:to>
    <xdr:sp macro="[0]!Imprimir" textlink="">
      <xdr:nvSpPr>
        <xdr:cNvPr id="6" name="CaixaDeTexto 5">
          <a:extLst>
            <a:ext uri="{FF2B5EF4-FFF2-40B4-BE49-F238E27FC236}">
              <a16:creationId xmlns:a16="http://schemas.microsoft.com/office/drawing/2014/main" id="{F5F3E963-C34D-48FB-93F9-4149A26AC947}"/>
            </a:ext>
          </a:extLst>
        </xdr:cNvPr>
        <xdr:cNvSpPr txBox="1"/>
      </xdr:nvSpPr>
      <xdr:spPr>
        <a:xfrm>
          <a:off x="2141220" y="784860"/>
          <a:ext cx="1332000" cy="26456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3175">
          <a:solidFill>
            <a:schemeClr val="bg1">
              <a:lumMod val="9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pt-BR" sz="1100" b="0">
              <a:solidFill>
                <a:schemeClr val="accent5">
                  <a:lumMod val="75000"/>
                </a:schemeClr>
              </a:solidFill>
            </a:rPr>
            <a:t>Imprimir</a:t>
          </a:r>
        </a:p>
      </xdr:txBody>
    </xdr:sp>
    <xdr:clientData fPrintsWithSheet="0"/>
  </xdr:twoCellAnchor>
  <xdr:oneCellAnchor>
    <xdr:from>
      <xdr:col>6</xdr:col>
      <xdr:colOff>762000</xdr:colOff>
      <xdr:row>8</xdr:row>
      <xdr:rowOff>76200</xdr:rowOff>
    </xdr:from>
    <xdr:ext cx="2531969" cy="311496"/>
    <xdr:sp macro="" textlink="">
      <xdr:nvSpPr>
        <xdr:cNvPr id="7" name="CaixaDeTexto 6">
          <a:extLst>
            <a:ext uri="{FF2B5EF4-FFF2-40B4-BE49-F238E27FC236}">
              <a16:creationId xmlns:a16="http://schemas.microsoft.com/office/drawing/2014/main" id="{9FB1442D-9229-4EEB-ABAD-EEF5F7BFF333}"/>
            </a:ext>
          </a:extLst>
        </xdr:cNvPr>
        <xdr:cNvSpPr txBox="1"/>
      </xdr:nvSpPr>
      <xdr:spPr>
        <a:xfrm>
          <a:off x="10477500" y="830580"/>
          <a:ext cx="2531969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pt-BR" sz="1400">
              <a:solidFill>
                <a:schemeClr val="accent5">
                  <a:lumMod val="50000"/>
                </a:schemeClr>
              </a:solidFill>
            </a:rPr>
            <a:t>Total de Vendas em </a:t>
          </a:r>
          <a:r>
            <a:rPr lang="pt-BR" sz="1400" b="1">
              <a:solidFill>
                <a:schemeClr val="accent5">
                  <a:lumMod val="50000"/>
                </a:schemeClr>
              </a:solidFill>
            </a:rPr>
            <a:t>Novembro</a:t>
          </a:r>
          <a:r>
            <a:rPr lang="pt-BR" sz="1400">
              <a:solidFill>
                <a:schemeClr val="accent5">
                  <a:lumMod val="50000"/>
                </a:schemeClr>
              </a:solidFill>
            </a:rPr>
            <a:t>:</a:t>
          </a:r>
        </a:p>
      </xdr:txBody>
    </xdr:sp>
    <xdr:clientData/>
  </xdr:oneCellAnchor>
  <xdr:twoCellAnchor editAs="absolute">
    <xdr:from>
      <xdr:col>2</xdr:col>
      <xdr:colOff>2346960</xdr:colOff>
      <xdr:row>8</xdr:row>
      <xdr:rowOff>30480</xdr:rowOff>
    </xdr:from>
    <xdr:to>
      <xdr:col>3</xdr:col>
      <xdr:colOff>353700</xdr:colOff>
      <xdr:row>8</xdr:row>
      <xdr:rowOff>296880</xdr:rowOff>
    </xdr:to>
    <xdr:sp macro="" textlink="">
      <xdr:nvSpPr>
        <xdr:cNvPr id="8" name="CaixaDeTexto 7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59E68C7E-9265-41E3-A42B-B438EB17A5DA}"/>
            </a:ext>
          </a:extLst>
        </xdr:cNvPr>
        <xdr:cNvSpPr txBox="1"/>
      </xdr:nvSpPr>
      <xdr:spPr>
        <a:xfrm>
          <a:off x="3512820" y="784860"/>
          <a:ext cx="468000" cy="26640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 b="0">
              <a:solidFill>
                <a:schemeClr val="accent5">
                  <a:lumMod val="75000"/>
                </a:schemeClr>
              </a:solidFill>
            </a:rPr>
            <a:t>JAN</a:t>
          </a:r>
        </a:p>
      </xdr:txBody>
    </xdr:sp>
    <xdr:clientData fPrintsWithSheet="0"/>
  </xdr:twoCellAnchor>
  <xdr:twoCellAnchor editAs="absolute">
    <xdr:from>
      <xdr:col>3</xdr:col>
      <xdr:colOff>388295</xdr:colOff>
      <xdr:row>8</xdr:row>
      <xdr:rowOff>30480</xdr:rowOff>
    </xdr:from>
    <xdr:to>
      <xdr:col>3</xdr:col>
      <xdr:colOff>856295</xdr:colOff>
      <xdr:row>8</xdr:row>
      <xdr:rowOff>296880</xdr:rowOff>
    </xdr:to>
    <xdr:sp macro="" textlink="">
      <xdr:nvSpPr>
        <xdr:cNvPr id="9" name="CaixaDeTexto 8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F1F7E66E-5031-4EAB-99FE-D6E0B9394178}"/>
            </a:ext>
          </a:extLst>
        </xdr:cNvPr>
        <xdr:cNvSpPr txBox="1"/>
      </xdr:nvSpPr>
      <xdr:spPr>
        <a:xfrm>
          <a:off x="4015415" y="784860"/>
          <a:ext cx="468000" cy="26640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>
              <a:solidFill>
                <a:schemeClr val="accent5">
                  <a:lumMod val="75000"/>
                </a:schemeClr>
              </a:solidFill>
            </a:rPr>
            <a:t>FEV</a:t>
          </a:r>
        </a:p>
      </xdr:txBody>
    </xdr:sp>
    <xdr:clientData fPrintsWithSheet="0"/>
  </xdr:twoCellAnchor>
  <xdr:twoCellAnchor editAs="absolute">
    <xdr:from>
      <xdr:col>3</xdr:col>
      <xdr:colOff>890890</xdr:colOff>
      <xdr:row>8</xdr:row>
      <xdr:rowOff>30480</xdr:rowOff>
    </xdr:from>
    <xdr:to>
      <xdr:col>3</xdr:col>
      <xdr:colOff>1358890</xdr:colOff>
      <xdr:row>8</xdr:row>
      <xdr:rowOff>296880</xdr:rowOff>
    </xdr:to>
    <xdr:sp macro="" textlink="">
      <xdr:nvSpPr>
        <xdr:cNvPr id="10" name="CaixaDeTexto 9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23DD119-EE66-466A-B510-4FD5971A76BB}"/>
            </a:ext>
          </a:extLst>
        </xdr:cNvPr>
        <xdr:cNvSpPr txBox="1"/>
      </xdr:nvSpPr>
      <xdr:spPr>
        <a:xfrm>
          <a:off x="4518010" y="784860"/>
          <a:ext cx="468000" cy="26640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>
              <a:solidFill>
                <a:schemeClr val="accent5">
                  <a:lumMod val="75000"/>
                </a:schemeClr>
              </a:solidFill>
            </a:rPr>
            <a:t>MAR</a:t>
          </a:r>
        </a:p>
      </xdr:txBody>
    </xdr:sp>
    <xdr:clientData fPrintsWithSheet="0"/>
  </xdr:twoCellAnchor>
  <xdr:twoCellAnchor editAs="absolute">
    <xdr:from>
      <xdr:col>4</xdr:col>
      <xdr:colOff>2835</xdr:colOff>
      <xdr:row>8</xdr:row>
      <xdr:rowOff>30480</xdr:rowOff>
    </xdr:from>
    <xdr:to>
      <xdr:col>4</xdr:col>
      <xdr:colOff>436545</xdr:colOff>
      <xdr:row>8</xdr:row>
      <xdr:rowOff>296880</xdr:rowOff>
    </xdr:to>
    <xdr:sp macro="" textlink="">
      <xdr:nvSpPr>
        <xdr:cNvPr id="11" name="CaixaDeTexto 10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13C7EC3B-0DD2-47AD-BA37-5F26CF3DE345}"/>
            </a:ext>
          </a:extLst>
        </xdr:cNvPr>
        <xdr:cNvSpPr txBox="1"/>
      </xdr:nvSpPr>
      <xdr:spPr>
        <a:xfrm>
          <a:off x="5020605" y="784860"/>
          <a:ext cx="468000" cy="26640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>
              <a:solidFill>
                <a:schemeClr val="accent5">
                  <a:lumMod val="75000"/>
                </a:schemeClr>
              </a:solidFill>
            </a:rPr>
            <a:t>ABR</a:t>
          </a:r>
        </a:p>
      </xdr:txBody>
    </xdr:sp>
    <xdr:clientData fPrintsWithSheet="0"/>
  </xdr:twoCellAnchor>
  <xdr:twoCellAnchor editAs="absolute">
    <xdr:from>
      <xdr:col>4</xdr:col>
      <xdr:colOff>471140</xdr:colOff>
      <xdr:row>8</xdr:row>
      <xdr:rowOff>30480</xdr:rowOff>
    </xdr:from>
    <xdr:to>
      <xdr:col>4</xdr:col>
      <xdr:colOff>939140</xdr:colOff>
      <xdr:row>8</xdr:row>
      <xdr:rowOff>296880</xdr:rowOff>
    </xdr:to>
    <xdr:sp macro="" textlink="">
      <xdr:nvSpPr>
        <xdr:cNvPr id="12" name="CaixaDeTexto 11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DC88DB4B-9AA4-4927-9870-38247AFC1613}"/>
            </a:ext>
          </a:extLst>
        </xdr:cNvPr>
        <xdr:cNvSpPr txBox="1"/>
      </xdr:nvSpPr>
      <xdr:spPr>
        <a:xfrm>
          <a:off x="5523200" y="784860"/>
          <a:ext cx="468000" cy="26640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>
              <a:solidFill>
                <a:schemeClr val="accent5">
                  <a:lumMod val="75000"/>
                </a:schemeClr>
              </a:solidFill>
            </a:rPr>
            <a:t>MAI</a:t>
          </a:r>
        </a:p>
      </xdr:txBody>
    </xdr:sp>
    <xdr:clientData fPrintsWithSheet="0"/>
  </xdr:twoCellAnchor>
  <xdr:twoCellAnchor editAs="absolute">
    <xdr:from>
      <xdr:col>4</xdr:col>
      <xdr:colOff>973735</xdr:colOff>
      <xdr:row>8</xdr:row>
      <xdr:rowOff>30480</xdr:rowOff>
    </xdr:from>
    <xdr:to>
      <xdr:col>4</xdr:col>
      <xdr:colOff>1441735</xdr:colOff>
      <xdr:row>8</xdr:row>
      <xdr:rowOff>296880</xdr:rowOff>
    </xdr:to>
    <xdr:sp macro="" textlink="">
      <xdr:nvSpPr>
        <xdr:cNvPr id="13" name="CaixaDeTexto 12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ACBD862D-BF78-43F0-AA11-B9F6693B3BF6}"/>
            </a:ext>
          </a:extLst>
        </xdr:cNvPr>
        <xdr:cNvSpPr txBox="1"/>
      </xdr:nvSpPr>
      <xdr:spPr>
        <a:xfrm>
          <a:off x="6025795" y="784860"/>
          <a:ext cx="468000" cy="26640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>
              <a:solidFill>
                <a:schemeClr val="accent5">
                  <a:lumMod val="75000"/>
                </a:schemeClr>
              </a:solidFill>
            </a:rPr>
            <a:t>JUN</a:t>
          </a:r>
        </a:p>
      </xdr:txBody>
    </xdr:sp>
    <xdr:clientData fPrintsWithSheet="0"/>
  </xdr:twoCellAnchor>
  <xdr:twoCellAnchor editAs="absolute">
    <xdr:from>
      <xdr:col>4</xdr:col>
      <xdr:colOff>1483950</xdr:colOff>
      <xdr:row>8</xdr:row>
      <xdr:rowOff>30480</xdr:rowOff>
    </xdr:from>
    <xdr:to>
      <xdr:col>4</xdr:col>
      <xdr:colOff>1951950</xdr:colOff>
      <xdr:row>8</xdr:row>
      <xdr:rowOff>296880</xdr:rowOff>
    </xdr:to>
    <xdr:sp macro="" textlink="">
      <xdr:nvSpPr>
        <xdr:cNvPr id="14" name="CaixaDeTexto 13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38B15DCC-3030-47BF-8462-B75BBF9DED4E}"/>
            </a:ext>
          </a:extLst>
        </xdr:cNvPr>
        <xdr:cNvSpPr txBox="1"/>
      </xdr:nvSpPr>
      <xdr:spPr>
        <a:xfrm>
          <a:off x="6528390" y="784860"/>
          <a:ext cx="468000" cy="26640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>
              <a:solidFill>
                <a:schemeClr val="accent5">
                  <a:lumMod val="75000"/>
                </a:schemeClr>
              </a:solidFill>
            </a:rPr>
            <a:t>JUL</a:t>
          </a:r>
        </a:p>
      </xdr:txBody>
    </xdr:sp>
    <xdr:clientData fPrintsWithSheet="0"/>
  </xdr:twoCellAnchor>
  <xdr:twoCellAnchor editAs="absolute">
    <xdr:from>
      <xdr:col>4</xdr:col>
      <xdr:colOff>1986545</xdr:colOff>
      <xdr:row>8</xdr:row>
      <xdr:rowOff>30480</xdr:rowOff>
    </xdr:from>
    <xdr:to>
      <xdr:col>4</xdr:col>
      <xdr:colOff>2454545</xdr:colOff>
      <xdr:row>8</xdr:row>
      <xdr:rowOff>296880</xdr:rowOff>
    </xdr:to>
    <xdr:sp macro="" textlink="">
      <xdr:nvSpPr>
        <xdr:cNvPr id="15" name="CaixaDeTexto 14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5DFF7027-1AA0-46F7-964D-35540D2FFC67}"/>
            </a:ext>
          </a:extLst>
        </xdr:cNvPr>
        <xdr:cNvSpPr txBox="1"/>
      </xdr:nvSpPr>
      <xdr:spPr>
        <a:xfrm>
          <a:off x="7030985" y="784860"/>
          <a:ext cx="468000" cy="26640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>
              <a:solidFill>
                <a:schemeClr val="accent5">
                  <a:lumMod val="75000"/>
                </a:schemeClr>
              </a:solidFill>
            </a:rPr>
            <a:t>AGO</a:t>
          </a:r>
        </a:p>
      </xdr:txBody>
    </xdr:sp>
    <xdr:clientData fPrintsWithSheet="0"/>
  </xdr:twoCellAnchor>
  <xdr:twoCellAnchor editAs="absolute">
    <xdr:from>
      <xdr:col>4</xdr:col>
      <xdr:colOff>2489140</xdr:colOff>
      <xdr:row>8</xdr:row>
      <xdr:rowOff>30480</xdr:rowOff>
    </xdr:from>
    <xdr:to>
      <xdr:col>5</xdr:col>
      <xdr:colOff>53920</xdr:colOff>
      <xdr:row>8</xdr:row>
      <xdr:rowOff>296880</xdr:rowOff>
    </xdr:to>
    <xdr:sp macro="" textlink="">
      <xdr:nvSpPr>
        <xdr:cNvPr id="16" name="CaixaDeTexto 15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FB04F5B5-30F6-4059-8974-698FBBF6F8B0}"/>
            </a:ext>
          </a:extLst>
        </xdr:cNvPr>
        <xdr:cNvSpPr txBox="1"/>
      </xdr:nvSpPr>
      <xdr:spPr>
        <a:xfrm>
          <a:off x="7533580" y="784860"/>
          <a:ext cx="468000" cy="26640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>
              <a:solidFill>
                <a:schemeClr val="accent5">
                  <a:lumMod val="75000"/>
                </a:schemeClr>
              </a:solidFill>
            </a:rPr>
            <a:t>SET</a:t>
          </a:r>
        </a:p>
      </xdr:txBody>
    </xdr:sp>
    <xdr:clientData fPrintsWithSheet="0"/>
  </xdr:twoCellAnchor>
  <xdr:twoCellAnchor editAs="absolute">
    <xdr:from>
      <xdr:col>5</xdr:col>
      <xdr:colOff>88515</xdr:colOff>
      <xdr:row>8</xdr:row>
      <xdr:rowOff>30480</xdr:rowOff>
    </xdr:from>
    <xdr:to>
      <xdr:col>5</xdr:col>
      <xdr:colOff>548895</xdr:colOff>
      <xdr:row>8</xdr:row>
      <xdr:rowOff>296880</xdr:rowOff>
    </xdr:to>
    <xdr:sp macro="" textlink="">
      <xdr:nvSpPr>
        <xdr:cNvPr id="17" name="CaixaDeTexto 16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47F3636D-CD8D-4A7F-BC86-B2D60A5CB2D4}"/>
            </a:ext>
          </a:extLst>
        </xdr:cNvPr>
        <xdr:cNvSpPr txBox="1"/>
      </xdr:nvSpPr>
      <xdr:spPr>
        <a:xfrm>
          <a:off x="8036175" y="784860"/>
          <a:ext cx="468000" cy="26640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>
              <a:solidFill>
                <a:schemeClr val="accent5">
                  <a:lumMod val="75000"/>
                </a:schemeClr>
              </a:solidFill>
            </a:rPr>
            <a:t>OUT</a:t>
          </a:r>
        </a:p>
      </xdr:txBody>
    </xdr:sp>
    <xdr:clientData fPrintsWithSheet="0"/>
  </xdr:twoCellAnchor>
  <xdr:twoCellAnchor editAs="absolute">
    <xdr:from>
      <xdr:col>5</xdr:col>
      <xdr:colOff>583490</xdr:colOff>
      <xdr:row>8</xdr:row>
      <xdr:rowOff>30480</xdr:rowOff>
    </xdr:from>
    <xdr:to>
      <xdr:col>5</xdr:col>
      <xdr:colOff>1051490</xdr:colOff>
      <xdr:row>8</xdr:row>
      <xdr:rowOff>296880</xdr:rowOff>
    </xdr:to>
    <xdr:sp macro="" textlink="">
      <xdr:nvSpPr>
        <xdr:cNvPr id="18" name="CaixaDeTexto 17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3D608BFA-40CE-44E6-87F2-E84C80CF5465}"/>
            </a:ext>
          </a:extLst>
        </xdr:cNvPr>
        <xdr:cNvSpPr txBox="1"/>
      </xdr:nvSpPr>
      <xdr:spPr>
        <a:xfrm>
          <a:off x="8538770" y="784860"/>
          <a:ext cx="468000" cy="266400"/>
        </a:xfrm>
        <a:prstGeom prst="rect">
          <a:avLst/>
        </a:prstGeom>
        <a:solidFill>
          <a:schemeClr val="accent2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>
              <a:solidFill>
                <a:schemeClr val="bg1"/>
              </a:solidFill>
            </a:rPr>
            <a:t>NOV</a:t>
          </a:r>
        </a:p>
      </xdr:txBody>
    </xdr:sp>
    <xdr:clientData fPrintsWithSheet="0"/>
  </xdr:twoCellAnchor>
  <xdr:twoCellAnchor editAs="absolute">
    <xdr:from>
      <xdr:col>5</xdr:col>
      <xdr:colOff>1086085</xdr:colOff>
      <xdr:row>8</xdr:row>
      <xdr:rowOff>30480</xdr:rowOff>
    </xdr:from>
    <xdr:to>
      <xdr:col>5</xdr:col>
      <xdr:colOff>1561705</xdr:colOff>
      <xdr:row>8</xdr:row>
      <xdr:rowOff>296880</xdr:rowOff>
    </xdr:to>
    <xdr:sp macro="" textlink="">
      <xdr:nvSpPr>
        <xdr:cNvPr id="19" name="CaixaDeTexto 18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2F384F04-484E-4A30-8635-B8ABAABF9B32}"/>
            </a:ext>
          </a:extLst>
        </xdr:cNvPr>
        <xdr:cNvSpPr txBox="1"/>
      </xdr:nvSpPr>
      <xdr:spPr>
        <a:xfrm>
          <a:off x="9041365" y="784860"/>
          <a:ext cx="468000" cy="26640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>
              <a:solidFill>
                <a:schemeClr val="accent5">
                  <a:lumMod val="75000"/>
                </a:schemeClr>
              </a:solidFill>
            </a:rPr>
            <a:t>DEZ</a:t>
          </a:r>
        </a:p>
      </xdr:txBody>
    </xdr:sp>
    <xdr:clientData fPrintsWithSheet="0"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1394460</xdr:colOff>
      <xdr:row>0</xdr:row>
      <xdr:rowOff>0</xdr:rowOff>
    </xdr:from>
    <xdr:ext cx="4937760" cy="571500"/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2B2679CD-B947-4EA1-B576-78A3B06DF01A}"/>
            </a:ext>
          </a:extLst>
        </xdr:cNvPr>
        <xdr:cNvSpPr txBox="1"/>
      </xdr:nvSpPr>
      <xdr:spPr>
        <a:xfrm>
          <a:off x="2560320" y="0"/>
          <a:ext cx="4937760" cy="5715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r>
            <a:rPr lang="pt-BR" sz="2400" b="1">
              <a:solidFill>
                <a:schemeClr val="accent5">
                  <a:lumMod val="75000"/>
                </a:schemeClr>
              </a:solidFill>
            </a:rPr>
            <a:t>Controle de Faturamento</a:t>
          </a:r>
          <a:r>
            <a:rPr lang="pt-BR" sz="2400" b="1" baseline="0">
              <a:solidFill>
                <a:schemeClr val="accent5">
                  <a:lumMod val="75000"/>
                </a:schemeClr>
              </a:solidFill>
            </a:rPr>
            <a:t> do MEI</a:t>
          </a:r>
          <a:endParaRPr lang="pt-BR" sz="2400" b="1">
            <a:solidFill>
              <a:schemeClr val="accent5">
                <a:lumMod val="75000"/>
              </a:schemeClr>
            </a:solidFill>
          </a:endParaRPr>
        </a:p>
      </xdr:txBody>
    </xdr:sp>
    <xdr:clientData/>
  </xdr:oneCellAnchor>
  <xdr:twoCellAnchor editAs="absolute">
    <xdr:from>
      <xdr:col>1</xdr:col>
      <xdr:colOff>205740</xdr:colOff>
      <xdr:row>0</xdr:row>
      <xdr:rowOff>0</xdr:rowOff>
    </xdr:from>
    <xdr:to>
      <xdr:col>2</xdr:col>
      <xdr:colOff>1114801</xdr:colOff>
      <xdr:row>3</xdr:row>
      <xdr:rowOff>9360</xdr:rowOff>
    </xdr:to>
    <xdr:pic>
      <xdr:nvPicPr>
        <xdr:cNvPr id="3" name="Imagem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C6B0E5A-8A33-471B-8A53-DF0B2C47C4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7660" y="0"/>
          <a:ext cx="1953001" cy="55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60960</xdr:colOff>
      <xdr:row>8</xdr:row>
      <xdr:rowOff>30480</xdr:rowOff>
    </xdr:from>
    <xdr:to>
      <xdr:col>1</xdr:col>
      <xdr:colOff>492960</xdr:colOff>
      <xdr:row>8</xdr:row>
      <xdr:rowOff>296880</xdr:rowOff>
    </xdr:to>
    <xdr:sp macro="" textlink="">
      <xdr:nvSpPr>
        <xdr:cNvPr id="4" name="Seta: para a Direita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D9307CF-3F90-402B-B6A3-E34F6FA0A90D}"/>
            </a:ext>
          </a:extLst>
        </xdr:cNvPr>
        <xdr:cNvSpPr/>
      </xdr:nvSpPr>
      <xdr:spPr>
        <a:xfrm flipH="1">
          <a:off x="182880" y="784860"/>
          <a:ext cx="432000" cy="266400"/>
        </a:xfrm>
        <a:prstGeom prst="rightArrow">
          <a:avLst/>
        </a:prstGeom>
        <a:solidFill>
          <a:schemeClr val="accent5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 fPrintsWithSheet="0"/>
  </xdr:twoCellAnchor>
  <xdr:twoCellAnchor editAs="absolute">
    <xdr:from>
      <xdr:col>1</xdr:col>
      <xdr:colOff>632460</xdr:colOff>
      <xdr:row>8</xdr:row>
      <xdr:rowOff>30480</xdr:rowOff>
    </xdr:from>
    <xdr:to>
      <xdr:col>2</xdr:col>
      <xdr:colOff>920520</xdr:colOff>
      <xdr:row>8</xdr:row>
      <xdr:rowOff>295040</xdr:rowOff>
    </xdr:to>
    <xdr:sp macro="" textlink="">
      <xdr:nvSpPr>
        <xdr:cNvPr id="5" name="CaixaDeTexto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F21AA1B3-8E38-4FFE-A61F-D451ADCD86C0}"/>
            </a:ext>
          </a:extLst>
        </xdr:cNvPr>
        <xdr:cNvSpPr txBox="1"/>
      </xdr:nvSpPr>
      <xdr:spPr>
        <a:xfrm>
          <a:off x="754380" y="784860"/>
          <a:ext cx="1332000" cy="26456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3175">
          <a:solidFill>
            <a:schemeClr val="bg1">
              <a:lumMod val="9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pt-BR" sz="1100" b="0">
              <a:solidFill>
                <a:schemeClr val="accent5">
                  <a:lumMod val="75000"/>
                </a:schemeClr>
              </a:solidFill>
            </a:rPr>
            <a:t>Relatório</a:t>
          </a:r>
          <a:r>
            <a:rPr lang="pt-BR" sz="1100" b="0" baseline="0">
              <a:solidFill>
                <a:schemeClr val="accent5">
                  <a:lumMod val="75000"/>
                </a:schemeClr>
              </a:solidFill>
            </a:rPr>
            <a:t> Geral</a:t>
          </a:r>
          <a:endParaRPr lang="pt-BR" sz="1100" b="0">
            <a:solidFill>
              <a:schemeClr val="accent5">
                <a:lumMod val="75000"/>
              </a:schemeClr>
            </a:solidFill>
          </a:endParaRPr>
        </a:p>
      </xdr:txBody>
    </xdr:sp>
    <xdr:clientData fPrintsWithSheet="0"/>
  </xdr:twoCellAnchor>
  <xdr:twoCellAnchor editAs="absolute">
    <xdr:from>
      <xdr:col>2</xdr:col>
      <xdr:colOff>975360</xdr:colOff>
      <xdr:row>8</xdr:row>
      <xdr:rowOff>30480</xdr:rowOff>
    </xdr:from>
    <xdr:to>
      <xdr:col>2</xdr:col>
      <xdr:colOff>2307360</xdr:colOff>
      <xdr:row>8</xdr:row>
      <xdr:rowOff>295040</xdr:rowOff>
    </xdr:to>
    <xdr:sp macro="[0]!Imprimir" textlink="">
      <xdr:nvSpPr>
        <xdr:cNvPr id="6" name="CaixaDeTexto 5">
          <a:extLst>
            <a:ext uri="{FF2B5EF4-FFF2-40B4-BE49-F238E27FC236}">
              <a16:creationId xmlns:a16="http://schemas.microsoft.com/office/drawing/2014/main" id="{E8ADBF07-5C5E-421A-B743-7B6CE726F005}"/>
            </a:ext>
          </a:extLst>
        </xdr:cNvPr>
        <xdr:cNvSpPr txBox="1"/>
      </xdr:nvSpPr>
      <xdr:spPr>
        <a:xfrm>
          <a:off x="2141220" y="784860"/>
          <a:ext cx="1332000" cy="26456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3175">
          <a:solidFill>
            <a:schemeClr val="bg1">
              <a:lumMod val="9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pt-BR" sz="1100" b="0">
              <a:solidFill>
                <a:schemeClr val="accent5">
                  <a:lumMod val="75000"/>
                </a:schemeClr>
              </a:solidFill>
            </a:rPr>
            <a:t>Imprimir</a:t>
          </a:r>
        </a:p>
      </xdr:txBody>
    </xdr:sp>
    <xdr:clientData fPrintsWithSheet="0"/>
  </xdr:twoCellAnchor>
  <xdr:oneCellAnchor>
    <xdr:from>
      <xdr:col>6</xdr:col>
      <xdr:colOff>762000</xdr:colOff>
      <xdr:row>8</xdr:row>
      <xdr:rowOff>76200</xdr:rowOff>
    </xdr:from>
    <xdr:ext cx="2463389" cy="311496"/>
    <xdr:sp macro="" textlink="">
      <xdr:nvSpPr>
        <xdr:cNvPr id="7" name="CaixaDeTexto 6">
          <a:extLst>
            <a:ext uri="{FF2B5EF4-FFF2-40B4-BE49-F238E27FC236}">
              <a16:creationId xmlns:a16="http://schemas.microsoft.com/office/drawing/2014/main" id="{E3D0B742-7D6D-41D4-AF84-25BE9C9BCB70}"/>
            </a:ext>
          </a:extLst>
        </xdr:cNvPr>
        <xdr:cNvSpPr txBox="1"/>
      </xdr:nvSpPr>
      <xdr:spPr>
        <a:xfrm>
          <a:off x="10477500" y="830580"/>
          <a:ext cx="2463389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pt-BR" sz="1400">
              <a:solidFill>
                <a:schemeClr val="accent5">
                  <a:lumMod val="50000"/>
                </a:schemeClr>
              </a:solidFill>
            </a:rPr>
            <a:t>Total de Vendas em </a:t>
          </a:r>
          <a:r>
            <a:rPr lang="pt-BR" sz="1400" b="1">
              <a:solidFill>
                <a:schemeClr val="accent5">
                  <a:lumMod val="50000"/>
                </a:schemeClr>
              </a:solidFill>
            </a:rPr>
            <a:t>Dezembro</a:t>
          </a:r>
          <a:r>
            <a:rPr lang="pt-BR" sz="1400">
              <a:solidFill>
                <a:schemeClr val="accent5">
                  <a:lumMod val="50000"/>
                </a:schemeClr>
              </a:solidFill>
            </a:rPr>
            <a:t>:</a:t>
          </a:r>
        </a:p>
      </xdr:txBody>
    </xdr:sp>
    <xdr:clientData/>
  </xdr:oneCellAnchor>
  <xdr:twoCellAnchor editAs="absolute">
    <xdr:from>
      <xdr:col>2</xdr:col>
      <xdr:colOff>2346960</xdr:colOff>
      <xdr:row>8</xdr:row>
      <xdr:rowOff>30480</xdr:rowOff>
    </xdr:from>
    <xdr:to>
      <xdr:col>3</xdr:col>
      <xdr:colOff>353700</xdr:colOff>
      <xdr:row>8</xdr:row>
      <xdr:rowOff>296880</xdr:rowOff>
    </xdr:to>
    <xdr:sp macro="" textlink="">
      <xdr:nvSpPr>
        <xdr:cNvPr id="8" name="CaixaDeTexto 7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3430ED63-8728-4C4C-A7C2-15BE004EE9A3}"/>
            </a:ext>
          </a:extLst>
        </xdr:cNvPr>
        <xdr:cNvSpPr txBox="1"/>
      </xdr:nvSpPr>
      <xdr:spPr>
        <a:xfrm>
          <a:off x="3512820" y="784860"/>
          <a:ext cx="468000" cy="26640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 b="0">
              <a:solidFill>
                <a:schemeClr val="accent5">
                  <a:lumMod val="75000"/>
                </a:schemeClr>
              </a:solidFill>
            </a:rPr>
            <a:t>JAN</a:t>
          </a:r>
        </a:p>
      </xdr:txBody>
    </xdr:sp>
    <xdr:clientData fPrintsWithSheet="0"/>
  </xdr:twoCellAnchor>
  <xdr:twoCellAnchor editAs="absolute">
    <xdr:from>
      <xdr:col>3</xdr:col>
      <xdr:colOff>388295</xdr:colOff>
      <xdr:row>8</xdr:row>
      <xdr:rowOff>30480</xdr:rowOff>
    </xdr:from>
    <xdr:to>
      <xdr:col>3</xdr:col>
      <xdr:colOff>856295</xdr:colOff>
      <xdr:row>8</xdr:row>
      <xdr:rowOff>296880</xdr:rowOff>
    </xdr:to>
    <xdr:sp macro="" textlink="">
      <xdr:nvSpPr>
        <xdr:cNvPr id="9" name="CaixaDeTexto 8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BA81EF3D-8D28-4F85-A909-CECFBE917915}"/>
            </a:ext>
          </a:extLst>
        </xdr:cNvPr>
        <xdr:cNvSpPr txBox="1"/>
      </xdr:nvSpPr>
      <xdr:spPr>
        <a:xfrm>
          <a:off x="4015415" y="784860"/>
          <a:ext cx="468000" cy="26640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>
              <a:solidFill>
                <a:schemeClr val="accent5">
                  <a:lumMod val="75000"/>
                </a:schemeClr>
              </a:solidFill>
            </a:rPr>
            <a:t>FEV</a:t>
          </a:r>
        </a:p>
      </xdr:txBody>
    </xdr:sp>
    <xdr:clientData fPrintsWithSheet="0"/>
  </xdr:twoCellAnchor>
  <xdr:twoCellAnchor editAs="absolute">
    <xdr:from>
      <xdr:col>3</xdr:col>
      <xdr:colOff>890890</xdr:colOff>
      <xdr:row>8</xdr:row>
      <xdr:rowOff>30480</xdr:rowOff>
    </xdr:from>
    <xdr:to>
      <xdr:col>3</xdr:col>
      <xdr:colOff>1358890</xdr:colOff>
      <xdr:row>8</xdr:row>
      <xdr:rowOff>296880</xdr:rowOff>
    </xdr:to>
    <xdr:sp macro="" textlink="">
      <xdr:nvSpPr>
        <xdr:cNvPr id="10" name="CaixaDeTexto 9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73841A9E-1462-47B8-B980-3A10EC98C089}"/>
            </a:ext>
          </a:extLst>
        </xdr:cNvPr>
        <xdr:cNvSpPr txBox="1"/>
      </xdr:nvSpPr>
      <xdr:spPr>
        <a:xfrm>
          <a:off x="4518010" y="784860"/>
          <a:ext cx="468000" cy="26640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>
              <a:solidFill>
                <a:schemeClr val="accent5">
                  <a:lumMod val="75000"/>
                </a:schemeClr>
              </a:solidFill>
            </a:rPr>
            <a:t>MAR</a:t>
          </a:r>
        </a:p>
      </xdr:txBody>
    </xdr:sp>
    <xdr:clientData fPrintsWithSheet="0"/>
  </xdr:twoCellAnchor>
  <xdr:twoCellAnchor editAs="absolute">
    <xdr:from>
      <xdr:col>4</xdr:col>
      <xdr:colOff>2835</xdr:colOff>
      <xdr:row>8</xdr:row>
      <xdr:rowOff>30480</xdr:rowOff>
    </xdr:from>
    <xdr:to>
      <xdr:col>4</xdr:col>
      <xdr:colOff>436545</xdr:colOff>
      <xdr:row>8</xdr:row>
      <xdr:rowOff>296880</xdr:rowOff>
    </xdr:to>
    <xdr:sp macro="" textlink="">
      <xdr:nvSpPr>
        <xdr:cNvPr id="11" name="CaixaDeTexto 10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F768DBF3-0BFC-4F92-9B80-835D55E3C39E}"/>
            </a:ext>
          </a:extLst>
        </xdr:cNvPr>
        <xdr:cNvSpPr txBox="1"/>
      </xdr:nvSpPr>
      <xdr:spPr>
        <a:xfrm>
          <a:off x="5020605" y="784860"/>
          <a:ext cx="468000" cy="26640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>
              <a:solidFill>
                <a:schemeClr val="accent5">
                  <a:lumMod val="75000"/>
                </a:schemeClr>
              </a:solidFill>
            </a:rPr>
            <a:t>ABR</a:t>
          </a:r>
        </a:p>
      </xdr:txBody>
    </xdr:sp>
    <xdr:clientData fPrintsWithSheet="0"/>
  </xdr:twoCellAnchor>
  <xdr:twoCellAnchor editAs="absolute">
    <xdr:from>
      <xdr:col>4</xdr:col>
      <xdr:colOff>471140</xdr:colOff>
      <xdr:row>8</xdr:row>
      <xdr:rowOff>30480</xdr:rowOff>
    </xdr:from>
    <xdr:to>
      <xdr:col>4</xdr:col>
      <xdr:colOff>939140</xdr:colOff>
      <xdr:row>8</xdr:row>
      <xdr:rowOff>296880</xdr:rowOff>
    </xdr:to>
    <xdr:sp macro="" textlink="">
      <xdr:nvSpPr>
        <xdr:cNvPr id="12" name="CaixaDeTexto 11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7A871632-2E2D-4DF9-B6CF-355A39961CE2}"/>
            </a:ext>
          </a:extLst>
        </xdr:cNvPr>
        <xdr:cNvSpPr txBox="1"/>
      </xdr:nvSpPr>
      <xdr:spPr>
        <a:xfrm>
          <a:off x="5523200" y="784860"/>
          <a:ext cx="468000" cy="26640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>
              <a:solidFill>
                <a:schemeClr val="accent5">
                  <a:lumMod val="75000"/>
                </a:schemeClr>
              </a:solidFill>
            </a:rPr>
            <a:t>MAI</a:t>
          </a:r>
        </a:p>
      </xdr:txBody>
    </xdr:sp>
    <xdr:clientData fPrintsWithSheet="0"/>
  </xdr:twoCellAnchor>
  <xdr:twoCellAnchor editAs="absolute">
    <xdr:from>
      <xdr:col>4</xdr:col>
      <xdr:colOff>973735</xdr:colOff>
      <xdr:row>8</xdr:row>
      <xdr:rowOff>30480</xdr:rowOff>
    </xdr:from>
    <xdr:to>
      <xdr:col>4</xdr:col>
      <xdr:colOff>1441735</xdr:colOff>
      <xdr:row>8</xdr:row>
      <xdr:rowOff>296880</xdr:rowOff>
    </xdr:to>
    <xdr:sp macro="" textlink="">
      <xdr:nvSpPr>
        <xdr:cNvPr id="13" name="CaixaDeTexto 12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4DA80A12-A379-4E04-B11A-0E6BC423DE09}"/>
            </a:ext>
          </a:extLst>
        </xdr:cNvPr>
        <xdr:cNvSpPr txBox="1"/>
      </xdr:nvSpPr>
      <xdr:spPr>
        <a:xfrm>
          <a:off x="6025795" y="784860"/>
          <a:ext cx="468000" cy="26640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>
              <a:solidFill>
                <a:schemeClr val="accent5">
                  <a:lumMod val="75000"/>
                </a:schemeClr>
              </a:solidFill>
            </a:rPr>
            <a:t>JUN</a:t>
          </a:r>
        </a:p>
      </xdr:txBody>
    </xdr:sp>
    <xdr:clientData fPrintsWithSheet="0"/>
  </xdr:twoCellAnchor>
  <xdr:twoCellAnchor editAs="absolute">
    <xdr:from>
      <xdr:col>4</xdr:col>
      <xdr:colOff>1483950</xdr:colOff>
      <xdr:row>8</xdr:row>
      <xdr:rowOff>30480</xdr:rowOff>
    </xdr:from>
    <xdr:to>
      <xdr:col>4</xdr:col>
      <xdr:colOff>1951950</xdr:colOff>
      <xdr:row>8</xdr:row>
      <xdr:rowOff>296880</xdr:rowOff>
    </xdr:to>
    <xdr:sp macro="" textlink="">
      <xdr:nvSpPr>
        <xdr:cNvPr id="14" name="CaixaDeTexto 13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18E38DAC-AD1F-46CB-BDBC-66EBA27C9DB1}"/>
            </a:ext>
          </a:extLst>
        </xdr:cNvPr>
        <xdr:cNvSpPr txBox="1"/>
      </xdr:nvSpPr>
      <xdr:spPr>
        <a:xfrm>
          <a:off x="6528390" y="784860"/>
          <a:ext cx="468000" cy="26640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>
              <a:solidFill>
                <a:schemeClr val="accent5">
                  <a:lumMod val="75000"/>
                </a:schemeClr>
              </a:solidFill>
            </a:rPr>
            <a:t>JUL</a:t>
          </a:r>
        </a:p>
      </xdr:txBody>
    </xdr:sp>
    <xdr:clientData fPrintsWithSheet="0"/>
  </xdr:twoCellAnchor>
  <xdr:twoCellAnchor editAs="absolute">
    <xdr:from>
      <xdr:col>4</xdr:col>
      <xdr:colOff>1986545</xdr:colOff>
      <xdr:row>8</xdr:row>
      <xdr:rowOff>30480</xdr:rowOff>
    </xdr:from>
    <xdr:to>
      <xdr:col>4</xdr:col>
      <xdr:colOff>2454545</xdr:colOff>
      <xdr:row>8</xdr:row>
      <xdr:rowOff>296880</xdr:rowOff>
    </xdr:to>
    <xdr:sp macro="" textlink="">
      <xdr:nvSpPr>
        <xdr:cNvPr id="15" name="CaixaDeTexto 14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A9EDAA88-7554-498B-8900-2075772A44D4}"/>
            </a:ext>
          </a:extLst>
        </xdr:cNvPr>
        <xdr:cNvSpPr txBox="1"/>
      </xdr:nvSpPr>
      <xdr:spPr>
        <a:xfrm>
          <a:off x="7030985" y="784860"/>
          <a:ext cx="468000" cy="26640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>
              <a:solidFill>
                <a:schemeClr val="accent5">
                  <a:lumMod val="75000"/>
                </a:schemeClr>
              </a:solidFill>
            </a:rPr>
            <a:t>AGO</a:t>
          </a:r>
        </a:p>
      </xdr:txBody>
    </xdr:sp>
    <xdr:clientData fPrintsWithSheet="0"/>
  </xdr:twoCellAnchor>
  <xdr:twoCellAnchor editAs="absolute">
    <xdr:from>
      <xdr:col>4</xdr:col>
      <xdr:colOff>2489140</xdr:colOff>
      <xdr:row>8</xdr:row>
      <xdr:rowOff>30480</xdr:rowOff>
    </xdr:from>
    <xdr:to>
      <xdr:col>5</xdr:col>
      <xdr:colOff>53920</xdr:colOff>
      <xdr:row>8</xdr:row>
      <xdr:rowOff>296880</xdr:rowOff>
    </xdr:to>
    <xdr:sp macro="" textlink="">
      <xdr:nvSpPr>
        <xdr:cNvPr id="16" name="CaixaDeTexto 15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93FC8A20-84D4-4BE7-9860-7C489A02C042}"/>
            </a:ext>
          </a:extLst>
        </xdr:cNvPr>
        <xdr:cNvSpPr txBox="1"/>
      </xdr:nvSpPr>
      <xdr:spPr>
        <a:xfrm>
          <a:off x="7533580" y="784860"/>
          <a:ext cx="468000" cy="26640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>
              <a:solidFill>
                <a:schemeClr val="accent5">
                  <a:lumMod val="75000"/>
                </a:schemeClr>
              </a:solidFill>
            </a:rPr>
            <a:t>SET</a:t>
          </a:r>
        </a:p>
      </xdr:txBody>
    </xdr:sp>
    <xdr:clientData fPrintsWithSheet="0"/>
  </xdr:twoCellAnchor>
  <xdr:twoCellAnchor editAs="absolute">
    <xdr:from>
      <xdr:col>5</xdr:col>
      <xdr:colOff>88515</xdr:colOff>
      <xdr:row>8</xdr:row>
      <xdr:rowOff>30480</xdr:rowOff>
    </xdr:from>
    <xdr:to>
      <xdr:col>5</xdr:col>
      <xdr:colOff>548895</xdr:colOff>
      <xdr:row>8</xdr:row>
      <xdr:rowOff>296880</xdr:rowOff>
    </xdr:to>
    <xdr:sp macro="" textlink="">
      <xdr:nvSpPr>
        <xdr:cNvPr id="17" name="CaixaDeTexto 16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AD6DD7A1-DA86-4DBE-865C-B4D8A8ADF7A9}"/>
            </a:ext>
          </a:extLst>
        </xdr:cNvPr>
        <xdr:cNvSpPr txBox="1"/>
      </xdr:nvSpPr>
      <xdr:spPr>
        <a:xfrm>
          <a:off x="8036175" y="784860"/>
          <a:ext cx="468000" cy="26640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>
              <a:solidFill>
                <a:schemeClr val="accent5">
                  <a:lumMod val="75000"/>
                </a:schemeClr>
              </a:solidFill>
            </a:rPr>
            <a:t>OUT</a:t>
          </a:r>
        </a:p>
      </xdr:txBody>
    </xdr:sp>
    <xdr:clientData fPrintsWithSheet="0"/>
  </xdr:twoCellAnchor>
  <xdr:twoCellAnchor editAs="absolute">
    <xdr:from>
      <xdr:col>5</xdr:col>
      <xdr:colOff>583490</xdr:colOff>
      <xdr:row>8</xdr:row>
      <xdr:rowOff>30480</xdr:rowOff>
    </xdr:from>
    <xdr:to>
      <xdr:col>5</xdr:col>
      <xdr:colOff>1051490</xdr:colOff>
      <xdr:row>8</xdr:row>
      <xdr:rowOff>296880</xdr:rowOff>
    </xdr:to>
    <xdr:sp macro="" textlink="">
      <xdr:nvSpPr>
        <xdr:cNvPr id="18" name="CaixaDeTexto 17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6F6D14EA-534E-412A-AD96-D083EE578975}"/>
            </a:ext>
          </a:extLst>
        </xdr:cNvPr>
        <xdr:cNvSpPr txBox="1"/>
      </xdr:nvSpPr>
      <xdr:spPr>
        <a:xfrm>
          <a:off x="8538770" y="784860"/>
          <a:ext cx="468000" cy="26640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>
              <a:solidFill>
                <a:schemeClr val="accent5">
                  <a:lumMod val="75000"/>
                </a:schemeClr>
              </a:solidFill>
            </a:rPr>
            <a:t>NOV</a:t>
          </a:r>
        </a:p>
      </xdr:txBody>
    </xdr:sp>
    <xdr:clientData fPrintsWithSheet="0"/>
  </xdr:twoCellAnchor>
  <xdr:twoCellAnchor editAs="absolute">
    <xdr:from>
      <xdr:col>5</xdr:col>
      <xdr:colOff>1086085</xdr:colOff>
      <xdr:row>8</xdr:row>
      <xdr:rowOff>30480</xdr:rowOff>
    </xdr:from>
    <xdr:to>
      <xdr:col>5</xdr:col>
      <xdr:colOff>1561705</xdr:colOff>
      <xdr:row>8</xdr:row>
      <xdr:rowOff>296880</xdr:rowOff>
    </xdr:to>
    <xdr:sp macro="" textlink="">
      <xdr:nvSpPr>
        <xdr:cNvPr id="19" name="CaixaDeTexto 18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087B986E-1EEE-4B89-A01F-DD510638C578}"/>
            </a:ext>
          </a:extLst>
        </xdr:cNvPr>
        <xdr:cNvSpPr txBox="1"/>
      </xdr:nvSpPr>
      <xdr:spPr>
        <a:xfrm>
          <a:off x="9041365" y="784860"/>
          <a:ext cx="468000" cy="266400"/>
        </a:xfrm>
        <a:prstGeom prst="rect">
          <a:avLst/>
        </a:prstGeom>
        <a:solidFill>
          <a:schemeClr val="accent2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>
              <a:solidFill>
                <a:schemeClr val="bg1"/>
              </a:solidFill>
            </a:rPr>
            <a:t>DEZ</a:t>
          </a:r>
        </a:p>
      </xdr:txBody>
    </xdr:sp>
    <xdr:clientData fPrintsWithSheet="0"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731520</xdr:colOff>
      <xdr:row>0</xdr:row>
      <xdr:rowOff>0</xdr:rowOff>
    </xdr:from>
    <xdr:ext cx="4503420" cy="571500"/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4955108C-9FBB-4586-AB8E-D9D0751601E6}"/>
            </a:ext>
          </a:extLst>
        </xdr:cNvPr>
        <xdr:cNvSpPr txBox="1"/>
      </xdr:nvSpPr>
      <xdr:spPr>
        <a:xfrm>
          <a:off x="2560320" y="0"/>
          <a:ext cx="4503420" cy="5715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pt-BR" sz="2400" b="1" i="0" u="none" strike="noStrike" kern="0" cap="none" spc="0" normalizeH="0" baseline="0" noProof="0">
              <a:ln>
                <a:noFill/>
              </a:ln>
              <a:solidFill>
                <a:srgbClr val="5B9BD5">
                  <a:lumMod val="75000"/>
                </a:srgbClr>
              </a:solidFill>
              <a:effectLst/>
              <a:uLnTx/>
              <a:uFillTx/>
              <a:latin typeface="+mn-lt"/>
              <a:ea typeface="+mn-ea"/>
              <a:cs typeface="+mn-cs"/>
            </a:rPr>
            <a:t>Controle de Faturamento do MEI</a:t>
          </a:r>
        </a:p>
      </xdr:txBody>
    </xdr:sp>
    <xdr:clientData/>
  </xdr:oneCellAnchor>
  <xdr:twoCellAnchor editAs="absolute">
    <xdr:from>
      <xdr:col>0</xdr:col>
      <xdr:colOff>342901</xdr:colOff>
      <xdr:row>0</xdr:row>
      <xdr:rowOff>0</xdr:rowOff>
    </xdr:from>
    <xdr:to>
      <xdr:col>3</xdr:col>
      <xdr:colOff>467102</xdr:colOff>
      <xdr:row>3</xdr:row>
      <xdr:rowOff>9360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D1FCB2BD-D4FA-452E-B749-0C90762515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2901" y="0"/>
          <a:ext cx="1953001" cy="55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1</xdr:col>
      <xdr:colOff>160020</xdr:colOff>
      <xdr:row>8</xdr:row>
      <xdr:rowOff>26670</xdr:rowOff>
    </xdr:from>
    <xdr:to>
      <xdr:col>3</xdr:col>
      <xdr:colOff>272820</xdr:colOff>
      <xdr:row>8</xdr:row>
      <xdr:rowOff>291230</xdr:rowOff>
    </xdr:to>
    <xdr:sp macro="" textlink="">
      <xdr:nvSpPr>
        <xdr:cNvPr id="4" name="CaixaDeTexto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9926AFB-364E-46CE-B24E-80431A1A2A91}"/>
            </a:ext>
          </a:extLst>
        </xdr:cNvPr>
        <xdr:cNvSpPr txBox="1"/>
      </xdr:nvSpPr>
      <xdr:spPr>
        <a:xfrm>
          <a:off x="769620" y="781050"/>
          <a:ext cx="1332000" cy="26456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3175">
          <a:solidFill>
            <a:schemeClr val="bg1">
              <a:lumMod val="9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pt-BR" sz="1100" b="0">
              <a:solidFill>
                <a:schemeClr val="accent5">
                  <a:lumMod val="75000"/>
                </a:schemeClr>
              </a:solidFill>
            </a:rPr>
            <a:t>Acessar a Planilha</a:t>
          </a:r>
        </a:p>
      </xdr:txBody>
    </xdr:sp>
    <xdr:clientData fPrintsWithSheet="0"/>
  </xdr:twoCellAnchor>
  <xdr:twoCellAnchor>
    <xdr:from>
      <xdr:col>0</xdr:col>
      <xdr:colOff>190500</xdr:colOff>
      <xdr:row>8</xdr:row>
      <xdr:rowOff>30480</xdr:rowOff>
    </xdr:from>
    <xdr:to>
      <xdr:col>1</xdr:col>
      <xdr:colOff>12900</xdr:colOff>
      <xdr:row>8</xdr:row>
      <xdr:rowOff>296880</xdr:rowOff>
    </xdr:to>
    <xdr:sp macro="" textlink="">
      <xdr:nvSpPr>
        <xdr:cNvPr id="33" name="Seta: para a Direita 3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ED99F3ED-7A28-4743-9447-3B218F9B5454}"/>
            </a:ext>
          </a:extLst>
        </xdr:cNvPr>
        <xdr:cNvSpPr/>
      </xdr:nvSpPr>
      <xdr:spPr>
        <a:xfrm flipH="1">
          <a:off x="190500" y="784860"/>
          <a:ext cx="432000" cy="266400"/>
        </a:xfrm>
        <a:prstGeom prst="rightArrow">
          <a:avLst/>
        </a:prstGeom>
        <a:solidFill>
          <a:schemeClr val="accent5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 fPrintsWithSheet="0"/>
  </xdr:twoCellAnchor>
  <xdr:twoCellAnchor editAs="absolute">
    <xdr:from>
      <xdr:col>3</xdr:col>
      <xdr:colOff>335280</xdr:colOff>
      <xdr:row>8</xdr:row>
      <xdr:rowOff>26670</xdr:rowOff>
    </xdr:from>
    <xdr:to>
      <xdr:col>4</xdr:col>
      <xdr:colOff>589050</xdr:colOff>
      <xdr:row>8</xdr:row>
      <xdr:rowOff>291230</xdr:rowOff>
    </xdr:to>
    <xdr:sp macro="[0]!Imprimir" textlink="">
      <xdr:nvSpPr>
        <xdr:cNvPr id="17" name="CaixaDeTexto 16">
          <a:extLst>
            <a:ext uri="{FF2B5EF4-FFF2-40B4-BE49-F238E27FC236}">
              <a16:creationId xmlns:a16="http://schemas.microsoft.com/office/drawing/2014/main" id="{9143592B-5AD3-43D9-A127-85465B742818}"/>
            </a:ext>
          </a:extLst>
        </xdr:cNvPr>
        <xdr:cNvSpPr txBox="1"/>
      </xdr:nvSpPr>
      <xdr:spPr>
        <a:xfrm>
          <a:off x="2164080" y="781050"/>
          <a:ext cx="1332000" cy="26456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3175">
          <a:solidFill>
            <a:schemeClr val="bg1">
              <a:lumMod val="9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pt-BR" sz="1100" b="0">
              <a:solidFill>
                <a:schemeClr val="accent5">
                  <a:lumMod val="75000"/>
                </a:schemeClr>
              </a:solidFill>
            </a:rPr>
            <a:t>Imprimir</a:t>
          </a:r>
        </a:p>
      </xdr:txBody>
    </xdr:sp>
    <xdr:clientData fPrintsWithSheet="0"/>
  </xdr:twoCellAnchor>
  <xdr:twoCellAnchor>
    <xdr:from>
      <xdr:col>5</xdr:col>
      <xdr:colOff>60960</xdr:colOff>
      <xdr:row>13</xdr:row>
      <xdr:rowOff>15240</xdr:rowOff>
    </xdr:from>
    <xdr:to>
      <xdr:col>20</xdr:col>
      <xdr:colOff>571500</xdr:colOff>
      <xdr:row>27</xdr:row>
      <xdr:rowOff>7620</xdr:rowOff>
    </xdr:to>
    <xdr:graphicFrame macro="">
      <xdr:nvGraphicFramePr>
        <xdr:cNvPr id="18" name="Gráfico 17">
          <a:extLst>
            <a:ext uri="{FF2B5EF4-FFF2-40B4-BE49-F238E27FC236}">
              <a16:creationId xmlns:a16="http://schemas.microsoft.com/office/drawing/2014/main" id="{916DD9F9-E9AF-4405-A89B-B6EC4E9C9A7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525780</xdr:colOff>
      <xdr:row>27</xdr:row>
      <xdr:rowOff>99060</xdr:rowOff>
    </xdr:from>
    <xdr:to>
      <xdr:col>9</xdr:col>
      <xdr:colOff>30480</xdr:colOff>
      <xdr:row>29</xdr:row>
      <xdr:rowOff>30480</xdr:rowOff>
    </xdr:to>
    <xdr:sp macro="" textlink="">
      <xdr:nvSpPr>
        <xdr:cNvPr id="5" name="CaixaDeTexto 4">
          <a:extLst>
            <a:ext uri="{FF2B5EF4-FFF2-40B4-BE49-F238E27FC236}">
              <a16:creationId xmlns:a16="http://schemas.microsoft.com/office/drawing/2014/main" id="{F87F99D0-B3EB-4550-91C7-F164E834BF88}"/>
            </a:ext>
          </a:extLst>
        </xdr:cNvPr>
        <xdr:cNvSpPr txBox="1"/>
      </xdr:nvSpPr>
      <xdr:spPr>
        <a:xfrm>
          <a:off x="4023360" y="4907280"/>
          <a:ext cx="1943100" cy="2971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 b="1">
              <a:solidFill>
                <a:schemeClr val="accent5">
                  <a:lumMod val="50000"/>
                </a:schemeClr>
              </a:solidFill>
            </a:rPr>
            <a:t>Maior Mês de Faturamento:</a:t>
          </a:r>
        </a:p>
      </xdr:txBody>
    </xdr:sp>
    <xdr:clientData/>
  </xdr:twoCellAnchor>
  <xdr:twoCellAnchor>
    <xdr:from>
      <xdr:col>11</xdr:col>
      <xdr:colOff>556260</xdr:colOff>
      <xdr:row>27</xdr:row>
      <xdr:rowOff>121920</xdr:rowOff>
    </xdr:from>
    <xdr:to>
      <xdr:col>15</xdr:col>
      <xdr:colOff>60960</xdr:colOff>
      <xdr:row>29</xdr:row>
      <xdr:rowOff>53340</xdr:rowOff>
    </xdr:to>
    <xdr:sp macro="" textlink="">
      <xdr:nvSpPr>
        <xdr:cNvPr id="9" name="CaixaDeTexto 8">
          <a:extLst>
            <a:ext uri="{FF2B5EF4-FFF2-40B4-BE49-F238E27FC236}">
              <a16:creationId xmlns:a16="http://schemas.microsoft.com/office/drawing/2014/main" id="{0436AEA8-0FC4-4B12-8752-BFC110579098}"/>
            </a:ext>
          </a:extLst>
        </xdr:cNvPr>
        <xdr:cNvSpPr txBox="1"/>
      </xdr:nvSpPr>
      <xdr:spPr>
        <a:xfrm>
          <a:off x="7711440" y="4930140"/>
          <a:ext cx="1943100" cy="2971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 b="1">
              <a:solidFill>
                <a:schemeClr val="accent5">
                  <a:lumMod val="50000"/>
                </a:schemeClr>
              </a:solidFill>
            </a:rPr>
            <a:t>Menor Mês de Faturamento:</a:t>
          </a:r>
        </a:p>
      </xdr:txBody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1569720</xdr:colOff>
      <xdr:row>17</xdr:row>
      <xdr:rowOff>137160</xdr:rowOff>
    </xdr:from>
    <xdr:to>
      <xdr:col>8</xdr:col>
      <xdr:colOff>4693</xdr:colOff>
      <xdr:row>29</xdr:row>
      <xdr:rowOff>79763</xdr:rowOff>
    </xdr:to>
    <xdr:pic>
      <xdr:nvPicPr>
        <xdr:cNvPr id="51" name="Imagem 50">
          <a:extLst>
            <a:ext uri="{FF2B5EF4-FFF2-40B4-BE49-F238E27FC236}">
              <a16:creationId xmlns:a16="http://schemas.microsoft.com/office/drawing/2014/main" id="{E1306689-61C0-47D8-8403-84FB34E70A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13620" y="2811780"/>
          <a:ext cx="2006848" cy="213716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411480</xdr:colOff>
      <xdr:row>17</xdr:row>
      <xdr:rowOff>167640</xdr:rowOff>
    </xdr:from>
    <xdr:to>
      <xdr:col>7</xdr:col>
      <xdr:colOff>1476645</xdr:colOff>
      <xdr:row>29</xdr:row>
      <xdr:rowOff>76200</xdr:rowOff>
    </xdr:to>
    <xdr:pic>
      <xdr:nvPicPr>
        <xdr:cNvPr id="47" name="Imagem 46">
          <a:extLst>
            <a:ext uri="{FF2B5EF4-FFF2-40B4-BE49-F238E27FC236}">
              <a16:creationId xmlns:a16="http://schemas.microsoft.com/office/drawing/2014/main" id="{A774E532-BEF8-452F-898B-96F395C0D0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5780" y="2842260"/>
          <a:ext cx="9294765" cy="2103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1188720</xdr:colOff>
      <xdr:row>42</xdr:row>
      <xdr:rowOff>167640</xdr:rowOff>
    </xdr:from>
    <xdr:to>
      <xdr:col>7</xdr:col>
      <xdr:colOff>3086100</xdr:colOff>
      <xdr:row>51</xdr:row>
      <xdr:rowOff>60960</xdr:rowOff>
    </xdr:to>
    <xdr:pic>
      <xdr:nvPicPr>
        <xdr:cNvPr id="123" name="Imagem 122">
          <a:extLst>
            <a:ext uri="{FF2B5EF4-FFF2-40B4-BE49-F238E27FC236}">
              <a16:creationId xmlns:a16="http://schemas.microsoft.com/office/drawing/2014/main" id="{F5855201-E6CD-4CEE-B9FA-92F338097D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0640" y="7444740"/>
          <a:ext cx="10172700" cy="1584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</xdr:col>
      <xdr:colOff>2453640</xdr:colOff>
      <xdr:row>0</xdr:row>
      <xdr:rowOff>0</xdr:rowOff>
    </xdr:from>
    <xdr:ext cx="5227320" cy="571500"/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6D916569-C4FF-4B2F-90FE-CE3EDFB441FB}"/>
            </a:ext>
          </a:extLst>
        </xdr:cNvPr>
        <xdr:cNvSpPr txBox="1"/>
      </xdr:nvSpPr>
      <xdr:spPr>
        <a:xfrm>
          <a:off x="2575560" y="0"/>
          <a:ext cx="5227320" cy="5715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r>
            <a:rPr lang="pt-BR" sz="2400" b="1">
              <a:solidFill>
                <a:schemeClr val="accent5">
                  <a:lumMod val="75000"/>
                </a:schemeClr>
              </a:solidFill>
            </a:rPr>
            <a:t>Controle de Faturamento do MEI</a:t>
          </a:r>
        </a:p>
      </xdr:txBody>
    </xdr:sp>
    <xdr:clientData/>
  </xdr:oneCellAnchor>
  <xdr:twoCellAnchor editAs="absolute">
    <xdr:from>
      <xdr:col>1</xdr:col>
      <xdr:colOff>213361</xdr:colOff>
      <xdr:row>0</xdr:row>
      <xdr:rowOff>0</xdr:rowOff>
    </xdr:from>
    <xdr:to>
      <xdr:col>1</xdr:col>
      <xdr:colOff>2164080</xdr:colOff>
      <xdr:row>3</xdr:row>
      <xdr:rowOff>9360</xdr:rowOff>
    </xdr:to>
    <xdr:pic>
      <xdr:nvPicPr>
        <xdr:cNvPr id="3" name="Imagem 2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3316F75C-6C31-482E-9925-45395B983A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5281" y="0"/>
          <a:ext cx="1950719" cy="55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1</xdr:col>
      <xdr:colOff>640080</xdr:colOff>
      <xdr:row>8</xdr:row>
      <xdr:rowOff>19050</xdr:rowOff>
    </xdr:from>
    <xdr:to>
      <xdr:col>1</xdr:col>
      <xdr:colOff>1972080</xdr:colOff>
      <xdr:row>8</xdr:row>
      <xdr:rowOff>283610</xdr:rowOff>
    </xdr:to>
    <xdr:sp macro="" textlink="">
      <xdr:nvSpPr>
        <xdr:cNvPr id="8" name="CaixaDeTexto 7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4533234D-C738-46E0-A85C-AE7A3533696E}"/>
            </a:ext>
          </a:extLst>
        </xdr:cNvPr>
        <xdr:cNvSpPr txBox="1"/>
      </xdr:nvSpPr>
      <xdr:spPr>
        <a:xfrm>
          <a:off x="762000" y="773430"/>
          <a:ext cx="1332000" cy="26456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3175">
          <a:solidFill>
            <a:schemeClr val="bg1">
              <a:lumMod val="9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pt-BR" sz="1100" b="0">
              <a:solidFill>
                <a:schemeClr val="accent5">
                  <a:lumMod val="75000"/>
                </a:schemeClr>
              </a:solidFill>
            </a:rPr>
            <a:t>Acessar a Planilha</a:t>
          </a:r>
        </a:p>
      </xdr:txBody>
    </xdr:sp>
    <xdr:clientData/>
  </xdr:twoCellAnchor>
  <xdr:twoCellAnchor>
    <xdr:from>
      <xdr:col>1</xdr:col>
      <xdr:colOff>929640</xdr:colOff>
      <xdr:row>9</xdr:row>
      <xdr:rowOff>7620</xdr:rowOff>
    </xdr:from>
    <xdr:to>
      <xdr:col>8</xdr:col>
      <xdr:colOff>960120</xdr:colOff>
      <xdr:row>9</xdr:row>
      <xdr:rowOff>295620</xdr:rowOff>
    </xdr:to>
    <xdr:sp macro="" textlink="">
      <xdr:nvSpPr>
        <xdr:cNvPr id="11" name="CaixaDeTexto 10">
          <a:extLst>
            <a:ext uri="{FF2B5EF4-FFF2-40B4-BE49-F238E27FC236}">
              <a16:creationId xmlns:a16="http://schemas.microsoft.com/office/drawing/2014/main" id="{7463556B-BB46-4FC0-99C6-C5937773DC41}"/>
            </a:ext>
          </a:extLst>
        </xdr:cNvPr>
        <xdr:cNvSpPr txBox="1"/>
      </xdr:nvSpPr>
      <xdr:spPr>
        <a:xfrm>
          <a:off x="1051560" y="1074420"/>
          <a:ext cx="11894820" cy="28800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>
              <a:solidFill>
                <a:schemeClr val="accent2"/>
              </a:solidFill>
            </a:rPr>
            <a:t>Instruções</a:t>
          </a:r>
        </a:p>
      </xdr:txBody>
    </xdr:sp>
    <xdr:clientData/>
  </xdr:twoCellAnchor>
  <xdr:twoCellAnchor>
    <xdr:from>
      <xdr:col>5</xdr:col>
      <xdr:colOff>304800</xdr:colOff>
      <xdr:row>16</xdr:row>
      <xdr:rowOff>15240</xdr:rowOff>
    </xdr:from>
    <xdr:to>
      <xdr:col>5</xdr:col>
      <xdr:colOff>312420</xdr:colOff>
      <xdr:row>18</xdr:row>
      <xdr:rowOff>175260</xdr:rowOff>
    </xdr:to>
    <xdr:cxnSp macro="">
      <xdr:nvCxnSpPr>
        <xdr:cNvPr id="55" name="Conector de Seta Reta 54">
          <a:extLst>
            <a:ext uri="{FF2B5EF4-FFF2-40B4-BE49-F238E27FC236}">
              <a16:creationId xmlns:a16="http://schemas.microsoft.com/office/drawing/2014/main" id="{6DEF11CE-B249-4CA4-89EE-8FAAE9BD73D5}"/>
            </a:ext>
          </a:extLst>
        </xdr:cNvPr>
        <xdr:cNvCxnSpPr>
          <a:stCxn id="69" idx="2"/>
        </xdr:cNvCxnSpPr>
      </xdr:nvCxnSpPr>
      <xdr:spPr>
        <a:xfrm>
          <a:off x="7322820" y="2506980"/>
          <a:ext cx="7620" cy="525780"/>
        </a:xfrm>
        <a:prstGeom prst="straightConnector1">
          <a:avLst/>
        </a:prstGeom>
        <a:ln w="12700">
          <a:solidFill>
            <a:schemeClr val="accent2"/>
          </a:solidFill>
          <a:tailEnd type="oval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60960</xdr:colOff>
      <xdr:row>32</xdr:row>
      <xdr:rowOff>76200</xdr:rowOff>
    </xdr:from>
    <xdr:to>
      <xdr:col>1</xdr:col>
      <xdr:colOff>1539240</xdr:colOff>
      <xdr:row>35</xdr:row>
      <xdr:rowOff>144780</xdr:rowOff>
    </xdr:to>
    <xdr:sp macro="" textlink="">
      <xdr:nvSpPr>
        <xdr:cNvPr id="57" name="Retângulo 56">
          <a:extLst>
            <a:ext uri="{FF2B5EF4-FFF2-40B4-BE49-F238E27FC236}">
              <a16:creationId xmlns:a16="http://schemas.microsoft.com/office/drawing/2014/main" id="{AE54DFD5-9B81-45DD-BE8D-643BFF69DCF4}"/>
            </a:ext>
          </a:extLst>
        </xdr:cNvPr>
        <xdr:cNvSpPr/>
      </xdr:nvSpPr>
      <xdr:spPr>
        <a:xfrm>
          <a:off x="182880" y="5478780"/>
          <a:ext cx="1478280" cy="61722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12700">
          <a:solidFill>
            <a:schemeClr val="accent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>
              <a:solidFill>
                <a:schemeClr val="accent2"/>
              </a:solidFill>
            </a:rPr>
            <a:t>Informe a data da venda.</a:t>
          </a:r>
        </a:p>
      </xdr:txBody>
    </xdr:sp>
    <xdr:clientData/>
  </xdr:twoCellAnchor>
  <xdr:twoCellAnchor>
    <xdr:from>
      <xdr:col>1</xdr:col>
      <xdr:colOff>800100</xdr:colOff>
      <xdr:row>27</xdr:row>
      <xdr:rowOff>175260</xdr:rowOff>
    </xdr:from>
    <xdr:to>
      <xdr:col>1</xdr:col>
      <xdr:colOff>830580</xdr:colOff>
      <xdr:row>32</xdr:row>
      <xdr:rowOff>76200</xdr:rowOff>
    </xdr:to>
    <xdr:cxnSp macro="">
      <xdr:nvCxnSpPr>
        <xdr:cNvPr id="62" name="Conector de Seta Reta 61">
          <a:extLst>
            <a:ext uri="{FF2B5EF4-FFF2-40B4-BE49-F238E27FC236}">
              <a16:creationId xmlns:a16="http://schemas.microsoft.com/office/drawing/2014/main" id="{CA664959-D403-4A11-96FA-8049BE01BE95}"/>
            </a:ext>
          </a:extLst>
        </xdr:cNvPr>
        <xdr:cNvCxnSpPr>
          <a:cxnSpLocks/>
          <a:stCxn id="57" idx="0"/>
        </xdr:cNvCxnSpPr>
      </xdr:nvCxnSpPr>
      <xdr:spPr>
        <a:xfrm flipV="1">
          <a:off x="914400" y="4678680"/>
          <a:ext cx="30480" cy="815340"/>
        </a:xfrm>
        <a:prstGeom prst="straightConnector1">
          <a:avLst/>
        </a:prstGeom>
        <a:ln w="12700">
          <a:solidFill>
            <a:schemeClr val="accent2"/>
          </a:solidFill>
          <a:tailEnd type="oval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2042160</xdr:colOff>
      <xdr:row>10</xdr:row>
      <xdr:rowOff>76200</xdr:rowOff>
    </xdr:from>
    <xdr:to>
      <xdr:col>7</xdr:col>
      <xdr:colOff>30480</xdr:colOff>
      <xdr:row>16</xdr:row>
      <xdr:rowOff>15240</xdr:rowOff>
    </xdr:to>
    <xdr:sp macro="" textlink="">
      <xdr:nvSpPr>
        <xdr:cNvPr id="69" name="Retângulo 68">
          <a:extLst>
            <a:ext uri="{FF2B5EF4-FFF2-40B4-BE49-F238E27FC236}">
              <a16:creationId xmlns:a16="http://schemas.microsoft.com/office/drawing/2014/main" id="{D3DF6830-DEC3-4C84-B00E-EF78B8689401}"/>
            </a:ext>
          </a:extLst>
        </xdr:cNvPr>
        <xdr:cNvSpPr/>
      </xdr:nvSpPr>
      <xdr:spPr>
        <a:xfrm>
          <a:off x="6301740" y="1455420"/>
          <a:ext cx="2125980" cy="103632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12700">
          <a:solidFill>
            <a:schemeClr val="accent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0" lang="pt-BR" sz="1100" b="0" i="0" u="none" strike="noStrike" kern="0" cap="none" spc="0" normalizeH="0" baseline="0" noProof="0">
              <a:ln>
                <a:noFill/>
              </a:ln>
              <a:solidFill>
                <a:srgbClr val="ED7D31"/>
              </a:solidFill>
              <a:effectLst/>
              <a:uLnTx/>
              <a:uFillTx/>
              <a:latin typeface="+mn-lt"/>
              <a:ea typeface="+mn-ea"/>
              <a:cs typeface="+mn-cs"/>
            </a:rPr>
            <a:t>O sistema irá informar quando o total de vendas mensais estiver próximo do limite e quando for ele atingido.</a:t>
          </a:r>
          <a:endParaRPr lang="pt-BR" sz="1100">
            <a:solidFill>
              <a:schemeClr val="accent2"/>
            </a:solidFill>
          </a:endParaRPr>
        </a:p>
      </xdr:txBody>
    </xdr:sp>
    <xdr:clientData/>
  </xdr:twoCellAnchor>
  <xdr:twoCellAnchor>
    <xdr:from>
      <xdr:col>7</xdr:col>
      <xdr:colOff>617220</xdr:colOff>
      <xdr:row>22</xdr:row>
      <xdr:rowOff>0</xdr:rowOff>
    </xdr:from>
    <xdr:to>
      <xdr:col>8</xdr:col>
      <xdr:colOff>906780</xdr:colOff>
      <xdr:row>23</xdr:row>
      <xdr:rowOff>15240</xdr:rowOff>
    </xdr:to>
    <xdr:cxnSp macro="">
      <xdr:nvCxnSpPr>
        <xdr:cNvPr id="74" name="Conector de Seta Reta 73">
          <a:extLst>
            <a:ext uri="{FF2B5EF4-FFF2-40B4-BE49-F238E27FC236}">
              <a16:creationId xmlns:a16="http://schemas.microsoft.com/office/drawing/2014/main" id="{8661A958-583E-429D-9628-69C43F2B18DA}"/>
            </a:ext>
          </a:extLst>
        </xdr:cNvPr>
        <xdr:cNvCxnSpPr/>
      </xdr:nvCxnSpPr>
      <xdr:spPr>
        <a:xfrm flipH="1">
          <a:off x="8961120" y="3589020"/>
          <a:ext cx="3878580" cy="198120"/>
        </a:xfrm>
        <a:prstGeom prst="straightConnector1">
          <a:avLst/>
        </a:prstGeom>
        <a:ln w="12700">
          <a:solidFill>
            <a:schemeClr val="accent2"/>
          </a:solidFill>
          <a:tailEnd type="oval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887730</xdr:colOff>
      <xdr:row>16</xdr:row>
      <xdr:rowOff>45720</xdr:rowOff>
    </xdr:from>
    <xdr:to>
      <xdr:col>8</xdr:col>
      <xdr:colOff>891540</xdr:colOff>
      <xdr:row>22</xdr:row>
      <xdr:rowOff>15240</xdr:rowOff>
    </xdr:to>
    <xdr:cxnSp macro="">
      <xdr:nvCxnSpPr>
        <xdr:cNvPr id="75" name="Conector de Seta Reta 74">
          <a:extLst>
            <a:ext uri="{FF2B5EF4-FFF2-40B4-BE49-F238E27FC236}">
              <a16:creationId xmlns:a16="http://schemas.microsoft.com/office/drawing/2014/main" id="{4B5012B8-6964-4318-8956-1283358A6302}"/>
            </a:ext>
          </a:extLst>
        </xdr:cNvPr>
        <xdr:cNvCxnSpPr>
          <a:stCxn id="76" idx="2"/>
        </xdr:cNvCxnSpPr>
      </xdr:nvCxnSpPr>
      <xdr:spPr>
        <a:xfrm>
          <a:off x="12873990" y="2522220"/>
          <a:ext cx="3810" cy="1066800"/>
        </a:xfrm>
        <a:prstGeom prst="straightConnector1">
          <a:avLst/>
        </a:prstGeom>
        <a:ln w="12700">
          <a:solidFill>
            <a:schemeClr val="accent2"/>
          </a:solidFill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3566160</xdr:colOff>
      <xdr:row>10</xdr:row>
      <xdr:rowOff>144780</xdr:rowOff>
    </xdr:from>
    <xdr:to>
      <xdr:col>9</xdr:col>
      <xdr:colOff>30480</xdr:colOff>
      <xdr:row>16</xdr:row>
      <xdr:rowOff>45720</xdr:rowOff>
    </xdr:to>
    <xdr:sp macro="" textlink="">
      <xdr:nvSpPr>
        <xdr:cNvPr id="76" name="Retângulo 75">
          <a:extLst>
            <a:ext uri="{FF2B5EF4-FFF2-40B4-BE49-F238E27FC236}">
              <a16:creationId xmlns:a16="http://schemas.microsoft.com/office/drawing/2014/main" id="{9B04EC98-F841-4B0D-850D-2BC12555A0ED}"/>
            </a:ext>
          </a:extLst>
        </xdr:cNvPr>
        <xdr:cNvSpPr/>
      </xdr:nvSpPr>
      <xdr:spPr>
        <a:xfrm>
          <a:off x="11963400" y="1524000"/>
          <a:ext cx="1821180" cy="99822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12700">
          <a:solidFill>
            <a:schemeClr val="accent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0" lang="pt-BR" sz="1100" b="0" i="0" u="none" strike="noStrike" kern="0" cap="none" spc="0" normalizeH="0" baseline="0" noProof="0">
              <a:ln>
                <a:noFill/>
              </a:ln>
              <a:solidFill>
                <a:srgbClr val="ED7D31"/>
              </a:solidFill>
              <a:effectLst/>
              <a:uLnTx/>
              <a:uFillTx/>
              <a:latin typeface="+mn-lt"/>
              <a:ea typeface="+mn-ea"/>
              <a:cs typeface="+mn-cs"/>
            </a:rPr>
            <a:t>Aqui será possível visualizar o total das vendas do mês. </a:t>
          </a:r>
          <a:endParaRPr lang="pt-BR" sz="1100">
            <a:solidFill>
              <a:schemeClr val="accent2"/>
            </a:solidFill>
          </a:endParaRPr>
        </a:p>
      </xdr:txBody>
    </xdr:sp>
    <xdr:clientData/>
  </xdr:twoCellAnchor>
  <xdr:twoCellAnchor>
    <xdr:from>
      <xdr:col>1</xdr:col>
      <xdr:colOff>60960</xdr:colOff>
      <xdr:row>8</xdr:row>
      <xdr:rowOff>30480</xdr:rowOff>
    </xdr:from>
    <xdr:to>
      <xdr:col>1</xdr:col>
      <xdr:colOff>492960</xdr:colOff>
      <xdr:row>8</xdr:row>
      <xdr:rowOff>296880</xdr:rowOff>
    </xdr:to>
    <xdr:sp macro="" textlink="">
      <xdr:nvSpPr>
        <xdr:cNvPr id="46" name="Seta: para a Direita 4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E35BCC8A-0408-4214-B47B-06A292214DC4}"/>
            </a:ext>
          </a:extLst>
        </xdr:cNvPr>
        <xdr:cNvSpPr/>
      </xdr:nvSpPr>
      <xdr:spPr>
        <a:xfrm flipH="1">
          <a:off x="182880" y="784860"/>
          <a:ext cx="432000" cy="266400"/>
        </a:xfrm>
        <a:prstGeom prst="rightArrow">
          <a:avLst/>
        </a:prstGeom>
        <a:solidFill>
          <a:schemeClr val="accent5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</xdr:col>
      <xdr:colOff>2476500</xdr:colOff>
      <xdr:row>48</xdr:row>
      <xdr:rowOff>68580</xdr:rowOff>
    </xdr:from>
    <xdr:to>
      <xdr:col>2</xdr:col>
      <xdr:colOff>941070</xdr:colOff>
      <xdr:row>52</xdr:row>
      <xdr:rowOff>99060</xdr:rowOff>
    </xdr:to>
    <xdr:cxnSp macro="">
      <xdr:nvCxnSpPr>
        <xdr:cNvPr id="49" name="Conector de Seta Reta 48">
          <a:extLst>
            <a:ext uri="{FF2B5EF4-FFF2-40B4-BE49-F238E27FC236}">
              <a16:creationId xmlns:a16="http://schemas.microsoft.com/office/drawing/2014/main" id="{1D48147F-766E-4496-A250-0DE7022717B9}"/>
            </a:ext>
          </a:extLst>
        </xdr:cNvPr>
        <xdr:cNvCxnSpPr>
          <a:stCxn id="50" idx="0"/>
        </xdr:cNvCxnSpPr>
      </xdr:nvCxnSpPr>
      <xdr:spPr>
        <a:xfrm flipH="1" flipV="1">
          <a:off x="2598420" y="8488680"/>
          <a:ext cx="1261110" cy="762000"/>
        </a:xfrm>
        <a:prstGeom prst="straightConnector1">
          <a:avLst/>
        </a:prstGeom>
        <a:ln w="12700">
          <a:solidFill>
            <a:schemeClr val="accent2"/>
          </a:solidFill>
          <a:tailEnd type="oval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2628900</xdr:colOff>
      <xdr:row>52</xdr:row>
      <xdr:rowOff>99060</xdr:rowOff>
    </xdr:from>
    <xdr:to>
      <xdr:col>4</xdr:col>
      <xdr:colOff>708660</xdr:colOff>
      <xdr:row>58</xdr:row>
      <xdr:rowOff>121920</xdr:rowOff>
    </xdr:to>
    <xdr:sp macro="" textlink="">
      <xdr:nvSpPr>
        <xdr:cNvPr id="50" name="Retângulo 49">
          <a:extLst>
            <a:ext uri="{FF2B5EF4-FFF2-40B4-BE49-F238E27FC236}">
              <a16:creationId xmlns:a16="http://schemas.microsoft.com/office/drawing/2014/main" id="{9881C4F0-DD00-47E8-BA3F-B1B34B405200}"/>
            </a:ext>
          </a:extLst>
        </xdr:cNvPr>
        <xdr:cNvSpPr/>
      </xdr:nvSpPr>
      <xdr:spPr>
        <a:xfrm>
          <a:off x="2750820" y="9250680"/>
          <a:ext cx="2217420" cy="112014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12700">
          <a:solidFill>
            <a:schemeClr val="accent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>
              <a:solidFill>
                <a:schemeClr val="accent2"/>
              </a:solidFill>
            </a:rPr>
            <a:t>Clique no botão Relatório Geral para acessar os dados resumidos.</a:t>
          </a:r>
        </a:p>
      </xdr:txBody>
    </xdr:sp>
    <xdr:clientData/>
  </xdr:twoCellAnchor>
  <xdr:twoCellAnchor>
    <xdr:from>
      <xdr:col>1</xdr:col>
      <xdr:colOff>1162050</xdr:colOff>
      <xdr:row>48</xdr:row>
      <xdr:rowOff>129540</xdr:rowOff>
    </xdr:from>
    <xdr:to>
      <xdr:col>1</xdr:col>
      <xdr:colOff>1280160</xdr:colOff>
      <xdr:row>52</xdr:row>
      <xdr:rowOff>99060</xdr:rowOff>
    </xdr:to>
    <xdr:cxnSp macro="">
      <xdr:nvCxnSpPr>
        <xdr:cNvPr id="87" name="Conector de Seta Reta 86">
          <a:extLst>
            <a:ext uri="{FF2B5EF4-FFF2-40B4-BE49-F238E27FC236}">
              <a16:creationId xmlns:a16="http://schemas.microsoft.com/office/drawing/2014/main" id="{924AFBC8-CD12-403E-A7CB-BF2493514B29}"/>
            </a:ext>
          </a:extLst>
        </xdr:cNvPr>
        <xdr:cNvCxnSpPr>
          <a:stCxn id="88" idx="0"/>
        </xdr:cNvCxnSpPr>
      </xdr:nvCxnSpPr>
      <xdr:spPr>
        <a:xfrm flipV="1">
          <a:off x="1283970" y="8549640"/>
          <a:ext cx="118110" cy="701040"/>
        </a:xfrm>
        <a:prstGeom prst="straightConnector1">
          <a:avLst/>
        </a:prstGeom>
        <a:ln w="12700">
          <a:solidFill>
            <a:schemeClr val="accent2"/>
          </a:solidFill>
          <a:tailEnd type="oval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53340</xdr:colOff>
      <xdr:row>52</xdr:row>
      <xdr:rowOff>99060</xdr:rowOff>
    </xdr:from>
    <xdr:to>
      <xdr:col>1</xdr:col>
      <xdr:colOff>2270760</xdr:colOff>
      <xdr:row>58</xdr:row>
      <xdr:rowOff>121920</xdr:rowOff>
    </xdr:to>
    <xdr:sp macro="" textlink="">
      <xdr:nvSpPr>
        <xdr:cNvPr id="88" name="Retângulo 87">
          <a:extLst>
            <a:ext uri="{FF2B5EF4-FFF2-40B4-BE49-F238E27FC236}">
              <a16:creationId xmlns:a16="http://schemas.microsoft.com/office/drawing/2014/main" id="{AD35F872-EF1E-4C51-81D9-89A70895A9FE}"/>
            </a:ext>
          </a:extLst>
        </xdr:cNvPr>
        <xdr:cNvSpPr/>
      </xdr:nvSpPr>
      <xdr:spPr>
        <a:xfrm>
          <a:off x="175260" y="9250680"/>
          <a:ext cx="2217420" cy="112014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12700">
          <a:solidFill>
            <a:schemeClr val="accent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>
              <a:solidFill>
                <a:schemeClr val="accent2"/>
              </a:solidFill>
            </a:rPr>
            <a:t>Clique na seta azul para voltar ao Menu.</a:t>
          </a:r>
        </a:p>
      </xdr:txBody>
    </xdr:sp>
    <xdr:clientData/>
  </xdr:twoCellAnchor>
  <xdr:twoCellAnchor>
    <xdr:from>
      <xdr:col>1</xdr:col>
      <xdr:colOff>1706880</xdr:colOff>
      <xdr:row>37</xdr:row>
      <xdr:rowOff>106680</xdr:rowOff>
    </xdr:from>
    <xdr:to>
      <xdr:col>2</xdr:col>
      <xdr:colOff>388620</xdr:colOff>
      <xdr:row>40</xdr:row>
      <xdr:rowOff>152400</xdr:rowOff>
    </xdr:to>
    <xdr:sp macro="" textlink="">
      <xdr:nvSpPr>
        <xdr:cNvPr id="73" name="Retângulo 72">
          <a:extLst>
            <a:ext uri="{FF2B5EF4-FFF2-40B4-BE49-F238E27FC236}">
              <a16:creationId xmlns:a16="http://schemas.microsoft.com/office/drawing/2014/main" id="{86494BF2-6958-46EF-A36F-7757DAFE1D07}"/>
            </a:ext>
          </a:extLst>
        </xdr:cNvPr>
        <xdr:cNvSpPr/>
      </xdr:nvSpPr>
      <xdr:spPr>
        <a:xfrm>
          <a:off x="1828800" y="6431280"/>
          <a:ext cx="1478280" cy="61722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12700">
          <a:solidFill>
            <a:schemeClr val="accent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>
              <a:solidFill>
                <a:schemeClr val="accent2"/>
              </a:solidFill>
            </a:rPr>
            <a:t>Informe o cliente e o CNPJ.</a:t>
          </a:r>
        </a:p>
      </xdr:txBody>
    </xdr:sp>
    <xdr:clientData/>
  </xdr:twoCellAnchor>
  <xdr:twoCellAnchor>
    <xdr:from>
      <xdr:col>1</xdr:col>
      <xdr:colOff>1569720</xdr:colOff>
      <xdr:row>27</xdr:row>
      <xdr:rowOff>160020</xdr:rowOff>
    </xdr:from>
    <xdr:to>
      <xdr:col>1</xdr:col>
      <xdr:colOff>2442210</xdr:colOff>
      <xdr:row>37</xdr:row>
      <xdr:rowOff>106680</xdr:rowOff>
    </xdr:to>
    <xdr:cxnSp macro="">
      <xdr:nvCxnSpPr>
        <xdr:cNvPr id="77" name="Conector de Seta Reta 76">
          <a:extLst>
            <a:ext uri="{FF2B5EF4-FFF2-40B4-BE49-F238E27FC236}">
              <a16:creationId xmlns:a16="http://schemas.microsoft.com/office/drawing/2014/main" id="{47C97A89-7C06-4522-B8A7-237D873C7A81}"/>
            </a:ext>
          </a:extLst>
        </xdr:cNvPr>
        <xdr:cNvCxnSpPr>
          <a:cxnSpLocks/>
          <a:stCxn id="73" idx="0"/>
        </xdr:cNvCxnSpPr>
      </xdr:nvCxnSpPr>
      <xdr:spPr>
        <a:xfrm flipH="1" flipV="1">
          <a:off x="1684020" y="4663440"/>
          <a:ext cx="872490" cy="1783080"/>
        </a:xfrm>
        <a:prstGeom prst="straightConnector1">
          <a:avLst/>
        </a:prstGeom>
        <a:ln w="12700">
          <a:solidFill>
            <a:schemeClr val="accent2"/>
          </a:solidFill>
          <a:tailEnd type="oval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807720</xdr:colOff>
      <xdr:row>31</xdr:row>
      <xdr:rowOff>15240</xdr:rowOff>
    </xdr:from>
    <xdr:to>
      <xdr:col>4</xdr:col>
      <xdr:colOff>944880</xdr:colOff>
      <xdr:row>35</xdr:row>
      <xdr:rowOff>83820</xdr:rowOff>
    </xdr:to>
    <xdr:sp macro="" textlink="">
      <xdr:nvSpPr>
        <xdr:cNvPr id="79" name="Retângulo 78">
          <a:extLst>
            <a:ext uri="{FF2B5EF4-FFF2-40B4-BE49-F238E27FC236}">
              <a16:creationId xmlns:a16="http://schemas.microsoft.com/office/drawing/2014/main" id="{083125B0-05B5-4595-8E4C-B9129E93D00F}"/>
            </a:ext>
          </a:extLst>
        </xdr:cNvPr>
        <xdr:cNvSpPr/>
      </xdr:nvSpPr>
      <xdr:spPr>
        <a:xfrm>
          <a:off x="3710940" y="5250180"/>
          <a:ext cx="1463040" cy="80010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12700">
          <a:solidFill>
            <a:schemeClr val="accent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>
              <a:solidFill>
                <a:schemeClr val="accent2"/>
              </a:solidFill>
            </a:rPr>
            <a:t>Informe</a:t>
          </a:r>
          <a:r>
            <a:rPr lang="pt-BR" sz="1100" baseline="0">
              <a:solidFill>
                <a:schemeClr val="accent2"/>
              </a:solidFill>
            </a:rPr>
            <a:t> o produto vendido ou o serviço prestado.</a:t>
          </a:r>
          <a:endParaRPr lang="pt-BR" sz="1100">
            <a:solidFill>
              <a:schemeClr val="accent2"/>
            </a:solidFill>
          </a:endParaRPr>
        </a:p>
      </xdr:txBody>
    </xdr:sp>
    <xdr:clientData/>
  </xdr:twoCellAnchor>
  <xdr:twoCellAnchor>
    <xdr:from>
      <xdr:col>2</xdr:col>
      <xdr:colOff>1150620</xdr:colOff>
      <xdr:row>27</xdr:row>
      <xdr:rowOff>144780</xdr:rowOff>
    </xdr:from>
    <xdr:to>
      <xdr:col>4</xdr:col>
      <xdr:colOff>213360</xdr:colOff>
      <xdr:row>31</xdr:row>
      <xdr:rowOff>15240</xdr:rowOff>
    </xdr:to>
    <xdr:cxnSp macro="">
      <xdr:nvCxnSpPr>
        <xdr:cNvPr id="80" name="Conector de Seta Reta 79">
          <a:extLst>
            <a:ext uri="{FF2B5EF4-FFF2-40B4-BE49-F238E27FC236}">
              <a16:creationId xmlns:a16="http://schemas.microsoft.com/office/drawing/2014/main" id="{54A6042D-CC07-4BBF-BAD3-6DA6910994A1}"/>
            </a:ext>
          </a:extLst>
        </xdr:cNvPr>
        <xdr:cNvCxnSpPr>
          <a:cxnSpLocks/>
          <a:stCxn id="79" idx="0"/>
        </xdr:cNvCxnSpPr>
      </xdr:nvCxnSpPr>
      <xdr:spPr>
        <a:xfrm flipH="1" flipV="1">
          <a:off x="4053840" y="4648200"/>
          <a:ext cx="388620" cy="601980"/>
        </a:xfrm>
        <a:prstGeom prst="straightConnector1">
          <a:avLst/>
        </a:prstGeom>
        <a:ln w="12700">
          <a:solidFill>
            <a:schemeClr val="accent2"/>
          </a:solidFill>
          <a:tailEnd type="oval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1036320</xdr:colOff>
      <xdr:row>30</xdr:row>
      <xdr:rowOff>30480</xdr:rowOff>
    </xdr:from>
    <xdr:to>
      <xdr:col>4</xdr:col>
      <xdr:colOff>2506980</xdr:colOff>
      <xdr:row>34</xdr:row>
      <xdr:rowOff>99060</xdr:rowOff>
    </xdr:to>
    <xdr:sp macro="" textlink="">
      <xdr:nvSpPr>
        <xdr:cNvPr id="86" name="Retângulo 85">
          <a:extLst>
            <a:ext uri="{FF2B5EF4-FFF2-40B4-BE49-F238E27FC236}">
              <a16:creationId xmlns:a16="http://schemas.microsoft.com/office/drawing/2014/main" id="{0E20EAA4-5570-4BB6-A5CF-09CD5613C044}"/>
            </a:ext>
          </a:extLst>
        </xdr:cNvPr>
        <xdr:cNvSpPr/>
      </xdr:nvSpPr>
      <xdr:spPr>
        <a:xfrm>
          <a:off x="5265420" y="5082540"/>
          <a:ext cx="1470660" cy="80010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12700">
          <a:solidFill>
            <a:schemeClr val="accent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>
              <a:solidFill>
                <a:schemeClr val="accent2"/>
              </a:solidFill>
            </a:rPr>
            <a:t>Informe</a:t>
          </a:r>
          <a:r>
            <a:rPr lang="pt-BR" sz="1100" baseline="0">
              <a:solidFill>
                <a:schemeClr val="accent2"/>
              </a:solidFill>
            </a:rPr>
            <a:t> o valor da parcela a receber no mês de referência.</a:t>
          </a:r>
          <a:endParaRPr lang="pt-BR" sz="1100">
            <a:solidFill>
              <a:schemeClr val="accent2"/>
            </a:solidFill>
          </a:endParaRPr>
        </a:p>
      </xdr:txBody>
    </xdr:sp>
    <xdr:clientData/>
  </xdr:twoCellAnchor>
  <xdr:twoCellAnchor>
    <xdr:from>
      <xdr:col>4</xdr:col>
      <xdr:colOff>1771650</xdr:colOff>
      <xdr:row>27</xdr:row>
      <xdr:rowOff>129540</xdr:rowOff>
    </xdr:from>
    <xdr:to>
      <xdr:col>4</xdr:col>
      <xdr:colOff>2148840</xdr:colOff>
      <xdr:row>30</xdr:row>
      <xdr:rowOff>30480</xdr:rowOff>
    </xdr:to>
    <xdr:cxnSp macro="">
      <xdr:nvCxnSpPr>
        <xdr:cNvPr id="95" name="Conector de Seta Reta 94">
          <a:extLst>
            <a:ext uri="{FF2B5EF4-FFF2-40B4-BE49-F238E27FC236}">
              <a16:creationId xmlns:a16="http://schemas.microsoft.com/office/drawing/2014/main" id="{E8097D6D-4ECA-4BC6-8662-8F8879A3D9A6}"/>
            </a:ext>
          </a:extLst>
        </xdr:cNvPr>
        <xdr:cNvCxnSpPr>
          <a:cxnSpLocks/>
          <a:stCxn id="86" idx="0"/>
        </xdr:cNvCxnSpPr>
      </xdr:nvCxnSpPr>
      <xdr:spPr>
        <a:xfrm flipV="1">
          <a:off x="6000750" y="4632960"/>
          <a:ext cx="377190" cy="449580"/>
        </a:xfrm>
        <a:prstGeom prst="straightConnector1">
          <a:avLst/>
        </a:prstGeom>
        <a:ln w="12700">
          <a:solidFill>
            <a:schemeClr val="accent2"/>
          </a:solidFill>
          <a:tailEnd type="oval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472440</xdr:colOff>
      <xdr:row>30</xdr:row>
      <xdr:rowOff>7620</xdr:rowOff>
    </xdr:from>
    <xdr:to>
      <xdr:col>7</xdr:col>
      <xdr:colOff>1950720</xdr:colOff>
      <xdr:row>34</xdr:row>
      <xdr:rowOff>76200</xdr:rowOff>
    </xdr:to>
    <xdr:sp macro="" textlink="">
      <xdr:nvSpPr>
        <xdr:cNvPr id="96" name="Retângulo 95">
          <a:extLst>
            <a:ext uri="{FF2B5EF4-FFF2-40B4-BE49-F238E27FC236}">
              <a16:creationId xmlns:a16="http://schemas.microsoft.com/office/drawing/2014/main" id="{69165BEA-2697-4A55-A623-D5E8AD5A3CB3}"/>
            </a:ext>
          </a:extLst>
        </xdr:cNvPr>
        <xdr:cNvSpPr/>
      </xdr:nvSpPr>
      <xdr:spPr>
        <a:xfrm>
          <a:off x="8816340" y="5059680"/>
          <a:ext cx="1478280" cy="80010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12700">
          <a:solidFill>
            <a:schemeClr val="accent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>
              <a:solidFill>
                <a:schemeClr val="accent2"/>
              </a:solidFill>
            </a:rPr>
            <a:t>Informe</a:t>
          </a:r>
          <a:r>
            <a:rPr lang="pt-BR" sz="1100" baseline="0">
              <a:solidFill>
                <a:schemeClr val="accent2"/>
              </a:solidFill>
            </a:rPr>
            <a:t> a data prevista de recebimento.</a:t>
          </a:r>
          <a:endParaRPr lang="pt-BR" sz="1100">
            <a:solidFill>
              <a:schemeClr val="accent2"/>
            </a:solidFill>
          </a:endParaRPr>
        </a:p>
      </xdr:txBody>
    </xdr:sp>
    <xdr:clientData/>
  </xdr:twoCellAnchor>
  <xdr:twoCellAnchor>
    <xdr:from>
      <xdr:col>7</xdr:col>
      <xdr:colOff>1203960</xdr:colOff>
      <xdr:row>27</xdr:row>
      <xdr:rowOff>144780</xdr:rowOff>
    </xdr:from>
    <xdr:to>
      <xdr:col>7</xdr:col>
      <xdr:colOff>1211580</xdr:colOff>
      <xdr:row>30</xdr:row>
      <xdr:rowOff>7620</xdr:rowOff>
    </xdr:to>
    <xdr:cxnSp macro="">
      <xdr:nvCxnSpPr>
        <xdr:cNvPr id="97" name="Conector de Seta Reta 96">
          <a:extLst>
            <a:ext uri="{FF2B5EF4-FFF2-40B4-BE49-F238E27FC236}">
              <a16:creationId xmlns:a16="http://schemas.microsoft.com/office/drawing/2014/main" id="{5D43B356-EE03-4A1D-909F-71AE622EDE85}"/>
            </a:ext>
          </a:extLst>
        </xdr:cNvPr>
        <xdr:cNvCxnSpPr>
          <a:cxnSpLocks/>
          <a:stCxn id="96" idx="0"/>
        </xdr:cNvCxnSpPr>
      </xdr:nvCxnSpPr>
      <xdr:spPr>
        <a:xfrm flipH="1" flipV="1">
          <a:off x="9547860" y="4648200"/>
          <a:ext cx="7620" cy="411480"/>
        </a:xfrm>
        <a:prstGeom prst="straightConnector1">
          <a:avLst/>
        </a:prstGeom>
        <a:ln w="12700">
          <a:solidFill>
            <a:schemeClr val="accent2"/>
          </a:solidFill>
          <a:tailEnd type="oval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1752600</xdr:colOff>
      <xdr:row>39</xdr:row>
      <xdr:rowOff>60960</xdr:rowOff>
    </xdr:from>
    <xdr:to>
      <xdr:col>7</xdr:col>
      <xdr:colOff>3230880</xdr:colOff>
      <xdr:row>43</xdr:row>
      <xdr:rowOff>99060</xdr:rowOff>
    </xdr:to>
    <xdr:sp macro="" textlink="">
      <xdr:nvSpPr>
        <xdr:cNvPr id="105" name="Retângulo 104">
          <a:extLst>
            <a:ext uri="{FF2B5EF4-FFF2-40B4-BE49-F238E27FC236}">
              <a16:creationId xmlns:a16="http://schemas.microsoft.com/office/drawing/2014/main" id="{A04B3FFF-3CAB-41D2-8536-C1B3DFBDABE3}"/>
            </a:ext>
          </a:extLst>
        </xdr:cNvPr>
        <xdr:cNvSpPr/>
      </xdr:nvSpPr>
      <xdr:spPr>
        <a:xfrm>
          <a:off x="10096500" y="6781800"/>
          <a:ext cx="1478280" cy="80010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12700">
          <a:solidFill>
            <a:schemeClr val="accent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>
              <a:solidFill>
                <a:schemeClr val="accent2"/>
              </a:solidFill>
            </a:rPr>
            <a:t>Informe</a:t>
          </a:r>
          <a:r>
            <a:rPr lang="pt-BR" sz="1100" baseline="0">
              <a:solidFill>
                <a:schemeClr val="accent2"/>
              </a:solidFill>
            </a:rPr>
            <a:t> o número da parcela referente ao mês.</a:t>
          </a:r>
          <a:endParaRPr lang="pt-BR" sz="1100">
            <a:solidFill>
              <a:schemeClr val="accent2"/>
            </a:solidFill>
          </a:endParaRPr>
        </a:p>
      </xdr:txBody>
    </xdr:sp>
    <xdr:clientData/>
  </xdr:twoCellAnchor>
  <xdr:twoCellAnchor>
    <xdr:from>
      <xdr:col>7</xdr:col>
      <xdr:colOff>1897380</xdr:colOff>
      <xdr:row>27</xdr:row>
      <xdr:rowOff>121920</xdr:rowOff>
    </xdr:from>
    <xdr:to>
      <xdr:col>7</xdr:col>
      <xdr:colOff>2491740</xdr:colOff>
      <xdr:row>39</xdr:row>
      <xdr:rowOff>60960</xdr:rowOff>
    </xdr:to>
    <xdr:cxnSp macro="">
      <xdr:nvCxnSpPr>
        <xdr:cNvPr id="106" name="Conector de Seta Reta 105">
          <a:extLst>
            <a:ext uri="{FF2B5EF4-FFF2-40B4-BE49-F238E27FC236}">
              <a16:creationId xmlns:a16="http://schemas.microsoft.com/office/drawing/2014/main" id="{6E47946A-E7A9-4D37-8DAE-694A8130EFAE}"/>
            </a:ext>
          </a:extLst>
        </xdr:cNvPr>
        <xdr:cNvCxnSpPr>
          <a:cxnSpLocks/>
          <a:stCxn id="105" idx="0"/>
        </xdr:cNvCxnSpPr>
      </xdr:nvCxnSpPr>
      <xdr:spPr>
        <a:xfrm flipH="1" flipV="1">
          <a:off x="10241280" y="4625340"/>
          <a:ext cx="594360" cy="2156460"/>
        </a:xfrm>
        <a:prstGeom prst="straightConnector1">
          <a:avLst/>
        </a:prstGeom>
        <a:ln w="12700">
          <a:solidFill>
            <a:schemeClr val="accent2"/>
          </a:solidFill>
          <a:tailEnd type="oval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2659380</xdr:colOff>
      <xdr:row>34</xdr:row>
      <xdr:rowOff>60960</xdr:rowOff>
    </xdr:from>
    <xdr:to>
      <xdr:col>8</xdr:col>
      <xdr:colOff>548640</xdr:colOff>
      <xdr:row>38</xdr:row>
      <xdr:rowOff>114300</xdr:rowOff>
    </xdr:to>
    <xdr:sp macro="" textlink="">
      <xdr:nvSpPr>
        <xdr:cNvPr id="107" name="Retângulo 106">
          <a:extLst>
            <a:ext uri="{FF2B5EF4-FFF2-40B4-BE49-F238E27FC236}">
              <a16:creationId xmlns:a16="http://schemas.microsoft.com/office/drawing/2014/main" id="{D49B624C-73B1-45FA-9CA5-5BBE7C7C1355}"/>
            </a:ext>
          </a:extLst>
        </xdr:cNvPr>
        <xdr:cNvSpPr/>
      </xdr:nvSpPr>
      <xdr:spPr>
        <a:xfrm>
          <a:off x="11003280" y="5844540"/>
          <a:ext cx="1478280" cy="80010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12700">
          <a:solidFill>
            <a:schemeClr val="accent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>
              <a:solidFill>
                <a:schemeClr val="accent2"/>
              </a:solidFill>
            </a:rPr>
            <a:t>Informe</a:t>
          </a:r>
          <a:r>
            <a:rPr lang="pt-BR" sz="1100" baseline="0">
              <a:solidFill>
                <a:schemeClr val="accent2"/>
              </a:solidFill>
            </a:rPr>
            <a:t> o número total de parcelas dessa venda ou serviço prestado.</a:t>
          </a:r>
          <a:endParaRPr lang="pt-BR" sz="1100">
            <a:solidFill>
              <a:schemeClr val="accent2"/>
            </a:solidFill>
          </a:endParaRPr>
        </a:p>
      </xdr:txBody>
    </xdr:sp>
    <xdr:clientData/>
  </xdr:twoCellAnchor>
  <xdr:twoCellAnchor>
    <xdr:from>
      <xdr:col>7</xdr:col>
      <xdr:colOff>2476500</xdr:colOff>
      <xdr:row>27</xdr:row>
      <xdr:rowOff>121920</xdr:rowOff>
    </xdr:from>
    <xdr:to>
      <xdr:col>7</xdr:col>
      <xdr:colOff>3398520</xdr:colOff>
      <xdr:row>34</xdr:row>
      <xdr:rowOff>60960</xdr:rowOff>
    </xdr:to>
    <xdr:cxnSp macro="">
      <xdr:nvCxnSpPr>
        <xdr:cNvPr id="108" name="Conector de Seta Reta 107">
          <a:extLst>
            <a:ext uri="{FF2B5EF4-FFF2-40B4-BE49-F238E27FC236}">
              <a16:creationId xmlns:a16="http://schemas.microsoft.com/office/drawing/2014/main" id="{6BE32996-D883-4F64-BF3E-AA008F16A851}"/>
            </a:ext>
          </a:extLst>
        </xdr:cNvPr>
        <xdr:cNvCxnSpPr>
          <a:cxnSpLocks/>
          <a:stCxn id="107" idx="0"/>
        </xdr:cNvCxnSpPr>
      </xdr:nvCxnSpPr>
      <xdr:spPr>
        <a:xfrm flipH="1" flipV="1">
          <a:off x="10820400" y="4625340"/>
          <a:ext cx="922020" cy="1219200"/>
        </a:xfrm>
        <a:prstGeom prst="straightConnector1">
          <a:avLst/>
        </a:prstGeom>
        <a:ln w="12700">
          <a:solidFill>
            <a:schemeClr val="accent2"/>
          </a:solidFill>
          <a:tailEnd type="oval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38100</xdr:colOff>
      <xdr:row>28</xdr:row>
      <xdr:rowOff>114300</xdr:rowOff>
    </xdr:from>
    <xdr:to>
      <xdr:col>8</xdr:col>
      <xdr:colOff>1516380</xdr:colOff>
      <xdr:row>33</xdr:row>
      <xdr:rowOff>0</xdr:rowOff>
    </xdr:to>
    <xdr:sp macro="" textlink="">
      <xdr:nvSpPr>
        <xdr:cNvPr id="109" name="Retângulo 108">
          <a:extLst>
            <a:ext uri="{FF2B5EF4-FFF2-40B4-BE49-F238E27FC236}">
              <a16:creationId xmlns:a16="http://schemas.microsoft.com/office/drawing/2014/main" id="{AC4286F6-BDB5-4282-87CD-6BB15D50113B}"/>
            </a:ext>
          </a:extLst>
        </xdr:cNvPr>
        <xdr:cNvSpPr/>
      </xdr:nvSpPr>
      <xdr:spPr>
        <a:xfrm>
          <a:off x="11971020" y="4800600"/>
          <a:ext cx="1478280" cy="80010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12700">
          <a:solidFill>
            <a:schemeClr val="accent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>
              <a:solidFill>
                <a:schemeClr val="accent2"/>
              </a:solidFill>
            </a:rPr>
            <a:t>Quando o recebimento for realizado infome a data.</a:t>
          </a:r>
        </a:p>
      </xdr:txBody>
    </xdr:sp>
    <xdr:clientData/>
  </xdr:twoCellAnchor>
  <xdr:twoCellAnchor>
    <xdr:from>
      <xdr:col>8</xdr:col>
      <xdr:colOff>38100</xdr:colOff>
      <xdr:row>26</xdr:row>
      <xdr:rowOff>60960</xdr:rowOff>
    </xdr:from>
    <xdr:to>
      <xdr:col>8</xdr:col>
      <xdr:colOff>777240</xdr:colOff>
      <xdr:row>28</xdr:row>
      <xdr:rowOff>114300</xdr:rowOff>
    </xdr:to>
    <xdr:cxnSp macro="">
      <xdr:nvCxnSpPr>
        <xdr:cNvPr id="110" name="Conector de Seta Reta 109">
          <a:extLst>
            <a:ext uri="{FF2B5EF4-FFF2-40B4-BE49-F238E27FC236}">
              <a16:creationId xmlns:a16="http://schemas.microsoft.com/office/drawing/2014/main" id="{7B0EE4F8-0E4E-444B-A882-13265AEEB7DB}"/>
            </a:ext>
          </a:extLst>
        </xdr:cNvPr>
        <xdr:cNvCxnSpPr>
          <a:cxnSpLocks/>
          <a:stCxn id="109" idx="0"/>
        </xdr:cNvCxnSpPr>
      </xdr:nvCxnSpPr>
      <xdr:spPr>
        <a:xfrm flipH="1" flipV="1">
          <a:off x="11971020" y="4381500"/>
          <a:ext cx="739140" cy="419100"/>
        </a:xfrm>
        <a:prstGeom prst="straightConnector1">
          <a:avLst/>
        </a:prstGeom>
        <a:ln w="12700">
          <a:solidFill>
            <a:schemeClr val="accent2"/>
          </a:solidFill>
          <a:tailEnd type="oval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1074420</xdr:colOff>
      <xdr:row>48</xdr:row>
      <xdr:rowOff>76200</xdr:rowOff>
    </xdr:from>
    <xdr:to>
      <xdr:col>4</xdr:col>
      <xdr:colOff>2167890</xdr:colOff>
      <xdr:row>52</xdr:row>
      <xdr:rowOff>99060</xdr:rowOff>
    </xdr:to>
    <xdr:cxnSp macro="">
      <xdr:nvCxnSpPr>
        <xdr:cNvPr id="124" name="Conector de Seta Reta 123">
          <a:extLst>
            <a:ext uri="{FF2B5EF4-FFF2-40B4-BE49-F238E27FC236}">
              <a16:creationId xmlns:a16="http://schemas.microsoft.com/office/drawing/2014/main" id="{F7697955-BE03-43FD-8C71-022450CABA6B}"/>
            </a:ext>
          </a:extLst>
        </xdr:cNvPr>
        <xdr:cNvCxnSpPr>
          <a:stCxn id="125" idx="0"/>
        </xdr:cNvCxnSpPr>
      </xdr:nvCxnSpPr>
      <xdr:spPr>
        <a:xfrm flipH="1" flipV="1">
          <a:off x="3992880" y="8496300"/>
          <a:ext cx="2434590" cy="754380"/>
        </a:xfrm>
        <a:prstGeom prst="straightConnector1">
          <a:avLst/>
        </a:prstGeom>
        <a:ln w="12700">
          <a:solidFill>
            <a:schemeClr val="accent2"/>
          </a:solidFill>
          <a:tailEnd type="oval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1059180</xdr:colOff>
      <xdr:row>52</xdr:row>
      <xdr:rowOff>99060</xdr:rowOff>
    </xdr:from>
    <xdr:to>
      <xdr:col>5</xdr:col>
      <xdr:colOff>480060</xdr:colOff>
      <xdr:row>58</xdr:row>
      <xdr:rowOff>121920</xdr:rowOff>
    </xdr:to>
    <xdr:sp macro="" textlink="">
      <xdr:nvSpPr>
        <xdr:cNvPr id="125" name="Retângulo 124">
          <a:extLst>
            <a:ext uri="{FF2B5EF4-FFF2-40B4-BE49-F238E27FC236}">
              <a16:creationId xmlns:a16="http://schemas.microsoft.com/office/drawing/2014/main" id="{059B4F10-B128-4975-BDCE-80C723D985BE}"/>
            </a:ext>
          </a:extLst>
        </xdr:cNvPr>
        <xdr:cNvSpPr/>
      </xdr:nvSpPr>
      <xdr:spPr>
        <a:xfrm>
          <a:off x="5318760" y="9250680"/>
          <a:ext cx="2217420" cy="112014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12700">
          <a:solidFill>
            <a:schemeClr val="accent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>
              <a:solidFill>
                <a:schemeClr val="accent2"/>
              </a:solidFill>
            </a:rPr>
            <a:t>Clique no botão Imprimir para</a:t>
          </a:r>
          <a:r>
            <a:rPr lang="pt-BR" sz="1100" baseline="0">
              <a:solidFill>
                <a:schemeClr val="accent2"/>
              </a:solidFill>
            </a:rPr>
            <a:t> visualizar a impressão.</a:t>
          </a:r>
          <a:endParaRPr lang="pt-BR" sz="1100">
            <a:solidFill>
              <a:schemeClr val="accent2"/>
            </a:solidFill>
          </a:endParaRPr>
        </a:p>
      </xdr:txBody>
    </xdr:sp>
    <xdr:clientData/>
  </xdr:twoCellAnchor>
  <xdr:twoCellAnchor>
    <xdr:from>
      <xdr:col>7</xdr:col>
      <xdr:colOff>1127760</xdr:colOff>
      <xdr:row>52</xdr:row>
      <xdr:rowOff>60960</xdr:rowOff>
    </xdr:from>
    <xdr:to>
      <xdr:col>7</xdr:col>
      <xdr:colOff>3345180</xdr:colOff>
      <xdr:row>58</xdr:row>
      <xdr:rowOff>83820</xdr:rowOff>
    </xdr:to>
    <xdr:sp macro="" textlink="">
      <xdr:nvSpPr>
        <xdr:cNvPr id="126" name="Retângulo 125">
          <a:extLst>
            <a:ext uri="{FF2B5EF4-FFF2-40B4-BE49-F238E27FC236}">
              <a16:creationId xmlns:a16="http://schemas.microsoft.com/office/drawing/2014/main" id="{887A1A25-4384-46CD-843A-BBAEE3B2E648}"/>
            </a:ext>
          </a:extLst>
        </xdr:cNvPr>
        <xdr:cNvSpPr/>
      </xdr:nvSpPr>
      <xdr:spPr>
        <a:xfrm>
          <a:off x="9525000" y="9212580"/>
          <a:ext cx="2217420" cy="112014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12700">
          <a:solidFill>
            <a:schemeClr val="accent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>
              <a:solidFill>
                <a:schemeClr val="accent2"/>
              </a:solidFill>
            </a:rPr>
            <a:t>Clique nos botões</a:t>
          </a:r>
          <a:r>
            <a:rPr lang="pt-BR" sz="1100" baseline="0">
              <a:solidFill>
                <a:schemeClr val="accent2"/>
              </a:solidFill>
            </a:rPr>
            <a:t> dos meses para navegar nos lançamentos mensais.</a:t>
          </a:r>
          <a:endParaRPr lang="pt-BR" sz="1100">
            <a:solidFill>
              <a:schemeClr val="accent2"/>
            </a:solidFill>
          </a:endParaRPr>
        </a:p>
      </xdr:txBody>
    </xdr:sp>
    <xdr:clientData/>
  </xdr:twoCellAnchor>
  <xdr:twoCellAnchor>
    <xdr:from>
      <xdr:col>4</xdr:col>
      <xdr:colOff>320040</xdr:colOff>
      <xdr:row>46</xdr:row>
      <xdr:rowOff>68580</xdr:rowOff>
    </xdr:from>
    <xdr:to>
      <xdr:col>7</xdr:col>
      <xdr:colOff>2400300</xdr:colOff>
      <xdr:row>49</xdr:row>
      <xdr:rowOff>0</xdr:rowOff>
    </xdr:to>
    <xdr:sp macro="" textlink="">
      <xdr:nvSpPr>
        <xdr:cNvPr id="127" name="Retângulo 126">
          <a:extLst>
            <a:ext uri="{FF2B5EF4-FFF2-40B4-BE49-F238E27FC236}">
              <a16:creationId xmlns:a16="http://schemas.microsoft.com/office/drawing/2014/main" id="{A560CE14-C8C6-49A0-9D56-594F6B7920B6}"/>
            </a:ext>
          </a:extLst>
        </xdr:cNvPr>
        <xdr:cNvSpPr/>
      </xdr:nvSpPr>
      <xdr:spPr>
        <a:xfrm>
          <a:off x="4579620" y="8107680"/>
          <a:ext cx="6217920" cy="495300"/>
        </a:xfrm>
        <a:prstGeom prst="rect">
          <a:avLst/>
        </a:prstGeom>
        <a:noFill/>
        <a:ln w="12700">
          <a:solidFill>
            <a:schemeClr val="accent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>
            <a:solidFill>
              <a:schemeClr val="accent2"/>
            </a:solidFill>
          </a:endParaRPr>
        </a:p>
      </xdr:txBody>
    </xdr:sp>
    <xdr:clientData/>
  </xdr:twoCellAnchor>
  <xdr:twoCellAnchor>
    <xdr:from>
      <xdr:col>5</xdr:col>
      <xdr:colOff>632460</xdr:colOff>
      <xdr:row>49</xdr:row>
      <xdr:rowOff>0</xdr:rowOff>
    </xdr:from>
    <xdr:to>
      <xdr:col>7</xdr:col>
      <xdr:colOff>2236470</xdr:colOff>
      <xdr:row>52</xdr:row>
      <xdr:rowOff>60960</xdr:rowOff>
    </xdr:to>
    <xdr:cxnSp macro="">
      <xdr:nvCxnSpPr>
        <xdr:cNvPr id="128" name="Conector de Seta Reta 127">
          <a:extLst>
            <a:ext uri="{FF2B5EF4-FFF2-40B4-BE49-F238E27FC236}">
              <a16:creationId xmlns:a16="http://schemas.microsoft.com/office/drawing/2014/main" id="{41F80E90-80CE-448E-A34F-E2DF09D5943D}"/>
            </a:ext>
          </a:extLst>
        </xdr:cNvPr>
        <xdr:cNvCxnSpPr>
          <a:stCxn id="126" idx="0"/>
          <a:endCxn id="127" idx="2"/>
        </xdr:cNvCxnSpPr>
      </xdr:nvCxnSpPr>
      <xdr:spPr>
        <a:xfrm flipH="1" flipV="1">
          <a:off x="7688580" y="8602980"/>
          <a:ext cx="2945130" cy="609600"/>
        </a:xfrm>
        <a:prstGeom prst="straightConnector1">
          <a:avLst/>
        </a:prstGeom>
        <a:ln w="12700">
          <a:solidFill>
            <a:schemeClr val="accent2"/>
          </a:solidFill>
          <a:tailEnd type="oval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91440</xdr:colOff>
      <xdr:row>60</xdr:row>
      <xdr:rowOff>7620</xdr:rowOff>
    </xdr:from>
    <xdr:to>
      <xdr:col>8</xdr:col>
      <xdr:colOff>876300</xdr:colOff>
      <xdr:row>80</xdr:row>
      <xdr:rowOff>152400</xdr:rowOff>
    </xdr:to>
    <xdr:pic>
      <xdr:nvPicPr>
        <xdr:cNvPr id="130" name="Imagem 129">
          <a:extLst>
            <a:ext uri="{FF2B5EF4-FFF2-40B4-BE49-F238E27FC236}">
              <a16:creationId xmlns:a16="http://schemas.microsoft.com/office/drawing/2014/main" id="{C63CECB7-439E-487E-BEB2-09697A33B1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3360" y="10622280"/>
          <a:ext cx="12649200" cy="38023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1859280</xdr:colOff>
      <xdr:row>35</xdr:row>
      <xdr:rowOff>99060</xdr:rowOff>
    </xdr:from>
    <xdr:to>
      <xdr:col>5</xdr:col>
      <xdr:colOff>533400</xdr:colOff>
      <xdr:row>39</xdr:row>
      <xdr:rowOff>144780</xdr:rowOff>
    </xdr:to>
    <xdr:sp macro="" textlink="">
      <xdr:nvSpPr>
        <xdr:cNvPr id="43" name="Retângulo 42">
          <a:extLst>
            <a:ext uri="{FF2B5EF4-FFF2-40B4-BE49-F238E27FC236}">
              <a16:creationId xmlns:a16="http://schemas.microsoft.com/office/drawing/2014/main" id="{B83ACBF1-C01E-47EB-A216-93A399C75E78}"/>
            </a:ext>
          </a:extLst>
        </xdr:cNvPr>
        <xdr:cNvSpPr/>
      </xdr:nvSpPr>
      <xdr:spPr>
        <a:xfrm>
          <a:off x="6088380" y="6065520"/>
          <a:ext cx="1463040" cy="80010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12700">
          <a:solidFill>
            <a:schemeClr val="accent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>
              <a:solidFill>
                <a:schemeClr val="accent2"/>
              </a:solidFill>
            </a:rPr>
            <a:t>Informe</a:t>
          </a:r>
          <a:r>
            <a:rPr lang="pt-BR" sz="1100" baseline="0">
              <a:solidFill>
                <a:schemeClr val="accent2"/>
              </a:solidFill>
            </a:rPr>
            <a:t> o número da nota fiscal.</a:t>
          </a:r>
          <a:endParaRPr lang="pt-BR" sz="1100">
            <a:solidFill>
              <a:schemeClr val="accent2"/>
            </a:solidFill>
          </a:endParaRPr>
        </a:p>
      </xdr:txBody>
    </xdr:sp>
    <xdr:clientData/>
  </xdr:twoCellAnchor>
  <xdr:twoCellAnchor>
    <xdr:from>
      <xdr:col>4</xdr:col>
      <xdr:colOff>2590800</xdr:colOff>
      <xdr:row>27</xdr:row>
      <xdr:rowOff>106680</xdr:rowOff>
    </xdr:from>
    <xdr:to>
      <xdr:col>5</xdr:col>
      <xdr:colOff>190500</xdr:colOff>
      <xdr:row>35</xdr:row>
      <xdr:rowOff>99060</xdr:rowOff>
    </xdr:to>
    <xdr:cxnSp macro="">
      <xdr:nvCxnSpPr>
        <xdr:cNvPr id="44" name="Conector de Seta Reta 43">
          <a:extLst>
            <a:ext uri="{FF2B5EF4-FFF2-40B4-BE49-F238E27FC236}">
              <a16:creationId xmlns:a16="http://schemas.microsoft.com/office/drawing/2014/main" id="{6B7FDA8F-129A-4156-BAF1-C6E549BD1D16}"/>
            </a:ext>
          </a:extLst>
        </xdr:cNvPr>
        <xdr:cNvCxnSpPr>
          <a:cxnSpLocks/>
          <a:stCxn id="43" idx="0"/>
        </xdr:cNvCxnSpPr>
      </xdr:nvCxnSpPr>
      <xdr:spPr>
        <a:xfrm flipV="1">
          <a:off x="6819900" y="4610100"/>
          <a:ext cx="388620" cy="1455420"/>
        </a:xfrm>
        <a:prstGeom prst="straightConnector1">
          <a:avLst/>
        </a:prstGeom>
        <a:ln w="12700">
          <a:solidFill>
            <a:schemeClr val="accent2"/>
          </a:solidFill>
          <a:tailEnd type="oval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2442210</xdr:colOff>
      <xdr:row>27</xdr:row>
      <xdr:rowOff>175260</xdr:rowOff>
    </xdr:from>
    <xdr:to>
      <xdr:col>2</xdr:col>
      <xdr:colOff>213360</xdr:colOff>
      <xdr:row>37</xdr:row>
      <xdr:rowOff>106680</xdr:rowOff>
    </xdr:to>
    <xdr:cxnSp macro="">
      <xdr:nvCxnSpPr>
        <xdr:cNvPr id="52" name="Conector de Seta Reta 51">
          <a:extLst>
            <a:ext uri="{FF2B5EF4-FFF2-40B4-BE49-F238E27FC236}">
              <a16:creationId xmlns:a16="http://schemas.microsoft.com/office/drawing/2014/main" id="{BC4E8D60-A914-44EA-A989-3248C06483DF}"/>
            </a:ext>
          </a:extLst>
        </xdr:cNvPr>
        <xdr:cNvCxnSpPr>
          <a:cxnSpLocks/>
          <a:stCxn id="73" idx="0"/>
        </xdr:cNvCxnSpPr>
      </xdr:nvCxnSpPr>
      <xdr:spPr>
        <a:xfrm flipV="1">
          <a:off x="2556510" y="4678680"/>
          <a:ext cx="560070" cy="1767840"/>
        </a:xfrm>
        <a:prstGeom prst="straightConnector1">
          <a:avLst/>
        </a:prstGeom>
        <a:ln w="12700">
          <a:solidFill>
            <a:schemeClr val="accent2"/>
          </a:solidFill>
          <a:tailEnd type="oval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601980</xdr:colOff>
      <xdr:row>35</xdr:row>
      <xdr:rowOff>30480</xdr:rowOff>
    </xdr:from>
    <xdr:to>
      <xdr:col>7</xdr:col>
      <xdr:colOff>1485900</xdr:colOff>
      <xdr:row>43</xdr:row>
      <xdr:rowOff>91440</xdr:rowOff>
    </xdr:to>
    <xdr:sp macro="" textlink="">
      <xdr:nvSpPr>
        <xdr:cNvPr id="59" name="Retângulo 58">
          <a:extLst>
            <a:ext uri="{FF2B5EF4-FFF2-40B4-BE49-F238E27FC236}">
              <a16:creationId xmlns:a16="http://schemas.microsoft.com/office/drawing/2014/main" id="{4778C34C-5EE6-4335-80CA-166AD17EC160}"/>
            </a:ext>
          </a:extLst>
        </xdr:cNvPr>
        <xdr:cNvSpPr/>
      </xdr:nvSpPr>
      <xdr:spPr>
        <a:xfrm>
          <a:off x="7620000" y="5996940"/>
          <a:ext cx="2209800" cy="157734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12700">
          <a:solidFill>
            <a:schemeClr val="accent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>
              <a:solidFill>
                <a:schemeClr val="accent2"/>
              </a:solidFill>
            </a:rPr>
            <a:t>Informe</a:t>
          </a:r>
          <a:r>
            <a:rPr lang="pt-BR" sz="1100" baseline="0">
              <a:solidFill>
                <a:schemeClr val="accent2"/>
              </a:solidFill>
            </a:rPr>
            <a:t> o Status da Nota Fiscal, que poderá ser Ativa ou Cancelada.</a:t>
          </a:r>
        </a:p>
        <a:p>
          <a:pPr algn="l"/>
          <a:r>
            <a:rPr lang="pt-BR" sz="1100" baseline="0">
              <a:solidFill>
                <a:schemeClr val="accent2"/>
              </a:solidFill>
            </a:rPr>
            <a:t>Caso seja Cancelada, informe o número da Nota Fiscal que Subtituiu.</a:t>
          </a:r>
          <a:endParaRPr lang="pt-BR" sz="1100">
            <a:solidFill>
              <a:schemeClr val="accent2"/>
            </a:solidFill>
          </a:endParaRPr>
        </a:p>
      </xdr:txBody>
    </xdr:sp>
    <xdr:clientData/>
  </xdr:twoCellAnchor>
  <xdr:twoCellAnchor>
    <xdr:from>
      <xdr:col>5</xdr:col>
      <xdr:colOff>762000</xdr:colOff>
      <xdr:row>27</xdr:row>
      <xdr:rowOff>137160</xdr:rowOff>
    </xdr:from>
    <xdr:to>
      <xdr:col>7</xdr:col>
      <xdr:colOff>381000</xdr:colOff>
      <xdr:row>35</xdr:row>
      <xdr:rowOff>30480</xdr:rowOff>
    </xdr:to>
    <xdr:cxnSp macro="">
      <xdr:nvCxnSpPr>
        <xdr:cNvPr id="60" name="Conector de Seta Reta 59">
          <a:extLst>
            <a:ext uri="{FF2B5EF4-FFF2-40B4-BE49-F238E27FC236}">
              <a16:creationId xmlns:a16="http://schemas.microsoft.com/office/drawing/2014/main" id="{1B03FCEF-583A-4FDB-8D83-0C35C719CEB3}"/>
            </a:ext>
          </a:extLst>
        </xdr:cNvPr>
        <xdr:cNvCxnSpPr>
          <a:cxnSpLocks/>
          <a:stCxn id="59" idx="0"/>
        </xdr:cNvCxnSpPr>
      </xdr:nvCxnSpPr>
      <xdr:spPr>
        <a:xfrm flipH="1" flipV="1">
          <a:off x="7780020" y="4640580"/>
          <a:ext cx="944880" cy="1356360"/>
        </a:xfrm>
        <a:prstGeom prst="straightConnector1">
          <a:avLst/>
        </a:prstGeom>
        <a:ln w="12700">
          <a:solidFill>
            <a:schemeClr val="accent2"/>
          </a:solidFill>
          <a:tailEnd type="oval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259080</xdr:colOff>
      <xdr:row>26</xdr:row>
      <xdr:rowOff>76200</xdr:rowOff>
    </xdr:from>
    <xdr:to>
      <xdr:col>7</xdr:col>
      <xdr:colOff>381000</xdr:colOff>
      <xdr:row>35</xdr:row>
      <xdr:rowOff>30480</xdr:rowOff>
    </xdr:to>
    <xdr:cxnSp macro="">
      <xdr:nvCxnSpPr>
        <xdr:cNvPr id="64" name="Conector de Seta Reta 63">
          <a:extLst>
            <a:ext uri="{FF2B5EF4-FFF2-40B4-BE49-F238E27FC236}">
              <a16:creationId xmlns:a16="http://schemas.microsoft.com/office/drawing/2014/main" id="{E227FD88-204C-4D82-8A30-85F71D6B7522}"/>
            </a:ext>
          </a:extLst>
        </xdr:cNvPr>
        <xdr:cNvCxnSpPr>
          <a:cxnSpLocks/>
          <a:stCxn id="59" idx="0"/>
        </xdr:cNvCxnSpPr>
      </xdr:nvCxnSpPr>
      <xdr:spPr>
        <a:xfrm flipH="1" flipV="1">
          <a:off x="8602980" y="4396740"/>
          <a:ext cx="121920" cy="1600200"/>
        </a:xfrm>
        <a:prstGeom prst="straightConnector1">
          <a:avLst/>
        </a:prstGeom>
        <a:ln w="12700">
          <a:solidFill>
            <a:schemeClr val="accent2"/>
          </a:solidFill>
          <a:tailEnd type="oval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386A4B3-C08A-40DF-AE3A-A3B627CF686D}" name="JAN" displayName="JAN" ref="B12:M1000" totalsRowShown="0" headerRowDxfId="227" dataDxfId="225" headerRowBorderDxfId="226" tableBorderDxfId="224" totalsRowBorderDxfId="223">
  <autoFilter ref="B12:M1000" xr:uid="{22CE7A6C-211D-4AAF-BCE1-5A5EF8941F4A}"/>
  <tableColumns count="12">
    <tableColumn id="1" xr3:uid="{08EDC980-C9A4-4A9F-AD36-4E59E5DCCF97}" name="Data da Venda" dataDxfId="222"/>
    <tableColumn id="2" xr3:uid="{B44BE00B-9726-487F-A408-68FD83B69445}" name="Cliente" dataDxfId="221"/>
    <tableColumn id="10" xr3:uid="{3C2B41D1-F57D-4D37-B914-0335FB56EC6D}" name="CNPJ" dataDxfId="220"/>
    <tableColumn id="3" xr3:uid="{3E1C1682-D895-4C46-8CF0-3F3CEA0FE627}" name="Descrição da Venda (Produto ou Serviço)" dataDxfId="219"/>
    <tableColumn id="4" xr3:uid="{D8CD01BB-5463-4DE1-9373-05C13F47B9D7}" name="Valor da Parcela a Receber" dataDxfId="218"/>
    <tableColumn id="9" xr3:uid="{E035CE8F-BF4E-4878-870B-A4FA6023719D}" name="Nota Fiscal" dataDxfId="217"/>
    <tableColumn id="11" xr3:uid="{10A7A074-7BBD-4C56-9F92-84D24F6D0064}" name="Status Nota Fiscal" dataDxfId="216"/>
    <tableColumn id="12" xr3:uid="{4BFA6E28-80EC-4EAE-BDB5-E0F00F4C1D69}" name="Se Cancelada, Nº Nota Fiscal Substituta" dataDxfId="215"/>
    <tableColumn id="5" xr3:uid="{E516EE83-531A-4312-BE90-237C921AE6DA}" name="Data Prevista de Recebimento" dataDxfId="214"/>
    <tableColumn id="6" xr3:uid="{96E26B52-9B91-49B2-95BB-BCC63262A8B9}" name="Nº Parcela deste Mês" dataDxfId="213"/>
    <tableColumn id="7" xr3:uid="{486C9002-1623-4545-A8E5-7FE73887C7C2}" name="Nº Total de Parcelas" dataDxfId="212"/>
    <tableColumn id="8" xr3:uid="{9AB3C75A-A62E-4F6B-AAA7-148DFB9BB9CF}" name="Data Recebimento" dataDxfId="21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1F1B5C5-0311-4063-9E79-C03091D92AF7}" name="FEV" displayName="FEV" ref="B12:M1000" totalsRowShown="0" headerRowDxfId="208" dataDxfId="206" headerRowBorderDxfId="207" tableBorderDxfId="205" totalsRowBorderDxfId="204">
  <autoFilter ref="B12:M1000" xr:uid="{22CE7A6C-211D-4AAF-BCE1-5A5EF8941F4A}"/>
  <tableColumns count="12">
    <tableColumn id="1" xr3:uid="{A580375A-185E-49F1-A10F-B7414CC95872}" name="Data da Venda" dataDxfId="203"/>
    <tableColumn id="2" xr3:uid="{8B595517-1FF6-44BD-9172-88AF5A8541F0}" name="Cliente" dataDxfId="202"/>
    <tableColumn id="10" xr3:uid="{4B580E11-BC9F-442A-888F-0ADE3E80C99F}" name="CNPJ" dataDxfId="201"/>
    <tableColumn id="3" xr3:uid="{65299620-5BCA-4D8D-8BD2-7D0D98828888}" name="Descrição da Venda (Produto ou Serviço)" dataDxfId="200"/>
    <tableColumn id="4" xr3:uid="{5AF6CB93-B47F-4DAF-9C0D-E9021517FD29}" name="Valor da Parcela a Receber" dataDxfId="199"/>
    <tableColumn id="9" xr3:uid="{F1430ADB-187B-410A-A653-057104DECA60}" name="Nota Fiscal" dataDxfId="198"/>
    <tableColumn id="12" xr3:uid="{B9BA80A5-B6B3-485A-A565-9A1AE0804553}" name="Status Nota Fiscal" dataDxfId="197"/>
    <tableColumn id="11" xr3:uid="{08CC756D-F6CB-492F-A10B-B19D02FE8339}" name="Se Cancelada, Nº Nota Fiscal Substituta" dataDxfId="196"/>
    <tableColumn id="5" xr3:uid="{E777ABBD-CF4F-4D34-881B-D11E17A822A6}" name="Data Prevista de Recebimento" dataDxfId="195"/>
    <tableColumn id="6" xr3:uid="{059072A6-7D79-4D23-81A1-2C674156E58E}" name="Nº Parcela deste Mês" dataDxfId="194"/>
    <tableColumn id="7" xr3:uid="{355BE86F-2653-4D82-B5BF-31A6FEB4402B}" name="Nº Total de Parcelas" dataDxfId="193"/>
    <tableColumn id="8" xr3:uid="{F7863868-698F-4784-84F7-6C2A606E4DC0}" name="Data Recebimento" dataDxfId="19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44881F1-2D12-450B-9BE4-721669319C55}" name="MAR" displayName="MAR" ref="B12:M1000" totalsRowShown="0" headerRowDxfId="189" dataDxfId="187" headerRowBorderDxfId="188" tableBorderDxfId="186" totalsRowBorderDxfId="185">
  <autoFilter ref="B12:M1000" xr:uid="{22CE7A6C-211D-4AAF-BCE1-5A5EF8941F4A}"/>
  <tableColumns count="12">
    <tableColumn id="1" xr3:uid="{7832FFF8-0154-443C-BB9A-EFB456F447C2}" name="Data da Venda" dataDxfId="184"/>
    <tableColumn id="2" xr3:uid="{44A3795B-D3F9-4F7C-A40B-02B2463173B0}" name="Cliente" dataDxfId="183"/>
    <tableColumn id="10" xr3:uid="{AC577B71-37C1-4FA9-A978-707CC649BEC9}" name="CNPJ" dataDxfId="182"/>
    <tableColumn id="3" xr3:uid="{06BDB7A7-D597-4F5A-A9C3-44DBB378536D}" name="Descrição da Venda (Produto ou Serviço)" dataDxfId="181"/>
    <tableColumn id="4" xr3:uid="{FBC405F0-01A6-4EF3-8EAE-5E65845691D5}" name="Valor da Parcela a Receber" dataDxfId="180"/>
    <tableColumn id="9" xr3:uid="{15D1B2BB-BC4A-43B8-B2BF-F2895E0679C5}" name="Nota Fiscal" dataDxfId="179"/>
    <tableColumn id="12" xr3:uid="{E9EC8E2E-65EB-41AD-8F65-1139B9C8B755}" name="Status Nota Fiscal" dataDxfId="178"/>
    <tableColumn id="11" xr3:uid="{A5668B5D-677A-4CCE-8C58-30073BF6214E}" name="Se Cancelada, Nº Nota Fiscal Substituta" dataDxfId="177"/>
    <tableColumn id="5" xr3:uid="{E00317A7-B014-47C3-B6D3-E135A8403C6C}" name="Data Prevista de Recebimento" dataDxfId="176"/>
    <tableColumn id="6" xr3:uid="{0D567AAB-388E-48BB-AB68-8F45A6E74EB7}" name="Nº Parcela deste Mês" dataDxfId="175"/>
    <tableColumn id="7" xr3:uid="{181A3AA7-181F-4ABE-86C7-58596EAB1879}" name="Nº Total de Parcelas" dataDxfId="174"/>
    <tableColumn id="8" xr3:uid="{268B30C3-AF66-4924-BF99-753B2D338E91}" name="Data Recebimento" dataDxfId="173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135EF90-579D-48C3-8B52-2892305AA5DA}" name="ABR" displayName="ABR" ref="B12:M1000" totalsRowShown="0" headerRowDxfId="170" dataDxfId="168" headerRowBorderDxfId="169" tableBorderDxfId="167" totalsRowBorderDxfId="166">
  <autoFilter ref="B12:M1000" xr:uid="{22CE7A6C-211D-4AAF-BCE1-5A5EF8941F4A}"/>
  <tableColumns count="12">
    <tableColumn id="1" xr3:uid="{18FD0450-66C6-41A7-A83F-93E0CDBE95AD}" name="Data da Venda" dataDxfId="165"/>
    <tableColumn id="2" xr3:uid="{CB2A5843-12C4-4F21-86B5-6A90DD33A2BB}" name="Cliente" dataDxfId="164"/>
    <tableColumn id="10" xr3:uid="{79FE3EB8-EB24-4C90-94FB-ACBFE4C0B9D6}" name="CNPJ" dataDxfId="163"/>
    <tableColumn id="3" xr3:uid="{51305338-BA0B-4BB4-B237-F5301A18DF51}" name="Descrição da Venda (Produto ou Serviço)" dataDxfId="162"/>
    <tableColumn id="4" xr3:uid="{807BB00F-B3F4-4C4D-8B34-DE1CB0D35539}" name="Valor da Parcela a Receber" dataDxfId="161"/>
    <tableColumn id="9" xr3:uid="{88B93F89-60C8-4D0C-91DB-4FC7158EE258}" name="Nota Fiscal" dataDxfId="160"/>
    <tableColumn id="12" xr3:uid="{454753E2-C419-4714-BBB5-2CE973D55A56}" name="Status Nota Fiscal" dataDxfId="159"/>
    <tableColumn id="11" xr3:uid="{8C1901F3-1DFC-49C8-988D-FEFF79529D57}" name="Se Cancelada, Nº Nota Fiscal Substituta" dataDxfId="158"/>
    <tableColumn id="5" xr3:uid="{56E9132D-4289-4E68-AB40-4AA4678F9C2D}" name="Data Prevista de Recebimento" dataDxfId="157"/>
    <tableColumn id="6" xr3:uid="{C6BB2AE0-AF8B-47A8-B8B0-14BBEC4AFCD3}" name="Nº Parcela deste Mês" dataDxfId="156"/>
    <tableColumn id="7" xr3:uid="{146AF00B-5451-4C01-AF1D-0A46DC430183}" name="Nº Total de Parcelas" dataDxfId="155"/>
    <tableColumn id="8" xr3:uid="{C9EAEBCD-5341-44B4-BDA5-BFDF71CD7E5C}" name="Data Recebimento" dataDxfId="154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9852E8A-5763-41B6-A069-46CDB1148C2D}" name="MAI" displayName="MAI" ref="B12:M1000" totalsRowShown="0" headerRowDxfId="151" dataDxfId="149" headerRowBorderDxfId="150" tableBorderDxfId="148" totalsRowBorderDxfId="147">
  <autoFilter ref="B12:M1000" xr:uid="{22CE7A6C-211D-4AAF-BCE1-5A5EF8941F4A}"/>
  <tableColumns count="12">
    <tableColumn id="1" xr3:uid="{037DF3AA-8A96-4021-B7BD-4BE35026B641}" name="Data da Venda" dataDxfId="146"/>
    <tableColumn id="2" xr3:uid="{299121B1-A3FA-4801-A75B-120F47DF8AC6}" name="Cliente" dataDxfId="145"/>
    <tableColumn id="10" xr3:uid="{66EE3E65-9ED0-4EE4-83CE-F4FF10DA876E}" name="CNPJ" dataDxfId="144"/>
    <tableColumn id="3" xr3:uid="{419031F1-6876-464D-8820-1D21256A25AB}" name="Descrição da Venda (Produto ou Serviço)" dataDxfId="143"/>
    <tableColumn id="4" xr3:uid="{889BC7C2-878A-4E6F-91D4-11D896CB015B}" name="Valor da Parcela a Receber" dataDxfId="142"/>
    <tableColumn id="9" xr3:uid="{7C25B766-1BDC-4771-8FB0-961558277D45}" name="Nota Fiscal" dataDxfId="141"/>
    <tableColumn id="12" xr3:uid="{5C202104-8A6D-42AC-AB9E-C26FBEAEA722}" name="Status Nota Fiscal" dataDxfId="140"/>
    <tableColumn id="11" xr3:uid="{48060334-577E-4DA2-9436-7A944A50CE62}" name="Se Cancelada, Nº Nota Fiscal Substituta" dataDxfId="139"/>
    <tableColumn id="5" xr3:uid="{2F1FA54F-6204-4510-B24D-E88D1DF7D63A}" name="Data Prevista de Recebimento" dataDxfId="138"/>
    <tableColumn id="6" xr3:uid="{DDBFE06A-C12A-48BB-8DBA-2324FF5BA912}" name="Nº Parcela deste Mês" dataDxfId="137"/>
    <tableColumn id="7" xr3:uid="{790446FD-C24B-428C-820F-AEA97D4B2437}" name="Nº Total de Parcelas" dataDxfId="136"/>
    <tableColumn id="8" xr3:uid="{3507112A-4B9E-4552-9FC2-0F2B91960A3B}" name="Data Recebimento" dataDxfId="135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AA8D63E-4B9E-4C45-881B-D99791A093DA}" name="JUN" displayName="JUN" ref="B12:M1000" totalsRowShown="0" headerRowDxfId="132" dataDxfId="130" headerRowBorderDxfId="131" tableBorderDxfId="129" totalsRowBorderDxfId="128">
  <autoFilter ref="B12:M1000" xr:uid="{22CE7A6C-211D-4AAF-BCE1-5A5EF8941F4A}"/>
  <tableColumns count="12">
    <tableColumn id="1" xr3:uid="{3180CDB1-7486-4F39-A203-301E2009D4F3}" name="Data da Venda" dataDxfId="127"/>
    <tableColumn id="2" xr3:uid="{68E87995-1EA8-40CF-A334-CA4D1AC4207F}" name="Cliente" dataDxfId="126"/>
    <tableColumn id="10" xr3:uid="{0397C156-8B3F-4738-BF19-87CD16EE5C86}" name="CNPJ" dataDxfId="125"/>
    <tableColumn id="3" xr3:uid="{148D9F7C-5E19-4DCE-92E4-CC9FFB1B4948}" name="Descrição da Venda (Produto ou Serviço)" dataDxfId="124"/>
    <tableColumn id="4" xr3:uid="{065DFDDA-9CAB-4EE4-A684-DF9D3D0D9BB1}" name="Valor da Parcela a Receber" dataDxfId="123"/>
    <tableColumn id="9" xr3:uid="{E9ADAC3F-8921-4C48-8BAD-6D7B4AC2C97E}" name="Nota Fiscal" dataDxfId="122"/>
    <tableColumn id="12" xr3:uid="{C6904AFA-D4E2-4440-9A4B-5D01218B3B15}" name="Status Nota Fiscal" dataDxfId="121"/>
    <tableColumn id="11" xr3:uid="{B57255E3-DF11-414E-9D00-4707AA52E183}" name="Se Cancelada, Nº Nota Fiscal Substituta" dataDxfId="120"/>
    <tableColumn id="5" xr3:uid="{9641A0B3-0A99-40F9-9E40-36C960ECD467}" name="Data Prevista de Recebimento" dataDxfId="119"/>
    <tableColumn id="6" xr3:uid="{9816082D-7A9E-4263-B8CA-F93D17DD21E7}" name="Nº Parcela deste Mês" dataDxfId="118"/>
    <tableColumn id="7" xr3:uid="{C1D820F8-ACD7-4346-AD27-007D2F36E18E}" name="Nº Total de Parcelas" dataDxfId="117"/>
    <tableColumn id="8" xr3:uid="{61968165-32F7-4D29-8CF9-F30073533B22}" name="Data Recebimento" dataDxfId="116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52AC5976-571B-46F0-B256-B68B76383E98}" name="JUL" displayName="JUL" ref="B12:M1000" totalsRowShown="0" headerRowDxfId="113" dataDxfId="111" headerRowBorderDxfId="112" tableBorderDxfId="110" totalsRowBorderDxfId="109">
  <autoFilter ref="B12:M1000" xr:uid="{22CE7A6C-211D-4AAF-BCE1-5A5EF8941F4A}"/>
  <tableColumns count="12">
    <tableColumn id="1" xr3:uid="{3A0470CE-9A2A-491D-B459-5A7BDBEFD488}" name="Data da Venda" dataDxfId="108"/>
    <tableColumn id="2" xr3:uid="{50E16D5C-F962-4E4E-AA49-645F2BE64C51}" name="Cliente" dataDxfId="107"/>
    <tableColumn id="10" xr3:uid="{613851A1-AE6E-4333-9ABA-07808E8C4E0F}" name="CNPJ" dataDxfId="106"/>
    <tableColumn id="3" xr3:uid="{35083EEE-AA7A-441A-91CA-C36222C04146}" name="Descrição da Venda (Produto ou Serviço)" dataDxfId="105"/>
    <tableColumn id="4" xr3:uid="{4E6EAE02-F9BC-405D-98F8-6DA3F1B14C57}" name="Valor da Parcela a Receber" dataDxfId="104"/>
    <tableColumn id="9" xr3:uid="{CDCF316E-6A91-46BF-9716-10659AF51606}" name="Nota Fiscal" dataDxfId="103"/>
    <tableColumn id="12" xr3:uid="{BE674E24-E9F7-4F74-ACDB-82DB1B8C0943}" name="Status Nota Fiscal" dataDxfId="102"/>
    <tableColumn id="11" xr3:uid="{C3AFB2D1-1A39-45F4-8773-50BA929E0F49}" name="Se Cancelada, Nº Nota Fiscal Substituta" dataDxfId="101"/>
    <tableColumn id="5" xr3:uid="{88A0509E-8ACD-4DD3-B078-3750B2EDA584}" name="Data Prevista de Recebimento" dataDxfId="100"/>
    <tableColumn id="6" xr3:uid="{65B88AD1-87C6-4B39-948A-AEAD9E21E1B7}" name="Nº Parcela deste Mês" dataDxfId="99"/>
    <tableColumn id="7" xr3:uid="{55B314FA-3280-421F-9782-CCBF0E3DEB19}" name="Nº Total de Parcelas" dataDxfId="98"/>
    <tableColumn id="8" xr3:uid="{0DC3D56D-C0A6-49E7-9532-F0D4F736F056}" name="Data Recebimento" dataDxfId="97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97355D4C-703E-4CD3-A2BA-C05CFC78B744}" name="AGO" displayName="AGO" ref="B12:M1000" totalsRowShown="0" headerRowDxfId="94" dataDxfId="92" headerRowBorderDxfId="93" tableBorderDxfId="91" totalsRowBorderDxfId="90">
  <autoFilter ref="B12:M1000" xr:uid="{22CE7A6C-211D-4AAF-BCE1-5A5EF8941F4A}"/>
  <tableColumns count="12">
    <tableColumn id="1" xr3:uid="{A21D67B0-B34B-4E17-AA1B-4177C1A0F90F}" name="Data da Venda" dataDxfId="89"/>
    <tableColumn id="2" xr3:uid="{F1E09D5F-37B3-4DB5-94F8-D09684511BD9}" name="Cliente" dataDxfId="88"/>
    <tableColumn id="10" xr3:uid="{CFC112AE-F25A-400E-8E09-C801E0087C1C}" name="CNPJ" dataDxfId="87"/>
    <tableColumn id="3" xr3:uid="{FE95B5EA-1B61-4BC9-9049-2AFF3428A27F}" name="Descrição da Venda (Produto ou Serviço)" dataDxfId="86"/>
    <tableColumn id="4" xr3:uid="{458235C3-1CC2-46E3-9A22-CB702E95E090}" name="Valor da Parcela a Receber" dataDxfId="85"/>
    <tableColumn id="9" xr3:uid="{16B41616-1245-43AD-AC34-999F01C9D5BA}" name="Nota Fiscal" dataDxfId="84"/>
    <tableColumn id="12" xr3:uid="{C87ABFD9-CF93-47C2-A9C9-8306E7444D62}" name="Status Nota Fiscal" dataDxfId="83"/>
    <tableColumn id="11" xr3:uid="{301BD595-5CB8-45D8-99C2-AF819F0B48DE}" name="Se Cancelada, Nº Nota Fiscal Substituta" dataDxfId="82"/>
    <tableColumn id="5" xr3:uid="{C92E602C-73E0-44E4-9BD5-74F89142BAF0}" name="Data Prevista de Recebimento" dataDxfId="81"/>
    <tableColumn id="6" xr3:uid="{0117F71C-03CE-4E4C-8888-3B6E52968C16}" name="Nº Parcela deste Mês" dataDxfId="80"/>
    <tableColumn id="7" xr3:uid="{94F9A902-77D9-4116-9E58-1C6E7F9A918B}" name="Nº Total de Parcelas" dataDxfId="79"/>
    <tableColumn id="8" xr3:uid="{9E22DF99-655C-453A-85FF-13EFD7978F7E}" name="Data Recebimento" dataDxfId="78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567B83C7-B2CE-4172-A493-43D48B309385}" name="SET" displayName="SET" ref="B12:M1000" totalsRowShown="0" headerRowDxfId="75" dataDxfId="73" headerRowBorderDxfId="74" tableBorderDxfId="72" totalsRowBorderDxfId="71">
  <autoFilter ref="B12:M1000" xr:uid="{22CE7A6C-211D-4AAF-BCE1-5A5EF8941F4A}"/>
  <tableColumns count="12">
    <tableColumn id="1" xr3:uid="{AB337FB8-0206-4416-B25E-CE8E152B0BEE}" name="Data da Venda" dataDxfId="70"/>
    <tableColumn id="2" xr3:uid="{87BEDD0F-56D2-4130-AD64-BB28A17BEC4E}" name="Cliente" dataDxfId="69"/>
    <tableColumn id="10" xr3:uid="{AAFD2A9B-3AF4-431E-BE87-6D2A035BFACD}" name="CNPJ" dataDxfId="68"/>
    <tableColumn id="3" xr3:uid="{52D72356-35FF-4735-BEDF-1BBF4DD541AB}" name="Descrição da Venda (Produto ou Serviço)" dataDxfId="67"/>
    <tableColumn id="4" xr3:uid="{3C0CCCF9-D100-43BC-A8EE-CEAAECEE77E8}" name="Valor da Parcela a Receber" dataDxfId="66"/>
    <tableColumn id="9" xr3:uid="{19F92504-9714-45F1-992C-650CA882BA07}" name="Nota Fiscal" dataDxfId="65"/>
    <tableColumn id="12" xr3:uid="{56638270-5812-4F14-B9AB-5F5595CB8208}" name="Status Nota Fiscal" dataDxfId="64"/>
    <tableColumn id="11" xr3:uid="{BF686FC0-E6A2-42D8-B4A6-598A5C01F955}" name="Se Cancelada, Nº Nota Fiscal Substituta" dataDxfId="63"/>
    <tableColumn id="5" xr3:uid="{28077EB8-7FE3-4371-BF6A-251A0DA9434D}" name="Data Prevista de Recebimento" dataDxfId="62"/>
    <tableColumn id="6" xr3:uid="{052CE20D-ABE9-4236-98EB-6D0AFBFED13C}" name="Nº Parcela deste Mês" dataDxfId="61"/>
    <tableColumn id="7" xr3:uid="{E7B8B69C-FBCC-4BE6-87CA-555CC0AE6D46}" name="Nº Total de Parcelas" dataDxfId="60"/>
    <tableColumn id="8" xr3:uid="{7161600C-A06A-423E-8D4D-49F8983DA1B4}" name="Data Recebimento" dataDxfId="59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882B47C9-25BD-460B-8C72-26C0AB5F0A52}" name="OUT" displayName="OUT" ref="B12:M1000" totalsRowShown="0" headerRowDxfId="56" dataDxfId="54" headerRowBorderDxfId="55" tableBorderDxfId="53" totalsRowBorderDxfId="52">
  <autoFilter ref="B12:M1000" xr:uid="{22CE7A6C-211D-4AAF-BCE1-5A5EF8941F4A}"/>
  <tableColumns count="12">
    <tableColumn id="1" xr3:uid="{3A835E8B-55EF-4757-BC82-0E855516E78B}" name="Data da Venda" dataDxfId="51"/>
    <tableColumn id="2" xr3:uid="{AAB44AFC-4857-42FE-B8A2-4BACA3C1682F}" name="Cliente" dataDxfId="50"/>
    <tableColumn id="10" xr3:uid="{3F754995-6183-41F8-97EF-5C6AC9AE1CF3}" name="CNPJ" dataDxfId="49"/>
    <tableColumn id="3" xr3:uid="{0CB8F1AB-87FB-49B3-9A38-434F01A97BD5}" name="Descrição da Venda (Produto ou Serviço)" dataDxfId="48"/>
    <tableColumn id="4" xr3:uid="{072F7689-F2A3-4E48-9EFE-FC447546411C}" name="Valor da Parcela a Receber" dataDxfId="47"/>
    <tableColumn id="9" xr3:uid="{87B21BD3-D544-4EC1-8F0B-D69AD4A8201F}" name="Nota Fiscal" dataDxfId="46"/>
    <tableColumn id="12" xr3:uid="{8BA2244E-DF90-43A5-B26E-24E1D572359B}" name="Status Nota Fiscal" dataDxfId="45"/>
    <tableColumn id="11" xr3:uid="{56F89B13-67B2-4B5D-83A0-0E235FD13F01}" name="Se Cancelada, Nº Nota Fiscal Substituta" dataDxfId="44"/>
    <tableColumn id="5" xr3:uid="{64AE2FA6-05D5-430E-AD52-06EFBA84BABB}" name="Data Prevista de Recebimento" dataDxfId="43"/>
    <tableColumn id="6" xr3:uid="{C2078B4E-2BD8-4170-9DD3-551CAF32020C}" name="Nº Parcela deste Mês" dataDxfId="42"/>
    <tableColumn id="7" xr3:uid="{7A5FA677-C7A5-4E8D-ABC2-EABBED0F8A41}" name="Nº Total de Parcelas" dataDxfId="41"/>
    <tableColumn id="8" xr3:uid="{A6E4C188-D916-4CBB-8CCB-CF630DA180A2}" name="Data Recebimento" dataDxfId="40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6636DE8E-A3E9-4959-92D3-12474064E066}" name="NOV" displayName="NOV" ref="B12:M1000" totalsRowShown="0" headerRowDxfId="37" dataDxfId="35" headerRowBorderDxfId="36" tableBorderDxfId="34" totalsRowBorderDxfId="33">
  <autoFilter ref="B12:M1000" xr:uid="{22CE7A6C-211D-4AAF-BCE1-5A5EF8941F4A}"/>
  <tableColumns count="12">
    <tableColumn id="1" xr3:uid="{D69CA349-F7CD-435D-A89E-638BF55C4288}" name="Data da Venda" dataDxfId="32"/>
    <tableColumn id="2" xr3:uid="{CEB30F59-9922-4871-A24F-7EE5C6D18DDB}" name="Cliente" dataDxfId="31"/>
    <tableColumn id="10" xr3:uid="{F06C5940-3B33-4275-B4D0-05F22A0C4A58}" name="CNPJ" dataDxfId="30"/>
    <tableColumn id="3" xr3:uid="{11E4C1A2-8E80-4049-B2B8-F1E7E974983A}" name="Descrição da Venda (Produto ou Serviço)" dataDxfId="29"/>
    <tableColumn id="4" xr3:uid="{81CBD37E-3136-40B5-94F6-0B9A37B7D380}" name="Valor da Parcela a Receber" dataDxfId="28"/>
    <tableColumn id="9" xr3:uid="{74E043BC-5976-4419-AD71-F7941E0C1C78}" name="Nota Fiscal" dataDxfId="27"/>
    <tableColumn id="12" xr3:uid="{96BC4C93-81C9-4297-B72C-CD2161E4C8A9}" name="Status Nota Fiscal" dataDxfId="26"/>
    <tableColumn id="11" xr3:uid="{143BC71C-CB3A-4BAD-A4B9-C32BD67ECB88}" name="Se Cancelada, Nº Nota Fiscal Substituta" dataDxfId="25"/>
    <tableColumn id="5" xr3:uid="{543D7598-BE1F-4689-BAEF-759715553282}" name="Data Prevista de Recebimento" dataDxfId="24"/>
    <tableColumn id="6" xr3:uid="{D9D3BF75-EFDF-41F8-8164-9D51F56CF310}" name="Nº Parcela deste Mês" dataDxfId="23"/>
    <tableColumn id="7" xr3:uid="{EEE56F6B-BA92-4550-8184-53C9D1D532D6}" name="Nº Total de Parcelas" dataDxfId="22"/>
    <tableColumn id="8" xr3:uid="{71B53803-D59E-4EC4-B032-7E48313680BE}" name="Data Recebimento" dataDxfId="21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7E7273D9-FCF0-4E9E-B7BC-911ED36D0359}" name="DEZ" displayName="DEZ" ref="B12:M1000" totalsRowShown="0" headerRowDxfId="18" dataDxfId="16" headerRowBorderDxfId="17" tableBorderDxfId="15" totalsRowBorderDxfId="14">
  <autoFilter ref="B12:M1000" xr:uid="{22CE7A6C-211D-4AAF-BCE1-5A5EF8941F4A}"/>
  <tableColumns count="12">
    <tableColumn id="1" xr3:uid="{5D419BDB-FBD1-49D9-9F60-49E80A69AB52}" name="Data da Venda" dataDxfId="13"/>
    <tableColumn id="2" xr3:uid="{571401E4-D409-4A46-B4AA-CFD69A80A8EA}" name="Cliente" dataDxfId="12"/>
    <tableColumn id="10" xr3:uid="{5C7DDD88-CD7D-4544-8C99-3AF05AF94BE8}" name="CNPJ" dataDxfId="11"/>
    <tableColumn id="3" xr3:uid="{F77B4297-9D51-4CD1-92A0-3AD9C76C2A07}" name="Descrição da Venda (Produto ou Serviço)" dataDxfId="10"/>
    <tableColumn id="4" xr3:uid="{0F135D14-2C14-4E12-91F7-08C7D694F9BD}" name="Valor da Parcela a Receber" dataDxfId="9"/>
    <tableColumn id="9" xr3:uid="{2938016B-00B2-4EE5-B2D9-3832E0C59B04}" name="Nota Fiscal" dataDxfId="8"/>
    <tableColumn id="12" xr3:uid="{8ABBFB57-FAF7-4A24-958C-CB087669B017}" name="Status Nota Fiscal" dataDxfId="7"/>
    <tableColumn id="11" xr3:uid="{1E3CAB3E-8A8C-4C0D-A832-D95C1AC516AB}" name="Se Cancelada, Nº Nota Fiscal Substituta" dataDxfId="6"/>
    <tableColumn id="5" xr3:uid="{907EB94C-92FB-4231-9659-52A27C06AC71}" name="Data Prevista de Recebimento" dataDxfId="5"/>
    <tableColumn id="6" xr3:uid="{5DD79667-C091-4FFD-A3C7-8D8CE00C5AE4}" name="Nº Parcela deste Mês" dataDxfId="4"/>
    <tableColumn id="7" xr3:uid="{D05B4F40-CC7D-4DE9-BE4D-D53CDFF57369}" name="Nº Total de Parcelas" dataDxfId="3"/>
    <tableColumn id="8" xr3:uid="{4A92AAB4-ADE4-43D6-A5EC-504175975E54}" name="Data Recebimento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.xml"/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.xml"/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.xml"/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FCEF0D-B4D2-4137-B13A-D56824AC1D90}">
  <sheetPr codeName="Planilha1">
    <tabColor theme="8" tint="-0.499984740745262"/>
  </sheetPr>
  <dimension ref="A1:V33"/>
  <sheetViews>
    <sheetView showGridLines="0" showRowColHeaders="0" tabSelected="1" workbookViewId="0"/>
  </sheetViews>
  <sheetFormatPr defaultColWidth="0" defaultRowHeight="15" zeroHeight="1" x14ac:dyDescent="0.25"/>
  <cols>
    <col min="1" max="22" width="8.85546875" customWidth="1"/>
    <col min="23" max="16384" width="8.85546875" hidden="1"/>
  </cols>
  <sheetData>
    <row r="1" customFormat="1" x14ac:dyDescent="0.25"/>
    <row r="2" customFormat="1" x14ac:dyDescent="0.25"/>
    <row r="3" customFormat="1" x14ac:dyDescent="0.25"/>
    <row r="4" ht="1.9" customHeight="1" x14ac:dyDescent="0.25"/>
    <row r="5" s="1" customFormat="1" ht="4.9000000000000004" customHeight="1" x14ac:dyDescent="0.25"/>
    <row r="6" ht="3" customHeight="1" x14ac:dyDescent="0.25"/>
    <row r="7" s="1" customFormat="1" ht="4.9000000000000004" customHeight="1" x14ac:dyDescent="0.25"/>
    <row r="8" ht="1.9" customHeight="1" x14ac:dyDescent="0.25"/>
    <row r="9" x14ac:dyDescent="0.25"/>
    <row r="10" x14ac:dyDescent="0.25"/>
    <row r="11" x14ac:dyDescent="0.25"/>
    <row r="12" x14ac:dyDescent="0.25"/>
    <row r="13" x14ac:dyDescent="0.25"/>
    <row r="14" x14ac:dyDescent="0.25"/>
    <row r="15" x14ac:dyDescent="0.25"/>
    <row r="16" x14ac:dyDescent="0.25"/>
    <row r="17" spans="5:15" x14ac:dyDescent="0.25"/>
    <row r="18" spans="5:15" x14ac:dyDescent="0.25"/>
    <row r="19" spans="5:15" x14ac:dyDescent="0.25"/>
    <row r="20" spans="5:15" x14ac:dyDescent="0.25"/>
    <row r="21" spans="5:15" x14ac:dyDescent="0.25"/>
    <row r="22" spans="5:15" x14ac:dyDescent="0.25"/>
    <row r="23" spans="5:15" x14ac:dyDescent="0.25"/>
    <row r="24" spans="5:15" x14ac:dyDescent="0.25"/>
    <row r="25" spans="5:15" x14ac:dyDescent="0.25"/>
    <row r="26" spans="5:15" ht="21" x14ac:dyDescent="0.25">
      <c r="E26" s="88" t="s">
        <v>0</v>
      </c>
      <c r="F26" s="89"/>
      <c r="G26" s="90" t="s">
        <v>1</v>
      </c>
      <c r="H26" s="91"/>
      <c r="I26" s="91"/>
      <c r="J26" s="91"/>
      <c r="K26" s="91"/>
      <c r="L26" s="91"/>
      <c r="M26" s="91"/>
      <c r="N26" s="91"/>
      <c r="O26" s="92"/>
    </row>
    <row r="27" spans="5:15" x14ac:dyDescent="0.25"/>
    <row r="28" spans="5:15" x14ac:dyDescent="0.25"/>
    <row r="29" spans="5:15" x14ac:dyDescent="0.25"/>
    <row r="30" spans="5:15" x14ac:dyDescent="0.25"/>
    <row r="31" spans="5:15" x14ac:dyDescent="0.25"/>
    <row r="32" spans="5:15" x14ac:dyDescent="0.25"/>
    <row r="33" x14ac:dyDescent="0.25"/>
  </sheetData>
  <sheetProtection selectLockedCells="1"/>
  <mergeCells count="2">
    <mergeCell ref="E26:F26"/>
    <mergeCell ref="G26:O26"/>
  </mergeCells>
  <pageMargins left="0.511811024" right="0.511811024" top="0.78740157499999996" bottom="0.78740157499999996" header="0.31496062000000002" footer="0.31496062000000002"/>
  <headerFooter>
    <oddHeader>&amp;L&amp;"Calibri"&amp;12&amp;K008000 Documento Público&amp;1#_x000D_</oddHead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86A6BD-EE46-4549-98DB-D4F2DF13809D}">
  <sheetPr codeName="Planilha5">
    <tabColor theme="8" tint="-0.499984740745262"/>
    <pageSetUpPr fitToPage="1"/>
  </sheetPr>
  <dimension ref="A1:Q1000"/>
  <sheetViews>
    <sheetView showGridLines="0" showRowColHeaders="0" zoomScaleNormal="100" workbookViewId="0">
      <pane ySplit="12" topLeftCell="A13" activePane="bottomLeft" state="frozen"/>
      <selection activeCell="G26" sqref="G26:O26"/>
      <selection pane="bottomLeft"/>
    </sheetView>
  </sheetViews>
  <sheetFormatPr defaultColWidth="0" defaultRowHeight="14.45" customHeight="1" x14ac:dyDescent="0.25"/>
  <cols>
    <col min="1" max="1" width="1.7109375" customWidth="1"/>
    <col min="2" max="2" width="15.28515625" customWidth="1"/>
    <col min="3" max="3" width="35.85546875" customWidth="1"/>
    <col min="4" max="4" width="20.7109375" customWidth="1"/>
    <col min="5" max="5" width="42.28515625" customWidth="1"/>
    <col min="6" max="6" width="25.7109375" customWidth="1"/>
    <col min="7" max="7" width="12.28515625" bestFit="1" customWidth="1"/>
    <col min="8" max="8" width="12.28515625" customWidth="1"/>
    <col min="9" max="9" width="21.42578125" bestFit="1" customWidth="1"/>
    <col min="10" max="10" width="16.140625" customWidth="1"/>
    <col min="11" max="11" width="13" customWidth="1"/>
    <col min="12" max="12" width="11.28515625" customWidth="1"/>
    <col min="13" max="13" width="18.28515625" customWidth="1"/>
    <col min="14" max="14" width="5.7109375" customWidth="1"/>
    <col min="15" max="15" width="25" hidden="1" customWidth="1"/>
    <col min="16" max="16" width="6.7109375" hidden="1" customWidth="1"/>
    <col min="17" max="17" width="3.85546875" hidden="1" customWidth="1"/>
    <col min="18" max="16384" width="8.85546875" hidden="1"/>
  </cols>
  <sheetData>
    <row r="1" spans="2:13" ht="15" x14ac:dyDescent="0.25"/>
    <row r="2" spans="2:13" ht="15" x14ac:dyDescent="0.25"/>
    <row r="3" spans="2:13" ht="15" x14ac:dyDescent="0.25">
      <c r="G3" s="23" t="str">
        <f>IF(H10&gt;=6750,"ATENÇÃO: Você atingiu o limite de faturamento mensal de R$ 6.750,00",IF(H10&gt;=6000,"O limite de faturamento mensal de R$ 6.750,00 está quase sendo atingido.",""))</f>
        <v>O limite de faturamento mensal de R$ 6.750,00 está quase sendo atingido.</v>
      </c>
    </row>
    <row r="4" spans="2:13" ht="1.9" customHeight="1" x14ac:dyDescent="0.25"/>
    <row r="5" spans="2:13" s="1" customFormat="1" ht="4.9000000000000004" customHeight="1" x14ac:dyDescent="0.25"/>
    <row r="6" spans="2:13" ht="3" customHeight="1" x14ac:dyDescent="0.25"/>
    <row r="7" spans="2:13" s="1" customFormat="1" ht="4.9000000000000004" customHeight="1" x14ac:dyDescent="0.25"/>
    <row r="8" spans="2:13" ht="1.9" customHeight="1" x14ac:dyDescent="0.25"/>
    <row r="9" spans="2:13" ht="30" customHeight="1" x14ac:dyDescent="0.25"/>
    <row r="10" spans="2:13" ht="34.9" customHeight="1" x14ac:dyDescent="0.25">
      <c r="B10" s="4" t="s">
        <v>0</v>
      </c>
      <c r="C10" s="94" t="str">
        <f>Menu!G26</f>
        <v>Empresa ABCDE</v>
      </c>
      <c r="D10" s="95"/>
      <c r="E10" s="95"/>
      <c r="F10" s="96"/>
      <c r="G10" s="85"/>
      <c r="H10" s="93">
        <f>SUMIF(JAN[Status Nota Fiscal],"Ativa",JAN[Valor da Parcela a Receber])</f>
        <v>6250</v>
      </c>
      <c r="I10" s="93"/>
      <c r="J10" s="85"/>
    </row>
    <row r="11" spans="2:13" ht="4.9000000000000004" customHeight="1" x14ac:dyDescent="0.25"/>
    <row r="12" spans="2:13" ht="30" customHeight="1" x14ac:dyDescent="0.25">
      <c r="B12" s="5" t="s">
        <v>2</v>
      </c>
      <c r="C12" s="6" t="s">
        <v>3</v>
      </c>
      <c r="D12" s="6" t="s">
        <v>4</v>
      </c>
      <c r="E12" s="6" t="s">
        <v>5</v>
      </c>
      <c r="F12" s="7" t="s">
        <v>6</v>
      </c>
      <c r="G12" s="7" t="s">
        <v>7</v>
      </c>
      <c r="H12" s="7" t="s">
        <v>8</v>
      </c>
      <c r="I12" s="7" t="s">
        <v>9</v>
      </c>
      <c r="J12" s="7" t="s">
        <v>10</v>
      </c>
      <c r="K12" s="7" t="s">
        <v>11</v>
      </c>
      <c r="L12" s="7" t="s">
        <v>12</v>
      </c>
      <c r="M12" s="8" t="s">
        <v>13</v>
      </c>
    </row>
    <row r="13" spans="2:13" ht="14.45" customHeight="1" x14ac:dyDescent="0.25">
      <c r="B13" s="24">
        <v>43471</v>
      </c>
      <c r="C13" s="25" t="s">
        <v>14</v>
      </c>
      <c r="D13" s="25" t="s">
        <v>15</v>
      </c>
      <c r="E13" s="25" t="s">
        <v>16</v>
      </c>
      <c r="F13" s="26">
        <v>250</v>
      </c>
      <c r="G13" s="62">
        <v>123</v>
      </c>
      <c r="H13" s="62" t="s">
        <v>17</v>
      </c>
      <c r="I13" s="62"/>
      <c r="J13" s="27">
        <v>43840</v>
      </c>
      <c r="K13" s="28">
        <v>1</v>
      </c>
      <c r="L13" s="28">
        <v>1</v>
      </c>
      <c r="M13" s="29">
        <v>43840</v>
      </c>
    </row>
    <row r="14" spans="2:13" ht="14.45" customHeight="1" x14ac:dyDescent="0.25">
      <c r="B14" s="30">
        <v>43472</v>
      </c>
      <c r="C14" s="31" t="s">
        <v>18</v>
      </c>
      <c r="D14" s="31" t="s">
        <v>19</v>
      </c>
      <c r="E14" s="31" t="s">
        <v>20</v>
      </c>
      <c r="F14" s="32">
        <v>500</v>
      </c>
      <c r="G14" s="63">
        <v>456</v>
      </c>
      <c r="H14" s="63" t="s">
        <v>17</v>
      </c>
      <c r="I14" s="63"/>
      <c r="J14" s="33">
        <v>43837</v>
      </c>
      <c r="K14" s="34">
        <v>1</v>
      </c>
      <c r="L14" s="34">
        <v>1</v>
      </c>
      <c r="M14" s="35"/>
    </row>
    <row r="15" spans="2:13" ht="14.45" customHeight="1" x14ac:dyDescent="0.25">
      <c r="B15" s="36">
        <v>43473</v>
      </c>
      <c r="C15" s="14" t="s">
        <v>21</v>
      </c>
      <c r="D15" s="14" t="s">
        <v>22</v>
      </c>
      <c r="E15" s="18" t="s">
        <v>23</v>
      </c>
      <c r="F15" s="20">
        <v>5500</v>
      </c>
      <c r="G15" s="68">
        <v>789</v>
      </c>
      <c r="H15" s="68" t="s">
        <v>17</v>
      </c>
      <c r="I15" s="68"/>
      <c r="J15" s="37">
        <v>43838</v>
      </c>
      <c r="K15" s="38">
        <v>1</v>
      </c>
      <c r="L15" s="38">
        <v>1</v>
      </c>
      <c r="M15" s="36">
        <v>43838</v>
      </c>
    </row>
    <row r="16" spans="2:13" ht="14.45" customHeight="1" x14ac:dyDescent="0.25">
      <c r="B16" s="80"/>
      <c r="C16" s="80"/>
      <c r="D16" s="80"/>
      <c r="E16" s="80"/>
      <c r="F16" s="80"/>
      <c r="G16" s="68"/>
      <c r="H16" s="68"/>
      <c r="I16" s="68"/>
      <c r="J16" s="15"/>
      <c r="K16" s="38"/>
      <c r="L16" s="38"/>
      <c r="M16" s="17"/>
    </row>
    <row r="17" spans="2:13" ht="14.45" customHeight="1" x14ac:dyDescent="0.25">
      <c r="B17" s="17"/>
      <c r="C17" s="14"/>
      <c r="D17" s="14"/>
      <c r="E17" s="18"/>
      <c r="F17" s="20"/>
      <c r="G17" s="68"/>
      <c r="H17" s="68"/>
      <c r="I17" s="68"/>
      <c r="J17" s="15"/>
      <c r="K17" s="38"/>
      <c r="L17" s="38"/>
      <c r="M17" s="17"/>
    </row>
    <row r="18" spans="2:13" ht="14.45" customHeight="1" x14ac:dyDescent="0.25">
      <c r="B18" s="17"/>
      <c r="C18" s="14"/>
      <c r="D18" s="14"/>
      <c r="E18" s="18"/>
      <c r="F18" s="20"/>
      <c r="G18" s="68"/>
      <c r="H18" s="68"/>
      <c r="I18" s="68"/>
      <c r="J18" s="15"/>
      <c r="K18" s="38"/>
      <c r="L18" s="38"/>
      <c r="M18" s="17"/>
    </row>
    <row r="19" spans="2:13" ht="14.45" customHeight="1" x14ac:dyDescent="0.25">
      <c r="B19" s="17"/>
      <c r="C19" s="14"/>
      <c r="D19" s="14"/>
      <c r="E19" s="18"/>
      <c r="F19" s="20"/>
      <c r="G19" s="68"/>
      <c r="H19" s="68"/>
      <c r="I19" s="68"/>
      <c r="J19" s="15"/>
      <c r="K19" s="38"/>
      <c r="L19" s="38"/>
      <c r="M19" s="17"/>
    </row>
    <row r="20" spans="2:13" ht="14.45" customHeight="1" x14ac:dyDescent="0.25">
      <c r="B20" s="17"/>
      <c r="C20" s="14"/>
      <c r="D20" s="14"/>
      <c r="E20" s="18"/>
      <c r="F20" s="20"/>
      <c r="G20" s="68"/>
      <c r="H20" s="68"/>
      <c r="I20" s="68"/>
      <c r="J20" s="15"/>
      <c r="K20" s="38"/>
      <c r="L20" s="38"/>
      <c r="M20" s="17"/>
    </row>
    <row r="21" spans="2:13" ht="14.45" customHeight="1" x14ac:dyDescent="0.25">
      <c r="B21" s="17"/>
      <c r="C21" s="14"/>
      <c r="D21" s="14"/>
      <c r="E21" s="18"/>
      <c r="F21" s="20"/>
      <c r="G21" s="68"/>
      <c r="H21" s="68"/>
      <c r="I21" s="68"/>
      <c r="J21" s="15"/>
      <c r="K21" s="38"/>
      <c r="L21" s="38"/>
      <c r="M21" s="17"/>
    </row>
    <row r="22" spans="2:13" ht="14.45" customHeight="1" x14ac:dyDescent="0.25">
      <c r="B22" s="17"/>
      <c r="C22" s="14"/>
      <c r="D22" s="14"/>
      <c r="E22" s="18"/>
      <c r="F22" s="20"/>
      <c r="G22" s="68"/>
      <c r="H22" s="68"/>
      <c r="I22" s="68"/>
      <c r="J22" s="15"/>
      <c r="K22" s="38"/>
      <c r="L22" s="38"/>
      <c r="M22" s="17"/>
    </row>
    <row r="23" spans="2:13" ht="14.45" customHeight="1" x14ac:dyDescent="0.25">
      <c r="B23" s="17"/>
      <c r="C23" s="14"/>
      <c r="D23" s="14"/>
      <c r="E23" s="18"/>
      <c r="F23" s="20"/>
      <c r="G23" s="68"/>
      <c r="H23" s="68"/>
      <c r="I23" s="68"/>
      <c r="J23" s="15"/>
      <c r="K23" s="38"/>
      <c r="L23" s="38"/>
      <c r="M23" s="17"/>
    </row>
    <row r="24" spans="2:13" ht="14.45" customHeight="1" x14ac:dyDescent="0.25">
      <c r="B24" s="17"/>
      <c r="C24" s="14"/>
      <c r="D24" s="14"/>
      <c r="E24" s="18"/>
      <c r="F24" s="20"/>
      <c r="G24" s="68"/>
      <c r="H24" s="68"/>
      <c r="I24" s="68"/>
      <c r="J24" s="15"/>
      <c r="K24" s="38"/>
      <c r="L24" s="38"/>
      <c r="M24" s="17"/>
    </row>
    <row r="25" spans="2:13" ht="14.45" customHeight="1" x14ac:dyDescent="0.25">
      <c r="B25" s="17"/>
      <c r="C25" s="14"/>
      <c r="D25" s="14"/>
      <c r="E25" s="18"/>
      <c r="F25" s="20"/>
      <c r="G25" s="68"/>
      <c r="H25" s="68"/>
      <c r="I25" s="68"/>
      <c r="J25" s="15"/>
      <c r="K25" s="38"/>
      <c r="L25" s="38"/>
      <c r="M25" s="17"/>
    </row>
    <row r="26" spans="2:13" ht="14.45" customHeight="1" x14ac:dyDescent="0.25">
      <c r="B26" s="17"/>
      <c r="C26" s="14"/>
      <c r="D26" s="14"/>
      <c r="E26" s="18"/>
      <c r="F26" s="20"/>
      <c r="G26" s="68"/>
      <c r="H26" s="68"/>
      <c r="I26" s="68"/>
      <c r="J26" s="15"/>
      <c r="K26" s="38"/>
      <c r="L26" s="38"/>
      <c r="M26" s="17"/>
    </row>
    <row r="27" spans="2:13" ht="14.45" customHeight="1" x14ac:dyDescent="0.25">
      <c r="B27" s="17"/>
      <c r="C27" s="14"/>
      <c r="D27" s="14"/>
      <c r="E27" s="18"/>
      <c r="F27" s="20"/>
      <c r="G27" s="68"/>
      <c r="H27" s="68"/>
      <c r="I27" s="68"/>
      <c r="J27" s="15"/>
      <c r="K27" s="38"/>
      <c r="L27" s="38"/>
      <c r="M27" s="17"/>
    </row>
    <row r="28" spans="2:13" ht="14.45" customHeight="1" x14ac:dyDescent="0.25">
      <c r="B28" s="17"/>
      <c r="C28" s="14"/>
      <c r="D28" s="14"/>
      <c r="E28" s="18"/>
      <c r="F28" s="20"/>
      <c r="G28" s="68"/>
      <c r="H28" s="68"/>
      <c r="I28" s="68"/>
      <c r="J28" s="15"/>
      <c r="K28" s="38"/>
      <c r="L28" s="38"/>
      <c r="M28" s="17"/>
    </row>
    <row r="29" spans="2:13" ht="14.45" customHeight="1" x14ac:dyDescent="0.25">
      <c r="B29" s="17"/>
      <c r="C29" s="14"/>
      <c r="D29" s="14"/>
      <c r="E29" s="18"/>
      <c r="F29" s="20"/>
      <c r="G29" s="68"/>
      <c r="H29" s="68"/>
      <c r="I29" s="68"/>
      <c r="J29" s="15"/>
      <c r="K29" s="38"/>
      <c r="L29" s="38"/>
      <c r="M29" s="17"/>
    </row>
    <row r="30" spans="2:13" ht="14.45" customHeight="1" x14ac:dyDescent="0.25">
      <c r="B30" s="17"/>
      <c r="C30" s="14"/>
      <c r="D30" s="14"/>
      <c r="E30" s="18"/>
      <c r="F30" s="20"/>
      <c r="G30" s="68"/>
      <c r="H30" s="68"/>
      <c r="I30" s="68"/>
      <c r="J30" s="15"/>
      <c r="K30" s="38"/>
      <c r="L30" s="38"/>
      <c r="M30" s="17"/>
    </row>
    <row r="31" spans="2:13" ht="14.45" customHeight="1" x14ac:dyDescent="0.25">
      <c r="B31" s="17"/>
      <c r="C31" s="14"/>
      <c r="D31" s="14"/>
      <c r="E31" s="18"/>
      <c r="F31" s="20"/>
      <c r="G31" s="68"/>
      <c r="H31" s="68"/>
      <c r="I31" s="68"/>
      <c r="J31" s="15"/>
      <c r="K31" s="38"/>
      <c r="L31" s="38"/>
      <c r="M31" s="17"/>
    </row>
    <row r="32" spans="2:13" ht="14.45" customHeight="1" x14ac:dyDescent="0.25">
      <c r="B32" s="17"/>
      <c r="C32" s="14"/>
      <c r="D32" s="14"/>
      <c r="E32" s="18"/>
      <c r="F32" s="20"/>
      <c r="G32" s="68"/>
      <c r="H32" s="68"/>
      <c r="I32" s="68"/>
      <c r="J32" s="15"/>
      <c r="K32" s="38"/>
      <c r="L32" s="38"/>
      <c r="M32" s="17"/>
    </row>
    <row r="33" spans="2:13" ht="14.45" customHeight="1" x14ac:dyDescent="0.25">
      <c r="B33" s="17"/>
      <c r="C33" s="14"/>
      <c r="D33" s="14"/>
      <c r="E33" s="18"/>
      <c r="F33" s="20"/>
      <c r="G33" s="68"/>
      <c r="H33" s="68"/>
      <c r="I33" s="68"/>
      <c r="J33" s="15"/>
      <c r="K33" s="38"/>
      <c r="L33" s="38"/>
      <c r="M33" s="17"/>
    </row>
    <row r="34" spans="2:13" ht="14.45" customHeight="1" x14ac:dyDescent="0.25">
      <c r="B34" s="17"/>
      <c r="C34" s="14"/>
      <c r="D34" s="14"/>
      <c r="E34" s="18"/>
      <c r="F34" s="20"/>
      <c r="G34" s="68"/>
      <c r="H34" s="68"/>
      <c r="I34" s="68"/>
      <c r="J34" s="15"/>
      <c r="K34" s="38"/>
      <c r="L34" s="38"/>
      <c r="M34" s="17"/>
    </row>
    <row r="35" spans="2:13" ht="14.45" customHeight="1" x14ac:dyDescent="0.25">
      <c r="B35" s="39"/>
      <c r="C35" s="40"/>
      <c r="D35" s="40"/>
      <c r="E35" s="41"/>
      <c r="F35" s="42"/>
      <c r="G35" s="70"/>
      <c r="H35" s="70"/>
      <c r="I35" s="70"/>
      <c r="J35" s="43"/>
      <c r="K35" s="38"/>
      <c r="L35" s="38"/>
      <c r="M35" s="17"/>
    </row>
    <row r="36" spans="2:13" ht="14.45" customHeight="1" x14ac:dyDescent="0.25">
      <c r="B36" s="17"/>
      <c r="C36" s="14"/>
      <c r="D36" s="14"/>
      <c r="E36" s="18"/>
      <c r="F36" s="20"/>
      <c r="G36" s="68"/>
      <c r="H36" s="68"/>
      <c r="I36" s="68"/>
      <c r="J36" s="14"/>
      <c r="K36" s="38"/>
      <c r="L36" s="38"/>
      <c r="M36" s="17"/>
    </row>
    <row r="37" spans="2:13" ht="14.45" customHeight="1" x14ac:dyDescent="0.25">
      <c r="B37" s="39"/>
      <c r="C37" s="40"/>
      <c r="D37" s="40"/>
      <c r="E37" s="41"/>
      <c r="F37" s="42"/>
      <c r="G37" s="70"/>
      <c r="H37" s="70"/>
      <c r="I37" s="70"/>
      <c r="J37" s="40"/>
      <c r="K37" s="38"/>
      <c r="L37" s="38"/>
      <c r="M37" s="17"/>
    </row>
    <row r="38" spans="2:13" ht="14.45" customHeight="1" x14ac:dyDescent="0.25">
      <c r="B38" s="44"/>
      <c r="C38" s="45"/>
      <c r="D38" s="45"/>
      <c r="E38" s="46"/>
      <c r="F38" s="47"/>
      <c r="G38" s="77"/>
      <c r="H38" s="77"/>
      <c r="I38" s="77"/>
      <c r="J38" s="45"/>
      <c r="K38" s="38"/>
      <c r="L38" s="38"/>
      <c r="M38" s="17"/>
    </row>
    <row r="39" spans="2:13" ht="14.45" customHeight="1" x14ac:dyDescent="0.25">
      <c r="B39" s="39"/>
      <c r="C39" s="48"/>
      <c r="D39" s="48"/>
      <c r="E39" s="49"/>
      <c r="F39" s="50"/>
      <c r="G39" s="67"/>
      <c r="H39" s="67"/>
      <c r="I39" s="67"/>
      <c r="J39" s="51"/>
      <c r="K39" s="38"/>
      <c r="L39" s="38"/>
      <c r="M39" s="17"/>
    </row>
    <row r="40" spans="2:13" ht="14.45" customHeight="1" x14ac:dyDescent="0.25">
      <c r="B40" s="17"/>
      <c r="C40" s="14"/>
      <c r="D40" s="14"/>
      <c r="E40" s="19"/>
      <c r="F40" s="21"/>
      <c r="G40" s="68"/>
      <c r="H40" s="68"/>
      <c r="I40" s="68"/>
      <c r="J40" s="52"/>
      <c r="K40" s="38"/>
      <c r="L40" s="38"/>
      <c r="M40" s="17"/>
    </row>
    <row r="41" spans="2:13" ht="14.45" customHeight="1" x14ac:dyDescent="0.25">
      <c r="B41" s="17"/>
      <c r="C41" s="14"/>
      <c r="D41" s="14"/>
      <c r="E41" s="19"/>
      <c r="F41" s="21"/>
      <c r="G41" s="68"/>
      <c r="H41" s="68"/>
      <c r="I41" s="68"/>
      <c r="J41" s="52"/>
      <c r="K41" s="38"/>
      <c r="L41" s="38"/>
      <c r="M41" s="17"/>
    </row>
    <row r="42" spans="2:13" ht="14.45" customHeight="1" x14ac:dyDescent="0.25">
      <c r="B42" s="17"/>
      <c r="C42" s="14"/>
      <c r="D42" s="14"/>
      <c r="E42" s="19"/>
      <c r="F42" s="21"/>
      <c r="G42" s="68"/>
      <c r="H42" s="68"/>
      <c r="I42" s="68"/>
      <c r="J42" s="52"/>
      <c r="K42" s="38"/>
      <c r="L42" s="38"/>
      <c r="M42" s="17"/>
    </row>
    <row r="43" spans="2:13" ht="14.45" customHeight="1" x14ac:dyDescent="0.25">
      <c r="B43" s="17"/>
      <c r="C43" s="14"/>
      <c r="D43" s="14"/>
      <c r="E43" s="19"/>
      <c r="F43" s="21"/>
      <c r="G43" s="68"/>
      <c r="H43" s="68"/>
      <c r="I43" s="68"/>
      <c r="J43" s="52"/>
      <c r="K43" s="38"/>
      <c r="L43" s="38"/>
      <c r="M43" s="17"/>
    </row>
    <row r="44" spans="2:13" ht="14.45" customHeight="1" x14ac:dyDescent="0.25">
      <c r="B44" s="17"/>
      <c r="C44" s="14"/>
      <c r="D44" s="14"/>
      <c r="E44" s="19"/>
      <c r="F44" s="21"/>
      <c r="G44" s="68"/>
      <c r="H44" s="68"/>
      <c r="I44" s="68"/>
      <c r="J44" s="52"/>
      <c r="K44" s="38"/>
      <c r="L44" s="38"/>
      <c r="M44" s="17"/>
    </row>
    <row r="45" spans="2:13" ht="14.45" customHeight="1" x14ac:dyDescent="0.25">
      <c r="B45" s="17"/>
      <c r="C45" s="14"/>
      <c r="D45" s="14"/>
      <c r="E45" s="19"/>
      <c r="F45" s="21"/>
      <c r="G45" s="68"/>
      <c r="H45" s="68"/>
      <c r="I45" s="68"/>
      <c r="J45" s="52"/>
      <c r="K45" s="38"/>
      <c r="L45" s="38"/>
      <c r="M45" s="17"/>
    </row>
    <row r="46" spans="2:13" ht="14.45" customHeight="1" x14ac:dyDescent="0.25">
      <c r="B46" s="17"/>
      <c r="C46" s="14"/>
      <c r="D46" s="14"/>
      <c r="E46" s="19"/>
      <c r="F46" s="21"/>
      <c r="G46" s="68"/>
      <c r="H46" s="68"/>
      <c r="I46" s="68"/>
      <c r="J46" s="52"/>
      <c r="K46" s="38"/>
      <c r="L46" s="38"/>
      <c r="M46" s="17"/>
    </row>
    <row r="47" spans="2:13" ht="14.45" customHeight="1" x14ac:dyDescent="0.25">
      <c r="B47" s="17"/>
      <c r="C47" s="14"/>
      <c r="D47" s="14"/>
      <c r="E47" s="19"/>
      <c r="F47" s="21"/>
      <c r="G47" s="68"/>
      <c r="H47" s="68"/>
      <c r="I47" s="68"/>
      <c r="J47" s="52"/>
      <c r="K47" s="38"/>
      <c r="L47" s="38"/>
      <c r="M47" s="17"/>
    </row>
    <row r="48" spans="2:13" ht="14.45" customHeight="1" x14ac:dyDescent="0.25">
      <c r="B48" s="17"/>
      <c r="C48" s="14"/>
      <c r="D48" s="14"/>
      <c r="E48" s="19"/>
      <c r="F48" s="21"/>
      <c r="G48" s="68"/>
      <c r="H48" s="68"/>
      <c r="I48" s="68"/>
      <c r="J48" s="52"/>
      <c r="K48" s="38"/>
      <c r="L48" s="38"/>
      <c r="M48" s="17"/>
    </row>
    <row r="49" spans="2:13" ht="14.45" customHeight="1" x14ac:dyDescent="0.25">
      <c r="B49" s="17"/>
      <c r="C49" s="14"/>
      <c r="D49" s="14"/>
      <c r="E49" s="19"/>
      <c r="F49" s="21"/>
      <c r="G49" s="68"/>
      <c r="H49" s="68"/>
      <c r="I49" s="68"/>
      <c r="J49" s="52"/>
      <c r="K49" s="38"/>
      <c r="L49" s="38"/>
      <c r="M49" s="17"/>
    </row>
    <row r="50" spans="2:13" ht="14.45" customHeight="1" x14ac:dyDescent="0.25">
      <c r="B50" s="53"/>
      <c r="C50" s="40"/>
      <c r="D50" s="40"/>
      <c r="E50" s="54"/>
      <c r="F50" s="55"/>
      <c r="G50" s="78"/>
      <c r="H50" s="78"/>
      <c r="I50" s="78"/>
      <c r="J50" s="56"/>
      <c r="K50" s="38"/>
      <c r="L50" s="38"/>
      <c r="M50" s="17"/>
    </row>
    <row r="51" spans="2:13" ht="14.45" customHeight="1" x14ac:dyDescent="0.25">
      <c r="B51" s="44"/>
      <c r="C51" s="45"/>
      <c r="D51" s="45"/>
      <c r="E51" s="46"/>
      <c r="F51" s="47"/>
      <c r="G51" s="77"/>
      <c r="H51" s="77"/>
      <c r="I51" s="77"/>
      <c r="J51" s="45"/>
      <c r="K51" s="38"/>
      <c r="L51" s="38"/>
      <c r="M51" s="17"/>
    </row>
    <row r="52" spans="2:13" ht="14.45" customHeight="1" x14ac:dyDescent="0.25">
      <c r="B52" s="39"/>
      <c r="C52" s="48"/>
      <c r="D52" s="48"/>
      <c r="E52" s="49"/>
      <c r="F52" s="50"/>
      <c r="G52" s="67"/>
      <c r="H52" s="67"/>
      <c r="I52" s="67"/>
      <c r="J52" s="51"/>
      <c r="K52" s="38"/>
      <c r="L52" s="38"/>
      <c r="M52" s="17"/>
    </row>
    <row r="53" spans="2:13" ht="14.45" customHeight="1" x14ac:dyDescent="0.25">
      <c r="B53" s="17"/>
      <c r="C53" s="14"/>
      <c r="D53" s="14"/>
      <c r="E53" s="19"/>
      <c r="F53" s="21"/>
      <c r="G53" s="68"/>
      <c r="H53" s="68"/>
      <c r="I53" s="68"/>
      <c r="J53" s="52"/>
      <c r="K53" s="38"/>
      <c r="L53" s="38"/>
      <c r="M53" s="17"/>
    </row>
    <row r="54" spans="2:13" ht="14.45" customHeight="1" x14ac:dyDescent="0.25">
      <c r="B54" s="17"/>
      <c r="C54" s="14"/>
      <c r="D54" s="14"/>
      <c r="E54" s="19"/>
      <c r="F54" s="21"/>
      <c r="G54" s="68"/>
      <c r="H54" s="68"/>
      <c r="I54" s="68"/>
      <c r="J54" s="52"/>
      <c r="K54" s="38"/>
      <c r="L54" s="38"/>
      <c r="M54" s="17"/>
    </row>
    <row r="55" spans="2:13" ht="14.45" customHeight="1" x14ac:dyDescent="0.25">
      <c r="B55" s="17"/>
      <c r="C55" s="14"/>
      <c r="D55" s="14"/>
      <c r="E55" s="19"/>
      <c r="F55" s="21"/>
      <c r="G55" s="68"/>
      <c r="H55" s="68"/>
      <c r="I55" s="68"/>
      <c r="J55" s="52"/>
      <c r="K55" s="38"/>
      <c r="L55" s="38"/>
      <c r="M55" s="17"/>
    </row>
    <row r="56" spans="2:13" ht="14.45" customHeight="1" x14ac:dyDescent="0.25">
      <c r="B56" s="17"/>
      <c r="C56" s="14"/>
      <c r="D56" s="14"/>
      <c r="E56" s="19"/>
      <c r="F56" s="21"/>
      <c r="G56" s="68"/>
      <c r="H56" s="68"/>
      <c r="I56" s="68"/>
      <c r="J56" s="52"/>
      <c r="K56" s="38"/>
      <c r="L56" s="38"/>
      <c r="M56" s="17"/>
    </row>
    <row r="57" spans="2:13" ht="14.45" customHeight="1" x14ac:dyDescent="0.25">
      <c r="B57" s="17"/>
      <c r="C57" s="14"/>
      <c r="D57" s="14"/>
      <c r="E57" s="19"/>
      <c r="F57" s="21"/>
      <c r="G57" s="68"/>
      <c r="H57" s="68"/>
      <c r="I57" s="68"/>
      <c r="J57" s="52"/>
      <c r="K57" s="38"/>
      <c r="L57" s="38"/>
      <c r="M57" s="17"/>
    </row>
    <row r="58" spans="2:13" ht="14.45" customHeight="1" x14ac:dyDescent="0.25">
      <c r="B58" s="17"/>
      <c r="C58" s="14"/>
      <c r="D58" s="14"/>
      <c r="E58" s="19"/>
      <c r="F58" s="21"/>
      <c r="G58" s="68"/>
      <c r="H58" s="68"/>
      <c r="I58" s="68"/>
      <c r="J58" s="52"/>
      <c r="K58" s="38"/>
      <c r="L58" s="38"/>
      <c r="M58" s="17"/>
    </row>
    <row r="59" spans="2:13" ht="14.45" customHeight="1" x14ac:dyDescent="0.25">
      <c r="B59" s="17"/>
      <c r="C59" s="14"/>
      <c r="D59" s="14"/>
      <c r="E59" s="19"/>
      <c r="F59" s="21"/>
      <c r="G59" s="68"/>
      <c r="H59" s="68"/>
      <c r="I59" s="68"/>
      <c r="J59" s="52"/>
      <c r="K59" s="38"/>
      <c r="L59" s="38"/>
      <c r="M59" s="17"/>
    </row>
    <row r="60" spans="2:13" ht="14.45" customHeight="1" x14ac:dyDescent="0.25">
      <c r="B60" s="17"/>
      <c r="C60" s="14"/>
      <c r="D60" s="14"/>
      <c r="E60" s="19"/>
      <c r="F60" s="21"/>
      <c r="G60" s="68"/>
      <c r="H60" s="68"/>
      <c r="I60" s="68"/>
      <c r="J60" s="52"/>
      <c r="K60" s="38"/>
      <c r="L60" s="38"/>
      <c r="M60" s="17"/>
    </row>
    <row r="61" spans="2:13" ht="14.45" customHeight="1" x14ac:dyDescent="0.25">
      <c r="B61" s="17"/>
      <c r="C61" s="14"/>
      <c r="D61" s="14"/>
      <c r="E61" s="19"/>
      <c r="F61" s="21"/>
      <c r="G61" s="68"/>
      <c r="H61" s="68"/>
      <c r="I61" s="68"/>
      <c r="J61" s="52"/>
      <c r="K61" s="38"/>
      <c r="L61" s="38"/>
      <c r="M61" s="17"/>
    </row>
    <row r="62" spans="2:13" ht="14.45" customHeight="1" x14ac:dyDescent="0.25">
      <c r="B62" s="17"/>
      <c r="C62" s="14"/>
      <c r="D62" s="14"/>
      <c r="E62" s="19"/>
      <c r="F62" s="21"/>
      <c r="G62" s="68"/>
      <c r="H62" s="68"/>
      <c r="I62" s="68"/>
      <c r="J62" s="52"/>
      <c r="K62" s="38"/>
      <c r="L62" s="38"/>
      <c r="M62" s="17"/>
    </row>
    <row r="63" spans="2:13" ht="14.45" customHeight="1" x14ac:dyDescent="0.25">
      <c r="B63" s="53"/>
      <c r="C63" s="40"/>
      <c r="D63" s="40"/>
      <c r="E63" s="54"/>
      <c r="F63" s="55"/>
      <c r="G63" s="78"/>
      <c r="H63" s="78"/>
      <c r="I63" s="78"/>
      <c r="J63" s="56"/>
      <c r="K63" s="38"/>
      <c r="L63" s="38"/>
      <c r="M63" s="17"/>
    </row>
    <row r="64" spans="2:13" ht="14.45" customHeight="1" x14ac:dyDescent="0.25">
      <c r="B64" s="44"/>
      <c r="C64" s="45"/>
      <c r="D64" s="45"/>
      <c r="E64" s="46"/>
      <c r="F64" s="47"/>
      <c r="G64" s="77"/>
      <c r="H64" s="77"/>
      <c r="I64" s="77"/>
      <c r="J64" s="45"/>
      <c r="K64" s="38"/>
      <c r="L64" s="38"/>
      <c r="M64" s="17"/>
    </row>
    <row r="65" spans="2:13" ht="14.45" customHeight="1" x14ac:dyDescent="0.25">
      <c r="B65" s="53"/>
      <c r="C65" s="40"/>
      <c r="D65" s="40"/>
      <c r="E65" s="41"/>
      <c r="F65" s="57"/>
      <c r="G65" s="70"/>
      <c r="H65" s="70"/>
      <c r="I65" s="70"/>
      <c r="J65" s="16"/>
      <c r="K65" s="38"/>
      <c r="L65" s="38"/>
      <c r="M65" s="17"/>
    </row>
    <row r="66" spans="2:13" ht="14.45" customHeight="1" x14ac:dyDescent="0.25">
      <c r="B66" s="44"/>
      <c r="C66" s="45"/>
      <c r="D66" s="45"/>
      <c r="E66" s="46"/>
      <c r="F66" s="47"/>
      <c r="G66" s="77"/>
      <c r="H66" s="77"/>
      <c r="I66" s="77"/>
      <c r="J66" s="45"/>
      <c r="K66" s="38"/>
      <c r="L66" s="38"/>
      <c r="M66" s="17"/>
    </row>
    <row r="67" spans="2:13" ht="14.45" customHeight="1" x14ac:dyDescent="0.25">
      <c r="B67" s="39"/>
      <c r="C67" s="48"/>
      <c r="D67" s="48"/>
      <c r="E67" s="49"/>
      <c r="F67" s="57"/>
      <c r="G67" s="70"/>
      <c r="H67" s="70"/>
      <c r="I67" s="70"/>
      <c r="J67" s="58"/>
      <c r="K67" s="38"/>
      <c r="L67" s="38"/>
      <c r="M67" s="17"/>
    </row>
    <row r="68" spans="2:13" ht="14.45" customHeight="1" x14ac:dyDescent="0.25">
      <c r="B68" s="44"/>
      <c r="C68" s="45"/>
      <c r="D68" s="45"/>
      <c r="E68" s="46"/>
      <c r="F68" s="47"/>
      <c r="G68" s="77"/>
      <c r="H68" s="77"/>
      <c r="I68" s="77"/>
      <c r="J68" s="45"/>
      <c r="K68" s="38"/>
      <c r="L68" s="38"/>
      <c r="M68" s="17"/>
    </row>
    <row r="69" spans="2:13" ht="14.45" customHeight="1" x14ac:dyDescent="0.25">
      <c r="B69" s="53"/>
      <c r="C69" s="40"/>
      <c r="D69" s="40"/>
      <c r="E69" s="41"/>
      <c r="F69" s="42"/>
      <c r="G69" s="70"/>
      <c r="H69" s="70"/>
      <c r="I69" s="70"/>
      <c r="J69" s="40"/>
      <c r="K69" s="38"/>
      <c r="L69" s="38"/>
      <c r="M69" s="17"/>
    </row>
    <row r="70" spans="2:13" ht="14.45" customHeight="1" x14ac:dyDescent="0.25">
      <c r="B70" s="53"/>
      <c r="C70" s="40"/>
      <c r="D70" s="40"/>
      <c r="E70" s="41"/>
      <c r="F70" s="42"/>
      <c r="G70" s="70"/>
      <c r="H70" s="70"/>
      <c r="I70" s="70"/>
      <c r="J70" s="59"/>
      <c r="K70" s="38"/>
      <c r="L70" s="38"/>
      <c r="M70" s="17"/>
    </row>
    <row r="71" spans="2:13" ht="14.45" customHeight="1" x14ac:dyDescent="0.25">
      <c r="B71" s="17"/>
      <c r="C71" s="14"/>
      <c r="D71" s="14"/>
      <c r="E71" s="18"/>
      <c r="F71" s="22"/>
      <c r="G71" s="68"/>
      <c r="H71" s="68"/>
      <c r="I71" s="68"/>
      <c r="J71" s="15"/>
      <c r="K71" s="38"/>
      <c r="L71" s="38"/>
      <c r="M71" s="17"/>
    </row>
    <row r="72" spans="2:13" ht="14.45" customHeight="1" x14ac:dyDescent="0.25">
      <c r="B72" s="17"/>
      <c r="C72" s="14"/>
      <c r="D72" s="14"/>
      <c r="E72" s="18"/>
      <c r="F72" s="22"/>
      <c r="G72" s="68"/>
      <c r="H72" s="68"/>
      <c r="I72" s="68"/>
      <c r="J72" s="15"/>
      <c r="K72" s="38"/>
      <c r="L72" s="38"/>
      <c r="M72" s="17"/>
    </row>
    <row r="73" spans="2:13" ht="14.45" customHeight="1" x14ac:dyDescent="0.25">
      <c r="B73" s="17"/>
      <c r="C73" s="14"/>
      <c r="D73" s="14"/>
      <c r="E73" s="18"/>
      <c r="F73" s="22"/>
      <c r="G73" s="68"/>
      <c r="H73" s="68"/>
      <c r="I73" s="68"/>
      <c r="J73" s="15"/>
      <c r="K73" s="38"/>
      <c r="L73" s="38"/>
      <c r="M73" s="17"/>
    </row>
    <row r="74" spans="2:13" ht="14.45" customHeight="1" x14ac:dyDescent="0.25">
      <c r="B74" s="17"/>
      <c r="C74" s="14"/>
      <c r="D74" s="14"/>
      <c r="E74" s="18"/>
      <c r="F74" s="22"/>
      <c r="G74" s="68"/>
      <c r="H74" s="68"/>
      <c r="I74" s="68"/>
      <c r="J74" s="15"/>
      <c r="K74" s="38"/>
      <c r="L74" s="38"/>
      <c r="M74" s="17"/>
    </row>
    <row r="75" spans="2:13" ht="14.45" customHeight="1" x14ac:dyDescent="0.25">
      <c r="B75" s="17"/>
      <c r="C75" s="14"/>
      <c r="D75" s="14"/>
      <c r="E75" s="18"/>
      <c r="F75" s="22"/>
      <c r="G75" s="68"/>
      <c r="H75" s="68"/>
      <c r="I75" s="68"/>
      <c r="J75" s="15"/>
      <c r="K75" s="38"/>
      <c r="L75" s="38"/>
      <c r="M75" s="17"/>
    </row>
    <row r="76" spans="2:13" ht="14.45" customHeight="1" x14ac:dyDescent="0.25">
      <c r="B76" s="17"/>
      <c r="C76" s="14"/>
      <c r="D76" s="14"/>
      <c r="E76" s="18"/>
      <c r="F76" s="22"/>
      <c r="G76" s="68"/>
      <c r="H76" s="68"/>
      <c r="I76" s="68"/>
      <c r="J76" s="15"/>
      <c r="K76" s="38"/>
      <c r="L76" s="38"/>
      <c r="M76" s="17"/>
    </row>
    <row r="77" spans="2:13" ht="14.45" customHeight="1" x14ac:dyDescent="0.25">
      <c r="B77" s="17"/>
      <c r="C77" s="14"/>
      <c r="D77" s="14"/>
      <c r="E77" s="18"/>
      <c r="F77" s="22"/>
      <c r="G77" s="68"/>
      <c r="H77" s="68"/>
      <c r="I77" s="68"/>
      <c r="J77" s="15"/>
      <c r="K77" s="38"/>
      <c r="L77" s="38"/>
      <c r="M77" s="17"/>
    </row>
    <row r="78" spans="2:13" ht="14.45" customHeight="1" x14ac:dyDescent="0.25">
      <c r="B78" s="17"/>
      <c r="C78" s="14"/>
      <c r="D78" s="14"/>
      <c r="E78" s="18"/>
      <c r="F78" s="22"/>
      <c r="G78" s="68"/>
      <c r="H78" s="68"/>
      <c r="I78" s="68"/>
      <c r="J78" s="15"/>
      <c r="K78" s="38"/>
      <c r="L78" s="38"/>
      <c r="M78" s="17"/>
    </row>
    <row r="79" spans="2:13" ht="14.45" customHeight="1" x14ac:dyDescent="0.25">
      <c r="B79" s="17"/>
      <c r="C79" s="14"/>
      <c r="D79" s="14"/>
      <c r="E79" s="18"/>
      <c r="F79" s="22"/>
      <c r="G79" s="68"/>
      <c r="H79" s="68"/>
      <c r="I79" s="68"/>
      <c r="J79" s="15"/>
      <c r="K79" s="38"/>
      <c r="L79" s="38"/>
      <c r="M79" s="17"/>
    </row>
    <row r="80" spans="2:13" ht="14.45" customHeight="1" x14ac:dyDescent="0.25">
      <c r="B80" s="17"/>
      <c r="C80" s="14"/>
      <c r="D80" s="14"/>
      <c r="E80" s="18"/>
      <c r="F80" s="22"/>
      <c r="G80" s="68"/>
      <c r="H80" s="68"/>
      <c r="I80" s="68"/>
      <c r="J80" s="15"/>
      <c r="K80" s="38"/>
      <c r="L80" s="38"/>
      <c r="M80" s="17"/>
    </row>
    <row r="81" spans="2:13" ht="14.45" customHeight="1" x14ac:dyDescent="0.25">
      <c r="B81" s="53"/>
      <c r="C81" s="40"/>
      <c r="D81" s="40"/>
      <c r="E81" s="41"/>
      <c r="F81" s="42"/>
      <c r="G81" s="70"/>
      <c r="H81" s="70"/>
      <c r="I81" s="70"/>
      <c r="J81" s="43"/>
      <c r="K81" s="38"/>
      <c r="L81" s="38"/>
      <c r="M81" s="17"/>
    </row>
    <row r="82" spans="2:13" ht="14.45" customHeight="1" x14ac:dyDescent="0.25">
      <c r="B82" s="53"/>
      <c r="C82" s="40"/>
      <c r="D82" s="40"/>
      <c r="E82" s="41"/>
      <c r="F82" s="42"/>
      <c r="G82" s="70"/>
      <c r="H82" s="70"/>
      <c r="I82" s="70"/>
      <c r="J82" s="43"/>
      <c r="K82" s="38"/>
      <c r="L82" s="38"/>
      <c r="M82" s="17"/>
    </row>
    <row r="83" spans="2:13" ht="14.45" customHeight="1" x14ac:dyDescent="0.25">
      <c r="B83" s="44"/>
      <c r="C83" s="45"/>
      <c r="D83" s="45"/>
      <c r="E83" s="46"/>
      <c r="F83" s="47"/>
      <c r="G83" s="77"/>
      <c r="H83" s="77"/>
      <c r="I83" s="77"/>
      <c r="J83" s="45"/>
      <c r="K83" s="38"/>
      <c r="L83" s="38"/>
      <c r="M83" s="17"/>
    </row>
    <row r="84" spans="2:13" ht="14.45" customHeight="1" x14ac:dyDescent="0.25">
      <c r="B84" s="39"/>
      <c r="C84" s="48"/>
      <c r="D84" s="48"/>
      <c r="E84" s="49"/>
      <c r="F84" s="60"/>
      <c r="G84" s="67"/>
      <c r="H84" s="67"/>
      <c r="I84" s="67"/>
      <c r="J84" s="43"/>
      <c r="K84" s="38"/>
      <c r="L84" s="38"/>
      <c r="M84" s="17"/>
    </row>
    <row r="85" spans="2:13" ht="14.45" customHeight="1" x14ac:dyDescent="0.25">
      <c r="B85" s="17"/>
      <c r="C85" s="14"/>
      <c r="D85" s="14"/>
      <c r="E85" s="18"/>
      <c r="F85" s="20"/>
      <c r="G85" s="68"/>
      <c r="H85" s="68"/>
      <c r="I85" s="68"/>
      <c r="J85" s="14"/>
      <c r="K85" s="38"/>
      <c r="L85" s="38"/>
      <c r="M85" s="17"/>
    </row>
    <row r="86" spans="2:13" ht="14.45" customHeight="1" x14ac:dyDescent="0.25">
      <c r="B86" s="39"/>
      <c r="C86" s="40"/>
      <c r="D86" s="40"/>
      <c r="E86" s="41"/>
      <c r="F86" s="42"/>
      <c r="G86" s="70"/>
      <c r="H86" s="70"/>
      <c r="I86" s="70"/>
      <c r="J86" s="40"/>
      <c r="K86" s="38"/>
      <c r="L86" s="38"/>
      <c r="M86" s="17"/>
    </row>
    <row r="87" spans="2:13" ht="14.45" customHeight="1" x14ac:dyDescent="0.25">
      <c r="B87" s="53"/>
      <c r="C87" s="40"/>
      <c r="D87" s="40"/>
      <c r="E87" s="41"/>
      <c r="F87" s="42"/>
      <c r="G87" s="70"/>
      <c r="H87" s="70"/>
      <c r="I87" s="70"/>
      <c r="J87" s="43"/>
      <c r="K87" s="38"/>
      <c r="L87" s="38"/>
      <c r="M87" s="17"/>
    </row>
    <row r="88" spans="2:13" ht="14.45" customHeight="1" x14ac:dyDescent="0.25">
      <c r="B88" s="17"/>
      <c r="C88" s="14"/>
      <c r="D88" s="14"/>
      <c r="E88" s="18"/>
      <c r="F88" s="61"/>
      <c r="G88" s="79"/>
      <c r="H88" s="79"/>
      <c r="I88" s="79"/>
      <c r="J88" s="14"/>
      <c r="K88" s="38"/>
      <c r="L88" s="38"/>
      <c r="M88" s="17"/>
    </row>
    <row r="89" spans="2:13" ht="14.45" customHeight="1" x14ac:dyDescent="0.25">
      <c r="B89" s="17"/>
      <c r="C89" s="14"/>
      <c r="D89" s="14"/>
      <c r="E89" s="18"/>
      <c r="F89" s="61"/>
      <c r="G89" s="79"/>
      <c r="H89" s="79"/>
      <c r="I89" s="79"/>
      <c r="J89" s="14"/>
      <c r="K89" s="38"/>
      <c r="L89" s="38"/>
      <c r="M89" s="17"/>
    </row>
    <row r="90" spans="2:13" ht="14.45" customHeight="1" x14ac:dyDescent="0.25">
      <c r="B90" s="17"/>
      <c r="C90" s="14"/>
      <c r="D90" s="14"/>
      <c r="E90" s="18"/>
      <c r="F90" s="61"/>
      <c r="G90" s="79"/>
      <c r="H90" s="79"/>
      <c r="I90" s="79"/>
      <c r="J90" s="14"/>
      <c r="K90" s="38"/>
      <c r="L90" s="38"/>
      <c r="M90" s="17"/>
    </row>
    <row r="91" spans="2:13" ht="14.45" customHeight="1" x14ac:dyDescent="0.25">
      <c r="B91" s="17"/>
      <c r="C91" s="14"/>
      <c r="D91" s="14"/>
      <c r="E91" s="18"/>
      <c r="F91" s="61"/>
      <c r="G91" s="79"/>
      <c r="H91" s="79"/>
      <c r="I91" s="79"/>
      <c r="J91" s="14"/>
      <c r="K91" s="38"/>
      <c r="L91" s="38"/>
      <c r="M91" s="17"/>
    </row>
    <row r="92" spans="2:13" ht="14.45" customHeight="1" x14ac:dyDescent="0.25">
      <c r="B92" s="17"/>
      <c r="C92" s="14"/>
      <c r="D92" s="14"/>
      <c r="E92" s="18"/>
      <c r="F92" s="61"/>
      <c r="G92" s="79"/>
      <c r="H92" s="79"/>
      <c r="I92" s="79"/>
      <c r="J92" s="14"/>
      <c r="K92" s="38"/>
      <c r="L92" s="38"/>
      <c r="M92" s="17"/>
    </row>
    <row r="93" spans="2:13" ht="14.45" customHeight="1" x14ac:dyDescent="0.25">
      <c r="B93" s="17"/>
      <c r="C93" s="14"/>
      <c r="D93" s="14"/>
      <c r="E93" s="18"/>
      <c r="F93" s="61"/>
      <c r="G93" s="79"/>
      <c r="H93" s="79"/>
      <c r="I93" s="79"/>
      <c r="J93" s="14"/>
      <c r="K93" s="38"/>
      <c r="L93" s="38"/>
      <c r="M93" s="17"/>
    </row>
    <row r="94" spans="2:13" ht="14.45" customHeight="1" x14ac:dyDescent="0.25">
      <c r="B94" s="17"/>
      <c r="C94" s="14"/>
      <c r="D94" s="14"/>
      <c r="E94" s="18"/>
      <c r="F94" s="61"/>
      <c r="G94" s="79"/>
      <c r="H94" s="79"/>
      <c r="I94" s="79"/>
      <c r="J94" s="14"/>
      <c r="K94" s="38"/>
      <c r="L94" s="38"/>
      <c r="M94" s="17"/>
    </row>
    <row r="95" spans="2:13" ht="14.45" customHeight="1" x14ac:dyDescent="0.25">
      <c r="B95" s="17"/>
      <c r="C95" s="14"/>
      <c r="D95" s="14"/>
      <c r="E95" s="18"/>
      <c r="F95" s="61"/>
      <c r="G95" s="79"/>
      <c r="H95" s="79"/>
      <c r="I95" s="79"/>
      <c r="J95" s="14"/>
      <c r="K95" s="38"/>
      <c r="L95" s="38"/>
      <c r="M95" s="17"/>
    </row>
    <row r="96" spans="2:13" ht="14.45" customHeight="1" x14ac:dyDescent="0.25">
      <c r="B96" s="17"/>
      <c r="C96" s="14"/>
      <c r="D96" s="14"/>
      <c r="E96" s="18"/>
      <c r="F96" s="61"/>
      <c r="G96" s="79"/>
      <c r="H96" s="79"/>
      <c r="I96" s="79"/>
      <c r="J96" s="14"/>
      <c r="K96" s="38"/>
      <c r="L96" s="38"/>
      <c r="M96" s="17"/>
    </row>
    <row r="97" spans="2:13" ht="14.45" customHeight="1" x14ac:dyDescent="0.25">
      <c r="B97" s="17"/>
      <c r="C97" s="14"/>
      <c r="D97" s="14"/>
      <c r="E97" s="18"/>
      <c r="F97" s="61"/>
      <c r="G97" s="79"/>
      <c r="H97" s="79"/>
      <c r="I97" s="79"/>
      <c r="J97" s="14"/>
      <c r="K97" s="38"/>
      <c r="L97" s="38"/>
      <c r="M97" s="17"/>
    </row>
    <row r="98" spans="2:13" ht="14.45" customHeight="1" x14ac:dyDescent="0.25">
      <c r="B98" s="17"/>
      <c r="C98" s="14"/>
      <c r="D98" s="14"/>
      <c r="E98" s="18"/>
      <c r="F98" s="61"/>
      <c r="G98" s="79"/>
      <c r="H98" s="79"/>
      <c r="I98" s="79"/>
      <c r="J98" s="14"/>
      <c r="K98" s="38"/>
      <c r="L98" s="38"/>
      <c r="M98" s="17"/>
    </row>
    <row r="99" spans="2:13" ht="14.45" customHeight="1" x14ac:dyDescent="0.25">
      <c r="B99" s="17"/>
      <c r="C99" s="14"/>
      <c r="D99" s="14"/>
      <c r="E99" s="18"/>
      <c r="F99" s="61"/>
      <c r="G99" s="79"/>
      <c r="H99" s="79"/>
      <c r="I99" s="79"/>
      <c r="J99" s="14"/>
      <c r="K99" s="38"/>
      <c r="L99" s="38"/>
      <c r="M99" s="17"/>
    </row>
    <row r="100" spans="2:13" ht="14.45" customHeight="1" x14ac:dyDescent="0.25">
      <c r="B100" s="17"/>
      <c r="C100" s="14"/>
      <c r="D100" s="14"/>
      <c r="E100" s="18"/>
      <c r="F100" s="61"/>
      <c r="G100" s="79"/>
      <c r="H100" s="79"/>
      <c r="I100" s="79"/>
      <c r="J100" s="14"/>
      <c r="K100" s="38"/>
      <c r="L100" s="38"/>
      <c r="M100" s="17"/>
    </row>
    <row r="101" spans="2:13" ht="14.45" customHeight="1" x14ac:dyDescent="0.25">
      <c r="B101" s="17"/>
      <c r="C101" s="14"/>
      <c r="D101" s="14"/>
      <c r="E101" s="18"/>
      <c r="F101" s="61"/>
      <c r="G101" s="79"/>
      <c r="H101" s="79"/>
      <c r="I101" s="79"/>
      <c r="J101" s="14"/>
      <c r="K101" s="38"/>
      <c r="L101" s="38"/>
      <c r="M101" s="17"/>
    </row>
    <row r="102" spans="2:13" ht="14.45" customHeight="1" x14ac:dyDescent="0.25">
      <c r="B102" s="17"/>
      <c r="C102" s="14"/>
      <c r="D102" s="14"/>
      <c r="E102" s="18"/>
      <c r="F102" s="61"/>
      <c r="G102" s="79"/>
      <c r="H102" s="79"/>
      <c r="I102" s="79"/>
      <c r="J102" s="14"/>
      <c r="K102" s="38"/>
      <c r="L102" s="38"/>
      <c r="M102" s="17"/>
    </row>
    <row r="103" spans="2:13" ht="14.45" customHeight="1" x14ac:dyDescent="0.25">
      <c r="B103" s="17"/>
      <c r="C103" s="14"/>
      <c r="D103" s="14"/>
      <c r="E103" s="18"/>
      <c r="F103" s="61"/>
      <c r="G103" s="79"/>
      <c r="H103" s="79"/>
      <c r="I103" s="79"/>
      <c r="J103" s="14"/>
      <c r="K103" s="38"/>
      <c r="L103" s="38"/>
      <c r="M103" s="17"/>
    </row>
    <row r="104" spans="2:13" ht="14.45" customHeight="1" x14ac:dyDescent="0.25">
      <c r="B104" s="17"/>
      <c r="C104" s="14"/>
      <c r="D104" s="14"/>
      <c r="E104" s="18"/>
      <c r="F104" s="61"/>
      <c r="G104" s="79"/>
      <c r="H104" s="79"/>
      <c r="I104" s="79"/>
      <c r="J104" s="14"/>
      <c r="K104" s="38"/>
      <c r="L104" s="38"/>
      <c r="M104" s="17"/>
    </row>
    <row r="105" spans="2:13" ht="14.45" customHeight="1" x14ac:dyDescent="0.25">
      <c r="B105" s="17"/>
      <c r="C105" s="14"/>
      <c r="D105" s="14"/>
      <c r="E105" s="18"/>
      <c r="F105" s="61"/>
      <c r="G105" s="79"/>
      <c r="H105" s="79"/>
      <c r="I105" s="79"/>
      <c r="J105" s="14"/>
      <c r="K105" s="38"/>
      <c r="L105" s="38"/>
      <c r="M105" s="17"/>
    </row>
    <row r="106" spans="2:13" ht="14.45" customHeight="1" x14ac:dyDescent="0.25">
      <c r="B106" s="17"/>
      <c r="C106" s="14"/>
      <c r="D106" s="14"/>
      <c r="E106" s="18"/>
      <c r="F106" s="61"/>
      <c r="G106" s="79"/>
      <c r="H106" s="79"/>
      <c r="I106" s="79"/>
      <c r="J106" s="14"/>
      <c r="K106" s="38"/>
      <c r="L106" s="38"/>
      <c r="M106" s="17"/>
    </row>
    <row r="107" spans="2:13" ht="14.45" customHeight="1" x14ac:dyDescent="0.25">
      <c r="B107" s="17"/>
      <c r="C107" s="14"/>
      <c r="D107" s="14"/>
      <c r="E107" s="18"/>
      <c r="F107" s="61"/>
      <c r="G107" s="79"/>
      <c r="H107" s="79"/>
      <c r="I107" s="79"/>
      <c r="J107" s="14"/>
      <c r="K107" s="38"/>
      <c r="L107" s="38"/>
      <c r="M107" s="17"/>
    </row>
    <row r="108" spans="2:13" ht="14.45" customHeight="1" x14ac:dyDescent="0.25">
      <c r="B108" s="17"/>
      <c r="C108" s="14"/>
      <c r="D108" s="14"/>
      <c r="E108" s="18"/>
      <c r="F108" s="61"/>
      <c r="G108" s="79"/>
      <c r="H108" s="79"/>
      <c r="I108" s="79"/>
      <c r="J108" s="14"/>
      <c r="K108" s="38"/>
      <c r="L108" s="38"/>
      <c r="M108" s="17"/>
    </row>
    <row r="109" spans="2:13" ht="14.45" customHeight="1" x14ac:dyDescent="0.25">
      <c r="B109" s="17"/>
      <c r="C109" s="14"/>
      <c r="D109" s="14"/>
      <c r="E109" s="18"/>
      <c r="F109" s="61"/>
      <c r="G109" s="79"/>
      <c r="H109" s="79"/>
      <c r="I109" s="79"/>
      <c r="J109" s="14"/>
      <c r="K109" s="38"/>
      <c r="L109" s="38"/>
      <c r="M109" s="17"/>
    </row>
    <row r="110" spans="2:13" ht="14.45" customHeight="1" x14ac:dyDescent="0.25">
      <c r="B110" s="17"/>
      <c r="C110" s="14"/>
      <c r="D110" s="14"/>
      <c r="E110" s="18"/>
      <c r="F110" s="61"/>
      <c r="G110" s="79"/>
      <c r="H110" s="79"/>
      <c r="I110" s="79"/>
      <c r="J110" s="14"/>
      <c r="K110" s="38"/>
      <c r="L110" s="38"/>
      <c r="M110" s="17"/>
    </row>
    <row r="111" spans="2:13" ht="14.45" customHeight="1" x14ac:dyDescent="0.25">
      <c r="B111" s="17"/>
      <c r="C111" s="14"/>
      <c r="D111" s="14"/>
      <c r="E111" s="18"/>
      <c r="F111" s="61"/>
      <c r="G111" s="79"/>
      <c r="H111" s="79"/>
      <c r="I111" s="79"/>
      <c r="J111" s="14"/>
      <c r="K111" s="38"/>
      <c r="L111" s="38"/>
      <c r="M111" s="17"/>
    </row>
    <row r="112" spans="2:13" ht="14.45" customHeight="1" x14ac:dyDescent="0.25">
      <c r="B112" s="17"/>
      <c r="C112" s="14"/>
      <c r="D112" s="14"/>
      <c r="E112" s="18"/>
      <c r="F112" s="61"/>
      <c r="G112" s="79"/>
      <c r="H112" s="79"/>
      <c r="I112" s="79"/>
      <c r="J112" s="14"/>
      <c r="K112" s="38"/>
      <c r="L112" s="38"/>
      <c r="M112" s="17"/>
    </row>
    <row r="113" spans="2:13" ht="14.45" customHeight="1" x14ac:dyDescent="0.25">
      <c r="B113" s="17"/>
      <c r="C113" s="14"/>
      <c r="D113" s="14"/>
      <c r="E113" s="18"/>
      <c r="F113" s="61"/>
      <c r="G113" s="79"/>
      <c r="H113" s="79"/>
      <c r="I113" s="79"/>
      <c r="J113" s="14"/>
      <c r="K113" s="38"/>
      <c r="L113" s="38"/>
      <c r="M113" s="17"/>
    </row>
    <row r="114" spans="2:13" ht="14.45" customHeight="1" x14ac:dyDescent="0.25">
      <c r="B114" s="17"/>
      <c r="C114" s="14"/>
      <c r="D114" s="14"/>
      <c r="E114" s="18"/>
      <c r="F114" s="61"/>
      <c r="G114" s="79"/>
      <c r="H114" s="79"/>
      <c r="I114" s="79"/>
      <c r="J114" s="14"/>
      <c r="K114" s="38"/>
      <c r="L114" s="38"/>
      <c r="M114" s="17"/>
    </row>
    <row r="115" spans="2:13" ht="14.45" customHeight="1" x14ac:dyDescent="0.25">
      <c r="B115" s="17"/>
      <c r="C115" s="14"/>
      <c r="D115" s="14"/>
      <c r="E115" s="18"/>
      <c r="F115" s="61"/>
      <c r="G115" s="79"/>
      <c r="H115" s="79"/>
      <c r="I115" s="79"/>
      <c r="J115" s="14"/>
      <c r="K115" s="38"/>
      <c r="L115" s="38"/>
      <c r="M115" s="17"/>
    </row>
    <row r="116" spans="2:13" ht="14.45" customHeight="1" x14ac:dyDescent="0.25">
      <c r="B116" s="17"/>
      <c r="C116" s="14"/>
      <c r="D116" s="14"/>
      <c r="E116" s="18"/>
      <c r="F116" s="61"/>
      <c r="G116" s="79"/>
      <c r="H116" s="79"/>
      <c r="I116" s="79"/>
      <c r="J116" s="14"/>
      <c r="K116" s="38"/>
      <c r="L116" s="38"/>
      <c r="M116" s="17"/>
    </row>
    <row r="117" spans="2:13" ht="14.45" customHeight="1" x14ac:dyDescent="0.25">
      <c r="B117" s="17"/>
      <c r="C117" s="14"/>
      <c r="D117" s="14"/>
      <c r="E117" s="18"/>
      <c r="F117" s="61"/>
      <c r="G117" s="79"/>
      <c r="H117" s="79"/>
      <c r="I117" s="79"/>
      <c r="J117" s="14"/>
      <c r="K117" s="38"/>
      <c r="L117" s="38"/>
      <c r="M117" s="17"/>
    </row>
    <row r="118" spans="2:13" ht="14.45" customHeight="1" x14ac:dyDescent="0.25">
      <c r="B118" s="17"/>
      <c r="C118" s="14"/>
      <c r="D118" s="14"/>
      <c r="E118" s="18"/>
      <c r="F118" s="61"/>
      <c r="G118" s="79"/>
      <c r="H118" s="79"/>
      <c r="I118" s="79"/>
      <c r="J118" s="14"/>
      <c r="K118" s="38"/>
      <c r="L118" s="38"/>
      <c r="M118" s="17"/>
    </row>
    <row r="119" spans="2:13" ht="14.45" customHeight="1" x14ac:dyDescent="0.25">
      <c r="B119" s="17"/>
      <c r="C119" s="14"/>
      <c r="D119" s="14"/>
      <c r="E119" s="18"/>
      <c r="F119" s="61"/>
      <c r="G119" s="79"/>
      <c r="H119" s="79"/>
      <c r="I119" s="79"/>
      <c r="J119" s="14"/>
      <c r="K119" s="38"/>
      <c r="L119" s="38"/>
      <c r="M119" s="17"/>
    </row>
    <row r="120" spans="2:13" ht="14.45" customHeight="1" x14ac:dyDescent="0.25">
      <c r="B120" s="17"/>
      <c r="C120" s="14"/>
      <c r="D120" s="14"/>
      <c r="E120" s="18"/>
      <c r="F120" s="61"/>
      <c r="G120" s="79"/>
      <c r="H120" s="79"/>
      <c r="I120" s="79"/>
      <c r="J120" s="14"/>
      <c r="K120" s="38"/>
      <c r="L120" s="38"/>
      <c r="M120" s="17"/>
    </row>
    <row r="121" spans="2:13" ht="14.45" customHeight="1" x14ac:dyDescent="0.25">
      <c r="B121" s="17"/>
      <c r="C121" s="14"/>
      <c r="D121" s="14"/>
      <c r="E121" s="18"/>
      <c r="F121" s="61"/>
      <c r="G121" s="79"/>
      <c r="H121" s="79"/>
      <c r="I121" s="79"/>
      <c r="J121" s="14"/>
      <c r="K121" s="38"/>
      <c r="L121" s="38"/>
      <c r="M121" s="17"/>
    </row>
    <row r="122" spans="2:13" ht="14.45" customHeight="1" x14ac:dyDescent="0.25">
      <c r="B122" s="17"/>
      <c r="C122" s="14"/>
      <c r="D122" s="14"/>
      <c r="E122" s="18"/>
      <c r="F122" s="61"/>
      <c r="G122" s="79"/>
      <c r="H122" s="79"/>
      <c r="I122" s="79"/>
      <c r="J122" s="14"/>
      <c r="K122" s="38"/>
      <c r="L122" s="38"/>
      <c r="M122" s="17"/>
    </row>
    <row r="123" spans="2:13" ht="14.45" customHeight="1" x14ac:dyDescent="0.25">
      <c r="B123" s="17"/>
      <c r="C123" s="14"/>
      <c r="D123" s="14"/>
      <c r="E123" s="18"/>
      <c r="F123" s="61"/>
      <c r="G123" s="79"/>
      <c r="H123" s="79"/>
      <c r="I123" s="79"/>
      <c r="J123" s="14"/>
      <c r="K123" s="38"/>
      <c r="L123" s="38"/>
      <c r="M123" s="17"/>
    </row>
    <row r="124" spans="2:13" ht="14.45" customHeight="1" x14ac:dyDescent="0.25">
      <c r="B124" s="17"/>
      <c r="C124" s="14"/>
      <c r="D124" s="14"/>
      <c r="E124" s="18"/>
      <c r="F124" s="61"/>
      <c r="G124" s="79"/>
      <c r="H124" s="79"/>
      <c r="I124" s="79"/>
      <c r="J124" s="14"/>
      <c r="K124" s="38"/>
      <c r="L124" s="38"/>
      <c r="M124" s="17"/>
    </row>
    <row r="125" spans="2:13" ht="14.45" customHeight="1" x14ac:dyDescent="0.25">
      <c r="B125" s="17"/>
      <c r="C125" s="14"/>
      <c r="D125" s="14"/>
      <c r="E125" s="18"/>
      <c r="F125" s="61"/>
      <c r="G125" s="79"/>
      <c r="H125" s="79"/>
      <c r="I125" s="79"/>
      <c r="J125" s="14"/>
      <c r="K125" s="38"/>
      <c r="L125" s="38"/>
      <c r="M125" s="17"/>
    </row>
    <row r="126" spans="2:13" ht="14.45" customHeight="1" x14ac:dyDescent="0.25">
      <c r="B126" s="17"/>
      <c r="C126" s="14"/>
      <c r="D126" s="14"/>
      <c r="E126" s="18"/>
      <c r="F126" s="61"/>
      <c r="G126" s="79"/>
      <c r="H126" s="79"/>
      <c r="I126" s="79"/>
      <c r="J126" s="14"/>
      <c r="K126" s="38"/>
      <c r="L126" s="38"/>
      <c r="M126" s="17"/>
    </row>
    <row r="127" spans="2:13" ht="14.45" customHeight="1" x14ac:dyDescent="0.25">
      <c r="B127" s="17"/>
      <c r="C127" s="14"/>
      <c r="D127" s="14"/>
      <c r="E127" s="18"/>
      <c r="F127" s="61"/>
      <c r="G127" s="79"/>
      <c r="H127" s="79"/>
      <c r="I127" s="79"/>
      <c r="J127" s="14"/>
      <c r="K127" s="38"/>
      <c r="L127" s="38"/>
      <c r="M127" s="17"/>
    </row>
    <row r="128" spans="2:13" ht="14.45" customHeight="1" x14ac:dyDescent="0.25">
      <c r="B128" s="17"/>
      <c r="C128" s="14"/>
      <c r="D128" s="14"/>
      <c r="E128" s="18"/>
      <c r="F128" s="61"/>
      <c r="G128" s="79"/>
      <c r="H128" s="79"/>
      <c r="I128" s="79"/>
      <c r="J128" s="14"/>
      <c r="K128" s="38"/>
      <c r="L128" s="38"/>
      <c r="M128" s="17"/>
    </row>
    <row r="129" spans="2:13" ht="14.45" customHeight="1" x14ac:dyDescent="0.25">
      <c r="B129" s="17"/>
      <c r="C129" s="14"/>
      <c r="D129" s="14"/>
      <c r="E129" s="18"/>
      <c r="F129" s="61"/>
      <c r="G129" s="79"/>
      <c r="H129" s="79"/>
      <c r="I129" s="79"/>
      <c r="J129" s="14"/>
      <c r="K129" s="38"/>
      <c r="L129" s="38"/>
      <c r="M129" s="17"/>
    </row>
    <row r="130" spans="2:13" ht="14.45" customHeight="1" x14ac:dyDescent="0.25">
      <c r="B130" s="17"/>
      <c r="C130" s="14"/>
      <c r="D130" s="14"/>
      <c r="E130" s="18"/>
      <c r="F130" s="61"/>
      <c r="G130" s="79"/>
      <c r="H130" s="79"/>
      <c r="I130" s="79"/>
      <c r="J130" s="14"/>
      <c r="K130" s="38"/>
      <c r="L130" s="38"/>
      <c r="M130" s="17"/>
    </row>
    <row r="131" spans="2:13" ht="14.45" customHeight="1" x14ac:dyDescent="0.25">
      <c r="B131" s="17"/>
      <c r="C131" s="14"/>
      <c r="D131" s="14"/>
      <c r="E131" s="18"/>
      <c r="F131" s="61"/>
      <c r="G131" s="79"/>
      <c r="H131" s="79"/>
      <c r="I131" s="79"/>
      <c r="J131" s="14"/>
      <c r="K131" s="38"/>
      <c r="L131" s="38"/>
      <c r="M131" s="17"/>
    </row>
    <row r="132" spans="2:13" ht="14.45" customHeight="1" x14ac:dyDescent="0.25">
      <c r="B132" s="17"/>
      <c r="C132" s="14"/>
      <c r="D132" s="14"/>
      <c r="E132" s="18"/>
      <c r="F132" s="61"/>
      <c r="G132" s="79"/>
      <c r="H132" s="79"/>
      <c r="I132" s="79"/>
      <c r="J132" s="14"/>
      <c r="K132" s="38"/>
      <c r="L132" s="38"/>
      <c r="M132" s="17"/>
    </row>
    <row r="133" spans="2:13" ht="14.45" customHeight="1" x14ac:dyDescent="0.25">
      <c r="B133" s="17"/>
      <c r="C133" s="14"/>
      <c r="D133" s="14"/>
      <c r="E133" s="18"/>
      <c r="F133" s="61"/>
      <c r="G133" s="79"/>
      <c r="H133" s="79"/>
      <c r="I133" s="79"/>
      <c r="J133" s="14"/>
      <c r="K133" s="38"/>
      <c r="L133" s="38"/>
      <c r="M133" s="17"/>
    </row>
    <row r="134" spans="2:13" ht="14.45" customHeight="1" x14ac:dyDescent="0.25">
      <c r="B134" s="17"/>
      <c r="C134" s="14"/>
      <c r="D134" s="14"/>
      <c r="E134" s="18"/>
      <c r="F134" s="61"/>
      <c r="G134" s="79"/>
      <c r="H134" s="79"/>
      <c r="I134" s="79"/>
      <c r="J134" s="14"/>
      <c r="K134" s="38"/>
      <c r="L134" s="38"/>
      <c r="M134" s="17"/>
    </row>
    <row r="135" spans="2:13" ht="14.45" customHeight="1" x14ac:dyDescent="0.25">
      <c r="B135" s="17"/>
      <c r="C135" s="14"/>
      <c r="D135" s="14"/>
      <c r="E135" s="18"/>
      <c r="F135" s="61"/>
      <c r="G135" s="79"/>
      <c r="H135" s="79"/>
      <c r="I135" s="79"/>
      <c r="J135" s="14"/>
      <c r="K135" s="38"/>
      <c r="L135" s="38"/>
      <c r="M135" s="17"/>
    </row>
    <row r="136" spans="2:13" ht="14.45" customHeight="1" x14ac:dyDescent="0.25">
      <c r="B136" s="17"/>
      <c r="C136" s="14"/>
      <c r="D136" s="14"/>
      <c r="E136" s="18"/>
      <c r="F136" s="61"/>
      <c r="G136" s="79"/>
      <c r="H136" s="79"/>
      <c r="I136" s="79"/>
      <c r="J136" s="14"/>
      <c r="K136" s="38"/>
      <c r="L136" s="38"/>
      <c r="M136" s="17"/>
    </row>
    <row r="137" spans="2:13" ht="14.45" customHeight="1" x14ac:dyDescent="0.25">
      <c r="B137" s="17"/>
      <c r="C137" s="14"/>
      <c r="D137" s="14"/>
      <c r="E137" s="18"/>
      <c r="F137" s="61"/>
      <c r="G137" s="79"/>
      <c r="H137" s="79"/>
      <c r="I137" s="79"/>
      <c r="J137" s="14"/>
      <c r="K137" s="38"/>
      <c r="L137" s="38"/>
      <c r="M137" s="17"/>
    </row>
    <row r="138" spans="2:13" ht="14.45" customHeight="1" x14ac:dyDescent="0.25">
      <c r="B138" s="17"/>
      <c r="C138" s="14"/>
      <c r="D138" s="14"/>
      <c r="E138" s="18"/>
      <c r="F138" s="61"/>
      <c r="G138" s="79"/>
      <c r="H138" s="79"/>
      <c r="I138" s="79"/>
      <c r="J138" s="14"/>
      <c r="K138" s="38"/>
      <c r="L138" s="38"/>
      <c r="M138" s="17"/>
    </row>
    <row r="139" spans="2:13" ht="14.45" customHeight="1" x14ac:dyDescent="0.25">
      <c r="B139" s="17"/>
      <c r="C139" s="14"/>
      <c r="D139" s="14"/>
      <c r="E139" s="18"/>
      <c r="F139" s="61"/>
      <c r="G139" s="79"/>
      <c r="H139" s="79"/>
      <c r="I139" s="79"/>
      <c r="J139" s="14"/>
      <c r="K139" s="38"/>
      <c r="L139" s="38"/>
      <c r="M139" s="17"/>
    </row>
    <row r="140" spans="2:13" ht="14.45" customHeight="1" x14ac:dyDescent="0.25">
      <c r="B140" s="17"/>
      <c r="C140" s="14"/>
      <c r="D140" s="14"/>
      <c r="E140" s="18"/>
      <c r="F140" s="61"/>
      <c r="G140" s="79"/>
      <c r="H140" s="79"/>
      <c r="I140" s="79"/>
      <c r="J140" s="14"/>
      <c r="K140" s="38"/>
      <c r="L140" s="38"/>
      <c r="M140" s="17"/>
    </row>
    <row r="141" spans="2:13" ht="14.45" customHeight="1" x14ac:dyDescent="0.25">
      <c r="B141" s="17"/>
      <c r="C141" s="14"/>
      <c r="D141" s="14"/>
      <c r="E141" s="18"/>
      <c r="F141" s="61"/>
      <c r="G141" s="79"/>
      <c r="H141" s="79"/>
      <c r="I141" s="79"/>
      <c r="J141" s="14"/>
      <c r="K141" s="38"/>
      <c r="L141" s="38"/>
      <c r="M141" s="17"/>
    </row>
    <row r="142" spans="2:13" ht="14.45" customHeight="1" x14ac:dyDescent="0.25">
      <c r="B142" s="17"/>
      <c r="C142" s="14"/>
      <c r="D142" s="14"/>
      <c r="E142" s="18"/>
      <c r="F142" s="61"/>
      <c r="G142" s="79"/>
      <c r="H142" s="79"/>
      <c r="I142" s="79"/>
      <c r="J142" s="14"/>
      <c r="K142" s="38"/>
      <c r="L142" s="38"/>
      <c r="M142" s="17"/>
    </row>
    <row r="143" spans="2:13" ht="14.45" customHeight="1" x14ac:dyDescent="0.25">
      <c r="B143" s="17"/>
      <c r="C143" s="14"/>
      <c r="D143" s="14"/>
      <c r="E143" s="18"/>
      <c r="F143" s="61"/>
      <c r="G143" s="79"/>
      <c r="H143" s="79"/>
      <c r="I143" s="79"/>
      <c r="J143" s="14"/>
      <c r="K143" s="38"/>
      <c r="L143" s="38"/>
      <c r="M143" s="17"/>
    </row>
    <row r="144" spans="2:13" ht="14.45" customHeight="1" x14ac:dyDescent="0.25">
      <c r="B144" s="17"/>
      <c r="C144" s="14"/>
      <c r="D144" s="14"/>
      <c r="E144" s="18"/>
      <c r="F144" s="61"/>
      <c r="G144" s="79"/>
      <c r="H144" s="79"/>
      <c r="I144" s="79"/>
      <c r="J144" s="14"/>
      <c r="K144" s="38"/>
      <c r="L144" s="38"/>
      <c r="M144" s="17"/>
    </row>
    <row r="145" spans="2:13" ht="14.45" customHeight="1" x14ac:dyDescent="0.25">
      <c r="B145" s="17"/>
      <c r="C145" s="14"/>
      <c r="D145" s="14"/>
      <c r="E145" s="18"/>
      <c r="F145" s="61"/>
      <c r="G145" s="79"/>
      <c r="H145" s="79"/>
      <c r="I145" s="79"/>
      <c r="J145" s="14"/>
      <c r="K145" s="38"/>
      <c r="L145" s="38"/>
      <c r="M145" s="17"/>
    </row>
    <row r="146" spans="2:13" ht="14.45" customHeight="1" x14ac:dyDescent="0.25">
      <c r="B146" s="17"/>
      <c r="C146" s="14"/>
      <c r="D146" s="14"/>
      <c r="E146" s="18"/>
      <c r="F146" s="61"/>
      <c r="G146" s="79"/>
      <c r="H146" s="79"/>
      <c r="I146" s="79"/>
      <c r="J146" s="14"/>
      <c r="K146" s="38"/>
      <c r="L146" s="38"/>
      <c r="M146" s="17"/>
    </row>
    <row r="147" spans="2:13" ht="14.45" customHeight="1" x14ac:dyDescent="0.25">
      <c r="B147" s="17"/>
      <c r="C147" s="14"/>
      <c r="D147" s="14"/>
      <c r="E147" s="18"/>
      <c r="F147" s="61"/>
      <c r="G147" s="79"/>
      <c r="H147" s="79"/>
      <c r="I147" s="79"/>
      <c r="J147" s="14"/>
      <c r="K147" s="38"/>
      <c r="L147" s="38"/>
      <c r="M147" s="17"/>
    </row>
    <row r="148" spans="2:13" ht="14.45" customHeight="1" x14ac:dyDescent="0.25">
      <c r="B148" s="17"/>
      <c r="C148" s="14"/>
      <c r="D148" s="14"/>
      <c r="E148" s="18"/>
      <c r="F148" s="61"/>
      <c r="G148" s="79"/>
      <c r="H148" s="79"/>
      <c r="I148" s="79"/>
      <c r="J148" s="14"/>
      <c r="K148" s="38"/>
      <c r="L148" s="38"/>
      <c r="M148" s="17"/>
    </row>
    <row r="149" spans="2:13" ht="14.45" customHeight="1" x14ac:dyDescent="0.25">
      <c r="B149" s="17"/>
      <c r="C149" s="14"/>
      <c r="D149" s="14"/>
      <c r="E149" s="18"/>
      <c r="F149" s="61"/>
      <c r="G149" s="79"/>
      <c r="H149" s="79"/>
      <c r="I149" s="79"/>
      <c r="J149" s="14"/>
      <c r="K149" s="38"/>
      <c r="L149" s="38"/>
      <c r="M149" s="17"/>
    </row>
    <row r="150" spans="2:13" ht="14.45" customHeight="1" x14ac:dyDescent="0.25">
      <c r="B150" s="17"/>
      <c r="C150" s="14"/>
      <c r="D150" s="14"/>
      <c r="E150" s="18"/>
      <c r="F150" s="61"/>
      <c r="G150" s="79"/>
      <c r="H150" s="79"/>
      <c r="I150" s="79"/>
      <c r="J150" s="14"/>
      <c r="K150" s="38"/>
      <c r="L150" s="38"/>
      <c r="M150" s="17"/>
    </row>
    <row r="151" spans="2:13" ht="14.45" customHeight="1" x14ac:dyDescent="0.25">
      <c r="B151" s="17"/>
      <c r="C151" s="14"/>
      <c r="D151" s="14"/>
      <c r="E151" s="18"/>
      <c r="F151" s="61"/>
      <c r="G151" s="79"/>
      <c r="H151" s="79"/>
      <c r="I151" s="79"/>
      <c r="J151" s="14"/>
      <c r="K151" s="38"/>
      <c r="L151" s="38"/>
      <c r="M151" s="17"/>
    </row>
    <row r="152" spans="2:13" ht="14.45" customHeight="1" x14ac:dyDescent="0.25">
      <c r="B152" s="17"/>
      <c r="C152" s="14"/>
      <c r="D152" s="14"/>
      <c r="E152" s="18"/>
      <c r="F152" s="61"/>
      <c r="G152" s="79"/>
      <c r="H152" s="79"/>
      <c r="I152" s="79"/>
      <c r="J152" s="14"/>
      <c r="K152" s="38"/>
      <c r="L152" s="38"/>
      <c r="M152" s="17"/>
    </row>
    <row r="153" spans="2:13" ht="14.45" customHeight="1" x14ac:dyDescent="0.25">
      <c r="B153" s="17"/>
      <c r="C153" s="14"/>
      <c r="D153" s="14"/>
      <c r="E153" s="18"/>
      <c r="F153" s="61"/>
      <c r="G153" s="79"/>
      <c r="H153" s="79"/>
      <c r="I153" s="79"/>
      <c r="J153" s="14"/>
      <c r="K153" s="38"/>
      <c r="L153" s="38"/>
      <c r="M153" s="17"/>
    </row>
    <row r="154" spans="2:13" ht="14.45" customHeight="1" x14ac:dyDescent="0.25">
      <c r="B154" s="17"/>
      <c r="C154" s="14"/>
      <c r="D154" s="14"/>
      <c r="E154" s="18"/>
      <c r="F154" s="61"/>
      <c r="G154" s="79"/>
      <c r="H154" s="79"/>
      <c r="I154" s="79"/>
      <c r="J154" s="14"/>
      <c r="K154" s="38"/>
      <c r="L154" s="38"/>
      <c r="M154" s="17"/>
    </row>
    <row r="155" spans="2:13" ht="14.45" customHeight="1" x14ac:dyDescent="0.25">
      <c r="B155" s="17"/>
      <c r="C155" s="14"/>
      <c r="D155" s="14"/>
      <c r="E155" s="18"/>
      <c r="F155" s="61"/>
      <c r="G155" s="79"/>
      <c r="H155" s="79"/>
      <c r="I155" s="79"/>
      <c r="J155" s="14"/>
      <c r="K155" s="38"/>
      <c r="L155" s="38"/>
      <c r="M155" s="17"/>
    </row>
    <row r="156" spans="2:13" ht="14.45" customHeight="1" x14ac:dyDescent="0.25">
      <c r="B156" s="17"/>
      <c r="C156" s="14"/>
      <c r="D156" s="14"/>
      <c r="E156" s="18"/>
      <c r="F156" s="61"/>
      <c r="G156" s="79"/>
      <c r="H156" s="79"/>
      <c r="I156" s="79"/>
      <c r="J156" s="14"/>
      <c r="K156" s="38"/>
      <c r="L156" s="38"/>
      <c r="M156" s="17"/>
    </row>
    <row r="157" spans="2:13" ht="14.45" customHeight="1" x14ac:dyDescent="0.25">
      <c r="B157" s="17"/>
      <c r="C157" s="14"/>
      <c r="D157" s="14"/>
      <c r="E157" s="18"/>
      <c r="F157" s="61"/>
      <c r="G157" s="79"/>
      <c r="H157" s="79"/>
      <c r="I157" s="79"/>
      <c r="J157" s="14"/>
      <c r="K157" s="38"/>
      <c r="L157" s="38"/>
      <c r="M157" s="17"/>
    </row>
    <row r="158" spans="2:13" ht="14.45" customHeight="1" x14ac:dyDescent="0.25">
      <c r="B158" s="17"/>
      <c r="C158" s="14"/>
      <c r="D158" s="14"/>
      <c r="E158" s="18"/>
      <c r="F158" s="61"/>
      <c r="G158" s="79"/>
      <c r="H158" s="79"/>
      <c r="I158" s="79"/>
      <c r="J158" s="14"/>
      <c r="K158" s="38"/>
      <c r="L158" s="38"/>
      <c r="M158" s="17"/>
    </row>
    <row r="159" spans="2:13" ht="14.45" customHeight="1" x14ac:dyDescent="0.25">
      <c r="B159" s="17"/>
      <c r="C159" s="14"/>
      <c r="D159" s="14"/>
      <c r="E159" s="18"/>
      <c r="F159" s="61"/>
      <c r="G159" s="79"/>
      <c r="H159" s="79"/>
      <c r="I159" s="79"/>
      <c r="J159" s="14"/>
      <c r="K159" s="38"/>
      <c r="L159" s="38"/>
      <c r="M159" s="17"/>
    </row>
    <row r="160" spans="2:13" ht="14.45" customHeight="1" x14ac:dyDescent="0.25">
      <c r="B160" s="17"/>
      <c r="C160" s="14"/>
      <c r="D160" s="14"/>
      <c r="E160" s="18"/>
      <c r="F160" s="61"/>
      <c r="G160" s="79"/>
      <c r="H160" s="79"/>
      <c r="I160" s="79"/>
      <c r="J160" s="14"/>
      <c r="K160" s="38"/>
      <c r="L160" s="38"/>
      <c r="M160" s="17"/>
    </row>
    <row r="161" spans="2:13" ht="14.45" customHeight="1" x14ac:dyDescent="0.25">
      <c r="B161" s="17"/>
      <c r="C161" s="14"/>
      <c r="D161" s="14"/>
      <c r="E161" s="18"/>
      <c r="F161" s="61"/>
      <c r="G161" s="79"/>
      <c r="H161" s="79"/>
      <c r="I161" s="79"/>
      <c r="J161" s="14"/>
      <c r="K161" s="38"/>
      <c r="L161" s="38"/>
      <c r="M161" s="17"/>
    </row>
    <row r="162" spans="2:13" ht="14.45" customHeight="1" x14ac:dyDescent="0.25">
      <c r="B162" s="17"/>
      <c r="C162" s="14"/>
      <c r="D162" s="14"/>
      <c r="E162" s="18"/>
      <c r="F162" s="61"/>
      <c r="G162" s="79"/>
      <c r="H162" s="79"/>
      <c r="I162" s="79"/>
      <c r="J162" s="14"/>
      <c r="K162" s="38"/>
      <c r="L162" s="38"/>
      <c r="M162" s="17"/>
    </row>
    <row r="163" spans="2:13" ht="14.45" customHeight="1" x14ac:dyDescent="0.25">
      <c r="B163" s="17"/>
      <c r="C163" s="14"/>
      <c r="D163" s="14"/>
      <c r="E163" s="18"/>
      <c r="F163" s="61"/>
      <c r="G163" s="79"/>
      <c r="H163" s="79"/>
      <c r="I163" s="79"/>
      <c r="J163" s="14"/>
      <c r="K163" s="38"/>
      <c r="L163" s="38"/>
      <c r="M163" s="17"/>
    </row>
    <row r="164" spans="2:13" ht="14.45" customHeight="1" x14ac:dyDescent="0.25">
      <c r="B164" s="17"/>
      <c r="C164" s="14"/>
      <c r="D164" s="14"/>
      <c r="E164" s="18"/>
      <c r="F164" s="61"/>
      <c r="G164" s="79"/>
      <c r="H164" s="79"/>
      <c r="I164" s="79"/>
      <c r="J164" s="14"/>
      <c r="K164" s="38"/>
      <c r="L164" s="38"/>
      <c r="M164" s="17"/>
    </row>
    <row r="165" spans="2:13" ht="14.45" customHeight="1" x14ac:dyDescent="0.25">
      <c r="B165" s="17"/>
      <c r="C165" s="14"/>
      <c r="D165" s="14"/>
      <c r="E165" s="18"/>
      <c r="F165" s="61"/>
      <c r="G165" s="79"/>
      <c r="H165" s="79"/>
      <c r="I165" s="79"/>
      <c r="J165" s="14"/>
      <c r="K165" s="38"/>
      <c r="L165" s="38"/>
      <c r="M165" s="17"/>
    </row>
    <row r="166" spans="2:13" ht="14.45" customHeight="1" x14ac:dyDescent="0.25">
      <c r="B166" s="17"/>
      <c r="C166" s="14"/>
      <c r="D166" s="14"/>
      <c r="E166" s="18"/>
      <c r="F166" s="61"/>
      <c r="G166" s="79"/>
      <c r="H166" s="79"/>
      <c r="I166" s="79"/>
      <c r="J166" s="14"/>
      <c r="K166" s="38"/>
      <c r="L166" s="38"/>
      <c r="M166" s="17"/>
    </row>
    <row r="167" spans="2:13" ht="14.45" customHeight="1" x14ac:dyDescent="0.25">
      <c r="B167" s="17"/>
      <c r="C167" s="14"/>
      <c r="D167" s="14"/>
      <c r="E167" s="18"/>
      <c r="F167" s="61"/>
      <c r="G167" s="79"/>
      <c r="H167" s="79"/>
      <c r="I167" s="79"/>
      <c r="J167" s="14"/>
      <c r="K167" s="38"/>
      <c r="L167" s="38"/>
      <c r="M167" s="17"/>
    </row>
    <row r="168" spans="2:13" ht="14.45" customHeight="1" x14ac:dyDescent="0.25">
      <c r="B168" s="17"/>
      <c r="C168" s="14"/>
      <c r="D168" s="14"/>
      <c r="E168" s="18"/>
      <c r="F168" s="61"/>
      <c r="G168" s="79"/>
      <c r="H168" s="79"/>
      <c r="I168" s="79"/>
      <c r="J168" s="14"/>
      <c r="K168" s="38"/>
      <c r="L168" s="38"/>
      <c r="M168" s="17"/>
    </row>
    <row r="169" spans="2:13" ht="14.45" customHeight="1" x14ac:dyDescent="0.25">
      <c r="B169" s="17"/>
      <c r="C169" s="14"/>
      <c r="D169" s="14"/>
      <c r="E169" s="18"/>
      <c r="F169" s="61"/>
      <c r="G169" s="79"/>
      <c r="H169" s="79"/>
      <c r="I169" s="79"/>
      <c r="J169" s="14"/>
      <c r="K169" s="38"/>
      <c r="L169" s="38"/>
      <c r="M169" s="17"/>
    </row>
    <row r="170" spans="2:13" ht="14.45" customHeight="1" x14ac:dyDescent="0.25">
      <c r="B170" s="17"/>
      <c r="C170" s="14"/>
      <c r="D170" s="14"/>
      <c r="E170" s="18"/>
      <c r="F170" s="61"/>
      <c r="G170" s="79"/>
      <c r="H170" s="79"/>
      <c r="I170" s="79"/>
      <c r="J170" s="14"/>
      <c r="K170" s="38"/>
      <c r="L170" s="38"/>
      <c r="M170" s="17"/>
    </row>
    <row r="171" spans="2:13" ht="14.45" customHeight="1" x14ac:dyDescent="0.25">
      <c r="B171" s="17"/>
      <c r="C171" s="14"/>
      <c r="D171" s="14"/>
      <c r="E171" s="18"/>
      <c r="F171" s="61"/>
      <c r="G171" s="79"/>
      <c r="H171" s="79"/>
      <c r="I171" s="79"/>
      <c r="J171" s="14"/>
      <c r="K171" s="38"/>
      <c r="L171" s="38"/>
      <c r="M171" s="17"/>
    </row>
    <row r="172" spans="2:13" ht="14.45" customHeight="1" x14ac:dyDescent="0.25">
      <c r="B172" s="17"/>
      <c r="C172" s="14"/>
      <c r="D172" s="14"/>
      <c r="E172" s="18"/>
      <c r="F172" s="61"/>
      <c r="G172" s="79"/>
      <c r="H172" s="79"/>
      <c r="I172" s="79"/>
      <c r="J172" s="14"/>
      <c r="K172" s="38"/>
      <c r="L172" s="38"/>
      <c r="M172" s="17"/>
    </row>
    <row r="173" spans="2:13" ht="14.45" customHeight="1" x14ac:dyDescent="0.25">
      <c r="B173" s="17"/>
      <c r="C173" s="14"/>
      <c r="D173" s="14"/>
      <c r="E173" s="18"/>
      <c r="F173" s="61"/>
      <c r="G173" s="79"/>
      <c r="H173" s="79"/>
      <c r="I173" s="79"/>
      <c r="J173" s="14"/>
      <c r="K173" s="38"/>
      <c r="L173" s="38"/>
      <c r="M173" s="17"/>
    </row>
    <row r="174" spans="2:13" ht="14.45" customHeight="1" x14ac:dyDescent="0.25">
      <c r="B174" s="17"/>
      <c r="C174" s="14"/>
      <c r="D174" s="14"/>
      <c r="E174" s="18"/>
      <c r="F174" s="61"/>
      <c r="G174" s="79"/>
      <c r="H174" s="79"/>
      <c r="I174" s="79"/>
      <c r="J174" s="14"/>
      <c r="K174" s="38"/>
      <c r="L174" s="38"/>
      <c r="M174" s="17"/>
    </row>
    <row r="175" spans="2:13" ht="14.45" customHeight="1" x14ac:dyDescent="0.25">
      <c r="B175" s="17"/>
      <c r="C175" s="14"/>
      <c r="D175" s="14"/>
      <c r="E175" s="18"/>
      <c r="F175" s="61"/>
      <c r="G175" s="79"/>
      <c r="H175" s="79"/>
      <c r="I175" s="79"/>
      <c r="J175" s="14"/>
      <c r="K175" s="38"/>
      <c r="L175" s="38"/>
      <c r="M175" s="17"/>
    </row>
    <row r="176" spans="2:13" ht="14.45" customHeight="1" x14ac:dyDescent="0.25">
      <c r="B176" s="17"/>
      <c r="C176" s="14"/>
      <c r="D176" s="14"/>
      <c r="E176" s="18"/>
      <c r="F176" s="61"/>
      <c r="G176" s="79"/>
      <c r="H176" s="79"/>
      <c r="I176" s="79"/>
      <c r="J176" s="14"/>
      <c r="K176" s="38"/>
      <c r="L176" s="38"/>
      <c r="M176" s="17"/>
    </row>
    <row r="177" spans="2:13" ht="14.45" customHeight="1" x14ac:dyDescent="0.25">
      <c r="B177" s="17"/>
      <c r="C177" s="14"/>
      <c r="D177" s="14"/>
      <c r="E177" s="18"/>
      <c r="F177" s="61"/>
      <c r="G177" s="79"/>
      <c r="H177" s="79"/>
      <c r="I177" s="79"/>
      <c r="J177" s="14"/>
      <c r="K177" s="38"/>
      <c r="L177" s="38"/>
      <c r="M177" s="17"/>
    </row>
    <row r="178" spans="2:13" ht="14.45" customHeight="1" x14ac:dyDescent="0.25">
      <c r="B178" s="17"/>
      <c r="C178" s="14"/>
      <c r="D178" s="14"/>
      <c r="E178" s="18"/>
      <c r="F178" s="61"/>
      <c r="G178" s="79"/>
      <c r="H178" s="79"/>
      <c r="I178" s="79"/>
      <c r="J178" s="14"/>
      <c r="K178" s="38"/>
      <c r="L178" s="38"/>
      <c r="M178" s="17"/>
    </row>
    <row r="179" spans="2:13" ht="14.45" customHeight="1" x14ac:dyDescent="0.25">
      <c r="B179" s="17"/>
      <c r="C179" s="14"/>
      <c r="D179" s="14"/>
      <c r="E179" s="18"/>
      <c r="F179" s="61"/>
      <c r="G179" s="79"/>
      <c r="H179" s="79"/>
      <c r="I179" s="79"/>
      <c r="J179" s="14"/>
      <c r="K179" s="38"/>
      <c r="L179" s="38"/>
      <c r="M179" s="17"/>
    </row>
    <row r="180" spans="2:13" ht="14.45" customHeight="1" x14ac:dyDescent="0.25">
      <c r="B180" s="17"/>
      <c r="C180" s="14"/>
      <c r="D180" s="14"/>
      <c r="E180" s="18"/>
      <c r="F180" s="61"/>
      <c r="G180" s="79"/>
      <c r="H180" s="79"/>
      <c r="I180" s="79"/>
      <c r="J180" s="14"/>
      <c r="K180" s="38"/>
      <c r="L180" s="38"/>
      <c r="M180" s="17"/>
    </row>
    <row r="181" spans="2:13" ht="14.45" customHeight="1" x14ac:dyDescent="0.25">
      <c r="B181" s="17"/>
      <c r="C181" s="14"/>
      <c r="D181" s="14"/>
      <c r="E181" s="18"/>
      <c r="F181" s="61"/>
      <c r="G181" s="79"/>
      <c r="H181" s="79"/>
      <c r="I181" s="79"/>
      <c r="J181" s="14"/>
      <c r="K181" s="38"/>
      <c r="L181" s="38"/>
      <c r="M181" s="17"/>
    </row>
    <row r="182" spans="2:13" ht="14.45" customHeight="1" x14ac:dyDescent="0.25">
      <c r="B182" s="17"/>
      <c r="C182" s="14"/>
      <c r="D182" s="14"/>
      <c r="E182" s="18"/>
      <c r="F182" s="61"/>
      <c r="G182" s="79"/>
      <c r="H182" s="79"/>
      <c r="I182" s="79"/>
      <c r="J182" s="14"/>
      <c r="K182" s="38"/>
      <c r="L182" s="38"/>
      <c r="M182" s="17"/>
    </row>
    <row r="183" spans="2:13" ht="14.45" customHeight="1" x14ac:dyDescent="0.25">
      <c r="B183" s="17"/>
      <c r="C183" s="14"/>
      <c r="D183" s="14"/>
      <c r="E183" s="18"/>
      <c r="F183" s="61"/>
      <c r="G183" s="79"/>
      <c r="H183" s="79"/>
      <c r="I183" s="79"/>
      <c r="J183" s="14"/>
      <c r="K183" s="38"/>
      <c r="L183" s="38"/>
      <c r="M183" s="17"/>
    </row>
    <row r="184" spans="2:13" ht="14.45" customHeight="1" x14ac:dyDescent="0.25">
      <c r="B184" s="17"/>
      <c r="C184" s="14"/>
      <c r="D184" s="14"/>
      <c r="E184" s="18"/>
      <c r="F184" s="61"/>
      <c r="G184" s="79"/>
      <c r="H184" s="79"/>
      <c r="I184" s="79"/>
      <c r="J184" s="14"/>
      <c r="K184" s="38"/>
      <c r="L184" s="38"/>
      <c r="M184" s="17"/>
    </row>
    <row r="185" spans="2:13" ht="14.45" customHeight="1" x14ac:dyDescent="0.25">
      <c r="B185" s="17"/>
      <c r="C185" s="14"/>
      <c r="D185" s="14"/>
      <c r="E185" s="18"/>
      <c r="F185" s="61"/>
      <c r="G185" s="79"/>
      <c r="H185" s="79"/>
      <c r="I185" s="79"/>
      <c r="J185" s="14"/>
      <c r="K185" s="38"/>
      <c r="L185" s="38"/>
      <c r="M185" s="17"/>
    </row>
    <row r="186" spans="2:13" ht="14.45" customHeight="1" x14ac:dyDescent="0.25">
      <c r="B186" s="17"/>
      <c r="C186" s="14"/>
      <c r="D186" s="14"/>
      <c r="E186" s="18"/>
      <c r="F186" s="61"/>
      <c r="G186" s="79"/>
      <c r="H186" s="79"/>
      <c r="I186" s="79"/>
      <c r="J186" s="14"/>
      <c r="K186" s="38"/>
      <c r="L186" s="38"/>
      <c r="M186" s="17"/>
    </row>
    <row r="187" spans="2:13" ht="14.45" customHeight="1" x14ac:dyDescent="0.25">
      <c r="B187" s="17"/>
      <c r="C187" s="14"/>
      <c r="D187" s="14"/>
      <c r="E187" s="18"/>
      <c r="F187" s="61"/>
      <c r="G187" s="79"/>
      <c r="H187" s="79"/>
      <c r="I187" s="79"/>
      <c r="J187" s="14"/>
      <c r="K187" s="38"/>
      <c r="L187" s="38"/>
      <c r="M187" s="17"/>
    </row>
    <row r="188" spans="2:13" ht="14.45" customHeight="1" x14ac:dyDescent="0.25">
      <c r="B188" s="17"/>
      <c r="C188" s="14"/>
      <c r="D188" s="14"/>
      <c r="E188" s="18"/>
      <c r="F188" s="61"/>
      <c r="G188" s="79"/>
      <c r="H188" s="79"/>
      <c r="I188" s="79"/>
      <c r="J188" s="14"/>
      <c r="K188" s="38"/>
      <c r="L188" s="38"/>
      <c r="M188" s="17"/>
    </row>
    <row r="189" spans="2:13" ht="14.45" customHeight="1" x14ac:dyDescent="0.25">
      <c r="B189" s="17"/>
      <c r="C189" s="14"/>
      <c r="D189" s="14"/>
      <c r="E189" s="18"/>
      <c r="F189" s="61"/>
      <c r="G189" s="79"/>
      <c r="H189" s="79"/>
      <c r="I189" s="79"/>
      <c r="J189" s="14"/>
      <c r="K189" s="38"/>
      <c r="L189" s="38"/>
      <c r="M189" s="17"/>
    </row>
    <row r="190" spans="2:13" ht="14.45" customHeight="1" x14ac:dyDescent="0.25">
      <c r="B190" s="17"/>
      <c r="C190" s="14"/>
      <c r="D190" s="14"/>
      <c r="E190" s="18"/>
      <c r="F190" s="61"/>
      <c r="G190" s="79"/>
      <c r="H190" s="79"/>
      <c r="I190" s="79"/>
      <c r="J190" s="14"/>
      <c r="K190" s="38"/>
      <c r="L190" s="38"/>
      <c r="M190" s="17"/>
    </row>
    <row r="191" spans="2:13" ht="14.45" customHeight="1" x14ac:dyDescent="0.25">
      <c r="B191" s="17"/>
      <c r="C191" s="14"/>
      <c r="D191" s="14"/>
      <c r="E191" s="18"/>
      <c r="F191" s="61"/>
      <c r="G191" s="79"/>
      <c r="H191" s="79"/>
      <c r="I191" s="79"/>
      <c r="J191" s="14"/>
      <c r="K191" s="38"/>
      <c r="L191" s="38"/>
      <c r="M191" s="17"/>
    </row>
    <row r="192" spans="2:13" ht="14.45" customHeight="1" x14ac:dyDescent="0.25">
      <c r="B192" s="17"/>
      <c r="C192" s="14"/>
      <c r="D192" s="14"/>
      <c r="E192" s="18"/>
      <c r="F192" s="61"/>
      <c r="G192" s="79"/>
      <c r="H192" s="79"/>
      <c r="I192" s="79"/>
      <c r="J192" s="14"/>
      <c r="K192" s="38"/>
      <c r="L192" s="38"/>
      <c r="M192" s="17"/>
    </row>
    <row r="193" spans="2:13" ht="14.45" customHeight="1" x14ac:dyDescent="0.25">
      <c r="B193" s="17"/>
      <c r="C193" s="14"/>
      <c r="D193" s="14"/>
      <c r="E193" s="18"/>
      <c r="F193" s="61"/>
      <c r="G193" s="79"/>
      <c r="H193" s="79"/>
      <c r="I193" s="79"/>
      <c r="J193" s="14"/>
      <c r="K193" s="38"/>
      <c r="L193" s="38"/>
      <c r="M193" s="17"/>
    </row>
    <row r="194" spans="2:13" ht="14.45" customHeight="1" x14ac:dyDescent="0.25">
      <c r="B194" s="17"/>
      <c r="C194" s="14"/>
      <c r="D194" s="14"/>
      <c r="E194" s="18"/>
      <c r="F194" s="61"/>
      <c r="G194" s="79"/>
      <c r="H194" s="79"/>
      <c r="I194" s="79"/>
      <c r="J194" s="14"/>
      <c r="K194" s="38"/>
      <c r="L194" s="38"/>
      <c r="M194" s="17"/>
    </row>
    <row r="195" spans="2:13" ht="14.45" customHeight="1" x14ac:dyDescent="0.25">
      <c r="B195" s="17"/>
      <c r="C195" s="14"/>
      <c r="D195" s="14"/>
      <c r="E195" s="18"/>
      <c r="F195" s="61"/>
      <c r="G195" s="79"/>
      <c r="H195" s="79"/>
      <c r="I195" s="79"/>
      <c r="J195" s="14"/>
      <c r="K195" s="38"/>
      <c r="L195" s="38"/>
      <c r="M195" s="17"/>
    </row>
    <row r="196" spans="2:13" ht="14.45" customHeight="1" x14ac:dyDescent="0.25">
      <c r="B196" s="17"/>
      <c r="C196" s="14"/>
      <c r="D196" s="14"/>
      <c r="E196" s="18"/>
      <c r="F196" s="61"/>
      <c r="G196" s="79"/>
      <c r="H196" s="79"/>
      <c r="I196" s="79"/>
      <c r="J196" s="14"/>
      <c r="K196" s="38"/>
      <c r="L196" s="38"/>
      <c r="M196" s="17"/>
    </row>
    <row r="197" spans="2:13" ht="14.45" customHeight="1" x14ac:dyDescent="0.25">
      <c r="B197" s="17"/>
      <c r="C197" s="14"/>
      <c r="D197" s="14"/>
      <c r="E197" s="18"/>
      <c r="F197" s="61"/>
      <c r="G197" s="79"/>
      <c r="H197" s="79"/>
      <c r="I197" s="79"/>
      <c r="J197" s="14"/>
      <c r="K197" s="38"/>
      <c r="L197" s="38"/>
      <c r="M197" s="17"/>
    </row>
    <row r="198" spans="2:13" ht="14.45" customHeight="1" x14ac:dyDescent="0.25">
      <c r="B198" s="17"/>
      <c r="C198" s="14"/>
      <c r="D198" s="14"/>
      <c r="E198" s="18"/>
      <c r="F198" s="61"/>
      <c r="G198" s="79"/>
      <c r="H198" s="79"/>
      <c r="I198" s="79"/>
      <c r="J198" s="14"/>
      <c r="K198" s="38"/>
      <c r="L198" s="38"/>
      <c r="M198" s="17"/>
    </row>
    <row r="199" spans="2:13" ht="14.45" customHeight="1" x14ac:dyDescent="0.25">
      <c r="B199" s="17"/>
      <c r="C199" s="14"/>
      <c r="D199" s="14"/>
      <c r="E199" s="18"/>
      <c r="F199" s="61"/>
      <c r="G199" s="79"/>
      <c r="H199" s="79"/>
      <c r="I199" s="79"/>
      <c r="J199" s="14"/>
      <c r="K199" s="38"/>
      <c r="L199" s="38"/>
      <c r="M199" s="17"/>
    </row>
    <row r="200" spans="2:13" ht="14.45" customHeight="1" x14ac:dyDescent="0.25">
      <c r="B200" s="17"/>
      <c r="C200" s="14"/>
      <c r="D200" s="14"/>
      <c r="E200" s="18"/>
      <c r="F200" s="61"/>
      <c r="G200" s="79"/>
      <c r="H200" s="79"/>
      <c r="I200" s="79"/>
      <c r="J200" s="14"/>
      <c r="K200" s="38"/>
      <c r="L200" s="38"/>
      <c r="M200" s="17"/>
    </row>
    <row r="201" spans="2:13" ht="14.45" customHeight="1" x14ac:dyDescent="0.25">
      <c r="B201" s="17"/>
      <c r="C201" s="14"/>
      <c r="D201" s="14"/>
      <c r="E201" s="18"/>
      <c r="F201" s="61"/>
      <c r="G201" s="79"/>
      <c r="H201" s="79"/>
      <c r="I201" s="79"/>
      <c r="J201" s="14"/>
      <c r="K201" s="38"/>
      <c r="L201" s="38"/>
      <c r="M201" s="17"/>
    </row>
    <row r="202" spans="2:13" ht="14.45" customHeight="1" x14ac:dyDescent="0.25">
      <c r="B202" s="17"/>
      <c r="C202" s="14"/>
      <c r="D202" s="14"/>
      <c r="E202" s="18"/>
      <c r="F202" s="61"/>
      <c r="G202" s="79"/>
      <c r="H202" s="79"/>
      <c r="I202" s="79"/>
      <c r="J202" s="14"/>
      <c r="K202" s="38"/>
      <c r="L202" s="38"/>
      <c r="M202" s="17"/>
    </row>
    <row r="203" spans="2:13" ht="14.45" customHeight="1" x14ac:dyDescent="0.25">
      <c r="B203" s="17"/>
      <c r="C203" s="14"/>
      <c r="D203" s="14"/>
      <c r="E203" s="18"/>
      <c r="F203" s="61"/>
      <c r="G203" s="79"/>
      <c r="H203" s="79"/>
      <c r="I203" s="79"/>
      <c r="J203" s="14"/>
      <c r="K203" s="38"/>
      <c r="L203" s="38"/>
      <c r="M203" s="17"/>
    </row>
    <row r="204" spans="2:13" ht="14.45" customHeight="1" x14ac:dyDescent="0.25">
      <c r="B204" s="17"/>
      <c r="C204" s="14"/>
      <c r="D204" s="14"/>
      <c r="E204" s="18"/>
      <c r="F204" s="61"/>
      <c r="G204" s="79"/>
      <c r="H204" s="79"/>
      <c r="I204" s="79"/>
      <c r="J204" s="14"/>
      <c r="K204" s="38"/>
      <c r="L204" s="38"/>
      <c r="M204" s="17"/>
    </row>
    <row r="205" spans="2:13" ht="14.45" customHeight="1" x14ac:dyDescent="0.25">
      <c r="B205" s="17"/>
      <c r="C205" s="14"/>
      <c r="D205" s="14"/>
      <c r="E205" s="18"/>
      <c r="F205" s="61"/>
      <c r="G205" s="79"/>
      <c r="H205" s="79"/>
      <c r="I205" s="79"/>
      <c r="J205" s="14"/>
      <c r="K205" s="38"/>
      <c r="L205" s="38"/>
      <c r="M205" s="17"/>
    </row>
    <row r="206" spans="2:13" ht="14.45" customHeight="1" x14ac:dyDescent="0.25">
      <c r="B206" s="17"/>
      <c r="C206" s="14"/>
      <c r="D206" s="14"/>
      <c r="E206" s="18"/>
      <c r="F206" s="61"/>
      <c r="G206" s="79"/>
      <c r="H206" s="79"/>
      <c r="I206" s="79"/>
      <c r="J206" s="14"/>
      <c r="K206" s="38"/>
      <c r="L206" s="38"/>
      <c r="M206" s="17"/>
    </row>
    <row r="207" spans="2:13" ht="14.45" customHeight="1" x14ac:dyDescent="0.25">
      <c r="B207" s="17"/>
      <c r="C207" s="14"/>
      <c r="D207" s="14"/>
      <c r="E207" s="18"/>
      <c r="F207" s="61"/>
      <c r="G207" s="79"/>
      <c r="H207" s="79"/>
      <c r="I207" s="79"/>
      <c r="J207" s="14"/>
      <c r="K207" s="38"/>
      <c r="L207" s="38"/>
      <c r="M207" s="17"/>
    </row>
    <row r="208" spans="2:13" ht="14.45" customHeight="1" x14ac:dyDescent="0.25">
      <c r="B208" s="17"/>
      <c r="C208" s="14"/>
      <c r="D208" s="14"/>
      <c r="E208" s="18"/>
      <c r="F208" s="61"/>
      <c r="G208" s="79"/>
      <c r="H208" s="79"/>
      <c r="I208" s="79"/>
      <c r="J208" s="14"/>
      <c r="K208" s="38"/>
      <c r="L208" s="38"/>
      <c r="M208" s="17"/>
    </row>
    <row r="209" spans="2:13" ht="14.45" customHeight="1" x14ac:dyDescent="0.25">
      <c r="B209" s="17"/>
      <c r="C209" s="14"/>
      <c r="D209" s="14"/>
      <c r="E209" s="18"/>
      <c r="F209" s="61"/>
      <c r="G209" s="79"/>
      <c r="H209" s="79"/>
      <c r="I209" s="79"/>
      <c r="J209" s="14"/>
      <c r="K209" s="38"/>
      <c r="L209" s="38"/>
      <c r="M209" s="17"/>
    </row>
    <row r="210" spans="2:13" ht="14.45" customHeight="1" x14ac:dyDescent="0.25">
      <c r="B210" s="17"/>
      <c r="C210" s="14"/>
      <c r="D210" s="14"/>
      <c r="E210" s="18"/>
      <c r="F210" s="61"/>
      <c r="G210" s="79"/>
      <c r="H210" s="79"/>
      <c r="I210" s="79"/>
      <c r="J210" s="14"/>
      <c r="K210" s="38"/>
      <c r="L210" s="38"/>
      <c r="M210" s="17"/>
    </row>
    <row r="211" spans="2:13" ht="14.45" customHeight="1" x14ac:dyDescent="0.25">
      <c r="B211" s="17"/>
      <c r="C211" s="14"/>
      <c r="D211" s="14"/>
      <c r="E211" s="18"/>
      <c r="F211" s="61"/>
      <c r="G211" s="79"/>
      <c r="H211" s="79"/>
      <c r="I211" s="79"/>
      <c r="J211" s="14"/>
      <c r="K211" s="38"/>
      <c r="L211" s="38"/>
      <c r="M211" s="17"/>
    </row>
    <row r="212" spans="2:13" ht="14.45" customHeight="1" x14ac:dyDescent="0.25">
      <c r="B212" s="17"/>
      <c r="C212" s="14"/>
      <c r="D212" s="14"/>
      <c r="E212" s="18"/>
      <c r="F212" s="61"/>
      <c r="G212" s="79"/>
      <c r="H212" s="79"/>
      <c r="I212" s="79"/>
      <c r="J212" s="14"/>
      <c r="K212" s="38"/>
      <c r="L212" s="38"/>
      <c r="M212" s="17"/>
    </row>
    <row r="213" spans="2:13" ht="14.45" customHeight="1" x14ac:dyDescent="0.25">
      <c r="B213" s="17"/>
      <c r="C213" s="14"/>
      <c r="D213" s="14"/>
      <c r="E213" s="18"/>
      <c r="F213" s="61"/>
      <c r="G213" s="79"/>
      <c r="H213" s="79"/>
      <c r="I213" s="79"/>
      <c r="J213" s="14"/>
      <c r="K213" s="38"/>
      <c r="L213" s="38"/>
      <c r="M213" s="17"/>
    </row>
    <row r="214" spans="2:13" ht="14.45" customHeight="1" x14ac:dyDescent="0.25">
      <c r="B214" s="17"/>
      <c r="C214" s="14"/>
      <c r="D214" s="14"/>
      <c r="E214" s="18"/>
      <c r="F214" s="61"/>
      <c r="G214" s="79"/>
      <c r="H214" s="79"/>
      <c r="I214" s="79"/>
      <c r="J214" s="14"/>
      <c r="K214" s="38"/>
      <c r="L214" s="38"/>
      <c r="M214" s="17"/>
    </row>
    <row r="215" spans="2:13" ht="14.45" customHeight="1" x14ac:dyDescent="0.25">
      <c r="B215" s="17"/>
      <c r="C215" s="14"/>
      <c r="D215" s="14"/>
      <c r="E215" s="18"/>
      <c r="F215" s="61"/>
      <c r="G215" s="79"/>
      <c r="H215" s="79"/>
      <c r="I215" s="79"/>
      <c r="J215" s="14"/>
      <c r="K215" s="38"/>
      <c r="L215" s="38"/>
      <c r="M215" s="17"/>
    </row>
    <row r="216" spans="2:13" ht="14.45" customHeight="1" x14ac:dyDescent="0.25">
      <c r="B216" s="17"/>
      <c r="C216" s="14"/>
      <c r="D216" s="14"/>
      <c r="E216" s="18"/>
      <c r="F216" s="61"/>
      <c r="G216" s="79"/>
      <c r="H216" s="79"/>
      <c r="I216" s="79"/>
      <c r="J216" s="14"/>
      <c r="K216" s="38"/>
      <c r="L216" s="38"/>
      <c r="M216" s="17"/>
    </row>
    <row r="217" spans="2:13" ht="14.45" customHeight="1" x14ac:dyDescent="0.25">
      <c r="B217" s="17"/>
      <c r="C217" s="14"/>
      <c r="D217" s="14"/>
      <c r="E217" s="18"/>
      <c r="F217" s="61"/>
      <c r="G217" s="79"/>
      <c r="H217" s="79"/>
      <c r="I217" s="79"/>
      <c r="J217" s="14"/>
      <c r="K217" s="38"/>
      <c r="L217" s="38"/>
      <c r="M217" s="17"/>
    </row>
    <row r="218" spans="2:13" ht="14.45" customHeight="1" x14ac:dyDescent="0.25">
      <c r="B218" s="17"/>
      <c r="C218" s="14"/>
      <c r="D218" s="14"/>
      <c r="E218" s="18"/>
      <c r="F218" s="61"/>
      <c r="G218" s="79"/>
      <c r="H218" s="79"/>
      <c r="I218" s="79"/>
      <c r="J218" s="14"/>
      <c r="K218" s="38"/>
      <c r="L218" s="38"/>
      <c r="M218" s="17"/>
    </row>
    <row r="219" spans="2:13" ht="14.45" customHeight="1" x14ac:dyDescent="0.25">
      <c r="B219" s="17"/>
      <c r="C219" s="14"/>
      <c r="D219" s="14"/>
      <c r="E219" s="18"/>
      <c r="F219" s="61"/>
      <c r="G219" s="79"/>
      <c r="H219" s="79"/>
      <c r="I219" s="79"/>
      <c r="J219" s="14"/>
      <c r="K219" s="38"/>
      <c r="L219" s="38"/>
      <c r="M219" s="17"/>
    </row>
    <row r="220" spans="2:13" ht="14.45" customHeight="1" x14ac:dyDescent="0.25">
      <c r="B220" s="17"/>
      <c r="C220" s="14"/>
      <c r="D220" s="14"/>
      <c r="E220" s="18"/>
      <c r="F220" s="61"/>
      <c r="G220" s="79"/>
      <c r="H220" s="79"/>
      <c r="I220" s="79"/>
      <c r="J220" s="14"/>
      <c r="K220" s="38"/>
      <c r="L220" s="38"/>
      <c r="M220" s="17"/>
    </row>
    <row r="221" spans="2:13" ht="14.45" customHeight="1" x14ac:dyDescent="0.25">
      <c r="B221" s="17"/>
      <c r="C221" s="14"/>
      <c r="D221" s="14"/>
      <c r="E221" s="18"/>
      <c r="F221" s="61"/>
      <c r="G221" s="79"/>
      <c r="H221" s="79"/>
      <c r="I221" s="79"/>
      <c r="J221" s="14"/>
      <c r="K221" s="38"/>
      <c r="L221" s="38"/>
      <c r="M221" s="17"/>
    </row>
    <row r="222" spans="2:13" ht="14.45" customHeight="1" x14ac:dyDescent="0.25">
      <c r="B222" s="17"/>
      <c r="C222" s="14"/>
      <c r="D222" s="14"/>
      <c r="E222" s="18"/>
      <c r="F222" s="61"/>
      <c r="G222" s="79"/>
      <c r="H222" s="79"/>
      <c r="I222" s="79"/>
      <c r="J222" s="14"/>
      <c r="K222" s="38"/>
      <c r="L222" s="38"/>
      <c r="M222" s="17"/>
    </row>
    <row r="223" spans="2:13" ht="14.45" customHeight="1" x14ac:dyDescent="0.25">
      <c r="B223" s="17"/>
      <c r="C223" s="14"/>
      <c r="D223" s="14"/>
      <c r="E223" s="18"/>
      <c r="F223" s="61"/>
      <c r="G223" s="79"/>
      <c r="H223" s="79"/>
      <c r="I223" s="79"/>
      <c r="J223" s="14"/>
      <c r="K223" s="38"/>
      <c r="L223" s="38"/>
      <c r="M223" s="17"/>
    </row>
    <row r="224" spans="2:13" ht="14.45" customHeight="1" x14ac:dyDescent="0.25">
      <c r="B224" s="17"/>
      <c r="C224" s="14"/>
      <c r="D224" s="14"/>
      <c r="E224" s="18"/>
      <c r="F224" s="61"/>
      <c r="G224" s="79"/>
      <c r="H224" s="79"/>
      <c r="I224" s="79"/>
      <c r="J224" s="14"/>
      <c r="K224" s="38"/>
      <c r="L224" s="38"/>
      <c r="M224" s="17"/>
    </row>
    <row r="225" spans="2:13" ht="14.45" customHeight="1" x14ac:dyDescent="0.25">
      <c r="B225" s="17"/>
      <c r="C225" s="14"/>
      <c r="D225" s="14"/>
      <c r="E225" s="18"/>
      <c r="F225" s="61"/>
      <c r="G225" s="79"/>
      <c r="H225" s="79"/>
      <c r="I225" s="79"/>
      <c r="J225" s="14"/>
      <c r="K225" s="38"/>
      <c r="L225" s="38"/>
      <c r="M225" s="17"/>
    </row>
    <row r="226" spans="2:13" ht="14.45" customHeight="1" x14ac:dyDescent="0.25">
      <c r="B226" s="17"/>
      <c r="C226" s="14"/>
      <c r="D226" s="14"/>
      <c r="E226" s="18"/>
      <c r="F226" s="61"/>
      <c r="G226" s="79"/>
      <c r="H226" s="79"/>
      <c r="I226" s="79"/>
      <c r="J226" s="14"/>
      <c r="K226" s="38"/>
      <c r="L226" s="38"/>
      <c r="M226" s="17"/>
    </row>
    <row r="227" spans="2:13" ht="14.45" customHeight="1" x14ac:dyDescent="0.25">
      <c r="B227" s="17"/>
      <c r="C227" s="14"/>
      <c r="D227" s="14"/>
      <c r="E227" s="18"/>
      <c r="F227" s="61"/>
      <c r="G227" s="79"/>
      <c r="H227" s="79"/>
      <c r="I227" s="79"/>
      <c r="J227" s="14"/>
      <c r="K227" s="38"/>
      <c r="L227" s="38"/>
      <c r="M227" s="17"/>
    </row>
    <row r="228" spans="2:13" ht="14.45" customHeight="1" x14ac:dyDescent="0.25">
      <c r="B228" s="17"/>
      <c r="C228" s="14"/>
      <c r="D228" s="14"/>
      <c r="E228" s="18"/>
      <c r="F228" s="61"/>
      <c r="G228" s="79"/>
      <c r="H228" s="79"/>
      <c r="I228" s="79"/>
      <c r="J228" s="14"/>
      <c r="K228" s="38"/>
      <c r="L228" s="38"/>
      <c r="M228" s="17"/>
    </row>
    <row r="229" spans="2:13" ht="14.45" customHeight="1" x14ac:dyDescent="0.25">
      <c r="B229" s="17"/>
      <c r="C229" s="14"/>
      <c r="D229" s="14"/>
      <c r="E229" s="18"/>
      <c r="F229" s="61"/>
      <c r="G229" s="79"/>
      <c r="H229" s="79"/>
      <c r="I229" s="79"/>
      <c r="J229" s="14"/>
      <c r="K229" s="38"/>
      <c r="L229" s="38"/>
      <c r="M229" s="17"/>
    </row>
    <row r="230" spans="2:13" ht="14.45" customHeight="1" x14ac:dyDescent="0.25">
      <c r="B230" s="17"/>
      <c r="C230" s="14"/>
      <c r="D230" s="14"/>
      <c r="E230" s="18"/>
      <c r="F230" s="61"/>
      <c r="G230" s="79"/>
      <c r="H230" s="79"/>
      <c r="I230" s="79"/>
      <c r="J230" s="14"/>
      <c r="K230" s="38"/>
      <c r="L230" s="38"/>
      <c r="M230" s="17"/>
    </row>
    <row r="231" spans="2:13" ht="14.45" customHeight="1" x14ac:dyDescent="0.25">
      <c r="B231" s="17"/>
      <c r="C231" s="14"/>
      <c r="D231" s="14"/>
      <c r="E231" s="18"/>
      <c r="F231" s="61"/>
      <c r="G231" s="79"/>
      <c r="H231" s="79"/>
      <c r="I231" s="79"/>
      <c r="J231" s="14"/>
      <c r="K231" s="38"/>
      <c r="L231" s="38"/>
      <c r="M231" s="17"/>
    </row>
    <row r="232" spans="2:13" ht="14.45" customHeight="1" x14ac:dyDescent="0.25">
      <c r="B232" s="17"/>
      <c r="C232" s="14"/>
      <c r="D232" s="14"/>
      <c r="E232" s="18"/>
      <c r="F232" s="61"/>
      <c r="G232" s="79"/>
      <c r="H232" s="79"/>
      <c r="I232" s="79"/>
      <c r="J232" s="14"/>
      <c r="K232" s="38"/>
      <c r="L232" s="38"/>
      <c r="M232" s="17"/>
    </row>
    <row r="233" spans="2:13" ht="14.45" customHeight="1" x14ac:dyDescent="0.25">
      <c r="B233" s="17"/>
      <c r="C233" s="14"/>
      <c r="D233" s="14"/>
      <c r="E233" s="18"/>
      <c r="F233" s="61"/>
      <c r="G233" s="79"/>
      <c r="H233" s="79"/>
      <c r="I233" s="79"/>
      <c r="J233" s="14"/>
      <c r="K233" s="38"/>
      <c r="L233" s="38"/>
      <c r="M233" s="17"/>
    </row>
    <row r="234" spans="2:13" ht="14.45" customHeight="1" x14ac:dyDescent="0.25">
      <c r="B234" s="17"/>
      <c r="C234" s="14"/>
      <c r="D234" s="14"/>
      <c r="E234" s="18"/>
      <c r="F234" s="61"/>
      <c r="G234" s="79"/>
      <c r="H234" s="79"/>
      <c r="I234" s="79"/>
      <c r="J234" s="14"/>
      <c r="K234" s="38"/>
      <c r="L234" s="38"/>
      <c r="M234" s="17"/>
    </row>
    <row r="235" spans="2:13" ht="14.45" customHeight="1" x14ac:dyDescent="0.25">
      <c r="B235" s="17"/>
      <c r="C235" s="14"/>
      <c r="D235" s="14"/>
      <c r="E235" s="18"/>
      <c r="F235" s="61"/>
      <c r="G235" s="79"/>
      <c r="H235" s="79"/>
      <c r="I235" s="79"/>
      <c r="J235" s="14"/>
      <c r="K235" s="38"/>
      <c r="L235" s="38"/>
      <c r="M235" s="17"/>
    </row>
    <row r="236" spans="2:13" ht="14.45" customHeight="1" x14ac:dyDescent="0.25">
      <c r="B236" s="17"/>
      <c r="C236" s="14"/>
      <c r="D236" s="14"/>
      <c r="E236" s="18"/>
      <c r="F236" s="61"/>
      <c r="G236" s="79"/>
      <c r="H236" s="79"/>
      <c r="I236" s="79"/>
      <c r="J236" s="14"/>
      <c r="K236" s="38"/>
      <c r="L236" s="38"/>
      <c r="M236" s="17"/>
    </row>
    <row r="237" spans="2:13" ht="14.45" customHeight="1" x14ac:dyDescent="0.25">
      <c r="B237" s="17"/>
      <c r="C237" s="14"/>
      <c r="D237" s="14"/>
      <c r="E237" s="18"/>
      <c r="F237" s="61"/>
      <c r="G237" s="79"/>
      <c r="H237" s="79"/>
      <c r="I237" s="79"/>
      <c r="J237" s="14"/>
      <c r="K237" s="38"/>
      <c r="L237" s="38"/>
      <c r="M237" s="17"/>
    </row>
    <row r="238" spans="2:13" ht="14.45" customHeight="1" x14ac:dyDescent="0.25">
      <c r="B238" s="17"/>
      <c r="C238" s="14"/>
      <c r="D238" s="14"/>
      <c r="E238" s="18"/>
      <c r="F238" s="61"/>
      <c r="G238" s="79"/>
      <c r="H238" s="79"/>
      <c r="I238" s="79"/>
      <c r="J238" s="14"/>
      <c r="K238" s="38"/>
      <c r="L238" s="38"/>
      <c r="M238" s="17"/>
    </row>
    <row r="239" spans="2:13" ht="14.45" customHeight="1" x14ac:dyDescent="0.25">
      <c r="B239" s="17"/>
      <c r="C239" s="14"/>
      <c r="D239" s="14"/>
      <c r="E239" s="18"/>
      <c r="F239" s="61"/>
      <c r="G239" s="79"/>
      <c r="H239" s="79"/>
      <c r="I239" s="79"/>
      <c r="J239" s="14"/>
      <c r="K239" s="38"/>
      <c r="L239" s="38"/>
      <c r="M239" s="17"/>
    </row>
    <row r="240" spans="2:13" ht="14.45" customHeight="1" x14ac:dyDescent="0.25">
      <c r="B240" s="17"/>
      <c r="C240" s="14"/>
      <c r="D240" s="14"/>
      <c r="E240" s="18"/>
      <c r="F240" s="61"/>
      <c r="G240" s="79"/>
      <c r="H240" s="79"/>
      <c r="I240" s="79"/>
      <c r="J240" s="14"/>
      <c r="K240" s="38"/>
      <c r="L240" s="38"/>
      <c r="M240" s="17"/>
    </row>
    <row r="241" spans="2:13" ht="14.45" customHeight="1" x14ac:dyDescent="0.25">
      <c r="B241" s="17"/>
      <c r="C241" s="14"/>
      <c r="D241" s="14"/>
      <c r="E241" s="18"/>
      <c r="F241" s="61"/>
      <c r="G241" s="79"/>
      <c r="H241" s="79"/>
      <c r="I241" s="79"/>
      <c r="J241" s="14"/>
      <c r="K241" s="38"/>
      <c r="L241" s="38"/>
      <c r="M241" s="17"/>
    </row>
    <row r="242" spans="2:13" ht="14.45" customHeight="1" x14ac:dyDescent="0.25">
      <c r="B242" s="17"/>
      <c r="C242" s="14"/>
      <c r="D242" s="14"/>
      <c r="E242" s="18"/>
      <c r="F242" s="61"/>
      <c r="G242" s="79"/>
      <c r="H242" s="79"/>
      <c r="I242" s="79"/>
      <c r="J242" s="14"/>
      <c r="K242" s="38"/>
      <c r="L242" s="38"/>
      <c r="M242" s="17"/>
    </row>
    <row r="243" spans="2:13" ht="14.45" customHeight="1" x14ac:dyDescent="0.25">
      <c r="B243" s="17"/>
      <c r="C243" s="14"/>
      <c r="D243" s="14"/>
      <c r="E243" s="18"/>
      <c r="F243" s="61"/>
      <c r="G243" s="79"/>
      <c r="H243" s="79"/>
      <c r="I243" s="79"/>
      <c r="J243" s="14"/>
      <c r="K243" s="38"/>
      <c r="L243" s="38"/>
      <c r="M243" s="17"/>
    </row>
    <row r="244" spans="2:13" ht="14.45" customHeight="1" x14ac:dyDescent="0.25">
      <c r="B244" s="17"/>
      <c r="C244" s="14"/>
      <c r="D244" s="14"/>
      <c r="E244" s="18"/>
      <c r="F244" s="61"/>
      <c r="G244" s="79"/>
      <c r="H244" s="79"/>
      <c r="I244" s="79"/>
      <c r="J244" s="14"/>
      <c r="K244" s="38"/>
      <c r="L244" s="38"/>
      <c r="M244" s="17"/>
    </row>
    <row r="245" spans="2:13" ht="14.45" customHeight="1" x14ac:dyDescent="0.25">
      <c r="B245" s="17"/>
      <c r="C245" s="14"/>
      <c r="D245" s="14"/>
      <c r="E245" s="18"/>
      <c r="F245" s="61"/>
      <c r="G245" s="79"/>
      <c r="H245" s="79"/>
      <c r="I245" s="79"/>
      <c r="J245" s="14"/>
      <c r="K245" s="38"/>
      <c r="L245" s="38"/>
      <c r="M245" s="17"/>
    </row>
    <row r="246" spans="2:13" ht="14.45" customHeight="1" x14ac:dyDescent="0.25">
      <c r="B246" s="17"/>
      <c r="C246" s="14"/>
      <c r="D246" s="14"/>
      <c r="E246" s="18"/>
      <c r="F246" s="61"/>
      <c r="G246" s="79"/>
      <c r="H246" s="79"/>
      <c r="I246" s="79"/>
      <c r="J246" s="14"/>
      <c r="K246" s="38"/>
      <c r="L246" s="38"/>
      <c r="M246" s="17"/>
    </row>
    <row r="247" spans="2:13" ht="14.45" customHeight="1" x14ac:dyDescent="0.25">
      <c r="B247" s="17"/>
      <c r="C247" s="14"/>
      <c r="D247" s="14"/>
      <c r="E247" s="18"/>
      <c r="F247" s="61"/>
      <c r="G247" s="79"/>
      <c r="H247" s="79"/>
      <c r="I247" s="79"/>
      <c r="J247" s="14"/>
      <c r="K247" s="38"/>
      <c r="L247" s="38"/>
      <c r="M247" s="17"/>
    </row>
    <row r="248" spans="2:13" ht="14.45" customHeight="1" x14ac:dyDescent="0.25">
      <c r="B248" s="17"/>
      <c r="C248" s="14"/>
      <c r="D248" s="14"/>
      <c r="E248" s="18"/>
      <c r="F248" s="61"/>
      <c r="G248" s="79"/>
      <c r="H248" s="79"/>
      <c r="I248" s="79"/>
      <c r="J248" s="14"/>
      <c r="K248" s="38"/>
      <c r="L248" s="38"/>
      <c r="M248" s="17"/>
    </row>
    <row r="249" spans="2:13" ht="14.45" customHeight="1" x14ac:dyDescent="0.25">
      <c r="B249" s="17"/>
      <c r="C249" s="14"/>
      <c r="D249" s="14"/>
      <c r="E249" s="18"/>
      <c r="F249" s="61"/>
      <c r="G249" s="79"/>
      <c r="H249" s="79"/>
      <c r="I249" s="79"/>
      <c r="J249" s="14"/>
      <c r="K249" s="38"/>
      <c r="L249" s="38"/>
      <c r="M249" s="17"/>
    </row>
    <row r="250" spans="2:13" ht="14.45" customHeight="1" x14ac:dyDescent="0.25">
      <c r="B250" s="17"/>
      <c r="C250" s="14"/>
      <c r="D250" s="14"/>
      <c r="E250" s="18"/>
      <c r="F250" s="61"/>
      <c r="G250" s="79"/>
      <c r="H250" s="79"/>
      <c r="I250" s="79"/>
      <c r="J250" s="14"/>
      <c r="K250" s="38"/>
      <c r="L250" s="38"/>
      <c r="M250" s="17"/>
    </row>
    <row r="251" spans="2:13" ht="14.45" customHeight="1" x14ac:dyDescent="0.25">
      <c r="B251" s="17"/>
      <c r="C251" s="14"/>
      <c r="D251" s="14"/>
      <c r="E251" s="18"/>
      <c r="F251" s="61"/>
      <c r="G251" s="79"/>
      <c r="H251" s="79"/>
      <c r="I251" s="79"/>
      <c r="J251" s="14"/>
      <c r="K251" s="38"/>
      <c r="L251" s="38"/>
      <c r="M251" s="17"/>
    </row>
    <row r="252" spans="2:13" ht="14.45" customHeight="1" x14ac:dyDescent="0.25">
      <c r="B252" s="17"/>
      <c r="C252" s="14"/>
      <c r="D252" s="14"/>
      <c r="E252" s="18"/>
      <c r="F252" s="61"/>
      <c r="G252" s="79"/>
      <c r="H252" s="79"/>
      <c r="I252" s="79"/>
      <c r="J252" s="14"/>
      <c r="K252" s="38"/>
      <c r="L252" s="38"/>
      <c r="M252" s="17"/>
    </row>
    <row r="253" spans="2:13" ht="14.45" customHeight="1" x14ac:dyDescent="0.25">
      <c r="B253" s="17"/>
      <c r="C253" s="14"/>
      <c r="D253" s="14"/>
      <c r="E253" s="18"/>
      <c r="F253" s="61"/>
      <c r="G253" s="79"/>
      <c r="H253" s="79"/>
      <c r="I253" s="79"/>
      <c r="J253" s="14"/>
      <c r="K253" s="38"/>
      <c r="L253" s="38"/>
      <c r="M253" s="17"/>
    </row>
    <row r="254" spans="2:13" ht="14.45" customHeight="1" x14ac:dyDescent="0.25">
      <c r="B254" s="17"/>
      <c r="C254" s="14"/>
      <c r="D254" s="14"/>
      <c r="E254" s="18"/>
      <c r="F254" s="61"/>
      <c r="G254" s="79"/>
      <c r="H254" s="79"/>
      <c r="I254" s="79"/>
      <c r="J254" s="14"/>
      <c r="K254" s="38"/>
      <c r="L254" s="38"/>
      <c r="M254" s="17"/>
    </row>
    <row r="255" spans="2:13" ht="14.45" customHeight="1" x14ac:dyDescent="0.25">
      <c r="B255" s="17"/>
      <c r="C255" s="14"/>
      <c r="D255" s="14"/>
      <c r="E255" s="18"/>
      <c r="F255" s="61"/>
      <c r="G255" s="79"/>
      <c r="H255" s="79"/>
      <c r="I255" s="79"/>
      <c r="J255" s="14"/>
      <c r="K255" s="38"/>
      <c r="L255" s="38"/>
      <c r="M255" s="17"/>
    </row>
    <row r="256" spans="2:13" ht="14.45" customHeight="1" x14ac:dyDescent="0.25">
      <c r="B256" s="17"/>
      <c r="C256" s="14"/>
      <c r="D256" s="14"/>
      <c r="E256" s="18"/>
      <c r="F256" s="61"/>
      <c r="G256" s="79"/>
      <c r="H256" s="79"/>
      <c r="I256" s="79"/>
      <c r="J256" s="14"/>
      <c r="K256" s="38"/>
      <c r="L256" s="38"/>
      <c r="M256" s="17"/>
    </row>
    <row r="257" spans="2:13" ht="14.45" customHeight="1" x14ac:dyDescent="0.25">
      <c r="B257" s="17"/>
      <c r="C257" s="14"/>
      <c r="D257" s="14"/>
      <c r="E257" s="18"/>
      <c r="F257" s="61"/>
      <c r="G257" s="79"/>
      <c r="H257" s="79"/>
      <c r="I257" s="79"/>
      <c r="J257" s="14"/>
      <c r="K257" s="38"/>
      <c r="L257" s="38"/>
      <c r="M257" s="17"/>
    </row>
    <row r="258" spans="2:13" ht="14.45" customHeight="1" x14ac:dyDescent="0.25">
      <c r="B258" s="17"/>
      <c r="C258" s="14"/>
      <c r="D258" s="14"/>
      <c r="E258" s="18"/>
      <c r="F258" s="61"/>
      <c r="G258" s="79"/>
      <c r="H258" s="79"/>
      <c r="I258" s="79"/>
      <c r="J258" s="14"/>
      <c r="K258" s="38"/>
      <c r="L258" s="38"/>
      <c r="M258" s="17"/>
    </row>
    <row r="259" spans="2:13" ht="14.45" customHeight="1" x14ac:dyDescent="0.25">
      <c r="B259" s="17"/>
      <c r="C259" s="14"/>
      <c r="D259" s="14"/>
      <c r="E259" s="18"/>
      <c r="F259" s="61"/>
      <c r="G259" s="79"/>
      <c r="H259" s="79"/>
      <c r="I259" s="79"/>
      <c r="J259" s="14"/>
      <c r="K259" s="38"/>
      <c r="L259" s="38"/>
      <c r="M259" s="17"/>
    </row>
    <row r="260" spans="2:13" ht="14.45" customHeight="1" x14ac:dyDescent="0.25">
      <c r="B260" s="17"/>
      <c r="C260" s="14"/>
      <c r="D260" s="14"/>
      <c r="E260" s="18"/>
      <c r="F260" s="61"/>
      <c r="G260" s="79"/>
      <c r="H260" s="79"/>
      <c r="I260" s="79"/>
      <c r="J260" s="14"/>
      <c r="K260" s="38"/>
      <c r="L260" s="38"/>
      <c r="M260" s="17"/>
    </row>
    <row r="261" spans="2:13" ht="14.45" customHeight="1" x14ac:dyDescent="0.25">
      <c r="B261" s="17"/>
      <c r="C261" s="14"/>
      <c r="D261" s="14"/>
      <c r="E261" s="18"/>
      <c r="F261" s="61"/>
      <c r="G261" s="79"/>
      <c r="H261" s="79"/>
      <c r="I261" s="79"/>
      <c r="J261" s="14"/>
      <c r="K261" s="38"/>
      <c r="L261" s="38"/>
      <c r="M261" s="17"/>
    </row>
    <row r="262" spans="2:13" ht="14.45" customHeight="1" x14ac:dyDescent="0.25">
      <c r="B262" s="17"/>
      <c r="C262" s="14"/>
      <c r="D262" s="14"/>
      <c r="E262" s="18"/>
      <c r="F262" s="61"/>
      <c r="G262" s="79"/>
      <c r="H262" s="79"/>
      <c r="I262" s="79"/>
      <c r="J262" s="14"/>
      <c r="K262" s="38"/>
      <c r="L262" s="38"/>
      <c r="M262" s="17"/>
    </row>
    <row r="263" spans="2:13" ht="14.45" customHeight="1" x14ac:dyDescent="0.25">
      <c r="B263" s="17"/>
      <c r="C263" s="14"/>
      <c r="D263" s="14"/>
      <c r="E263" s="18"/>
      <c r="F263" s="61"/>
      <c r="G263" s="79"/>
      <c r="H263" s="79"/>
      <c r="I263" s="79"/>
      <c r="J263" s="14"/>
      <c r="K263" s="38"/>
      <c r="L263" s="38"/>
      <c r="M263" s="17"/>
    </row>
    <row r="264" spans="2:13" ht="14.45" customHeight="1" x14ac:dyDescent="0.25">
      <c r="B264" s="17"/>
      <c r="C264" s="14"/>
      <c r="D264" s="14"/>
      <c r="E264" s="18"/>
      <c r="F264" s="61"/>
      <c r="G264" s="79"/>
      <c r="H264" s="79"/>
      <c r="I264" s="79"/>
      <c r="J264" s="14"/>
      <c r="K264" s="38"/>
      <c r="L264" s="38"/>
      <c r="M264" s="17"/>
    </row>
    <row r="265" spans="2:13" ht="14.45" customHeight="1" x14ac:dyDescent="0.25">
      <c r="B265" s="17"/>
      <c r="C265" s="14"/>
      <c r="D265" s="14"/>
      <c r="E265" s="18"/>
      <c r="F265" s="61"/>
      <c r="G265" s="79"/>
      <c r="H265" s="79"/>
      <c r="I265" s="79"/>
      <c r="J265" s="14"/>
      <c r="K265" s="38"/>
      <c r="L265" s="38"/>
      <c r="M265" s="17"/>
    </row>
    <row r="266" spans="2:13" ht="14.45" customHeight="1" x14ac:dyDescent="0.25">
      <c r="B266" s="17"/>
      <c r="C266" s="14"/>
      <c r="D266" s="14"/>
      <c r="E266" s="18"/>
      <c r="F266" s="61"/>
      <c r="G266" s="79"/>
      <c r="H266" s="79"/>
      <c r="I266" s="79"/>
      <c r="J266" s="14"/>
      <c r="K266" s="38"/>
      <c r="L266" s="38"/>
      <c r="M266" s="17"/>
    </row>
    <row r="267" spans="2:13" ht="14.45" customHeight="1" x14ac:dyDescent="0.25">
      <c r="B267" s="17"/>
      <c r="C267" s="14"/>
      <c r="D267" s="14"/>
      <c r="E267" s="18"/>
      <c r="F267" s="61"/>
      <c r="G267" s="79"/>
      <c r="H267" s="79"/>
      <c r="I267" s="79"/>
      <c r="J267" s="14"/>
      <c r="K267" s="38"/>
      <c r="L267" s="38"/>
      <c r="M267" s="17"/>
    </row>
    <row r="268" spans="2:13" ht="14.45" customHeight="1" x14ac:dyDescent="0.25">
      <c r="B268" s="17"/>
      <c r="C268" s="14"/>
      <c r="D268" s="14"/>
      <c r="E268" s="18"/>
      <c r="F268" s="61"/>
      <c r="G268" s="79"/>
      <c r="H268" s="79"/>
      <c r="I268" s="79"/>
      <c r="J268" s="14"/>
      <c r="K268" s="38"/>
      <c r="L268" s="38"/>
      <c r="M268" s="17"/>
    </row>
    <row r="269" spans="2:13" ht="14.45" customHeight="1" x14ac:dyDescent="0.25">
      <c r="B269" s="17"/>
      <c r="C269" s="14"/>
      <c r="D269" s="14"/>
      <c r="E269" s="18"/>
      <c r="F269" s="61"/>
      <c r="G269" s="79"/>
      <c r="H269" s="79"/>
      <c r="I269" s="79"/>
      <c r="J269" s="14"/>
      <c r="K269" s="38"/>
      <c r="L269" s="38"/>
      <c r="M269" s="17"/>
    </row>
    <row r="270" spans="2:13" ht="14.45" customHeight="1" x14ac:dyDescent="0.25">
      <c r="B270" s="17"/>
      <c r="C270" s="14"/>
      <c r="D270" s="14"/>
      <c r="E270" s="18"/>
      <c r="F270" s="61"/>
      <c r="G270" s="79"/>
      <c r="H270" s="79"/>
      <c r="I270" s="79"/>
      <c r="J270" s="14"/>
      <c r="K270" s="38"/>
      <c r="L270" s="38"/>
      <c r="M270" s="17"/>
    </row>
    <row r="271" spans="2:13" ht="14.45" customHeight="1" x14ac:dyDescent="0.25">
      <c r="B271" s="17"/>
      <c r="C271" s="14"/>
      <c r="D271" s="14"/>
      <c r="E271" s="18"/>
      <c r="F271" s="61"/>
      <c r="G271" s="79"/>
      <c r="H271" s="79"/>
      <c r="I271" s="79"/>
      <c r="J271" s="14"/>
      <c r="K271" s="38"/>
      <c r="L271" s="38"/>
      <c r="M271" s="17"/>
    </row>
    <row r="272" spans="2:13" ht="14.45" customHeight="1" x14ac:dyDescent="0.25">
      <c r="B272" s="17"/>
      <c r="C272" s="14"/>
      <c r="D272" s="14"/>
      <c r="E272" s="18"/>
      <c r="F272" s="61"/>
      <c r="G272" s="79"/>
      <c r="H272" s="79"/>
      <c r="I272" s="79"/>
      <c r="J272" s="14"/>
      <c r="K272" s="38"/>
      <c r="L272" s="38"/>
      <c r="M272" s="17"/>
    </row>
    <row r="273" spans="2:13" ht="14.45" customHeight="1" x14ac:dyDescent="0.25">
      <c r="B273" s="17"/>
      <c r="C273" s="14"/>
      <c r="D273" s="14"/>
      <c r="E273" s="18"/>
      <c r="F273" s="61"/>
      <c r="G273" s="79"/>
      <c r="H273" s="79"/>
      <c r="I273" s="79"/>
      <c r="J273" s="14"/>
      <c r="K273" s="38"/>
      <c r="L273" s="38"/>
      <c r="M273" s="17"/>
    </row>
    <row r="274" spans="2:13" ht="14.45" customHeight="1" x14ac:dyDescent="0.25">
      <c r="B274" s="17"/>
      <c r="C274" s="14"/>
      <c r="D274" s="14"/>
      <c r="E274" s="18"/>
      <c r="F274" s="61"/>
      <c r="G274" s="79"/>
      <c r="H274" s="79"/>
      <c r="I274" s="79"/>
      <c r="J274" s="14"/>
      <c r="K274" s="38"/>
      <c r="L274" s="38"/>
      <c r="M274" s="17"/>
    </row>
    <row r="275" spans="2:13" ht="14.45" customHeight="1" x14ac:dyDescent="0.25">
      <c r="B275" s="17"/>
      <c r="C275" s="14"/>
      <c r="D275" s="14"/>
      <c r="E275" s="18"/>
      <c r="F275" s="61"/>
      <c r="G275" s="79"/>
      <c r="H275" s="79"/>
      <c r="I275" s="79"/>
      <c r="J275" s="14"/>
      <c r="K275" s="38"/>
      <c r="L275" s="38"/>
      <c r="M275" s="17"/>
    </row>
    <row r="276" spans="2:13" ht="14.45" customHeight="1" x14ac:dyDescent="0.25">
      <c r="B276" s="17"/>
      <c r="C276" s="14"/>
      <c r="D276" s="14"/>
      <c r="E276" s="18"/>
      <c r="F276" s="61"/>
      <c r="G276" s="79"/>
      <c r="H276" s="79"/>
      <c r="I276" s="79"/>
      <c r="J276" s="14"/>
      <c r="K276" s="38"/>
      <c r="L276" s="38"/>
      <c r="M276" s="17"/>
    </row>
    <row r="277" spans="2:13" ht="14.45" customHeight="1" x14ac:dyDescent="0.25">
      <c r="B277" s="17"/>
      <c r="C277" s="14"/>
      <c r="D277" s="14"/>
      <c r="E277" s="18"/>
      <c r="F277" s="61"/>
      <c r="G277" s="79"/>
      <c r="H277" s="79"/>
      <c r="I277" s="79"/>
      <c r="J277" s="14"/>
      <c r="K277" s="38"/>
      <c r="L277" s="38"/>
      <c r="M277" s="17"/>
    </row>
    <row r="278" spans="2:13" ht="14.45" customHeight="1" x14ac:dyDescent="0.25">
      <c r="B278" s="17"/>
      <c r="C278" s="14"/>
      <c r="D278" s="14"/>
      <c r="E278" s="18"/>
      <c r="F278" s="61"/>
      <c r="G278" s="79"/>
      <c r="H278" s="79"/>
      <c r="I278" s="79"/>
      <c r="J278" s="14"/>
      <c r="K278" s="38"/>
      <c r="L278" s="38"/>
      <c r="M278" s="17"/>
    </row>
    <row r="279" spans="2:13" ht="14.45" customHeight="1" x14ac:dyDescent="0.25">
      <c r="B279" s="17"/>
      <c r="C279" s="14"/>
      <c r="D279" s="14"/>
      <c r="E279" s="18"/>
      <c r="F279" s="61"/>
      <c r="G279" s="79"/>
      <c r="H279" s="79"/>
      <c r="I279" s="79"/>
      <c r="J279" s="14"/>
      <c r="K279" s="38"/>
      <c r="L279" s="38"/>
      <c r="M279" s="17"/>
    </row>
    <row r="280" spans="2:13" ht="14.45" customHeight="1" x14ac:dyDescent="0.25">
      <c r="B280" s="17"/>
      <c r="C280" s="14"/>
      <c r="D280" s="14"/>
      <c r="E280" s="18"/>
      <c r="F280" s="61"/>
      <c r="G280" s="79"/>
      <c r="H280" s="79"/>
      <c r="I280" s="79"/>
      <c r="J280" s="14"/>
      <c r="K280" s="38"/>
      <c r="L280" s="38"/>
      <c r="M280" s="17"/>
    </row>
    <row r="281" spans="2:13" ht="14.45" customHeight="1" x14ac:dyDescent="0.25">
      <c r="B281" s="17"/>
      <c r="C281" s="14"/>
      <c r="D281" s="14"/>
      <c r="E281" s="18"/>
      <c r="F281" s="61"/>
      <c r="G281" s="79"/>
      <c r="H281" s="79"/>
      <c r="I281" s="79"/>
      <c r="J281" s="14"/>
      <c r="K281" s="38"/>
      <c r="L281" s="38"/>
      <c r="M281" s="17"/>
    </row>
    <row r="282" spans="2:13" ht="14.45" customHeight="1" x14ac:dyDescent="0.25">
      <c r="B282" s="17"/>
      <c r="C282" s="14"/>
      <c r="D282" s="14"/>
      <c r="E282" s="18"/>
      <c r="F282" s="61"/>
      <c r="G282" s="79"/>
      <c r="H282" s="79"/>
      <c r="I282" s="79"/>
      <c r="J282" s="14"/>
      <c r="K282" s="38"/>
      <c r="L282" s="38"/>
      <c r="M282" s="17"/>
    </row>
    <row r="283" spans="2:13" ht="14.45" customHeight="1" x14ac:dyDescent="0.25">
      <c r="B283" s="17"/>
      <c r="C283" s="14"/>
      <c r="D283" s="14"/>
      <c r="E283" s="18"/>
      <c r="F283" s="61"/>
      <c r="G283" s="79"/>
      <c r="H283" s="79"/>
      <c r="I283" s="79"/>
      <c r="J283" s="14"/>
      <c r="K283" s="38"/>
      <c r="L283" s="38"/>
      <c r="M283" s="17"/>
    </row>
    <row r="284" spans="2:13" ht="14.45" customHeight="1" x14ac:dyDescent="0.25">
      <c r="B284" s="17"/>
      <c r="C284" s="14"/>
      <c r="D284" s="14"/>
      <c r="E284" s="18"/>
      <c r="F284" s="61"/>
      <c r="G284" s="79"/>
      <c r="H284" s="79"/>
      <c r="I284" s="79"/>
      <c r="J284" s="14"/>
      <c r="K284" s="38"/>
      <c r="L284" s="38"/>
      <c r="M284" s="17"/>
    </row>
    <row r="285" spans="2:13" ht="14.45" customHeight="1" x14ac:dyDescent="0.25">
      <c r="B285" s="17"/>
      <c r="C285" s="14"/>
      <c r="D285" s="14"/>
      <c r="E285" s="18"/>
      <c r="F285" s="61"/>
      <c r="G285" s="79"/>
      <c r="H285" s="79"/>
      <c r="I285" s="79"/>
      <c r="J285" s="14"/>
      <c r="K285" s="38"/>
      <c r="L285" s="38"/>
      <c r="M285" s="17"/>
    </row>
    <row r="286" spans="2:13" ht="14.45" customHeight="1" x14ac:dyDescent="0.25">
      <c r="B286" s="17"/>
      <c r="C286" s="14"/>
      <c r="D286" s="14"/>
      <c r="E286" s="18"/>
      <c r="F286" s="61"/>
      <c r="G286" s="79"/>
      <c r="H286" s="79"/>
      <c r="I286" s="79"/>
      <c r="J286" s="14"/>
      <c r="K286" s="38"/>
      <c r="L286" s="38"/>
      <c r="M286" s="17"/>
    </row>
    <row r="287" spans="2:13" ht="14.45" customHeight="1" x14ac:dyDescent="0.25">
      <c r="B287" s="17"/>
      <c r="C287" s="14"/>
      <c r="D287" s="14"/>
      <c r="E287" s="18"/>
      <c r="F287" s="61"/>
      <c r="G287" s="79"/>
      <c r="H287" s="79"/>
      <c r="I287" s="79"/>
      <c r="J287" s="14"/>
      <c r="K287" s="38"/>
      <c r="L287" s="38"/>
      <c r="M287" s="17"/>
    </row>
    <row r="288" spans="2:13" ht="14.45" customHeight="1" x14ac:dyDescent="0.25">
      <c r="B288" s="17"/>
      <c r="C288" s="14"/>
      <c r="D288" s="14"/>
      <c r="E288" s="18"/>
      <c r="F288" s="61"/>
      <c r="G288" s="79"/>
      <c r="H288" s="79"/>
      <c r="I288" s="79"/>
      <c r="J288" s="14"/>
      <c r="K288" s="38"/>
      <c r="L288" s="38"/>
      <c r="M288" s="17"/>
    </row>
    <row r="289" spans="2:13" ht="14.45" customHeight="1" x14ac:dyDescent="0.25">
      <c r="B289" s="17"/>
      <c r="C289" s="14"/>
      <c r="D289" s="14"/>
      <c r="E289" s="18"/>
      <c r="F289" s="61"/>
      <c r="G289" s="79"/>
      <c r="H289" s="79"/>
      <c r="I289" s="79"/>
      <c r="J289" s="14"/>
      <c r="K289" s="38"/>
      <c r="L289" s="38"/>
      <c r="M289" s="17"/>
    </row>
    <row r="290" spans="2:13" ht="14.45" customHeight="1" x14ac:dyDescent="0.25">
      <c r="B290" s="17"/>
      <c r="C290" s="14"/>
      <c r="D290" s="14"/>
      <c r="E290" s="18"/>
      <c r="F290" s="61"/>
      <c r="G290" s="79"/>
      <c r="H290" s="79"/>
      <c r="I290" s="79"/>
      <c r="J290" s="14"/>
      <c r="K290" s="38"/>
      <c r="L290" s="38"/>
      <c r="M290" s="17"/>
    </row>
    <row r="291" spans="2:13" ht="14.45" customHeight="1" x14ac:dyDescent="0.25">
      <c r="B291" s="17"/>
      <c r="C291" s="14"/>
      <c r="D291" s="14"/>
      <c r="E291" s="18"/>
      <c r="F291" s="61"/>
      <c r="G291" s="79"/>
      <c r="H291" s="79"/>
      <c r="I291" s="79"/>
      <c r="J291" s="14"/>
      <c r="K291" s="38"/>
      <c r="L291" s="38"/>
      <c r="M291" s="17"/>
    </row>
    <row r="292" spans="2:13" ht="14.45" customHeight="1" x14ac:dyDescent="0.25">
      <c r="B292" s="17"/>
      <c r="C292" s="14"/>
      <c r="D292" s="14"/>
      <c r="E292" s="18"/>
      <c r="F292" s="61"/>
      <c r="G292" s="79"/>
      <c r="H292" s="79"/>
      <c r="I292" s="79"/>
      <c r="J292" s="14"/>
      <c r="K292" s="38"/>
      <c r="L292" s="38"/>
      <c r="M292" s="17"/>
    </row>
    <row r="293" spans="2:13" ht="14.45" customHeight="1" x14ac:dyDescent="0.25">
      <c r="B293" s="17"/>
      <c r="C293" s="14"/>
      <c r="D293" s="14"/>
      <c r="E293" s="18"/>
      <c r="F293" s="61"/>
      <c r="G293" s="79"/>
      <c r="H293" s="79"/>
      <c r="I293" s="79"/>
      <c r="J293" s="14"/>
      <c r="K293" s="38"/>
      <c r="L293" s="38"/>
      <c r="M293" s="17"/>
    </row>
    <row r="294" spans="2:13" ht="14.45" customHeight="1" x14ac:dyDescent="0.25">
      <c r="B294" s="17"/>
      <c r="C294" s="14"/>
      <c r="D294" s="14"/>
      <c r="E294" s="18"/>
      <c r="F294" s="61"/>
      <c r="G294" s="79"/>
      <c r="H294" s="79"/>
      <c r="I294" s="79"/>
      <c r="J294" s="14"/>
      <c r="K294" s="38"/>
      <c r="L294" s="38"/>
      <c r="M294" s="17"/>
    </row>
    <row r="295" spans="2:13" ht="14.45" customHeight="1" x14ac:dyDescent="0.25">
      <c r="B295" s="17"/>
      <c r="C295" s="14"/>
      <c r="D295" s="14"/>
      <c r="E295" s="18"/>
      <c r="F295" s="61"/>
      <c r="G295" s="79"/>
      <c r="H295" s="79"/>
      <c r="I295" s="79"/>
      <c r="J295" s="14"/>
      <c r="K295" s="38"/>
      <c r="L295" s="38"/>
      <c r="M295" s="17"/>
    </row>
    <row r="296" spans="2:13" ht="14.45" customHeight="1" x14ac:dyDescent="0.25">
      <c r="B296" s="17"/>
      <c r="C296" s="14"/>
      <c r="D296" s="14"/>
      <c r="E296" s="18"/>
      <c r="F296" s="61"/>
      <c r="G296" s="79"/>
      <c r="H296" s="79"/>
      <c r="I296" s="79"/>
      <c r="J296" s="14"/>
      <c r="K296" s="38"/>
      <c r="L296" s="38"/>
      <c r="M296" s="17"/>
    </row>
    <row r="297" spans="2:13" ht="14.45" customHeight="1" x14ac:dyDescent="0.25">
      <c r="B297" s="17"/>
      <c r="C297" s="14"/>
      <c r="D297" s="14"/>
      <c r="E297" s="18"/>
      <c r="F297" s="61"/>
      <c r="G297" s="79"/>
      <c r="H297" s="79"/>
      <c r="I297" s="79"/>
      <c r="J297" s="14"/>
      <c r="K297" s="38"/>
      <c r="L297" s="38"/>
      <c r="M297" s="17"/>
    </row>
    <row r="298" spans="2:13" ht="14.45" customHeight="1" x14ac:dyDescent="0.25">
      <c r="B298" s="17"/>
      <c r="C298" s="14"/>
      <c r="D298" s="14"/>
      <c r="E298" s="18"/>
      <c r="F298" s="61"/>
      <c r="G298" s="79"/>
      <c r="H298" s="79"/>
      <c r="I298" s="79"/>
      <c r="J298" s="14"/>
      <c r="K298" s="38"/>
      <c r="L298" s="38"/>
      <c r="M298" s="17"/>
    </row>
    <row r="299" spans="2:13" ht="14.45" customHeight="1" x14ac:dyDescent="0.25">
      <c r="B299" s="17"/>
      <c r="C299" s="14"/>
      <c r="D299" s="14"/>
      <c r="E299" s="18"/>
      <c r="F299" s="61"/>
      <c r="G299" s="79"/>
      <c r="H299" s="79"/>
      <c r="I299" s="79"/>
      <c r="J299" s="14"/>
      <c r="K299" s="38"/>
      <c r="L299" s="38"/>
      <c r="M299" s="17"/>
    </row>
    <row r="300" spans="2:13" ht="14.45" customHeight="1" x14ac:dyDescent="0.25">
      <c r="B300" s="17"/>
      <c r="C300" s="14"/>
      <c r="D300" s="14"/>
      <c r="E300" s="18"/>
      <c r="F300" s="61"/>
      <c r="G300" s="79"/>
      <c r="H300" s="79"/>
      <c r="I300" s="79"/>
      <c r="J300" s="14"/>
      <c r="K300" s="38"/>
      <c r="L300" s="38"/>
      <c r="M300" s="17"/>
    </row>
    <row r="301" spans="2:13" ht="14.45" customHeight="1" x14ac:dyDescent="0.25">
      <c r="B301" s="17"/>
      <c r="C301" s="14"/>
      <c r="D301" s="14"/>
      <c r="E301" s="18"/>
      <c r="F301" s="61"/>
      <c r="G301" s="79"/>
      <c r="H301" s="79"/>
      <c r="I301" s="79"/>
      <c r="J301" s="14"/>
      <c r="K301" s="38"/>
      <c r="L301" s="38"/>
      <c r="M301" s="17"/>
    </row>
    <row r="302" spans="2:13" ht="14.45" customHeight="1" x14ac:dyDescent="0.25">
      <c r="B302" s="17"/>
      <c r="C302" s="14"/>
      <c r="D302" s="14"/>
      <c r="E302" s="18"/>
      <c r="F302" s="61"/>
      <c r="G302" s="79"/>
      <c r="H302" s="79"/>
      <c r="I302" s="79"/>
      <c r="J302" s="14"/>
      <c r="K302" s="38"/>
      <c r="L302" s="38"/>
      <c r="M302" s="17"/>
    </row>
    <row r="303" spans="2:13" ht="14.45" customHeight="1" x14ac:dyDescent="0.25">
      <c r="B303" s="17"/>
      <c r="C303" s="14"/>
      <c r="D303" s="14"/>
      <c r="E303" s="18"/>
      <c r="F303" s="61"/>
      <c r="G303" s="79"/>
      <c r="H303" s="79"/>
      <c r="I303" s="79"/>
      <c r="J303" s="14"/>
      <c r="K303" s="38"/>
      <c r="L303" s="38"/>
      <c r="M303" s="17"/>
    </row>
    <row r="304" spans="2:13" ht="14.45" customHeight="1" x14ac:dyDescent="0.25">
      <c r="B304" s="17"/>
      <c r="C304" s="14"/>
      <c r="D304" s="14"/>
      <c r="E304" s="18"/>
      <c r="F304" s="61"/>
      <c r="G304" s="79"/>
      <c r="H304" s="79"/>
      <c r="I304" s="79"/>
      <c r="J304" s="14"/>
      <c r="K304" s="38"/>
      <c r="L304" s="38"/>
      <c r="M304" s="17"/>
    </row>
    <row r="305" spans="2:13" ht="14.45" customHeight="1" x14ac:dyDescent="0.25">
      <c r="B305" s="17"/>
      <c r="C305" s="14"/>
      <c r="D305" s="14"/>
      <c r="E305" s="18"/>
      <c r="F305" s="61"/>
      <c r="G305" s="79"/>
      <c r="H305" s="79"/>
      <c r="I305" s="79"/>
      <c r="J305" s="14"/>
      <c r="K305" s="38"/>
      <c r="L305" s="38"/>
      <c r="M305" s="17"/>
    </row>
    <row r="306" spans="2:13" ht="14.45" customHeight="1" x14ac:dyDescent="0.25">
      <c r="B306" s="17"/>
      <c r="C306" s="14"/>
      <c r="D306" s="14"/>
      <c r="E306" s="18"/>
      <c r="F306" s="61"/>
      <c r="G306" s="79"/>
      <c r="H306" s="79"/>
      <c r="I306" s="79"/>
      <c r="J306" s="14"/>
      <c r="K306" s="38"/>
      <c r="L306" s="38"/>
      <c r="M306" s="17"/>
    </row>
    <row r="307" spans="2:13" ht="14.45" customHeight="1" x14ac:dyDescent="0.25">
      <c r="B307" s="17"/>
      <c r="C307" s="14"/>
      <c r="D307" s="14"/>
      <c r="E307" s="18"/>
      <c r="F307" s="61"/>
      <c r="G307" s="79"/>
      <c r="H307" s="79"/>
      <c r="I307" s="79"/>
      <c r="J307" s="14"/>
      <c r="K307" s="38"/>
      <c r="L307" s="38"/>
      <c r="M307" s="17"/>
    </row>
    <row r="308" spans="2:13" ht="14.45" customHeight="1" x14ac:dyDescent="0.25">
      <c r="B308" s="17"/>
      <c r="C308" s="14"/>
      <c r="D308" s="14"/>
      <c r="E308" s="18"/>
      <c r="F308" s="61"/>
      <c r="G308" s="79"/>
      <c r="H308" s="79"/>
      <c r="I308" s="79"/>
      <c r="J308" s="14"/>
      <c r="K308" s="38"/>
      <c r="L308" s="38"/>
      <c r="M308" s="17"/>
    </row>
    <row r="309" spans="2:13" ht="14.45" customHeight="1" x14ac:dyDescent="0.25">
      <c r="B309" s="17"/>
      <c r="C309" s="14"/>
      <c r="D309" s="14"/>
      <c r="E309" s="18"/>
      <c r="F309" s="61"/>
      <c r="G309" s="79"/>
      <c r="H309" s="79"/>
      <c r="I309" s="79"/>
      <c r="J309" s="14"/>
      <c r="K309" s="38"/>
      <c r="L309" s="38"/>
      <c r="M309" s="17"/>
    </row>
    <row r="310" spans="2:13" ht="14.45" customHeight="1" x14ac:dyDescent="0.25">
      <c r="B310" s="17"/>
      <c r="C310" s="14"/>
      <c r="D310" s="14"/>
      <c r="E310" s="18"/>
      <c r="F310" s="61"/>
      <c r="G310" s="79"/>
      <c r="H310" s="79"/>
      <c r="I310" s="79"/>
      <c r="J310" s="14"/>
      <c r="K310" s="38"/>
      <c r="L310" s="38"/>
      <c r="M310" s="17"/>
    </row>
    <row r="311" spans="2:13" ht="14.45" customHeight="1" x14ac:dyDescent="0.25">
      <c r="B311" s="17"/>
      <c r="C311" s="14"/>
      <c r="D311" s="14"/>
      <c r="E311" s="18"/>
      <c r="F311" s="61"/>
      <c r="G311" s="79"/>
      <c r="H311" s="79"/>
      <c r="I311" s="79"/>
      <c r="J311" s="14"/>
      <c r="K311" s="38"/>
      <c r="L311" s="38"/>
      <c r="M311" s="17"/>
    </row>
    <row r="312" spans="2:13" ht="14.45" customHeight="1" x14ac:dyDescent="0.25">
      <c r="B312" s="17"/>
      <c r="C312" s="14"/>
      <c r="D312" s="14"/>
      <c r="E312" s="18"/>
      <c r="F312" s="61"/>
      <c r="G312" s="79"/>
      <c r="H312" s="79"/>
      <c r="I312" s="79"/>
      <c r="J312" s="14"/>
      <c r="K312" s="38"/>
      <c r="L312" s="38"/>
      <c r="M312" s="17"/>
    </row>
    <row r="313" spans="2:13" ht="14.45" customHeight="1" x14ac:dyDescent="0.25">
      <c r="B313" s="17"/>
      <c r="C313" s="14"/>
      <c r="D313" s="14"/>
      <c r="E313" s="18"/>
      <c r="F313" s="61"/>
      <c r="G313" s="79"/>
      <c r="H313" s="79"/>
      <c r="I313" s="79"/>
      <c r="J313" s="14"/>
      <c r="K313" s="38"/>
      <c r="L313" s="38"/>
      <c r="M313" s="17"/>
    </row>
    <row r="314" spans="2:13" ht="14.45" customHeight="1" x14ac:dyDescent="0.25">
      <c r="B314" s="17"/>
      <c r="C314" s="14"/>
      <c r="D314" s="14"/>
      <c r="E314" s="18"/>
      <c r="F314" s="61"/>
      <c r="G314" s="79"/>
      <c r="H314" s="79"/>
      <c r="I314" s="79"/>
      <c r="J314" s="14"/>
      <c r="K314" s="38"/>
      <c r="L314" s="38"/>
      <c r="M314" s="17"/>
    </row>
    <row r="315" spans="2:13" ht="14.45" customHeight="1" x14ac:dyDescent="0.25">
      <c r="B315" s="17"/>
      <c r="C315" s="14"/>
      <c r="D315" s="14"/>
      <c r="E315" s="18"/>
      <c r="F315" s="61"/>
      <c r="G315" s="79"/>
      <c r="H315" s="79"/>
      <c r="I315" s="79"/>
      <c r="J315" s="14"/>
      <c r="K315" s="38"/>
      <c r="L315" s="38"/>
      <c r="M315" s="17"/>
    </row>
    <row r="316" spans="2:13" ht="14.45" customHeight="1" x14ac:dyDescent="0.25">
      <c r="B316" s="17"/>
      <c r="C316" s="14"/>
      <c r="D316" s="14"/>
      <c r="E316" s="18"/>
      <c r="F316" s="61"/>
      <c r="G316" s="79"/>
      <c r="H316" s="79"/>
      <c r="I316" s="79"/>
      <c r="J316" s="14"/>
      <c r="K316" s="38"/>
      <c r="L316" s="38"/>
      <c r="M316" s="17"/>
    </row>
    <row r="317" spans="2:13" ht="14.45" customHeight="1" x14ac:dyDescent="0.25">
      <c r="B317" s="17"/>
      <c r="C317" s="14"/>
      <c r="D317" s="14"/>
      <c r="E317" s="18"/>
      <c r="F317" s="61"/>
      <c r="G317" s="79"/>
      <c r="H317" s="79"/>
      <c r="I317" s="79"/>
      <c r="J317" s="14"/>
      <c r="K317" s="38"/>
      <c r="L317" s="38"/>
      <c r="M317" s="17"/>
    </row>
    <row r="318" spans="2:13" ht="14.45" customHeight="1" x14ac:dyDescent="0.25">
      <c r="B318" s="17"/>
      <c r="C318" s="14"/>
      <c r="D318" s="14"/>
      <c r="E318" s="18"/>
      <c r="F318" s="61"/>
      <c r="G318" s="79"/>
      <c r="H318" s="79"/>
      <c r="I318" s="79"/>
      <c r="J318" s="14"/>
      <c r="K318" s="38"/>
      <c r="L318" s="38"/>
      <c r="M318" s="17"/>
    </row>
    <row r="319" spans="2:13" ht="14.45" customHeight="1" x14ac:dyDescent="0.25">
      <c r="B319" s="17"/>
      <c r="C319" s="14"/>
      <c r="D319" s="14"/>
      <c r="E319" s="18"/>
      <c r="F319" s="61"/>
      <c r="G319" s="79"/>
      <c r="H319" s="79"/>
      <c r="I319" s="79"/>
      <c r="J319" s="14"/>
      <c r="K319" s="38"/>
      <c r="L319" s="38"/>
      <c r="M319" s="17"/>
    </row>
    <row r="320" spans="2:13" ht="14.45" customHeight="1" x14ac:dyDescent="0.25">
      <c r="B320" s="17"/>
      <c r="C320" s="14"/>
      <c r="D320" s="14"/>
      <c r="E320" s="18"/>
      <c r="F320" s="61"/>
      <c r="G320" s="79"/>
      <c r="H320" s="79"/>
      <c r="I320" s="79"/>
      <c r="J320" s="14"/>
      <c r="K320" s="38"/>
      <c r="L320" s="38"/>
      <c r="M320" s="17"/>
    </row>
    <row r="321" spans="2:13" ht="14.45" customHeight="1" x14ac:dyDescent="0.25">
      <c r="B321" s="17"/>
      <c r="C321" s="14"/>
      <c r="D321" s="14"/>
      <c r="E321" s="18"/>
      <c r="F321" s="61"/>
      <c r="G321" s="79"/>
      <c r="H321" s="79"/>
      <c r="I321" s="79"/>
      <c r="J321" s="14"/>
      <c r="K321" s="38"/>
      <c r="L321" s="38"/>
      <c r="M321" s="17"/>
    </row>
    <row r="322" spans="2:13" ht="14.45" customHeight="1" x14ac:dyDescent="0.25">
      <c r="B322" s="17"/>
      <c r="C322" s="14"/>
      <c r="D322" s="14"/>
      <c r="E322" s="18"/>
      <c r="F322" s="61"/>
      <c r="G322" s="79"/>
      <c r="H322" s="79"/>
      <c r="I322" s="79"/>
      <c r="J322" s="14"/>
      <c r="K322" s="38"/>
      <c r="L322" s="38"/>
      <c r="M322" s="17"/>
    </row>
    <row r="323" spans="2:13" ht="14.45" customHeight="1" x14ac:dyDescent="0.25">
      <c r="B323" s="17"/>
      <c r="C323" s="14"/>
      <c r="D323" s="14"/>
      <c r="E323" s="18"/>
      <c r="F323" s="61"/>
      <c r="G323" s="79"/>
      <c r="H323" s="79"/>
      <c r="I323" s="79"/>
      <c r="J323" s="14"/>
      <c r="K323" s="38"/>
      <c r="L323" s="38"/>
      <c r="M323" s="17"/>
    </row>
    <row r="324" spans="2:13" ht="14.45" customHeight="1" x14ac:dyDescent="0.25">
      <c r="B324" s="17"/>
      <c r="C324" s="14"/>
      <c r="D324" s="14"/>
      <c r="E324" s="18"/>
      <c r="F324" s="61"/>
      <c r="G324" s="79"/>
      <c r="H324" s="79"/>
      <c r="I324" s="79"/>
      <c r="J324" s="14"/>
      <c r="K324" s="38"/>
      <c r="L324" s="38"/>
      <c r="M324" s="17"/>
    </row>
    <row r="325" spans="2:13" ht="14.45" customHeight="1" x14ac:dyDescent="0.25">
      <c r="B325" s="17"/>
      <c r="C325" s="14"/>
      <c r="D325" s="14"/>
      <c r="E325" s="18"/>
      <c r="F325" s="61"/>
      <c r="G325" s="79"/>
      <c r="H325" s="79"/>
      <c r="I325" s="79"/>
      <c r="J325" s="14"/>
      <c r="K325" s="38"/>
      <c r="L325" s="38"/>
      <c r="M325" s="17"/>
    </row>
    <row r="326" spans="2:13" ht="14.45" customHeight="1" x14ac:dyDescent="0.25">
      <c r="B326" s="17"/>
      <c r="C326" s="14"/>
      <c r="D326" s="14"/>
      <c r="E326" s="18"/>
      <c r="F326" s="61"/>
      <c r="G326" s="79"/>
      <c r="H326" s="79"/>
      <c r="I326" s="79"/>
      <c r="J326" s="14"/>
      <c r="K326" s="38"/>
      <c r="L326" s="38"/>
      <c r="M326" s="17"/>
    </row>
    <row r="327" spans="2:13" ht="14.45" customHeight="1" x14ac:dyDescent="0.25">
      <c r="B327" s="17"/>
      <c r="C327" s="14"/>
      <c r="D327" s="14"/>
      <c r="E327" s="18"/>
      <c r="F327" s="61"/>
      <c r="G327" s="79"/>
      <c r="H327" s="79"/>
      <c r="I327" s="79"/>
      <c r="J327" s="14"/>
      <c r="K327" s="38"/>
      <c r="L327" s="38"/>
      <c r="M327" s="17"/>
    </row>
    <row r="328" spans="2:13" ht="14.45" customHeight="1" x14ac:dyDescent="0.25">
      <c r="B328" s="17"/>
      <c r="C328" s="14"/>
      <c r="D328" s="14"/>
      <c r="E328" s="18"/>
      <c r="F328" s="61"/>
      <c r="G328" s="79"/>
      <c r="H328" s="79"/>
      <c r="I328" s="79"/>
      <c r="J328" s="14"/>
      <c r="K328" s="38"/>
      <c r="L328" s="38"/>
      <c r="M328" s="17"/>
    </row>
    <row r="329" spans="2:13" ht="14.45" customHeight="1" x14ac:dyDescent="0.25">
      <c r="B329" s="17"/>
      <c r="C329" s="14"/>
      <c r="D329" s="14"/>
      <c r="E329" s="18"/>
      <c r="F329" s="61"/>
      <c r="G329" s="79"/>
      <c r="H329" s="79"/>
      <c r="I329" s="79"/>
      <c r="J329" s="14"/>
      <c r="K329" s="38"/>
      <c r="L329" s="38"/>
      <c r="M329" s="17"/>
    </row>
    <row r="330" spans="2:13" ht="14.45" customHeight="1" x14ac:dyDescent="0.25">
      <c r="B330" s="17"/>
      <c r="C330" s="14"/>
      <c r="D330" s="14"/>
      <c r="E330" s="18"/>
      <c r="F330" s="61"/>
      <c r="G330" s="79"/>
      <c r="H330" s="79"/>
      <c r="I330" s="79"/>
      <c r="J330" s="14"/>
      <c r="K330" s="38"/>
      <c r="L330" s="38"/>
      <c r="M330" s="17"/>
    </row>
    <row r="331" spans="2:13" ht="14.45" customHeight="1" x14ac:dyDescent="0.25">
      <c r="B331" s="17"/>
      <c r="C331" s="14"/>
      <c r="D331" s="14"/>
      <c r="E331" s="18"/>
      <c r="F331" s="61"/>
      <c r="G331" s="79"/>
      <c r="H331" s="79"/>
      <c r="I331" s="79"/>
      <c r="J331" s="14"/>
      <c r="K331" s="38"/>
      <c r="L331" s="38"/>
      <c r="M331" s="17"/>
    </row>
    <row r="332" spans="2:13" ht="14.45" customHeight="1" x14ac:dyDescent="0.25">
      <c r="B332" s="17"/>
      <c r="C332" s="14"/>
      <c r="D332" s="14"/>
      <c r="E332" s="18"/>
      <c r="F332" s="61"/>
      <c r="G332" s="79"/>
      <c r="H332" s="79"/>
      <c r="I332" s="79"/>
      <c r="J332" s="14"/>
      <c r="K332" s="38"/>
      <c r="L332" s="38"/>
      <c r="M332" s="17"/>
    </row>
    <row r="333" spans="2:13" ht="14.45" customHeight="1" x14ac:dyDescent="0.25">
      <c r="B333" s="17"/>
      <c r="C333" s="14"/>
      <c r="D333" s="14"/>
      <c r="E333" s="18"/>
      <c r="F333" s="61"/>
      <c r="G333" s="79"/>
      <c r="H333" s="79"/>
      <c r="I333" s="79"/>
      <c r="J333" s="14"/>
      <c r="K333" s="38"/>
      <c r="L333" s="38"/>
      <c r="M333" s="17"/>
    </row>
    <row r="334" spans="2:13" ht="14.45" customHeight="1" x14ac:dyDescent="0.25">
      <c r="B334" s="17"/>
      <c r="C334" s="14"/>
      <c r="D334" s="14"/>
      <c r="E334" s="18"/>
      <c r="F334" s="61"/>
      <c r="G334" s="79"/>
      <c r="H334" s="79"/>
      <c r="I334" s="79"/>
      <c r="J334" s="14"/>
      <c r="K334" s="38"/>
      <c r="L334" s="38"/>
      <c r="M334" s="17"/>
    </row>
    <row r="335" spans="2:13" ht="14.45" customHeight="1" x14ac:dyDescent="0.25">
      <c r="B335" s="17"/>
      <c r="C335" s="14"/>
      <c r="D335" s="14"/>
      <c r="E335" s="18"/>
      <c r="F335" s="61"/>
      <c r="G335" s="79"/>
      <c r="H335" s="79"/>
      <c r="I335" s="79"/>
      <c r="J335" s="14"/>
      <c r="K335" s="38"/>
      <c r="L335" s="38"/>
      <c r="M335" s="17"/>
    </row>
    <row r="336" spans="2:13" ht="14.45" customHeight="1" x14ac:dyDescent="0.25">
      <c r="B336" s="17"/>
      <c r="C336" s="14"/>
      <c r="D336" s="14"/>
      <c r="E336" s="18"/>
      <c r="F336" s="61"/>
      <c r="G336" s="79"/>
      <c r="H336" s="79"/>
      <c r="I336" s="79"/>
      <c r="J336" s="14"/>
      <c r="K336" s="38"/>
      <c r="L336" s="38"/>
      <c r="M336" s="17"/>
    </row>
    <row r="337" spans="2:13" ht="14.45" customHeight="1" x14ac:dyDescent="0.25">
      <c r="B337" s="17"/>
      <c r="C337" s="14"/>
      <c r="D337" s="14"/>
      <c r="E337" s="18"/>
      <c r="F337" s="61"/>
      <c r="G337" s="79"/>
      <c r="H337" s="79"/>
      <c r="I337" s="79"/>
      <c r="J337" s="14"/>
      <c r="K337" s="38"/>
      <c r="L337" s="38"/>
      <c r="M337" s="17"/>
    </row>
    <row r="338" spans="2:13" ht="14.45" customHeight="1" x14ac:dyDescent="0.25">
      <c r="B338" s="17"/>
      <c r="C338" s="14"/>
      <c r="D338" s="14"/>
      <c r="E338" s="18"/>
      <c r="F338" s="61"/>
      <c r="G338" s="79"/>
      <c r="H338" s="79"/>
      <c r="I338" s="79"/>
      <c r="J338" s="14"/>
      <c r="K338" s="38"/>
      <c r="L338" s="38"/>
      <c r="M338" s="17"/>
    </row>
    <row r="339" spans="2:13" ht="14.45" customHeight="1" x14ac:dyDescent="0.25">
      <c r="B339" s="17"/>
      <c r="C339" s="14"/>
      <c r="D339" s="14"/>
      <c r="E339" s="18"/>
      <c r="F339" s="61"/>
      <c r="G339" s="79"/>
      <c r="H339" s="79"/>
      <c r="I339" s="79"/>
      <c r="J339" s="14"/>
      <c r="K339" s="38"/>
      <c r="L339" s="38"/>
      <c r="M339" s="17"/>
    </row>
    <row r="340" spans="2:13" ht="14.45" customHeight="1" x14ac:dyDescent="0.25">
      <c r="B340" s="17"/>
      <c r="C340" s="14"/>
      <c r="D340" s="14"/>
      <c r="E340" s="18"/>
      <c r="F340" s="61"/>
      <c r="G340" s="79"/>
      <c r="H340" s="79"/>
      <c r="I340" s="79"/>
      <c r="J340" s="14"/>
      <c r="K340" s="38"/>
      <c r="L340" s="38"/>
      <c r="M340" s="17"/>
    </row>
    <row r="341" spans="2:13" ht="14.45" customHeight="1" x14ac:dyDescent="0.25">
      <c r="B341" s="17"/>
      <c r="C341" s="14"/>
      <c r="D341" s="14"/>
      <c r="E341" s="18"/>
      <c r="F341" s="61"/>
      <c r="G341" s="79"/>
      <c r="H341" s="79"/>
      <c r="I341" s="79"/>
      <c r="J341" s="14"/>
      <c r="K341" s="38"/>
      <c r="L341" s="38"/>
      <c r="M341" s="17"/>
    </row>
    <row r="342" spans="2:13" ht="14.45" customHeight="1" x14ac:dyDescent="0.25">
      <c r="B342" s="17"/>
      <c r="C342" s="14"/>
      <c r="D342" s="14"/>
      <c r="E342" s="18"/>
      <c r="F342" s="61"/>
      <c r="G342" s="79"/>
      <c r="H342" s="79"/>
      <c r="I342" s="79"/>
      <c r="J342" s="14"/>
      <c r="K342" s="38"/>
      <c r="L342" s="38"/>
      <c r="M342" s="17"/>
    </row>
    <row r="343" spans="2:13" ht="14.45" customHeight="1" x14ac:dyDescent="0.25">
      <c r="B343" s="17"/>
      <c r="C343" s="14"/>
      <c r="D343" s="14"/>
      <c r="E343" s="18"/>
      <c r="F343" s="61"/>
      <c r="G343" s="79"/>
      <c r="H343" s="79"/>
      <c r="I343" s="79"/>
      <c r="J343" s="14"/>
      <c r="K343" s="38"/>
      <c r="L343" s="38"/>
      <c r="M343" s="17"/>
    </row>
    <row r="344" spans="2:13" ht="14.45" customHeight="1" x14ac:dyDescent="0.25">
      <c r="B344" s="17"/>
      <c r="C344" s="14"/>
      <c r="D344" s="14"/>
      <c r="E344" s="18"/>
      <c r="F344" s="61"/>
      <c r="G344" s="79"/>
      <c r="H344" s="79"/>
      <c r="I344" s="79"/>
      <c r="J344" s="14"/>
      <c r="K344" s="38"/>
      <c r="L344" s="38"/>
      <c r="M344" s="17"/>
    </row>
    <row r="345" spans="2:13" ht="14.45" customHeight="1" x14ac:dyDescent="0.25">
      <c r="B345" s="17"/>
      <c r="C345" s="14"/>
      <c r="D345" s="14"/>
      <c r="E345" s="18"/>
      <c r="F345" s="61"/>
      <c r="G345" s="79"/>
      <c r="H345" s="79"/>
      <c r="I345" s="79"/>
      <c r="J345" s="14"/>
      <c r="K345" s="38"/>
      <c r="L345" s="38"/>
      <c r="M345" s="17"/>
    </row>
    <row r="346" spans="2:13" ht="14.45" customHeight="1" x14ac:dyDescent="0.25">
      <c r="B346" s="17"/>
      <c r="C346" s="14"/>
      <c r="D346" s="14"/>
      <c r="E346" s="18"/>
      <c r="F346" s="61"/>
      <c r="G346" s="79"/>
      <c r="H346" s="79"/>
      <c r="I346" s="79"/>
      <c r="J346" s="14"/>
      <c r="K346" s="38"/>
      <c r="L346" s="38"/>
      <c r="M346" s="17"/>
    </row>
    <row r="347" spans="2:13" ht="14.45" customHeight="1" x14ac:dyDescent="0.25">
      <c r="B347" s="17"/>
      <c r="C347" s="14"/>
      <c r="D347" s="14"/>
      <c r="E347" s="18"/>
      <c r="F347" s="61"/>
      <c r="G347" s="79"/>
      <c r="H347" s="79"/>
      <c r="I347" s="79"/>
      <c r="J347" s="14"/>
      <c r="K347" s="38"/>
      <c r="L347" s="38"/>
      <c r="M347" s="17"/>
    </row>
    <row r="348" spans="2:13" ht="14.45" customHeight="1" x14ac:dyDescent="0.25">
      <c r="B348" s="17"/>
      <c r="C348" s="14"/>
      <c r="D348" s="14"/>
      <c r="E348" s="18"/>
      <c r="F348" s="61"/>
      <c r="G348" s="79"/>
      <c r="H348" s="79"/>
      <c r="I348" s="79"/>
      <c r="J348" s="14"/>
      <c r="K348" s="38"/>
      <c r="L348" s="38"/>
      <c r="M348" s="17"/>
    </row>
    <row r="349" spans="2:13" ht="14.45" customHeight="1" x14ac:dyDescent="0.25">
      <c r="B349" s="17"/>
      <c r="C349" s="14"/>
      <c r="D349" s="14"/>
      <c r="E349" s="18"/>
      <c r="F349" s="61"/>
      <c r="G349" s="79"/>
      <c r="H349" s="79"/>
      <c r="I349" s="79"/>
      <c r="J349" s="14"/>
      <c r="K349" s="38"/>
      <c r="L349" s="38"/>
      <c r="M349" s="17"/>
    </row>
    <row r="350" spans="2:13" ht="14.45" customHeight="1" x14ac:dyDescent="0.25">
      <c r="B350" s="17"/>
      <c r="C350" s="14"/>
      <c r="D350" s="14"/>
      <c r="E350" s="18"/>
      <c r="F350" s="61"/>
      <c r="G350" s="79"/>
      <c r="H350" s="79"/>
      <c r="I350" s="79"/>
      <c r="J350" s="14"/>
      <c r="K350" s="38"/>
      <c r="L350" s="38"/>
      <c r="M350" s="17"/>
    </row>
    <row r="351" spans="2:13" ht="14.45" customHeight="1" x14ac:dyDescent="0.25">
      <c r="B351" s="17"/>
      <c r="C351" s="14"/>
      <c r="D351" s="14"/>
      <c r="E351" s="18"/>
      <c r="F351" s="61"/>
      <c r="G351" s="79"/>
      <c r="H351" s="79"/>
      <c r="I351" s="79"/>
      <c r="J351" s="14"/>
      <c r="K351" s="38"/>
      <c r="L351" s="38"/>
      <c r="M351" s="17"/>
    </row>
    <row r="352" spans="2:13" ht="14.45" customHeight="1" x14ac:dyDescent="0.25">
      <c r="B352" s="17"/>
      <c r="C352" s="14"/>
      <c r="D352" s="14"/>
      <c r="E352" s="18"/>
      <c r="F352" s="61"/>
      <c r="G352" s="79"/>
      <c r="H352" s="79"/>
      <c r="I352" s="79"/>
      <c r="J352" s="14"/>
      <c r="K352" s="38"/>
      <c r="L352" s="38"/>
      <c r="M352" s="17"/>
    </row>
    <row r="353" spans="2:13" ht="14.45" customHeight="1" x14ac:dyDescent="0.25">
      <c r="B353" s="17"/>
      <c r="C353" s="14"/>
      <c r="D353" s="14"/>
      <c r="E353" s="18"/>
      <c r="F353" s="61"/>
      <c r="G353" s="79"/>
      <c r="H353" s="79"/>
      <c r="I353" s="79"/>
      <c r="J353" s="14"/>
      <c r="K353" s="38"/>
      <c r="L353" s="38"/>
      <c r="M353" s="17"/>
    </row>
    <row r="354" spans="2:13" ht="14.45" customHeight="1" x14ac:dyDescent="0.25">
      <c r="B354" s="17"/>
      <c r="C354" s="14"/>
      <c r="D354" s="14"/>
      <c r="E354" s="18"/>
      <c r="F354" s="61"/>
      <c r="G354" s="79"/>
      <c r="H354" s="79"/>
      <c r="I354" s="79"/>
      <c r="J354" s="14"/>
      <c r="K354" s="38"/>
      <c r="L354" s="38"/>
      <c r="M354" s="17"/>
    </row>
    <row r="355" spans="2:13" ht="14.45" customHeight="1" x14ac:dyDescent="0.25">
      <c r="B355" s="17"/>
      <c r="C355" s="14"/>
      <c r="D355" s="14"/>
      <c r="E355" s="18"/>
      <c r="F355" s="61"/>
      <c r="G355" s="79"/>
      <c r="H355" s="79"/>
      <c r="I355" s="79"/>
      <c r="J355" s="14"/>
      <c r="K355" s="38"/>
      <c r="L355" s="38"/>
      <c r="M355" s="17"/>
    </row>
    <row r="356" spans="2:13" ht="14.45" customHeight="1" x14ac:dyDescent="0.25">
      <c r="B356" s="17"/>
      <c r="C356" s="14"/>
      <c r="D356" s="14"/>
      <c r="E356" s="18"/>
      <c r="F356" s="61"/>
      <c r="G356" s="79"/>
      <c r="H356" s="79"/>
      <c r="I356" s="79"/>
      <c r="J356" s="14"/>
      <c r="K356" s="38"/>
      <c r="L356" s="38"/>
      <c r="M356" s="17"/>
    </row>
    <row r="357" spans="2:13" ht="14.45" customHeight="1" x14ac:dyDescent="0.25">
      <c r="B357" s="17"/>
      <c r="C357" s="14"/>
      <c r="D357" s="14"/>
      <c r="E357" s="18"/>
      <c r="F357" s="61"/>
      <c r="G357" s="79"/>
      <c r="H357" s="79"/>
      <c r="I357" s="79"/>
      <c r="J357" s="14"/>
      <c r="K357" s="38"/>
      <c r="L357" s="38"/>
      <c r="M357" s="17"/>
    </row>
    <row r="358" spans="2:13" ht="14.45" customHeight="1" x14ac:dyDescent="0.25">
      <c r="B358" s="17"/>
      <c r="C358" s="14"/>
      <c r="D358" s="14"/>
      <c r="E358" s="18"/>
      <c r="F358" s="61"/>
      <c r="G358" s="79"/>
      <c r="H358" s="79"/>
      <c r="I358" s="79"/>
      <c r="J358" s="14"/>
      <c r="K358" s="38"/>
      <c r="L358" s="38"/>
      <c r="M358" s="17"/>
    </row>
    <row r="359" spans="2:13" ht="14.45" customHeight="1" x14ac:dyDescent="0.25">
      <c r="B359" s="17"/>
      <c r="C359" s="14"/>
      <c r="D359" s="14"/>
      <c r="E359" s="18"/>
      <c r="F359" s="61"/>
      <c r="G359" s="79"/>
      <c r="H359" s="79"/>
      <c r="I359" s="79"/>
      <c r="J359" s="14"/>
      <c r="K359" s="38"/>
      <c r="L359" s="38"/>
      <c r="M359" s="17"/>
    </row>
    <row r="360" spans="2:13" ht="14.45" customHeight="1" x14ac:dyDescent="0.25">
      <c r="B360" s="17"/>
      <c r="C360" s="14"/>
      <c r="D360" s="14"/>
      <c r="E360" s="18"/>
      <c r="F360" s="61"/>
      <c r="G360" s="79"/>
      <c r="H360" s="79"/>
      <c r="I360" s="79"/>
      <c r="J360" s="14"/>
      <c r="K360" s="38"/>
      <c r="L360" s="38"/>
      <c r="M360" s="17"/>
    </row>
    <row r="361" spans="2:13" ht="14.45" customHeight="1" x14ac:dyDescent="0.25">
      <c r="B361" s="17"/>
      <c r="C361" s="14"/>
      <c r="D361" s="14"/>
      <c r="E361" s="18"/>
      <c r="F361" s="61"/>
      <c r="G361" s="79"/>
      <c r="H361" s="79"/>
      <c r="I361" s="79"/>
      <c r="J361" s="14"/>
      <c r="K361" s="38"/>
      <c r="L361" s="38"/>
      <c r="M361" s="17"/>
    </row>
    <row r="362" spans="2:13" ht="14.45" customHeight="1" x14ac:dyDescent="0.25">
      <c r="B362" s="17"/>
      <c r="C362" s="14"/>
      <c r="D362" s="14"/>
      <c r="E362" s="18"/>
      <c r="F362" s="61"/>
      <c r="G362" s="79"/>
      <c r="H362" s="79"/>
      <c r="I362" s="79"/>
      <c r="J362" s="14"/>
      <c r="K362" s="38"/>
      <c r="L362" s="38"/>
      <c r="M362" s="17"/>
    </row>
    <row r="363" spans="2:13" ht="14.45" customHeight="1" x14ac:dyDescent="0.25">
      <c r="B363" s="17"/>
      <c r="C363" s="14"/>
      <c r="D363" s="14"/>
      <c r="E363" s="18"/>
      <c r="F363" s="61"/>
      <c r="G363" s="79"/>
      <c r="H363" s="79"/>
      <c r="I363" s="79"/>
      <c r="J363" s="14"/>
      <c r="K363" s="38"/>
      <c r="L363" s="38"/>
      <c r="M363" s="17"/>
    </row>
    <row r="364" spans="2:13" ht="14.45" customHeight="1" x14ac:dyDescent="0.25">
      <c r="B364" s="17"/>
      <c r="C364" s="14"/>
      <c r="D364" s="14"/>
      <c r="E364" s="18"/>
      <c r="F364" s="61"/>
      <c r="G364" s="79"/>
      <c r="H364" s="79"/>
      <c r="I364" s="79"/>
      <c r="J364" s="14"/>
      <c r="K364" s="38"/>
      <c r="L364" s="38"/>
      <c r="M364" s="17"/>
    </row>
    <row r="365" spans="2:13" ht="14.45" customHeight="1" x14ac:dyDescent="0.25">
      <c r="B365" s="17"/>
      <c r="C365" s="14"/>
      <c r="D365" s="14"/>
      <c r="E365" s="18"/>
      <c r="F365" s="61"/>
      <c r="G365" s="79"/>
      <c r="H365" s="79"/>
      <c r="I365" s="79"/>
      <c r="J365" s="14"/>
      <c r="K365" s="38"/>
      <c r="L365" s="38"/>
      <c r="M365" s="17"/>
    </row>
    <row r="366" spans="2:13" ht="14.45" customHeight="1" x14ac:dyDescent="0.25">
      <c r="B366" s="17"/>
      <c r="C366" s="14"/>
      <c r="D366" s="14"/>
      <c r="E366" s="18"/>
      <c r="F366" s="61"/>
      <c r="G366" s="79"/>
      <c r="H366" s="79"/>
      <c r="I366" s="79"/>
      <c r="J366" s="14"/>
      <c r="K366" s="38"/>
      <c r="L366" s="38"/>
      <c r="M366" s="17"/>
    </row>
    <row r="367" spans="2:13" ht="14.45" customHeight="1" x14ac:dyDescent="0.25">
      <c r="B367" s="17"/>
      <c r="C367" s="14"/>
      <c r="D367" s="14"/>
      <c r="E367" s="18"/>
      <c r="F367" s="61"/>
      <c r="G367" s="79"/>
      <c r="H367" s="79"/>
      <c r="I367" s="79"/>
      <c r="J367" s="14"/>
      <c r="K367" s="38"/>
      <c r="L367" s="38"/>
      <c r="M367" s="17"/>
    </row>
    <row r="368" spans="2:13" ht="14.45" customHeight="1" x14ac:dyDescent="0.25">
      <c r="B368" s="17"/>
      <c r="C368" s="14"/>
      <c r="D368" s="14"/>
      <c r="E368" s="18"/>
      <c r="F368" s="61"/>
      <c r="G368" s="79"/>
      <c r="H368" s="79"/>
      <c r="I368" s="79"/>
      <c r="J368" s="14"/>
      <c r="K368" s="38"/>
      <c r="L368" s="38"/>
      <c r="M368" s="17"/>
    </row>
    <row r="369" spans="2:13" ht="14.45" customHeight="1" x14ac:dyDescent="0.25">
      <c r="B369" s="17"/>
      <c r="C369" s="14"/>
      <c r="D369" s="14"/>
      <c r="E369" s="18"/>
      <c r="F369" s="61"/>
      <c r="G369" s="79"/>
      <c r="H369" s="79"/>
      <c r="I369" s="79"/>
      <c r="J369" s="14"/>
      <c r="K369" s="38"/>
      <c r="L369" s="38"/>
      <c r="M369" s="17"/>
    </row>
    <row r="370" spans="2:13" ht="14.45" customHeight="1" x14ac:dyDescent="0.25">
      <c r="B370" s="17"/>
      <c r="C370" s="14"/>
      <c r="D370" s="14"/>
      <c r="E370" s="18"/>
      <c r="F370" s="61"/>
      <c r="G370" s="79"/>
      <c r="H370" s="79"/>
      <c r="I370" s="79"/>
      <c r="J370" s="14"/>
      <c r="K370" s="38"/>
      <c r="L370" s="38"/>
      <c r="M370" s="17"/>
    </row>
    <row r="371" spans="2:13" ht="14.45" customHeight="1" x14ac:dyDescent="0.25">
      <c r="B371" s="17"/>
      <c r="C371" s="14"/>
      <c r="D371" s="14"/>
      <c r="E371" s="18"/>
      <c r="F371" s="61"/>
      <c r="G371" s="79"/>
      <c r="H371" s="79"/>
      <c r="I371" s="79"/>
      <c r="J371" s="14"/>
      <c r="K371" s="38"/>
      <c r="L371" s="38"/>
      <c r="M371" s="17"/>
    </row>
    <row r="372" spans="2:13" ht="14.45" customHeight="1" x14ac:dyDescent="0.25">
      <c r="B372" s="17"/>
      <c r="C372" s="14"/>
      <c r="D372" s="14"/>
      <c r="E372" s="18"/>
      <c r="F372" s="61"/>
      <c r="G372" s="79"/>
      <c r="H372" s="79"/>
      <c r="I372" s="79"/>
      <c r="J372" s="14"/>
      <c r="K372" s="38"/>
      <c r="L372" s="38"/>
      <c r="M372" s="17"/>
    </row>
    <row r="373" spans="2:13" ht="14.45" customHeight="1" x14ac:dyDescent="0.25">
      <c r="B373" s="17"/>
      <c r="C373" s="14"/>
      <c r="D373" s="14"/>
      <c r="E373" s="18"/>
      <c r="F373" s="61"/>
      <c r="G373" s="79"/>
      <c r="H373" s="79"/>
      <c r="I373" s="79"/>
      <c r="J373" s="14"/>
      <c r="K373" s="38"/>
      <c r="L373" s="38"/>
      <c r="M373" s="17"/>
    </row>
    <row r="374" spans="2:13" ht="14.45" customHeight="1" x14ac:dyDescent="0.25">
      <c r="B374" s="17"/>
      <c r="C374" s="14"/>
      <c r="D374" s="14"/>
      <c r="E374" s="18"/>
      <c r="F374" s="61"/>
      <c r="G374" s="79"/>
      <c r="H374" s="79"/>
      <c r="I374" s="79"/>
      <c r="J374" s="14"/>
      <c r="K374" s="38"/>
      <c r="L374" s="38"/>
      <c r="M374" s="17"/>
    </row>
    <row r="375" spans="2:13" ht="14.45" customHeight="1" x14ac:dyDescent="0.25">
      <c r="B375" s="17"/>
      <c r="C375" s="14"/>
      <c r="D375" s="14"/>
      <c r="E375" s="18"/>
      <c r="F375" s="61"/>
      <c r="G375" s="79"/>
      <c r="H375" s="79"/>
      <c r="I375" s="79"/>
      <c r="J375" s="14"/>
      <c r="K375" s="38"/>
      <c r="L375" s="38"/>
      <c r="M375" s="17"/>
    </row>
    <row r="376" spans="2:13" ht="14.45" customHeight="1" x14ac:dyDescent="0.25">
      <c r="B376" s="17"/>
      <c r="C376" s="14"/>
      <c r="D376" s="14"/>
      <c r="E376" s="18"/>
      <c r="F376" s="61"/>
      <c r="G376" s="79"/>
      <c r="H376" s="79"/>
      <c r="I376" s="79"/>
      <c r="J376" s="14"/>
      <c r="K376" s="38"/>
      <c r="L376" s="38"/>
      <c r="M376" s="17"/>
    </row>
    <row r="377" spans="2:13" ht="14.45" customHeight="1" x14ac:dyDescent="0.25">
      <c r="B377" s="17"/>
      <c r="C377" s="14"/>
      <c r="D377" s="14"/>
      <c r="E377" s="18"/>
      <c r="F377" s="61"/>
      <c r="G377" s="79"/>
      <c r="H377" s="79"/>
      <c r="I377" s="79"/>
      <c r="J377" s="14"/>
      <c r="K377" s="38"/>
      <c r="L377" s="38"/>
      <c r="M377" s="17"/>
    </row>
    <row r="378" spans="2:13" ht="14.45" customHeight="1" x14ac:dyDescent="0.25">
      <c r="B378" s="17"/>
      <c r="C378" s="14"/>
      <c r="D378" s="14"/>
      <c r="E378" s="18"/>
      <c r="F378" s="61"/>
      <c r="G378" s="79"/>
      <c r="H378" s="79"/>
      <c r="I378" s="79"/>
      <c r="J378" s="14"/>
      <c r="K378" s="38"/>
      <c r="L378" s="38"/>
      <c r="M378" s="17"/>
    </row>
    <row r="379" spans="2:13" ht="14.45" customHeight="1" x14ac:dyDescent="0.25">
      <c r="B379" s="17"/>
      <c r="C379" s="14"/>
      <c r="D379" s="14"/>
      <c r="E379" s="18"/>
      <c r="F379" s="61"/>
      <c r="G379" s="79"/>
      <c r="H379" s="79"/>
      <c r="I379" s="79"/>
      <c r="J379" s="14"/>
      <c r="K379" s="38"/>
      <c r="L379" s="38"/>
      <c r="M379" s="17"/>
    </row>
    <row r="380" spans="2:13" ht="14.45" customHeight="1" x14ac:dyDescent="0.25">
      <c r="B380" s="17"/>
      <c r="C380" s="14"/>
      <c r="D380" s="14"/>
      <c r="E380" s="18"/>
      <c r="F380" s="61"/>
      <c r="G380" s="79"/>
      <c r="H380" s="79"/>
      <c r="I380" s="79"/>
      <c r="J380" s="14"/>
      <c r="K380" s="38"/>
      <c r="L380" s="38"/>
      <c r="M380" s="17"/>
    </row>
    <row r="381" spans="2:13" ht="14.45" customHeight="1" x14ac:dyDescent="0.25">
      <c r="B381" s="17"/>
      <c r="C381" s="14"/>
      <c r="D381" s="14"/>
      <c r="E381" s="18"/>
      <c r="F381" s="61"/>
      <c r="G381" s="79"/>
      <c r="H381" s="79"/>
      <c r="I381" s="79"/>
      <c r="J381" s="14"/>
      <c r="K381" s="38"/>
      <c r="L381" s="38"/>
      <c r="M381" s="17"/>
    </row>
    <row r="382" spans="2:13" ht="14.45" customHeight="1" x14ac:dyDescent="0.25">
      <c r="B382" s="17"/>
      <c r="C382" s="14"/>
      <c r="D382" s="14"/>
      <c r="E382" s="18"/>
      <c r="F382" s="61"/>
      <c r="G382" s="79"/>
      <c r="H382" s="79"/>
      <c r="I382" s="79"/>
      <c r="J382" s="14"/>
      <c r="K382" s="38"/>
      <c r="L382" s="38"/>
      <c r="M382" s="17"/>
    </row>
    <row r="383" spans="2:13" ht="14.45" customHeight="1" x14ac:dyDescent="0.25">
      <c r="B383" s="17"/>
      <c r="C383" s="14"/>
      <c r="D383" s="14"/>
      <c r="E383" s="18"/>
      <c r="F383" s="61"/>
      <c r="G383" s="79"/>
      <c r="H383" s="79"/>
      <c r="I383" s="79"/>
      <c r="J383" s="14"/>
      <c r="K383" s="38"/>
      <c r="L383" s="38"/>
      <c r="M383" s="17"/>
    </row>
    <row r="384" spans="2:13" ht="14.45" customHeight="1" x14ac:dyDescent="0.25">
      <c r="B384" s="17"/>
      <c r="C384" s="14"/>
      <c r="D384" s="14"/>
      <c r="E384" s="18"/>
      <c r="F384" s="61"/>
      <c r="G384" s="79"/>
      <c r="H384" s="79"/>
      <c r="I384" s="79"/>
      <c r="J384" s="14"/>
      <c r="K384" s="38"/>
      <c r="L384" s="38"/>
      <c r="M384" s="17"/>
    </row>
    <row r="385" spans="2:13" ht="14.45" customHeight="1" x14ac:dyDescent="0.25">
      <c r="B385" s="17"/>
      <c r="C385" s="14"/>
      <c r="D385" s="14"/>
      <c r="E385" s="18"/>
      <c r="F385" s="61"/>
      <c r="G385" s="79"/>
      <c r="H385" s="79"/>
      <c r="I385" s="79"/>
      <c r="J385" s="14"/>
      <c r="K385" s="38"/>
      <c r="L385" s="38"/>
      <c r="M385" s="17"/>
    </row>
    <row r="386" spans="2:13" ht="14.45" customHeight="1" x14ac:dyDescent="0.25">
      <c r="B386" s="17"/>
      <c r="C386" s="14"/>
      <c r="D386" s="14"/>
      <c r="E386" s="18"/>
      <c r="F386" s="61"/>
      <c r="G386" s="79"/>
      <c r="H386" s="79"/>
      <c r="I386" s="79"/>
      <c r="J386" s="14"/>
      <c r="K386" s="38"/>
      <c r="L386" s="38"/>
      <c r="M386" s="17"/>
    </row>
    <row r="387" spans="2:13" ht="14.45" customHeight="1" x14ac:dyDescent="0.25">
      <c r="B387" s="17"/>
      <c r="C387" s="14"/>
      <c r="D387" s="14"/>
      <c r="E387" s="18"/>
      <c r="F387" s="61"/>
      <c r="G387" s="79"/>
      <c r="H387" s="79"/>
      <c r="I387" s="79"/>
      <c r="J387" s="14"/>
      <c r="K387" s="38"/>
      <c r="L387" s="38"/>
      <c r="M387" s="17"/>
    </row>
    <row r="388" spans="2:13" ht="14.45" customHeight="1" x14ac:dyDescent="0.25">
      <c r="B388" s="17"/>
      <c r="C388" s="14"/>
      <c r="D388" s="14"/>
      <c r="E388" s="18"/>
      <c r="F388" s="61"/>
      <c r="G388" s="79"/>
      <c r="H388" s="79"/>
      <c r="I388" s="79"/>
      <c r="J388" s="14"/>
      <c r="K388" s="38"/>
      <c r="L388" s="38"/>
      <c r="M388" s="17"/>
    </row>
    <row r="389" spans="2:13" ht="14.45" customHeight="1" x14ac:dyDescent="0.25">
      <c r="B389" s="17"/>
      <c r="C389" s="14"/>
      <c r="D389" s="14"/>
      <c r="E389" s="18"/>
      <c r="F389" s="61"/>
      <c r="G389" s="79"/>
      <c r="H389" s="79"/>
      <c r="I389" s="79"/>
      <c r="J389" s="14"/>
      <c r="K389" s="38"/>
      <c r="L389" s="38"/>
      <c r="M389" s="17"/>
    </row>
    <row r="390" spans="2:13" ht="14.45" customHeight="1" x14ac:dyDescent="0.25">
      <c r="B390" s="17"/>
      <c r="C390" s="14"/>
      <c r="D390" s="14"/>
      <c r="E390" s="18"/>
      <c r="F390" s="61"/>
      <c r="G390" s="79"/>
      <c r="H390" s="79"/>
      <c r="I390" s="79"/>
      <c r="J390" s="14"/>
      <c r="K390" s="38"/>
      <c r="L390" s="38"/>
      <c r="M390" s="17"/>
    </row>
    <row r="391" spans="2:13" ht="14.45" customHeight="1" x14ac:dyDescent="0.25">
      <c r="B391" s="17"/>
      <c r="C391" s="14"/>
      <c r="D391" s="14"/>
      <c r="E391" s="18"/>
      <c r="F391" s="61"/>
      <c r="G391" s="79"/>
      <c r="H391" s="79"/>
      <c r="I391" s="79"/>
      <c r="J391" s="14"/>
      <c r="K391" s="38"/>
      <c r="L391" s="38"/>
      <c r="M391" s="17"/>
    </row>
    <row r="392" spans="2:13" ht="14.45" customHeight="1" x14ac:dyDescent="0.25">
      <c r="B392" s="17"/>
      <c r="C392" s="14"/>
      <c r="D392" s="14"/>
      <c r="E392" s="18"/>
      <c r="F392" s="61"/>
      <c r="G392" s="79"/>
      <c r="H392" s="79"/>
      <c r="I392" s="79"/>
      <c r="J392" s="14"/>
      <c r="K392" s="38"/>
      <c r="L392" s="38"/>
      <c r="M392" s="17"/>
    </row>
    <row r="393" spans="2:13" ht="14.45" customHeight="1" x14ac:dyDescent="0.25">
      <c r="B393" s="17"/>
      <c r="C393" s="14"/>
      <c r="D393" s="14"/>
      <c r="E393" s="18"/>
      <c r="F393" s="61"/>
      <c r="G393" s="79"/>
      <c r="H393" s="79"/>
      <c r="I393" s="79"/>
      <c r="J393" s="14"/>
      <c r="K393" s="38"/>
      <c r="L393" s="38"/>
      <c r="M393" s="17"/>
    </row>
    <row r="394" spans="2:13" ht="14.45" customHeight="1" x14ac:dyDescent="0.25">
      <c r="B394" s="17"/>
      <c r="C394" s="14"/>
      <c r="D394" s="14"/>
      <c r="E394" s="18"/>
      <c r="F394" s="61"/>
      <c r="G394" s="79"/>
      <c r="H394" s="79"/>
      <c r="I394" s="79"/>
      <c r="J394" s="14"/>
      <c r="K394" s="38"/>
      <c r="L394" s="38"/>
      <c r="M394" s="17"/>
    </row>
    <row r="395" spans="2:13" ht="14.45" customHeight="1" x14ac:dyDescent="0.25">
      <c r="B395" s="17"/>
      <c r="C395" s="14"/>
      <c r="D395" s="14"/>
      <c r="E395" s="18"/>
      <c r="F395" s="61"/>
      <c r="G395" s="79"/>
      <c r="H395" s="79"/>
      <c r="I395" s="79"/>
      <c r="J395" s="14"/>
      <c r="K395" s="38"/>
      <c r="L395" s="38"/>
      <c r="M395" s="17"/>
    </row>
    <row r="396" spans="2:13" ht="14.45" customHeight="1" x14ac:dyDescent="0.25">
      <c r="B396" s="17"/>
      <c r="C396" s="14"/>
      <c r="D396" s="14"/>
      <c r="E396" s="18"/>
      <c r="F396" s="61"/>
      <c r="G396" s="79"/>
      <c r="H396" s="79"/>
      <c r="I396" s="79"/>
      <c r="J396" s="14"/>
      <c r="K396" s="38"/>
      <c r="L396" s="38"/>
      <c r="M396" s="17"/>
    </row>
    <row r="397" spans="2:13" ht="14.45" customHeight="1" x14ac:dyDescent="0.25">
      <c r="B397" s="17"/>
      <c r="C397" s="14"/>
      <c r="D397" s="14"/>
      <c r="E397" s="18"/>
      <c r="F397" s="61"/>
      <c r="G397" s="79"/>
      <c r="H397" s="79"/>
      <c r="I397" s="79"/>
      <c r="J397" s="14"/>
      <c r="K397" s="38"/>
      <c r="L397" s="38"/>
      <c r="M397" s="17"/>
    </row>
    <row r="398" spans="2:13" ht="14.45" customHeight="1" x14ac:dyDescent="0.25">
      <c r="B398" s="17"/>
      <c r="C398" s="14"/>
      <c r="D398" s="14"/>
      <c r="E398" s="18"/>
      <c r="F398" s="61"/>
      <c r="G398" s="79"/>
      <c r="H398" s="79"/>
      <c r="I398" s="79"/>
      <c r="J398" s="14"/>
      <c r="K398" s="38"/>
      <c r="L398" s="38"/>
      <c r="M398" s="17"/>
    </row>
    <row r="399" spans="2:13" ht="14.45" customHeight="1" x14ac:dyDescent="0.25">
      <c r="B399" s="17"/>
      <c r="C399" s="14"/>
      <c r="D399" s="14"/>
      <c r="E399" s="18"/>
      <c r="F399" s="61"/>
      <c r="G399" s="79"/>
      <c r="H399" s="79"/>
      <c r="I399" s="79"/>
      <c r="J399" s="14"/>
      <c r="K399" s="38"/>
      <c r="L399" s="38"/>
      <c r="M399" s="17"/>
    </row>
    <row r="400" spans="2:13" ht="14.45" customHeight="1" x14ac:dyDescent="0.25">
      <c r="B400" s="17"/>
      <c r="C400" s="14"/>
      <c r="D400" s="14"/>
      <c r="E400" s="18"/>
      <c r="F400" s="61"/>
      <c r="G400" s="79"/>
      <c r="H400" s="79"/>
      <c r="I400" s="79"/>
      <c r="J400" s="14"/>
      <c r="K400" s="38"/>
      <c r="L400" s="38"/>
      <c r="M400" s="17"/>
    </row>
    <row r="401" spans="2:13" ht="14.45" customHeight="1" x14ac:dyDescent="0.25">
      <c r="B401" s="17"/>
      <c r="C401" s="14"/>
      <c r="D401" s="14"/>
      <c r="E401" s="18"/>
      <c r="F401" s="61"/>
      <c r="G401" s="79"/>
      <c r="H401" s="79"/>
      <c r="I401" s="79"/>
      <c r="J401" s="14"/>
      <c r="K401" s="38"/>
      <c r="L401" s="38"/>
      <c r="M401" s="17"/>
    </row>
    <row r="402" spans="2:13" ht="14.45" customHeight="1" x14ac:dyDescent="0.25">
      <c r="B402" s="17"/>
      <c r="C402" s="14"/>
      <c r="D402" s="14"/>
      <c r="E402" s="18"/>
      <c r="F402" s="61"/>
      <c r="G402" s="79"/>
      <c r="H402" s="79"/>
      <c r="I402" s="79"/>
      <c r="J402" s="14"/>
      <c r="K402" s="38"/>
      <c r="L402" s="38"/>
      <c r="M402" s="17"/>
    </row>
    <row r="403" spans="2:13" ht="14.45" customHeight="1" x14ac:dyDescent="0.25">
      <c r="B403" s="17"/>
      <c r="C403" s="14"/>
      <c r="D403" s="14"/>
      <c r="E403" s="18"/>
      <c r="F403" s="61"/>
      <c r="G403" s="79"/>
      <c r="H403" s="79"/>
      <c r="I403" s="79"/>
      <c r="J403" s="14"/>
      <c r="K403" s="38"/>
      <c r="L403" s="38"/>
      <c r="M403" s="17"/>
    </row>
    <row r="404" spans="2:13" ht="14.45" customHeight="1" x14ac:dyDescent="0.25">
      <c r="B404" s="17"/>
      <c r="C404" s="14"/>
      <c r="D404" s="14"/>
      <c r="E404" s="18"/>
      <c r="F404" s="61"/>
      <c r="G404" s="79"/>
      <c r="H404" s="79"/>
      <c r="I404" s="79"/>
      <c r="J404" s="14"/>
      <c r="K404" s="38"/>
      <c r="L404" s="38"/>
      <c r="M404" s="17"/>
    </row>
    <row r="405" spans="2:13" ht="14.45" customHeight="1" x14ac:dyDescent="0.25">
      <c r="B405" s="17"/>
      <c r="C405" s="14"/>
      <c r="D405" s="14"/>
      <c r="E405" s="18"/>
      <c r="F405" s="61"/>
      <c r="G405" s="79"/>
      <c r="H405" s="79"/>
      <c r="I405" s="79"/>
      <c r="J405" s="14"/>
      <c r="K405" s="38"/>
      <c r="L405" s="38"/>
      <c r="M405" s="17"/>
    </row>
    <row r="406" spans="2:13" ht="14.45" customHeight="1" x14ac:dyDescent="0.25">
      <c r="B406" s="17"/>
      <c r="C406" s="14"/>
      <c r="D406" s="14"/>
      <c r="E406" s="18"/>
      <c r="F406" s="61"/>
      <c r="G406" s="79"/>
      <c r="H406" s="79"/>
      <c r="I406" s="79"/>
      <c r="J406" s="14"/>
      <c r="K406" s="38"/>
      <c r="L406" s="38"/>
      <c r="M406" s="17"/>
    </row>
    <row r="407" spans="2:13" ht="14.45" customHeight="1" x14ac:dyDescent="0.25">
      <c r="B407" s="17"/>
      <c r="C407" s="14"/>
      <c r="D407" s="14"/>
      <c r="E407" s="18"/>
      <c r="F407" s="61"/>
      <c r="G407" s="79"/>
      <c r="H407" s="79"/>
      <c r="I407" s="79"/>
      <c r="J407" s="14"/>
      <c r="K407" s="38"/>
      <c r="L407" s="38"/>
      <c r="M407" s="17"/>
    </row>
    <row r="408" spans="2:13" ht="14.45" customHeight="1" x14ac:dyDescent="0.25">
      <c r="B408" s="17"/>
      <c r="C408" s="14"/>
      <c r="D408" s="14"/>
      <c r="E408" s="18"/>
      <c r="F408" s="61"/>
      <c r="G408" s="79"/>
      <c r="H408" s="79"/>
      <c r="I408" s="79"/>
      <c r="J408" s="14"/>
      <c r="K408" s="38"/>
      <c r="L408" s="38"/>
      <c r="M408" s="17"/>
    </row>
    <row r="409" spans="2:13" ht="14.45" customHeight="1" x14ac:dyDescent="0.25">
      <c r="B409" s="17"/>
      <c r="C409" s="14"/>
      <c r="D409" s="14"/>
      <c r="E409" s="18"/>
      <c r="F409" s="61"/>
      <c r="G409" s="79"/>
      <c r="H409" s="79"/>
      <c r="I409" s="79"/>
      <c r="J409" s="14"/>
      <c r="K409" s="38"/>
      <c r="L409" s="38"/>
      <c r="M409" s="17"/>
    </row>
    <row r="410" spans="2:13" ht="14.45" customHeight="1" x14ac:dyDescent="0.25">
      <c r="B410" s="17"/>
      <c r="C410" s="14"/>
      <c r="D410" s="14"/>
      <c r="E410" s="18"/>
      <c r="F410" s="61"/>
      <c r="G410" s="79"/>
      <c r="H410" s="79"/>
      <c r="I410" s="79"/>
      <c r="J410" s="14"/>
      <c r="K410" s="38"/>
      <c r="L410" s="38"/>
      <c r="M410" s="17"/>
    </row>
    <row r="411" spans="2:13" ht="14.45" customHeight="1" x14ac:dyDescent="0.25">
      <c r="B411" s="17"/>
      <c r="C411" s="14"/>
      <c r="D411" s="14"/>
      <c r="E411" s="18"/>
      <c r="F411" s="61"/>
      <c r="G411" s="79"/>
      <c r="H411" s="79"/>
      <c r="I411" s="79"/>
      <c r="J411" s="14"/>
      <c r="K411" s="38"/>
      <c r="L411" s="38"/>
      <c r="M411" s="17"/>
    </row>
    <row r="412" spans="2:13" ht="14.45" customHeight="1" x14ac:dyDescent="0.25">
      <c r="B412" s="17"/>
      <c r="C412" s="14"/>
      <c r="D412" s="14"/>
      <c r="E412" s="18"/>
      <c r="F412" s="61"/>
      <c r="G412" s="79"/>
      <c r="H412" s="79"/>
      <c r="I412" s="79"/>
      <c r="J412" s="14"/>
      <c r="K412" s="38"/>
      <c r="L412" s="38"/>
      <c r="M412" s="17"/>
    </row>
    <row r="413" spans="2:13" ht="14.45" customHeight="1" x14ac:dyDescent="0.25">
      <c r="B413" s="17"/>
      <c r="C413" s="14"/>
      <c r="D413" s="14"/>
      <c r="E413" s="18"/>
      <c r="F413" s="61"/>
      <c r="G413" s="79"/>
      <c r="H413" s="79"/>
      <c r="I413" s="79"/>
      <c r="J413" s="14"/>
      <c r="K413" s="38"/>
      <c r="L413" s="38"/>
      <c r="M413" s="17"/>
    </row>
    <row r="414" spans="2:13" ht="14.45" customHeight="1" x14ac:dyDescent="0.25">
      <c r="B414" s="17"/>
      <c r="C414" s="14"/>
      <c r="D414" s="14"/>
      <c r="E414" s="18"/>
      <c r="F414" s="61"/>
      <c r="G414" s="79"/>
      <c r="H414" s="79"/>
      <c r="I414" s="79"/>
      <c r="J414" s="14"/>
      <c r="K414" s="38"/>
      <c r="L414" s="38"/>
      <c r="M414" s="17"/>
    </row>
    <row r="415" spans="2:13" ht="14.45" customHeight="1" x14ac:dyDescent="0.25">
      <c r="B415" s="17"/>
      <c r="C415" s="14"/>
      <c r="D415" s="14"/>
      <c r="E415" s="18"/>
      <c r="F415" s="61"/>
      <c r="G415" s="79"/>
      <c r="H415" s="79"/>
      <c r="I415" s="79"/>
      <c r="J415" s="14"/>
      <c r="K415" s="38"/>
      <c r="L415" s="38"/>
      <c r="M415" s="17"/>
    </row>
    <row r="416" spans="2:13" ht="14.45" customHeight="1" x14ac:dyDescent="0.25">
      <c r="B416" s="17"/>
      <c r="C416" s="14"/>
      <c r="D416" s="14"/>
      <c r="E416" s="18"/>
      <c r="F416" s="61"/>
      <c r="G416" s="79"/>
      <c r="H416" s="79"/>
      <c r="I416" s="79"/>
      <c r="J416" s="14"/>
      <c r="K416" s="38"/>
      <c r="L416" s="38"/>
      <c r="M416" s="17"/>
    </row>
    <row r="417" spans="2:13" ht="14.45" customHeight="1" x14ac:dyDescent="0.25">
      <c r="B417" s="17"/>
      <c r="C417" s="14"/>
      <c r="D417" s="14"/>
      <c r="E417" s="18"/>
      <c r="F417" s="61"/>
      <c r="G417" s="79"/>
      <c r="H417" s="79"/>
      <c r="I417" s="79"/>
      <c r="J417" s="14"/>
      <c r="K417" s="38"/>
      <c r="L417" s="38"/>
      <c r="M417" s="17"/>
    </row>
    <row r="418" spans="2:13" ht="14.45" customHeight="1" x14ac:dyDescent="0.25">
      <c r="B418" s="17"/>
      <c r="C418" s="14"/>
      <c r="D418" s="14"/>
      <c r="E418" s="18"/>
      <c r="F418" s="61"/>
      <c r="G418" s="79"/>
      <c r="H418" s="79"/>
      <c r="I418" s="79"/>
      <c r="J418" s="14"/>
      <c r="K418" s="38"/>
      <c r="L418" s="38"/>
      <c r="M418" s="17"/>
    </row>
    <row r="419" spans="2:13" ht="14.45" customHeight="1" x14ac:dyDescent="0.25">
      <c r="B419" s="17"/>
      <c r="C419" s="14"/>
      <c r="D419" s="14"/>
      <c r="E419" s="18"/>
      <c r="F419" s="61"/>
      <c r="G419" s="79"/>
      <c r="H419" s="79"/>
      <c r="I419" s="79"/>
      <c r="J419" s="14"/>
      <c r="K419" s="38"/>
      <c r="L419" s="38"/>
      <c r="M419" s="17"/>
    </row>
    <row r="420" spans="2:13" ht="14.45" customHeight="1" x14ac:dyDescent="0.25">
      <c r="B420" s="17"/>
      <c r="C420" s="14"/>
      <c r="D420" s="14"/>
      <c r="E420" s="18"/>
      <c r="F420" s="61"/>
      <c r="G420" s="79"/>
      <c r="H420" s="79"/>
      <c r="I420" s="79"/>
      <c r="J420" s="14"/>
      <c r="K420" s="38"/>
      <c r="L420" s="38"/>
      <c r="M420" s="17"/>
    </row>
    <row r="421" spans="2:13" ht="14.45" customHeight="1" x14ac:dyDescent="0.25">
      <c r="B421" s="17"/>
      <c r="C421" s="14"/>
      <c r="D421" s="14"/>
      <c r="E421" s="18"/>
      <c r="F421" s="61"/>
      <c r="G421" s="79"/>
      <c r="H421" s="79"/>
      <c r="I421" s="79"/>
      <c r="J421" s="14"/>
      <c r="K421" s="38"/>
      <c r="L421" s="38"/>
      <c r="M421" s="17"/>
    </row>
    <row r="422" spans="2:13" ht="14.45" customHeight="1" x14ac:dyDescent="0.25">
      <c r="B422" s="17"/>
      <c r="C422" s="14"/>
      <c r="D422" s="14"/>
      <c r="E422" s="18"/>
      <c r="F422" s="61"/>
      <c r="G422" s="79"/>
      <c r="H422" s="79"/>
      <c r="I422" s="79"/>
      <c r="J422" s="14"/>
      <c r="K422" s="38"/>
      <c r="L422" s="38"/>
      <c r="M422" s="17"/>
    </row>
    <row r="423" spans="2:13" ht="14.45" customHeight="1" x14ac:dyDescent="0.25">
      <c r="B423" s="17"/>
      <c r="C423" s="14"/>
      <c r="D423" s="14"/>
      <c r="E423" s="18"/>
      <c r="F423" s="61"/>
      <c r="G423" s="79"/>
      <c r="H423" s="79"/>
      <c r="I423" s="79"/>
      <c r="J423" s="14"/>
      <c r="K423" s="38"/>
      <c r="L423" s="38"/>
      <c r="M423" s="17"/>
    </row>
    <row r="424" spans="2:13" ht="14.45" customHeight="1" x14ac:dyDescent="0.25">
      <c r="B424" s="17"/>
      <c r="C424" s="14"/>
      <c r="D424" s="14"/>
      <c r="E424" s="18"/>
      <c r="F424" s="61"/>
      <c r="G424" s="79"/>
      <c r="H424" s="79"/>
      <c r="I424" s="79"/>
      <c r="J424" s="14"/>
      <c r="K424" s="38"/>
      <c r="L424" s="38"/>
      <c r="M424" s="17"/>
    </row>
    <row r="425" spans="2:13" ht="14.45" customHeight="1" x14ac:dyDescent="0.25">
      <c r="B425" s="17"/>
      <c r="C425" s="14"/>
      <c r="D425" s="14"/>
      <c r="E425" s="18"/>
      <c r="F425" s="61"/>
      <c r="G425" s="79"/>
      <c r="H425" s="79"/>
      <c r="I425" s="79"/>
      <c r="J425" s="14"/>
      <c r="K425" s="38"/>
      <c r="L425" s="38"/>
      <c r="M425" s="17"/>
    </row>
    <row r="426" spans="2:13" ht="14.45" customHeight="1" x14ac:dyDescent="0.25">
      <c r="B426" s="17"/>
      <c r="C426" s="14"/>
      <c r="D426" s="14"/>
      <c r="E426" s="18"/>
      <c r="F426" s="61"/>
      <c r="G426" s="79"/>
      <c r="H426" s="79"/>
      <c r="I426" s="79"/>
      <c r="J426" s="14"/>
      <c r="K426" s="38"/>
      <c r="L426" s="38"/>
      <c r="M426" s="17"/>
    </row>
    <row r="427" spans="2:13" ht="14.45" customHeight="1" x14ac:dyDescent="0.25">
      <c r="B427" s="17"/>
      <c r="C427" s="14"/>
      <c r="D427" s="14"/>
      <c r="E427" s="18"/>
      <c r="F427" s="61"/>
      <c r="G427" s="79"/>
      <c r="H427" s="79"/>
      <c r="I427" s="79"/>
      <c r="J427" s="14"/>
      <c r="K427" s="38"/>
      <c r="L427" s="38"/>
      <c r="M427" s="17"/>
    </row>
    <row r="428" spans="2:13" ht="14.45" customHeight="1" x14ac:dyDescent="0.25">
      <c r="B428" s="17"/>
      <c r="C428" s="14"/>
      <c r="D428" s="14"/>
      <c r="E428" s="18"/>
      <c r="F428" s="61"/>
      <c r="G428" s="79"/>
      <c r="H428" s="79"/>
      <c r="I428" s="79"/>
      <c r="J428" s="14"/>
      <c r="K428" s="38"/>
      <c r="L428" s="38"/>
      <c r="M428" s="17"/>
    </row>
    <row r="429" spans="2:13" ht="14.45" customHeight="1" x14ac:dyDescent="0.25">
      <c r="B429" s="17"/>
      <c r="C429" s="14"/>
      <c r="D429" s="14"/>
      <c r="E429" s="18"/>
      <c r="F429" s="61"/>
      <c r="G429" s="79"/>
      <c r="H429" s="79"/>
      <c r="I429" s="79"/>
      <c r="J429" s="14"/>
      <c r="K429" s="38"/>
      <c r="L429" s="38"/>
      <c r="M429" s="17"/>
    </row>
    <row r="430" spans="2:13" ht="14.45" customHeight="1" x14ac:dyDescent="0.25">
      <c r="B430" s="17"/>
      <c r="C430" s="14"/>
      <c r="D430" s="14"/>
      <c r="E430" s="18"/>
      <c r="F430" s="61"/>
      <c r="G430" s="79"/>
      <c r="H430" s="79"/>
      <c r="I430" s="79"/>
      <c r="J430" s="14"/>
      <c r="K430" s="38"/>
      <c r="L430" s="38"/>
      <c r="M430" s="17"/>
    </row>
    <row r="431" spans="2:13" ht="14.45" customHeight="1" x14ac:dyDescent="0.25">
      <c r="B431" s="17"/>
      <c r="C431" s="14"/>
      <c r="D431" s="14"/>
      <c r="E431" s="18"/>
      <c r="F431" s="61"/>
      <c r="G431" s="79"/>
      <c r="H431" s="79"/>
      <c r="I431" s="79"/>
      <c r="J431" s="14"/>
      <c r="K431" s="38"/>
      <c r="L431" s="38"/>
      <c r="M431" s="17"/>
    </row>
    <row r="432" spans="2:13" ht="14.45" customHeight="1" x14ac:dyDescent="0.25">
      <c r="B432" s="17"/>
      <c r="C432" s="14"/>
      <c r="D432" s="14"/>
      <c r="E432" s="18"/>
      <c r="F432" s="61"/>
      <c r="G432" s="79"/>
      <c r="H432" s="79"/>
      <c r="I432" s="79"/>
      <c r="J432" s="14"/>
      <c r="K432" s="38"/>
      <c r="L432" s="38"/>
      <c r="M432" s="17"/>
    </row>
    <row r="433" spans="2:13" ht="14.45" customHeight="1" x14ac:dyDescent="0.25">
      <c r="B433" s="17"/>
      <c r="C433" s="14"/>
      <c r="D433" s="14"/>
      <c r="E433" s="18"/>
      <c r="F433" s="61"/>
      <c r="G433" s="79"/>
      <c r="H433" s="79"/>
      <c r="I433" s="79"/>
      <c r="J433" s="14"/>
      <c r="K433" s="38"/>
      <c r="L433" s="38"/>
      <c r="M433" s="17"/>
    </row>
    <row r="434" spans="2:13" ht="14.45" customHeight="1" x14ac:dyDescent="0.25">
      <c r="B434" s="17"/>
      <c r="C434" s="14"/>
      <c r="D434" s="14"/>
      <c r="E434" s="18"/>
      <c r="F434" s="61"/>
      <c r="G434" s="79"/>
      <c r="H434" s="79"/>
      <c r="I434" s="79"/>
      <c r="J434" s="14"/>
      <c r="K434" s="38"/>
      <c r="L434" s="38"/>
      <c r="M434" s="17"/>
    </row>
    <row r="435" spans="2:13" ht="14.45" customHeight="1" x14ac:dyDescent="0.25">
      <c r="B435" s="17"/>
      <c r="C435" s="14"/>
      <c r="D435" s="14"/>
      <c r="E435" s="18"/>
      <c r="F435" s="61"/>
      <c r="G435" s="79"/>
      <c r="H435" s="79"/>
      <c r="I435" s="79"/>
      <c r="J435" s="14"/>
      <c r="K435" s="38"/>
      <c r="L435" s="38"/>
      <c r="M435" s="17"/>
    </row>
    <row r="436" spans="2:13" ht="14.45" customHeight="1" x14ac:dyDescent="0.25">
      <c r="B436" s="17"/>
      <c r="C436" s="14"/>
      <c r="D436" s="14"/>
      <c r="E436" s="18"/>
      <c r="F436" s="61"/>
      <c r="G436" s="79"/>
      <c r="H436" s="79"/>
      <c r="I436" s="79"/>
      <c r="J436" s="14"/>
      <c r="K436" s="38"/>
      <c r="L436" s="38"/>
      <c r="M436" s="17"/>
    </row>
    <row r="437" spans="2:13" ht="14.45" customHeight="1" x14ac:dyDescent="0.25">
      <c r="B437" s="17"/>
      <c r="C437" s="14"/>
      <c r="D437" s="14"/>
      <c r="E437" s="18"/>
      <c r="F437" s="61"/>
      <c r="G437" s="79"/>
      <c r="H437" s="79"/>
      <c r="I437" s="79"/>
      <c r="J437" s="14"/>
      <c r="K437" s="38"/>
      <c r="L437" s="38"/>
      <c r="M437" s="17"/>
    </row>
    <row r="438" spans="2:13" ht="14.45" customHeight="1" x14ac:dyDescent="0.25">
      <c r="B438" s="17"/>
      <c r="C438" s="14"/>
      <c r="D438" s="14"/>
      <c r="E438" s="18"/>
      <c r="F438" s="61"/>
      <c r="G438" s="79"/>
      <c r="H438" s="79"/>
      <c r="I438" s="79"/>
      <c r="J438" s="14"/>
      <c r="K438" s="38"/>
      <c r="L438" s="38"/>
      <c r="M438" s="17"/>
    </row>
    <row r="439" spans="2:13" ht="14.45" customHeight="1" x14ac:dyDescent="0.25">
      <c r="B439" s="17"/>
      <c r="C439" s="14"/>
      <c r="D439" s="14"/>
      <c r="E439" s="18"/>
      <c r="F439" s="61"/>
      <c r="G439" s="79"/>
      <c r="H439" s="79"/>
      <c r="I439" s="79"/>
      <c r="J439" s="14"/>
      <c r="K439" s="38"/>
      <c r="L439" s="38"/>
      <c r="M439" s="17"/>
    </row>
    <row r="440" spans="2:13" ht="14.45" customHeight="1" x14ac:dyDescent="0.25">
      <c r="B440" s="17"/>
      <c r="C440" s="14"/>
      <c r="D440" s="14"/>
      <c r="E440" s="18"/>
      <c r="F440" s="61"/>
      <c r="G440" s="79"/>
      <c r="H440" s="79"/>
      <c r="I440" s="79"/>
      <c r="J440" s="14"/>
      <c r="K440" s="38"/>
      <c r="L440" s="38"/>
      <c r="M440" s="17"/>
    </row>
    <row r="441" spans="2:13" ht="14.45" customHeight="1" x14ac:dyDescent="0.25">
      <c r="B441" s="17"/>
      <c r="C441" s="14"/>
      <c r="D441" s="14"/>
      <c r="E441" s="18"/>
      <c r="F441" s="61"/>
      <c r="G441" s="79"/>
      <c r="H441" s="79"/>
      <c r="I441" s="79"/>
      <c r="J441" s="14"/>
      <c r="K441" s="38"/>
      <c r="L441" s="38"/>
      <c r="M441" s="17"/>
    </row>
    <row r="442" spans="2:13" ht="14.45" customHeight="1" x14ac:dyDescent="0.25">
      <c r="B442" s="17"/>
      <c r="C442" s="14"/>
      <c r="D442" s="14"/>
      <c r="E442" s="18"/>
      <c r="F442" s="61"/>
      <c r="G442" s="79"/>
      <c r="H442" s="79"/>
      <c r="I442" s="79"/>
      <c r="J442" s="14"/>
      <c r="K442" s="38"/>
      <c r="L442" s="38"/>
      <c r="M442" s="17"/>
    </row>
    <row r="443" spans="2:13" ht="14.45" customHeight="1" x14ac:dyDescent="0.25">
      <c r="B443" s="17"/>
      <c r="C443" s="14"/>
      <c r="D443" s="14"/>
      <c r="E443" s="18"/>
      <c r="F443" s="61"/>
      <c r="G443" s="79"/>
      <c r="H443" s="79"/>
      <c r="I443" s="79"/>
      <c r="J443" s="14"/>
      <c r="K443" s="38"/>
      <c r="L443" s="38"/>
      <c r="M443" s="17"/>
    </row>
    <row r="444" spans="2:13" ht="14.45" customHeight="1" x14ac:dyDescent="0.25">
      <c r="B444" s="17"/>
      <c r="C444" s="14"/>
      <c r="D444" s="14"/>
      <c r="E444" s="18"/>
      <c r="F444" s="61"/>
      <c r="G444" s="79"/>
      <c r="H444" s="79"/>
      <c r="I444" s="79"/>
      <c r="J444" s="14"/>
      <c r="K444" s="38"/>
      <c r="L444" s="38"/>
      <c r="M444" s="17"/>
    </row>
    <row r="445" spans="2:13" ht="14.45" customHeight="1" x14ac:dyDescent="0.25">
      <c r="B445" s="17"/>
      <c r="C445" s="14"/>
      <c r="D445" s="14"/>
      <c r="E445" s="18"/>
      <c r="F445" s="61"/>
      <c r="G445" s="79"/>
      <c r="H445" s="79"/>
      <c r="I445" s="79"/>
      <c r="J445" s="14"/>
      <c r="K445" s="38"/>
      <c r="L445" s="38"/>
      <c r="M445" s="17"/>
    </row>
    <row r="446" spans="2:13" ht="14.45" customHeight="1" x14ac:dyDescent="0.25">
      <c r="B446" s="17"/>
      <c r="C446" s="14"/>
      <c r="D446" s="14"/>
      <c r="E446" s="18"/>
      <c r="F446" s="61"/>
      <c r="G446" s="79"/>
      <c r="H446" s="79"/>
      <c r="I446" s="79"/>
      <c r="J446" s="14"/>
      <c r="K446" s="38"/>
      <c r="L446" s="38"/>
      <c r="M446" s="17"/>
    </row>
    <row r="447" spans="2:13" ht="14.45" customHeight="1" x14ac:dyDescent="0.25">
      <c r="B447" s="17"/>
      <c r="C447" s="14"/>
      <c r="D447" s="14"/>
      <c r="E447" s="18"/>
      <c r="F447" s="61"/>
      <c r="G447" s="79"/>
      <c r="H447" s="79"/>
      <c r="I447" s="79"/>
      <c r="J447" s="14"/>
      <c r="K447" s="38"/>
      <c r="L447" s="38"/>
      <c r="M447" s="17"/>
    </row>
    <row r="448" spans="2:13" ht="14.45" customHeight="1" x14ac:dyDescent="0.25">
      <c r="B448" s="17"/>
      <c r="C448" s="14"/>
      <c r="D448" s="14"/>
      <c r="E448" s="18"/>
      <c r="F448" s="61"/>
      <c r="G448" s="79"/>
      <c r="H448" s="79"/>
      <c r="I448" s="79"/>
      <c r="J448" s="14"/>
      <c r="K448" s="38"/>
      <c r="L448" s="38"/>
      <c r="M448" s="17"/>
    </row>
    <row r="449" spans="2:13" ht="14.45" customHeight="1" x14ac:dyDescent="0.25">
      <c r="B449" s="17"/>
      <c r="C449" s="14"/>
      <c r="D449" s="14"/>
      <c r="E449" s="18"/>
      <c r="F449" s="61"/>
      <c r="G449" s="79"/>
      <c r="H449" s="79"/>
      <c r="I449" s="79"/>
      <c r="J449" s="14"/>
      <c r="K449" s="38"/>
      <c r="L449" s="38"/>
      <c r="M449" s="17"/>
    </row>
    <row r="450" spans="2:13" ht="14.45" customHeight="1" x14ac:dyDescent="0.25">
      <c r="B450" s="17"/>
      <c r="C450" s="14"/>
      <c r="D450" s="14"/>
      <c r="E450" s="18"/>
      <c r="F450" s="61"/>
      <c r="G450" s="79"/>
      <c r="H450" s="79"/>
      <c r="I450" s="79"/>
      <c r="J450" s="14"/>
      <c r="K450" s="38"/>
      <c r="L450" s="38"/>
      <c r="M450" s="17"/>
    </row>
    <row r="451" spans="2:13" ht="14.45" customHeight="1" x14ac:dyDescent="0.25">
      <c r="B451" s="17"/>
      <c r="C451" s="14"/>
      <c r="D451" s="14"/>
      <c r="E451" s="18"/>
      <c r="F451" s="61"/>
      <c r="G451" s="79"/>
      <c r="H451" s="79"/>
      <c r="I451" s="79"/>
      <c r="J451" s="14"/>
      <c r="K451" s="38"/>
      <c r="L451" s="38"/>
      <c r="M451" s="17"/>
    </row>
    <row r="452" spans="2:13" ht="14.45" customHeight="1" x14ac:dyDescent="0.25">
      <c r="B452" s="17"/>
      <c r="C452" s="14"/>
      <c r="D452" s="14"/>
      <c r="E452" s="18"/>
      <c r="F452" s="61"/>
      <c r="G452" s="79"/>
      <c r="H452" s="79"/>
      <c r="I452" s="79"/>
      <c r="J452" s="14"/>
      <c r="K452" s="38"/>
      <c r="L452" s="38"/>
      <c r="M452" s="17"/>
    </row>
    <row r="453" spans="2:13" ht="14.45" customHeight="1" x14ac:dyDescent="0.25">
      <c r="B453" s="17"/>
      <c r="C453" s="14"/>
      <c r="D453" s="14"/>
      <c r="E453" s="18"/>
      <c r="F453" s="61"/>
      <c r="G453" s="79"/>
      <c r="H453" s="79"/>
      <c r="I453" s="79"/>
      <c r="J453" s="14"/>
      <c r="K453" s="38"/>
      <c r="L453" s="38"/>
      <c r="M453" s="17"/>
    </row>
    <row r="454" spans="2:13" ht="14.45" customHeight="1" x14ac:dyDescent="0.25">
      <c r="B454" s="17"/>
      <c r="C454" s="14"/>
      <c r="D454" s="14"/>
      <c r="E454" s="18"/>
      <c r="F454" s="61"/>
      <c r="G454" s="79"/>
      <c r="H454" s="79"/>
      <c r="I454" s="79"/>
      <c r="J454" s="14"/>
      <c r="K454" s="38"/>
      <c r="L454" s="38"/>
      <c r="M454" s="17"/>
    </row>
    <row r="455" spans="2:13" ht="14.45" customHeight="1" x14ac:dyDescent="0.25">
      <c r="B455" s="17"/>
      <c r="C455" s="14"/>
      <c r="D455" s="14"/>
      <c r="E455" s="18"/>
      <c r="F455" s="61"/>
      <c r="G455" s="79"/>
      <c r="H455" s="79"/>
      <c r="I455" s="79"/>
      <c r="J455" s="14"/>
      <c r="K455" s="38"/>
      <c r="L455" s="38"/>
      <c r="M455" s="17"/>
    </row>
    <row r="456" spans="2:13" ht="14.45" customHeight="1" x14ac:dyDescent="0.25">
      <c r="B456" s="17"/>
      <c r="C456" s="14"/>
      <c r="D456" s="14"/>
      <c r="E456" s="18"/>
      <c r="F456" s="61"/>
      <c r="G456" s="79"/>
      <c r="H456" s="79"/>
      <c r="I456" s="79"/>
      <c r="J456" s="14"/>
      <c r="K456" s="38"/>
      <c r="L456" s="38"/>
      <c r="M456" s="17"/>
    </row>
    <row r="457" spans="2:13" ht="14.45" customHeight="1" x14ac:dyDescent="0.25">
      <c r="B457" s="17"/>
      <c r="C457" s="14"/>
      <c r="D457" s="14"/>
      <c r="E457" s="18"/>
      <c r="F457" s="61"/>
      <c r="G457" s="79"/>
      <c r="H457" s="79"/>
      <c r="I457" s="79"/>
      <c r="J457" s="14"/>
      <c r="K457" s="38"/>
      <c r="L457" s="38"/>
      <c r="M457" s="17"/>
    </row>
    <row r="458" spans="2:13" ht="14.45" customHeight="1" x14ac:dyDescent="0.25">
      <c r="B458" s="17"/>
      <c r="C458" s="14"/>
      <c r="D458" s="14"/>
      <c r="E458" s="18"/>
      <c r="F458" s="61"/>
      <c r="G458" s="79"/>
      <c r="H458" s="79"/>
      <c r="I458" s="79"/>
      <c r="J458" s="14"/>
      <c r="K458" s="38"/>
      <c r="L458" s="38"/>
      <c r="M458" s="17"/>
    </row>
    <row r="459" spans="2:13" ht="14.45" customHeight="1" x14ac:dyDescent="0.25">
      <c r="B459" s="17"/>
      <c r="C459" s="14"/>
      <c r="D459" s="14"/>
      <c r="E459" s="18"/>
      <c r="F459" s="61"/>
      <c r="G459" s="79"/>
      <c r="H459" s="79"/>
      <c r="I459" s="79"/>
      <c r="J459" s="14"/>
      <c r="K459" s="38"/>
      <c r="L459" s="38"/>
      <c r="M459" s="17"/>
    </row>
    <row r="460" spans="2:13" ht="14.45" customHeight="1" x14ac:dyDescent="0.25">
      <c r="B460" s="17"/>
      <c r="C460" s="14"/>
      <c r="D460" s="14"/>
      <c r="E460" s="18"/>
      <c r="F460" s="61"/>
      <c r="G460" s="79"/>
      <c r="H460" s="79"/>
      <c r="I460" s="79"/>
      <c r="J460" s="14"/>
      <c r="K460" s="38"/>
      <c r="L460" s="38"/>
      <c r="M460" s="17"/>
    </row>
    <row r="461" spans="2:13" ht="14.45" customHeight="1" x14ac:dyDescent="0.25">
      <c r="B461" s="17"/>
      <c r="C461" s="14"/>
      <c r="D461" s="14"/>
      <c r="E461" s="18"/>
      <c r="F461" s="61"/>
      <c r="G461" s="79"/>
      <c r="H461" s="79"/>
      <c r="I461" s="79"/>
      <c r="J461" s="14"/>
      <c r="K461" s="38"/>
      <c r="L461" s="38"/>
      <c r="M461" s="17"/>
    </row>
    <row r="462" spans="2:13" ht="14.45" customHeight="1" x14ac:dyDescent="0.25">
      <c r="B462" s="17"/>
      <c r="C462" s="14"/>
      <c r="D462" s="14"/>
      <c r="E462" s="18"/>
      <c r="F462" s="61"/>
      <c r="G462" s="79"/>
      <c r="H462" s="79"/>
      <c r="I462" s="79"/>
      <c r="J462" s="14"/>
      <c r="K462" s="38"/>
      <c r="L462" s="38"/>
      <c r="M462" s="17"/>
    </row>
    <row r="463" spans="2:13" ht="14.45" customHeight="1" x14ac:dyDescent="0.25">
      <c r="B463" s="17"/>
      <c r="C463" s="14"/>
      <c r="D463" s="14"/>
      <c r="E463" s="18"/>
      <c r="F463" s="61"/>
      <c r="G463" s="79"/>
      <c r="H463" s="79"/>
      <c r="I463" s="79"/>
      <c r="J463" s="14"/>
      <c r="K463" s="38"/>
      <c r="L463" s="38"/>
      <c r="M463" s="17"/>
    </row>
    <row r="464" spans="2:13" ht="14.45" customHeight="1" x14ac:dyDescent="0.25">
      <c r="B464" s="17"/>
      <c r="C464" s="14"/>
      <c r="D464" s="14"/>
      <c r="E464" s="18"/>
      <c r="F464" s="61"/>
      <c r="G464" s="79"/>
      <c r="H464" s="79"/>
      <c r="I464" s="79"/>
      <c r="J464" s="14"/>
      <c r="K464" s="38"/>
      <c r="L464" s="38"/>
      <c r="M464" s="17"/>
    </row>
    <row r="465" spans="2:13" ht="14.45" customHeight="1" x14ac:dyDescent="0.25">
      <c r="B465" s="17"/>
      <c r="C465" s="14"/>
      <c r="D465" s="14"/>
      <c r="E465" s="18"/>
      <c r="F465" s="61"/>
      <c r="G465" s="79"/>
      <c r="H465" s="79"/>
      <c r="I465" s="79"/>
      <c r="J465" s="14"/>
      <c r="K465" s="38"/>
      <c r="L465" s="38"/>
      <c r="M465" s="17"/>
    </row>
    <row r="466" spans="2:13" ht="14.45" customHeight="1" x14ac:dyDescent="0.25">
      <c r="B466" s="17"/>
      <c r="C466" s="14"/>
      <c r="D466" s="14"/>
      <c r="E466" s="18"/>
      <c r="F466" s="61"/>
      <c r="G466" s="79"/>
      <c r="H466" s="79"/>
      <c r="I466" s="79"/>
      <c r="J466" s="14"/>
      <c r="K466" s="38"/>
      <c r="L466" s="38"/>
      <c r="M466" s="17"/>
    </row>
    <row r="467" spans="2:13" ht="14.45" customHeight="1" x14ac:dyDescent="0.25">
      <c r="B467" s="17"/>
      <c r="C467" s="14"/>
      <c r="D467" s="14"/>
      <c r="E467" s="18"/>
      <c r="F467" s="61"/>
      <c r="G467" s="79"/>
      <c r="H467" s="79"/>
      <c r="I467" s="79"/>
      <c r="J467" s="14"/>
      <c r="K467" s="38"/>
      <c r="L467" s="38"/>
      <c r="M467" s="17"/>
    </row>
    <row r="468" spans="2:13" ht="14.45" customHeight="1" x14ac:dyDescent="0.25">
      <c r="B468" s="17"/>
      <c r="C468" s="14"/>
      <c r="D468" s="14"/>
      <c r="E468" s="18"/>
      <c r="F468" s="61"/>
      <c r="G468" s="79"/>
      <c r="H468" s="79"/>
      <c r="I468" s="79"/>
      <c r="J468" s="14"/>
      <c r="K468" s="38"/>
      <c r="L468" s="38"/>
      <c r="M468" s="17"/>
    </row>
    <row r="469" spans="2:13" ht="14.45" customHeight="1" x14ac:dyDescent="0.25">
      <c r="B469" s="17"/>
      <c r="C469" s="14"/>
      <c r="D469" s="14"/>
      <c r="E469" s="18"/>
      <c r="F469" s="61"/>
      <c r="G469" s="79"/>
      <c r="H469" s="79"/>
      <c r="I469" s="79"/>
      <c r="J469" s="14"/>
      <c r="K469" s="38"/>
      <c r="L469" s="38"/>
      <c r="M469" s="17"/>
    </row>
    <row r="470" spans="2:13" ht="14.45" customHeight="1" x14ac:dyDescent="0.25">
      <c r="B470" s="17"/>
      <c r="C470" s="14"/>
      <c r="D470" s="14"/>
      <c r="E470" s="18"/>
      <c r="F470" s="61"/>
      <c r="G470" s="79"/>
      <c r="H470" s="79"/>
      <c r="I470" s="79"/>
      <c r="J470" s="14"/>
      <c r="K470" s="38"/>
      <c r="L470" s="38"/>
      <c r="M470" s="17"/>
    </row>
    <row r="471" spans="2:13" ht="14.45" customHeight="1" x14ac:dyDescent="0.25">
      <c r="B471" s="17"/>
      <c r="C471" s="14"/>
      <c r="D471" s="14"/>
      <c r="E471" s="18"/>
      <c r="F471" s="61"/>
      <c r="G471" s="79"/>
      <c r="H471" s="79"/>
      <c r="I471" s="79"/>
      <c r="J471" s="14"/>
      <c r="K471" s="38"/>
      <c r="L471" s="38"/>
      <c r="M471" s="17"/>
    </row>
    <row r="472" spans="2:13" ht="14.45" customHeight="1" x14ac:dyDescent="0.25">
      <c r="B472" s="17"/>
      <c r="C472" s="14"/>
      <c r="D472" s="14"/>
      <c r="E472" s="18"/>
      <c r="F472" s="61"/>
      <c r="G472" s="79"/>
      <c r="H472" s="79"/>
      <c r="I472" s="79"/>
      <c r="J472" s="14"/>
      <c r="K472" s="38"/>
      <c r="L472" s="38"/>
      <c r="M472" s="17"/>
    </row>
    <row r="473" spans="2:13" ht="14.45" customHeight="1" x14ac:dyDescent="0.25">
      <c r="B473" s="17"/>
      <c r="C473" s="14"/>
      <c r="D473" s="14"/>
      <c r="E473" s="18"/>
      <c r="F473" s="61"/>
      <c r="G473" s="79"/>
      <c r="H473" s="79"/>
      <c r="I473" s="79"/>
      <c r="J473" s="14"/>
      <c r="K473" s="38"/>
      <c r="L473" s="38"/>
      <c r="M473" s="17"/>
    </row>
    <row r="474" spans="2:13" ht="14.45" customHeight="1" x14ac:dyDescent="0.25">
      <c r="B474" s="17"/>
      <c r="C474" s="14"/>
      <c r="D474" s="14"/>
      <c r="E474" s="18"/>
      <c r="F474" s="61"/>
      <c r="G474" s="79"/>
      <c r="H474" s="79"/>
      <c r="I474" s="79"/>
      <c r="J474" s="14"/>
      <c r="K474" s="38"/>
      <c r="L474" s="38"/>
      <c r="M474" s="17"/>
    </row>
    <row r="475" spans="2:13" ht="14.45" customHeight="1" x14ac:dyDescent="0.25">
      <c r="B475" s="17"/>
      <c r="C475" s="14"/>
      <c r="D475" s="14"/>
      <c r="E475" s="18"/>
      <c r="F475" s="61"/>
      <c r="G475" s="79"/>
      <c r="H475" s="79"/>
      <c r="I475" s="79"/>
      <c r="J475" s="14"/>
      <c r="K475" s="38"/>
      <c r="L475" s="38"/>
      <c r="M475" s="17"/>
    </row>
    <row r="476" spans="2:13" ht="14.45" customHeight="1" x14ac:dyDescent="0.25">
      <c r="B476" s="17"/>
      <c r="C476" s="14"/>
      <c r="D476" s="14"/>
      <c r="E476" s="18"/>
      <c r="F476" s="61"/>
      <c r="G476" s="79"/>
      <c r="H476" s="79"/>
      <c r="I476" s="79"/>
      <c r="J476" s="14"/>
      <c r="K476" s="38"/>
      <c r="L476" s="38"/>
      <c r="M476" s="17"/>
    </row>
    <row r="477" spans="2:13" ht="14.45" customHeight="1" x14ac:dyDescent="0.25">
      <c r="B477" s="17"/>
      <c r="C477" s="14"/>
      <c r="D477" s="14"/>
      <c r="E477" s="18"/>
      <c r="F477" s="61"/>
      <c r="G477" s="79"/>
      <c r="H477" s="79"/>
      <c r="I477" s="79"/>
      <c r="J477" s="14"/>
      <c r="K477" s="38"/>
      <c r="L477" s="38"/>
      <c r="M477" s="17"/>
    </row>
    <row r="478" spans="2:13" ht="14.45" customHeight="1" x14ac:dyDescent="0.25">
      <c r="B478" s="17"/>
      <c r="C478" s="14"/>
      <c r="D478" s="14"/>
      <c r="E478" s="18"/>
      <c r="F478" s="61"/>
      <c r="G478" s="79"/>
      <c r="H478" s="79"/>
      <c r="I478" s="79"/>
      <c r="J478" s="14"/>
      <c r="K478" s="38"/>
      <c r="L478" s="38"/>
      <c r="M478" s="17"/>
    </row>
    <row r="479" spans="2:13" ht="14.45" customHeight="1" x14ac:dyDescent="0.25">
      <c r="B479" s="17"/>
      <c r="C479" s="14"/>
      <c r="D479" s="14"/>
      <c r="E479" s="18"/>
      <c r="F479" s="61"/>
      <c r="G479" s="79"/>
      <c r="H479" s="79"/>
      <c r="I479" s="79"/>
      <c r="J479" s="14"/>
      <c r="K479" s="38"/>
      <c r="L479" s="38"/>
      <c r="M479" s="17"/>
    </row>
    <row r="480" spans="2:13" ht="14.45" customHeight="1" x14ac:dyDescent="0.25">
      <c r="B480" s="17"/>
      <c r="C480" s="14"/>
      <c r="D480" s="14"/>
      <c r="E480" s="18"/>
      <c r="F480" s="61"/>
      <c r="G480" s="79"/>
      <c r="H480" s="79"/>
      <c r="I480" s="79"/>
      <c r="J480" s="14"/>
      <c r="K480" s="38"/>
      <c r="L480" s="38"/>
      <c r="M480" s="17"/>
    </row>
    <row r="481" spans="2:13" ht="14.45" customHeight="1" x14ac:dyDescent="0.25">
      <c r="B481" s="17"/>
      <c r="C481" s="14"/>
      <c r="D481" s="14"/>
      <c r="E481" s="18"/>
      <c r="F481" s="61"/>
      <c r="G481" s="79"/>
      <c r="H481" s="79"/>
      <c r="I481" s="79"/>
      <c r="J481" s="14"/>
      <c r="K481" s="38"/>
      <c r="L481" s="38"/>
      <c r="M481" s="17"/>
    </row>
    <row r="482" spans="2:13" ht="14.45" customHeight="1" x14ac:dyDescent="0.25">
      <c r="B482" s="17"/>
      <c r="C482" s="14"/>
      <c r="D482" s="14"/>
      <c r="E482" s="18"/>
      <c r="F482" s="61"/>
      <c r="G482" s="79"/>
      <c r="H482" s="79"/>
      <c r="I482" s="79"/>
      <c r="J482" s="14"/>
      <c r="K482" s="38"/>
      <c r="L482" s="38"/>
      <c r="M482" s="17"/>
    </row>
    <row r="483" spans="2:13" ht="14.45" customHeight="1" x14ac:dyDescent="0.25">
      <c r="B483" s="17"/>
      <c r="C483" s="14"/>
      <c r="D483" s="14"/>
      <c r="E483" s="18"/>
      <c r="F483" s="61"/>
      <c r="G483" s="79"/>
      <c r="H483" s="79"/>
      <c r="I483" s="79"/>
      <c r="J483" s="14"/>
      <c r="K483" s="38"/>
      <c r="L483" s="38"/>
      <c r="M483" s="17"/>
    </row>
    <row r="484" spans="2:13" ht="14.45" customHeight="1" x14ac:dyDescent="0.25">
      <c r="B484" s="17"/>
      <c r="C484" s="14"/>
      <c r="D484" s="14"/>
      <c r="E484" s="18"/>
      <c r="F484" s="61"/>
      <c r="G484" s="79"/>
      <c r="H484" s="79"/>
      <c r="I484" s="79"/>
      <c r="J484" s="14"/>
      <c r="K484" s="38"/>
      <c r="L484" s="38"/>
      <c r="M484" s="17"/>
    </row>
    <row r="485" spans="2:13" ht="14.45" customHeight="1" x14ac:dyDescent="0.25">
      <c r="B485" s="17"/>
      <c r="C485" s="14"/>
      <c r="D485" s="14"/>
      <c r="E485" s="18"/>
      <c r="F485" s="61"/>
      <c r="G485" s="79"/>
      <c r="H485" s="79"/>
      <c r="I485" s="79"/>
      <c r="J485" s="14"/>
      <c r="K485" s="38"/>
      <c r="L485" s="38"/>
      <c r="M485" s="17"/>
    </row>
    <row r="486" spans="2:13" ht="14.45" customHeight="1" x14ac:dyDescent="0.25">
      <c r="B486" s="17"/>
      <c r="C486" s="14"/>
      <c r="D486" s="14"/>
      <c r="E486" s="18"/>
      <c r="F486" s="61"/>
      <c r="G486" s="79"/>
      <c r="H486" s="79"/>
      <c r="I486" s="79"/>
      <c r="J486" s="14"/>
      <c r="K486" s="38"/>
      <c r="L486" s="38"/>
      <c r="M486" s="17"/>
    </row>
    <row r="487" spans="2:13" ht="14.45" customHeight="1" x14ac:dyDescent="0.25">
      <c r="B487" s="17"/>
      <c r="C487" s="14"/>
      <c r="D487" s="14"/>
      <c r="E487" s="18"/>
      <c r="F487" s="61"/>
      <c r="G487" s="79"/>
      <c r="H487" s="79"/>
      <c r="I487" s="79"/>
      <c r="J487" s="14"/>
      <c r="K487" s="38"/>
      <c r="L487" s="38"/>
      <c r="M487" s="17"/>
    </row>
    <row r="488" spans="2:13" ht="14.45" customHeight="1" x14ac:dyDescent="0.25">
      <c r="B488" s="17"/>
      <c r="C488" s="14"/>
      <c r="D488" s="14"/>
      <c r="E488" s="18"/>
      <c r="F488" s="61"/>
      <c r="G488" s="79"/>
      <c r="H488" s="79"/>
      <c r="I488" s="79"/>
      <c r="J488" s="14"/>
      <c r="K488" s="38"/>
      <c r="L488" s="38"/>
      <c r="M488" s="17"/>
    </row>
    <row r="489" spans="2:13" ht="14.45" customHeight="1" x14ac:dyDescent="0.25">
      <c r="B489" s="17"/>
      <c r="C489" s="14"/>
      <c r="D489" s="14"/>
      <c r="E489" s="18"/>
      <c r="F489" s="61"/>
      <c r="G489" s="79"/>
      <c r="H489" s="79"/>
      <c r="I489" s="79"/>
      <c r="J489" s="14"/>
      <c r="K489" s="38"/>
      <c r="L489" s="38"/>
      <c r="M489" s="17"/>
    </row>
    <row r="490" spans="2:13" ht="14.45" customHeight="1" x14ac:dyDescent="0.25">
      <c r="B490" s="17"/>
      <c r="C490" s="14"/>
      <c r="D490" s="14"/>
      <c r="E490" s="18"/>
      <c r="F490" s="61"/>
      <c r="G490" s="79"/>
      <c r="H490" s="79"/>
      <c r="I490" s="79"/>
      <c r="J490" s="14"/>
      <c r="K490" s="38"/>
      <c r="L490" s="38"/>
      <c r="M490" s="17"/>
    </row>
    <row r="491" spans="2:13" ht="14.45" customHeight="1" x14ac:dyDescent="0.25">
      <c r="B491" s="17"/>
      <c r="C491" s="14"/>
      <c r="D491" s="14"/>
      <c r="E491" s="18"/>
      <c r="F491" s="61"/>
      <c r="G491" s="79"/>
      <c r="H491" s="79"/>
      <c r="I491" s="79"/>
      <c r="J491" s="14"/>
      <c r="K491" s="38"/>
      <c r="L491" s="38"/>
      <c r="M491" s="17"/>
    </row>
    <row r="492" spans="2:13" ht="14.45" customHeight="1" x14ac:dyDescent="0.25">
      <c r="B492" s="17"/>
      <c r="C492" s="14"/>
      <c r="D492" s="14"/>
      <c r="E492" s="18"/>
      <c r="F492" s="61"/>
      <c r="G492" s="79"/>
      <c r="H492" s="79"/>
      <c r="I492" s="79"/>
      <c r="J492" s="14"/>
      <c r="K492" s="38"/>
      <c r="L492" s="38"/>
      <c r="M492" s="17"/>
    </row>
    <row r="493" spans="2:13" ht="14.45" customHeight="1" x14ac:dyDescent="0.25">
      <c r="B493" s="17"/>
      <c r="C493" s="14"/>
      <c r="D493" s="14"/>
      <c r="E493" s="18"/>
      <c r="F493" s="61"/>
      <c r="G493" s="79"/>
      <c r="H493" s="79"/>
      <c r="I493" s="79"/>
      <c r="J493" s="14"/>
      <c r="K493" s="38"/>
      <c r="L493" s="38"/>
      <c r="M493" s="17"/>
    </row>
    <row r="494" spans="2:13" ht="14.45" customHeight="1" x14ac:dyDescent="0.25">
      <c r="B494" s="17"/>
      <c r="C494" s="14"/>
      <c r="D494" s="14"/>
      <c r="E494" s="18"/>
      <c r="F494" s="61"/>
      <c r="G494" s="79"/>
      <c r="H494" s="79"/>
      <c r="I494" s="79"/>
      <c r="J494" s="14"/>
      <c r="K494" s="38"/>
      <c r="L494" s="38"/>
      <c r="M494" s="17"/>
    </row>
    <row r="495" spans="2:13" ht="14.45" customHeight="1" x14ac:dyDescent="0.25">
      <c r="B495" s="17"/>
      <c r="C495" s="14"/>
      <c r="D495" s="14"/>
      <c r="E495" s="18"/>
      <c r="F495" s="61"/>
      <c r="G495" s="79"/>
      <c r="H495" s="79"/>
      <c r="I495" s="79"/>
      <c r="J495" s="14"/>
      <c r="K495" s="38"/>
      <c r="L495" s="38"/>
      <c r="M495" s="17"/>
    </row>
    <row r="496" spans="2:13" ht="14.45" customHeight="1" x14ac:dyDescent="0.25">
      <c r="B496" s="17"/>
      <c r="C496" s="14"/>
      <c r="D496" s="14"/>
      <c r="E496" s="18"/>
      <c r="F496" s="61"/>
      <c r="G496" s="79"/>
      <c r="H496" s="79"/>
      <c r="I496" s="79"/>
      <c r="J496" s="14"/>
      <c r="K496" s="38"/>
      <c r="L496" s="38"/>
      <c r="M496" s="17"/>
    </row>
    <row r="497" spans="2:13" ht="14.45" customHeight="1" x14ac:dyDescent="0.25">
      <c r="B497" s="17"/>
      <c r="C497" s="14"/>
      <c r="D497" s="14"/>
      <c r="E497" s="18"/>
      <c r="F497" s="61"/>
      <c r="G497" s="79"/>
      <c r="H497" s="79"/>
      <c r="I497" s="79"/>
      <c r="J497" s="14"/>
      <c r="K497" s="38"/>
      <c r="L497" s="38"/>
      <c r="M497" s="17"/>
    </row>
    <row r="498" spans="2:13" ht="14.45" customHeight="1" x14ac:dyDescent="0.25">
      <c r="B498" s="17"/>
      <c r="C498" s="14"/>
      <c r="D498" s="14"/>
      <c r="E498" s="18"/>
      <c r="F498" s="61"/>
      <c r="G498" s="79"/>
      <c r="H498" s="79"/>
      <c r="I498" s="79"/>
      <c r="J498" s="14"/>
      <c r="K498" s="38"/>
      <c r="L498" s="38"/>
      <c r="M498" s="17"/>
    </row>
    <row r="499" spans="2:13" ht="14.45" customHeight="1" x14ac:dyDescent="0.25">
      <c r="B499" s="17"/>
      <c r="C499" s="14"/>
      <c r="D499" s="14"/>
      <c r="E499" s="18"/>
      <c r="F499" s="61"/>
      <c r="G499" s="79"/>
      <c r="H499" s="79"/>
      <c r="I499" s="79"/>
      <c r="J499" s="14"/>
      <c r="K499" s="38"/>
      <c r="L499" s="38"/>
      <c r="M499" s="17"/>
    </row>
    <row r="500" spans="2:13" ht="14.45" customHeight="1" x14ac:dyDescent="0.25">
      <c r="B500" s="17"/>
      <c r="C500" s="14"/>
      <c r="D500" s="14"/>
      <c r="E500" s="18"/>
      <c r="F500" s="61"/>
      <c r="G500" s="79"/>
      <c r="H500" s="79"/>
      <c r="I500" s="79"/>
      <c r="J500" s="14"/>
      <c r="K500" s="38"/>
      <c r="L500" s="38"/>
      <c r="M500" s="17"/>
    </row>
    <row r="501" spans="2:13" ht="14.45" customHeight="1" x14ac:dyDescent="0.25">
      <c r="B501" s="17"/>
      <c r="C501" s="14"/>
      <c r="D501" s="14"/>
      <c r="E501" s="18"/>
      <c r="F501" s="61"/>
      <c r="G501" s="79"/>
      <c r="H501" s="79"/>
      <c r="I501" s="79"/>
      <c r="J501" s="14"/>
      <c r="K501" s="38"/>
      <c r="L501" s="38"/>
      <c r="M501" s="17"/>
    </row>
    <row r="502" spans="2:13" ht="14.45" customHeight="1" x14ac:dyDescent="0.25">
      <c r="B502" s="17"/>
      <c r="C502" s="14"/>
      <c r="D502" s="14"/>
      <c r="E502" s="18"/>
      <c r="F502" s="61"/>
      <c r="G502" s="79"/>
      <c r="H502" s="79"/>
      <c r="I502" s="79"/>
      <c r="J502" s="14"/>
      <c r="K502" s="38"/>
      <c r="L502" s="38"/>
      <c r="M502" s="17"/>
    </row>
    <row r="503" spans="2:13" ht="14.45" customHeight="1" x14ac:dyDescent="0.25">
      <c r="B503" s="17"/>
      <c r="C503" s="14"/>
      <c r="D503" s="14"/>
      <c r="E503" s="18"/>
      <c r="F503" s="61"/>
      <c r="G503" s="79"/>
      <c r="H503" s="79"/>
      <c r="I503" s="79"/>
      <c r="J503" s="14"/>
      <c r="K503" s="38"/>
      <c r="L503" s="38"/>
      <c r="M503" s="17"/>
    </row>
    <row r="504" spans="2:13" ht="14.45" customHeight="1" x14ac:dyDescent="0.25">
      <c r="B504" s="17"/>
      <c r="C504" s="14"/>
      <c r="D504" s="14"/>
      <c r="E504" s="18"/>
      <c r="F504" s="61"/>
      <c r="G504" s="79"/>
      <c r="H504" s="79"/>
      <c r="I504" s="79"/>
      <c r="J504" s="14"/>
      <c r="K504" s="38"/>
      <c r="L504" s="38"/>
      <c r="M504" s="17"/>
    </row>
    <row r="505" spans="2:13" ht="14.45" customHeight="1" x14ac:dyDescent="0.25">
      <c r="B505" s="17"/>
      <c r="C505" s="14"/>
      <c r="D505" s="14"/>
      <c r="E505" s="18"/>
      <c r="F505" s="61"/>
      <c r="G505" s="79"/>
      <c r="H505" s="79"/>
      <c r="I505" s="79"/>
      <c r="J505" s="14"/>
      <c r="K505" s="38"/>
      <c r="L505" s="38"/>
      <c r="M505" s="17"/>
    </row>
    <row r="506" spans="2:13" ht="14.45" customHeight="1" x14ac:dyDescent="0.25">
      <c r="B506" s="17"/>
      <c r="C506" s="14"/>
      <c r="D506" s="14"/>
      <c r="E506" s="18"/>
      <c r="F506" s="61"/>
      <c r="G506" s="79"/>
      <c r="H506" s="79"/>
      <c r="I506" s="79"/>
      <c r="J506" s="14"/>
      <c r="K506" s="38"/>
      <c r="L506" s="38"/>
      <c r="M506" s="17"/>
    </row>
    <row r="507" spans="2:13" ht="14.45" customHeight="1" x14ac:dyDescent="0.25">
      <c r="B507" s="17"/>
      <c r="C507" s="14"/>
      <c r="D507" s="14"/>
      <c r="E507" s="18"/>
      <c r="F507" s="61"/>
      <c r="G507" s="79"/>
      <c r="H507" s="79"/>
      <c r="I507" s="79"/>
      <c r="J507" s="14"/>
      <c r="K507" s="38"/>
      <c r="L507" s="38"/>
      <c r="M507" s="17"/>
    </row>
    <row r="508" spans="2:13" ht="14.45" customHeight="1" x14ac:dyDescent="0.25">
      <c r="B508" s="17"/>
      <c r="C508" s="14"/>
      <c r="D508" s="14"/>
      <c r="E508" s="18"/>
      <c r="F508" s="61"/>
      <c r="G508" s="79"/>
      <c r="H508" s="79"/>
      <c r="I508" s="79"/>
      <c r="J508" s="14"/>
      <c r="K508" s="38"/>
      <c r="L508" s="38"/>
      <c r="M508" s="17"/>
    </row>
    <row r="509" spans="2:13" ht="14.45" customHeight="1" x14ac:dyDescent="0.25">
      <c r="B509" s="17"/>
      <c r="C509" s="14"/>
      <c r="D509" s="14"/>
      <c r="E509" s="18"/>
      <c r="F509" s="61"/>
      <c r="G509" s="79"/>
      <c r="H509" s="79"/>
      <c r="I509" s="79"/>
      <c r="J509" s="14"/>
      <c r="K509" s="38"/>
      <c r="L509" s="38"/>
      <c r="M509" s="17"/>
    </row>
    <row r="510" spans="2:13" ht="14.45" customHeight="1" x14ac:dyDescent="0.25">
      <c r="B510" s="17"/>
      <c r="C510" s="14"/>
      <c r="D510" s="14"/>
      <c r="E510" s="18"/>
      <c r="F510" s="61"/>
      <c r="G510" s="79"/>
      <c r="H510" s="79"/>
      <c r="I510" s="79"/>
      <c r="J510" s="14"/>
      <c r="K510" s="38"/>
      <c r="L510" s="38"/>
      <c r="M510" s="17"/>
    </row>
    <row r="511" spans="2:13" ht="14.45" customHeight="1" x14ac:dyDescent="0.25">
      <c r="B511" s="17"/>
      <c r="C511" s="14"/>
      <c r="D511" s="14"/>
      <c r="E511" s="18"/>
      <c r="F511" s="61"/>
      <c r="G511" s="79"/>
      <c r="H511" s="79"/>
      <c r="I511" s="79"/>
      <c r="J511" s="14"/>
      <c r="K511" s="38"/>
      <c r="L511" s="38"/>
      <c r="M511" s="17"/>
    </row>
    <row r="512" spans="2:13" ht="14.45" customHeight="1" x14ac:dyDescent="0.25">
      <c r="B512" s="17"/>
      <c r="C512" s="14"/>
      <c r="D512" s="14"/>
      <c r="E512" s="18"/>
      <c r="F512" s="61"/>
      <c r="G512" s="79"/>
      <c r="H512" s="79"/>
      <c r="I512" s="79"/>
      <c r="J512" s="14"/>
      <c r="K512" s="38"/>
      <c r="L512" s="38"/>
      <c r="M512" s="17"/>
    </row>
    <row r="513" spans="2:13" ht="14.45" customHeight="1" x14ac:dyDescent="0.25">
      <c r="B513" s="17"/>
      <c r="C513" s="14"/>
      <c r="D513" s="14"/>
      <c r="E513" s="18"/>
      <c r="F513" s="61"/>
      <c r="G513" s="79"/>
      <c r="H513" s="79"/>
      <c r="I513" s="79"/>
      <c r="J513" s="14"/>
      <c r="K513" s="38"/>
      <c r="L513" s="38"/>
      <c r="M513" s="17"/>
    </row>
    <row r="514" spans="2:13" ht="14.45" customHeight="1" x14ac:dyDescent="0.25">
      <c r="B514" s="17"/>
      <c r="C514" s="14"/>
      <c r="D514" s="14"/>
      <c r="E514" s="18"/>
      <c r="F514" s="61"/>
      <c r="G514" s="79"/>
      <c r="H514" s="79"/>
      <c r="I514" s="79"/>
      <c r="J514" s="14"/>
      <c r="K514" s="38"/>
      <c r="L514" s="38"/>
      <c r="M514" s="17"/>
    </row>
    <row r="515" spans="2:13" ht="14.45" customHeight="1" x14ac:dyDescent="0.25">
      <c r="B515" s="17"/>
      <c r="C515" s="14"/>
      <c r="D515" s="14"/>
      <c r="E515" s="18"/>
      <c r="F515" s="61"/>
      <c r="G515" s="79"/>
      <c r="H515" s="79"/>
      <c r="I515" s="79"/>
      <c r="J515" s="14"/>
      <c r="K515" s="38"/>
      <c r="L515" s="38"/>
      <c r="M515" s="17"/>
    </row>
    <row r="516" spans="2:13" ht="14.45" customHeight="1" x14ac:dyDescent="0.25">
      <c r="B516" s="17"/>
      <c r="C516" s="14"/>
      <c r="D516" s="14"/>
      <c r="E516" s="18"/>
      <c r="F516" s="61"/>
      <c r="G516" s="79"/>
      <c r="H516" s="79"/>
      <c r="I516" s="79"/>
      <c r="J516" s="14"/>
      <c r="K516" s="38"/>
      <c r="L516" s="38"/>
      <c r="M516" s="17"/>
    </row>
    <row r="517" spans="2:13" ht="14.45" customHeight="1" x14ac:dyDescent="0.25">
      <c r="B517" s="17"/>
      <c r="C517" s="14"/>
      <c r="D517" s="14"/>
      <c r="E517" s="18"/>
      <c r="F517" s="61"/>
      <c r="G517" s="79"/>
      <c r="H517" s="79"/>
      <c r="I517" s="79"/>
      <c r="J517" s="14"/>
      <c r="K517" s="38"/>
      <c r="L517" s="38"/>
      <c r="M517" s="17"/>
    </row>
    <row r="518" spans="2:13" ht="14.45" customHeight="1" x14ac:dyDescent="0.25">
      <c r="B518" s="17"/>
      <c r="C518" s="14"/>
      <c r="D518" s="14"/>
      <c r="E518" s="18"/>
      <c r="F518" s="61"/>
      <c r="G518" s="79"/>
      <c r="H518" s="79"/>
      <c r="I518" s="79"/>
      <c r="J518" s="14"/>
      <c r="K518" s="38"/>
      <c r="L518" s="38"/>
      <c r="M518" s="17"/>
    </row>
    <row r="519" spans="2:13" ht="14.45" customHeight="1" x14ac:dyDescent="0.25">
      <c r="B519" s="17"/>
      <c r="C519" s="14"/>
      <c r="D519" s="14"/>
      <c r="E519" s="18"/>
      <c r="F519" s="61"/>
      <c r="G519" s="79"/>
      <c r="H519" s="79"/>
      <c r="I519" s="79"/>
      <c r="J519" s="14"/>
      <c r="K519" s="38"/>
      <c r="L519" s="38"/>
      <c r="M519" s="17"/>
    </row>
    <row r="520" spans="2:13" ht="14.45" customHeight="1" x14ac:dyDescent="0.25">
      <c r="B520" s="17"/>
      <c r="C520" s="14"/>
      <c r="D520" s="14"/>
      <c r="E520" s="18"/>
      <c r="F520" s="61"/>
      <c r="G520" s="79"/>
      <c r="H520" s="79"/>
      <c r="I520" s="79"/>
      <c r="J520" s="14"/>
      <c r="K520" s="38"/>
      <c r="L520" s="38"/>
      <c r="M520" s="17"/>
    </row>
    <row r="521" spans="2:13" ht="14.45" customHeight="1" x14ac:dyDescent="0.25">
      <c r="B521" s="17"/>
      <c r="C521" s="14"/>
      <c r="D521" s="14"/>
      <c r="E521" s="18"/>
      <c r="F521" s="61"/>
      <c r="G521" s="79"/>
      <c r="H521" s="79"/>
      <c r="I521" s="79"/>
      <c r="J521" s="14"/>
      <c r="K521" s="38"/>
      <c r="L521" s="38"/>
      <c r="M521" s="17"/>
    </row>
    <row r="522" spans="2:13" ht="14.45" customHeight="1" x14ac:dyDescent="0.25">
      <c r="B522" s="17"/>
      <c r="C522" s="14"/>
      <c r="D522" s="14"/>
      <c r="E522" s="18"/>
      <c r="F522" s="61"/>
      <c r="G522" s="79"/>
      <c r="H522" s="79"/>
      <c r="I522" s="79"/>
      <c r="J522" s="14"/>
      <c r="K522" s="38"/>
      <c r="L522" s="38"/>
      <c r="M522" s="17"/>
    </row>
    <row r="523" spans="2:13" ht="14.45" customHeight="1" x14ac:dyDescent="0.25">
      <c r="B523" s="17"/>
      <c r="C523" s="14"/>
      <c r="D523" s="14"/>
      <c r="E523" s="18"/>
      <c r="F523" s="61"/>
      <c r="G523" s="79"/>
      <c r="H523" s="79"/>
      <c r="I523" s="79"/>
      <c r="J523" s="14"/>
      <c r="K523" s="38"/>
      <c r="L523" s="38"/>
      <c r="M523" s="17"/>
    </row>
    <row r="524" spans="2:13" ht="14.45" customHeight="1" x14ac:dyDescent="0.25">
      <c r="B524" s="17"/>
      <c r="C524" s="14"/>
      <c r="D524" s="14"/>
      <c r="E524" s="18"/>
      <c r="F524" s="61"/>
      <c r="G524" s="79"/>
      <c r="H524" s="79"/>
      <c r="I524" s="79"/>
      <c r="J524" s="14"/>
      <c r="K524" s="38"/>
      <c r="L524" s="38"/>
      <c r="M524" s="17"/>
    </row>
    <row r="525" spans="2:13" ht="14.45" customHeight="1" x14ac:dyDescent="0.25">
      <c r="B525" s="17"/>
      <c r="C525" s="14"/>
      <c r="D525" s="14"/>
      <c r="E525" s="18"/>
      <c r="F525" s="61"/>
      <c r="G525" s="79"/>
      <c r="H525" s="79"/>
      <c r="I525" s="79"/>
      <c r="J525" s="14"/>
      <c r="K525" s="38"/>
      <c r="L525" s="38"/>
      <c r="M525" s="17"/>
    </row>
    <row r="526" spans="2:13" ht="14.45" customHeight="1" x14ac:dyDescent="0.25">
      <c r="B526" s="17"/>
      <c r="C526" s="14"/>
      <c r="D526" s="14"/>
      <c r="E526" s="18"/>
      <c r="F526" s="61"/>
      <c r="G526" s="79"/>
      <c r="H526" s="79"/>
      <c r="I526" s="79"/>
      <c r="J526" s="14"/>
      <c r="K526" s="38"/>
      <c r="L526" s="38"/>
      <c r="M526" s="17"/>
    </row>
    <row r="527" spans="2:13" ht="14.45" customHeight="1" x14ac:dyDescent="0.25">
      <c r="B527" s="17"/>
      <c r="C527" s="14"/>
      <c r="D527" s="14"/>
      <c r="E527" s="18"/>
      <c r="F527" s="61"/>
      <c r="G527" s="79"/>
      <c r="H527" s="79"/>
      <c r="I527" s="79"/>
      <c r="J527" s="14"/>
      <c r="K527" s="38"/>
      <c r="L527" s="38"/>
      <c r="M527" s="17"/>
    </row>
    <row r="528" spans="2:13" ht="14.45" customHeight="1" x14ac:dyDescent="0.25">
      <c r="B528" s="17"/>
      <c r="C528" s="14"/>
      <c r="D528" s="14"/>
      <c r="E528" s="18"/>
      <c r="F528" s="61"/>
      <c r="G528" s="79"/>
      <c r="H528" s="79"/>
      <c r="I528" s="79"/>
      <c r="J528" s="14"/>
      <c r="K528" s="38"/>
      <c r="L528" s="38"/>
      <c r="M528" s="17"/>
    </row>
    <row r="529" spans="2:13" ht="14.45" customHeight="1" x14ac:dyDescent="0.25">
      <c r="B529" s="17"/>
      <c r="C529" s="14"/>
      <c r="D529" s="14"/>
      <c r="E529" s="18"/>
      <c r="F529" s="61"/>
      <c r="G529" s="79"/>
      <c r="H529" s="79"/>
      <c r="I529" s="79"/>
      <c r="J529" s="14"/>
      <c r="K529" s="38"/>
      <c r="L529" s="38"/>
      <c r="M529" s="17"/>
    </row>
    <row r="530" spans="2:13" ht="14.45" customHeight="1" x14ac:dyDescent="0.25">
      <c r="B530" s="17"/>
      <c r="C530" s="14"/>
      <c r="D530" s="14"/>
      <c r="E530" s="18"/>
      <c r="F530" s="61"/>
      <c r="G530" s="79"/>
      <c r="H530" s="79"/>
      <c r="I530" s="79"/>
      <c r="J530" s="14"/>
      <c r="K530" s="38"/>
      <c r="L530" s="38"/>
      <c r="M530" s="17"/>
    </row>
    <row r="531" spans="2:13" ht="14.45" customHeight="1" x14ac:dyDescent="0.25">
      <c r="B531" s="17"/>
      <c r="C531" s="14"/>
      <c r="D531" s="14"/>
      <c r="E531" s="18"/>
      <c r="F531" s="61"/>
      <c r="G531" s="79"/>
      <c r="H531" s="79"/>
      <c r="I531" s="79"/>
      <c r="J531" s="14"/>
      <c r="K531" s="38"/>
      <c r="L531" s="38"/>
      <c r="M531" s="17"/>
    </row>
    <row r="532" spans="2:13" ht="14.45" customHeight="1" x14ac:dyDescent="0.25">
      <c r="B532" s="17"/>
      <c r="C532" s="14"/>
      <c r="D532" s="14"/>
      <c r="E532" s="18"/>
      <c r="F532" s="61"/>
      <c r="G532" s="79"/>
      <c r="H532" s="79"/>
      <c r="I532" s="79"/>
      <c r="J532" s="14"/>
      <c r="K532" s="38"/>
      <c r="L532" s="38"/>
      <c r="M532" s="17"/>
    </row>
    <row r="533" spans="2:13" ht="14.45" customHeight="1" x14ac:dyDescent="0.25">
      <c r="B533" s="17"/>
      <c r="C533" s="14"/>
      <c r="D533" s="14"/>
      <c r="E533" s="18"/>
      <c r="F533" s="61"/>
      <c r="G533" s="79"/>
      <c r="H533" s="79"/>
      <c r="I533" s="79"/>
      <c r="J533" s="14"/>
      <c r="K533" s="38"/>
      <c r="L533" s="38"/>
      <c r="M533" s="17"/>
    </row>
    <row r="534" spans="2:13" ht="14.45" customHeight="1" x14ac:dyDescent="0.25">
      <c r="B534" s="17"/>
      <c r="C534" s="14"/>
      <c r="D534" s="14"/>
      <c r="E534" s="18"/>
      <c r="F534" s="61"/>
      <c r="G534" s="79"/>
      <c r="H534" s="79"/>
      <c r="I534" s="79"/>
      <c r="J534" s="14"/>
      <c r="K534" s="38"/>
      <c r="L534" s="38"/>
      <c r="M534" s="17"/>
    </row>
    <row r="535" spans="2:13" ht="14.45" customHeight="1" x14ac:dyDescent="0.25">
      <c r="B535" s="17"/>
      <c r="C535" s="14"/>
      <c r="D535" s="14"/>
      <c r="E535" s="18"/>
      <c r="F535" s="61"/>
      <c r="G535" s="79"/>
      <c r="H535" s="79"/>
      <c r="I535" s="79"/>
      <c r="J535" s="14"/>
      <c r="K535" s="38"/>
      <c r="L535" s="38"/>
      <c r="M535" s="17"/>
    </row>
    <row r="536" spans="2:13" ht="14.45" customHeight="1" x14ac:dyDescent="0.25">
      <c r="B536" s="17"/>
      <c r="C536" s="14"/>
      <c r="D536" s="14"/>
      <c r="E536" s="18"/>
      <c r="F536" s="61"/>
      <c r="G536" s="79"/>
      <c r="H536" s="79"/>
      <c r="I536" s="79"/>
      <c r="J536" s="14"/>
      <c r="K536" s="38"/>
      <c r="L536" s="38"/>
      <c r="M536" s="17"/>
    </row>
    <row r="537" spans="2:13" ht="14.45" customHeight="1" x14ac:dyDescent="0.25">
      <c r="B537" s="17"/>
      <c r="C537" s="14"/>
      <c r="D537" s="14"/>
      <c r="E537" s="18"/>
      <c r="F537" s="61"/>
      <c r="G537" s="79"/>
      <c r="H537" s="79"/>
      <c r="I537" s="79"/>
      <c r="J537" s="14"/>
      <c r="K537" s="38"/>
      <c r="L537" s="38"/>
      <c r="M537" s="17"/>
    </row>
    <row r="538" spans="2:13" ht="14.45" customHeight="1" x14ac:dyDescent="0.25">
      <c r="B538" s="17"/>
      <c r="C538" s="14"/>
      <c r="D538" s="14"/>
      <c r="E538" s="18"/>
      <c r="F538" s="61"/>
      <c r="G538" s="79"/>
      <c r="H538" s="79"/>
      <c r="I538" s="79"/>
      <c r="J538" s="14"/>
      <c r="K538" s="38"/>
      <c r="L538" s="38"/>
      <c r="M538" s="17"/>
    </row>
    <row r="539" spans="2:13" ht="14.45" customHeight="1" x14ac:dyDescent="0.25">
      <c r="B539" s="17"/>
      <c r="C539" s="14"/>
      <c r="D539" s="14"/>
      <c r="E539" s="18"/>
      <c r="F539" s="61"/>
      <c r="G539" s="79"/>
      <c r="H539" s="79"/>
      <c r="I539" s="79"/>
      <c r="J539" s="14"/>
      <c r="K539" s="38"/>
      <c r="L539" s="38"/>
      <c r="M539" s="17"/>
    </row>
    <row r="540" spans="2:13" ht="14.45" customHeight="1" x14ac:dyDescent="0.25">
      <c r="B540" s="17"/>
      <c r="C540" s="14"/>
      <c r="D540" s="14"/>
      <c r="E540" s="18"/>
      <c r="F540" s="61"/>
      <c r="G540" s="79"/>
      <c r="H540" s="79"/>
      <c r="I540" s="79"/>
      <c r="J540" s="14"/>
      <c r="K540" s="38"/>
      <c r="L540" s="38"/>
      <c r="M540" s="17"/>
    </row>
    <row r="541" spans="2:13" ht="14.45" customHeight="1" x14ac:dyDescent="0.25">
      <c r="B541" s="17"/>
      <c r="C541" s="14"/>
      <c r="D541" s="14"/>
      <c r="E541" s="18"/>
      <c r="F541" s="61"/>
      <c r="G541" s="79"/>
      <c r="H541" s="79"/>
      <c r="I541" s="79"/>
      <c r="J541" s="14"/>
      <c r="K541" s="38"/>
      <c r="L541" s="38"/>
      <c r="M541" s="17"/>
    </row>
    <row r="542" spans="2:13" ht="14.45" customHeight="1" x14ac:dyDescent="0.25">
      <c r="B542" s="17"/>
      <c r="C542" s="14"/>
      <c r="D542" s="14"/>
      <c r="E542" s="18"/>
      <c r="F542" s="61"/>
      <c r="G542" s="79"/>
      <c r="H542" s="79"/>
      <c r="I542" s="79"/>
      <c r="J542" s="14"/>
      <c r="K542" s="38"/>
      <c r="L542" s="38"/>
      <c r="M542" s="17"/>
    </row>
    <row r="543" spans="2:13" ht="14.45" customHeight="1" x14ac:dyDescent="0.25">
      <c r="B543" s="17"/>
      <c r="C543" s="14"/>
      <c r="D543" s="14"/>
      <c r="E543" s="18"/>
      <c r="F543" s="61"/>
      <c r="G543" s="79"/>
      <c r="H543" s="79"/>
      <c r="I543" s="79"/>
      <c r="J543" s="14"/>
      <c r="K543" s="38"/>
      <c r="L543" s="38"/>
      <c r="M543" s="17"/>
    </row>
    <row r="544" spans="2:13" ht="14.45" customHeight="1" x14ac:dyDescent="0.25">
      <c r="B544" s="17"/>
      <c r="C544" s="14"/>
      <c r="D544" s="14"/>
      <c r="E544" s="18"/>
      <c r="F544" s="61"/>
      <c r="G544" s="79"/>
      <c r="H544" s="79"/>
      <c r="I544" s="79"/>
      <c r="J544" s="14"/>
      <c r="K544" s="38"/>
      <c r="L544" s="38"/>
      <c r="M544" s="17"/>
    </row>
    <row r="545" spans="2:13" ht="14.45" customHeight="1" x14ac:dyDescent="0.25">
      <c r="B545" s="17"/>
      <c r="C545" s="14"/>
      <c r="D545" s="14"/>
      <c r="E545" s="18"/>
      <c r="F545" s="61"/>
      <c r="G545" s="79"/>
      <c r="H545" s="79"/>
      <c r="I545" s="79"/>
      <c r="J545" s="14"/>
      <c r="K545" s="38"/>
      <c r="L545" s="38"/>
      <c r="M545" s="17"/>
    </row>
    <row r="546" spans="2:13" ht="14.45" customHeight="1" x14ac:dyDescent="0.25">
      <c r="B546" s="17"/>
      <c r="C546" s="14"/>
      <c r="D546" s="14"/>
      <c r="E546" s="18"/>
      <c r="F546" s="61"/>
      <c r="G546" s="79"/>
      <c r="H546" s="79"/>
      <c r="I546" s="79"/>
      <c r="J546" s="14"/>
      <c r="K546" s="38"/>
      <c r="L546" s="38"/>
      <c r="M546" s="17"/>
    </row>
    <row r="547" spans="2:13" ht="14.45" customHeight="1" x14ac:dyDescent="0.25">
      <c r="B547" s="17"/>
      <c r="C547" s="14"/>
      <c r="D547" s="14"/>
      <c r="E547" s="18"/>
      <c r="F547" s="61"/>
      <c r="G547" s="79"/>
      <c r="H547" s="79"/>
      <c r="I547" s="79"/>
      <c r="J547" s="14"/>
      <c r="K547" s="38"/>
      <c r="L547" s="38"/>
      <c r="M547" s="17"/>
    </row>
    <row r="548" spans="2:13" ht="14.45" customHeight="1" x14ac:dyDescent="0.25">
      <c r="B548" s="17"/>
      <c r="C548" s="14"/>
      <c r="D548" s="14"/>
      <c r="E548" s="18"/>
      <c r="F548" s="61"/>
      <c r="G548" s="79"/>
      <c r="H548" s="79"/>
      <c r="I548" s="79"/>
      <c r="J548" s="14"/>
      <c r="K548" s="38"/>
      <c r="L548" s="38"/>
      <c r="M548" s="17"/>
    </row>
    <row r="549" spans="2:13" ht="14.45" customHeight="1" x14ac:dyDescent="0.25">
      <c r="B549" s="17"/>
      <c r="C549" s="14"/>
      <c r="D549" s="14"/>
      <c r="E549" s="18"/>
      <c r="F549" s="61"/>
      <c r="G549" s="79"/>
      <c r="H549" s="79"/>
      <c r="I549" s="79"/>
      <c r="J549" s="14"/>
      <c r="K549" s="38"/>
      <c r="L549" s="38"/>
      <c r="M549" s="17"/>
    </row>
    <row r="550" spans="2:13" ht="14.45" customHeight="1" x14ac:dyDescent="0.25">
      <c r="B550" s="17"/>
      <c r="C550" s="14"/>
      <c r="D550" s="14"/>
      <c r="E550" s="18"/>
      <c r="F550" s="61"/>
      <c r="G550" s="79"/>
      <c r="H550" s="79"/>
      <c r="I550" s="79"/>
      <c r="J550" s="14"/>
      <c r="K550" s="38"/>
      <c r="L550" s="38"/>
      <c r="M550" s="17"/>
    </row>
    <row r="551" spans="2:13" ht="14.45" customHeight="1" x14ac:dyDescent="0.25">
      <c r="B551" s="17"/>
      <c r="C551" s="14"/>
      <c r="D551" s="14"/>
      <c r="E551" s="18"/>
      <c r="F551" s="61"/>
      <c r="G551" s="79"/>
      <c r="H551" s="79"/>
      <c r="I551" s="79"/>
      <c r="J551" s="14"/>
      <c r="K551" s="38"/>
      <c r="L551" s="38"/>
      <c r="M551" s="17"/>
    </row>
    <row r="552" spans="2:13" ht="14.45" customHeight="1" x14ac:dyDescent="0.25">
      <c r="B552" s="17"/>
      <c r="C552" s="14"/>
      <c r="D552" s="14"/>
      <c r="E552" s="18"/>
      <c r="F552" s="61"/>
      <c r="G552" s="79"/>
      <c r="H552" s="79"/>
      <c r="I552" s="79"/>
      <c r="J552" s="14"/>
      <c r="K552" s="38"/>
      <c r="L552" s="38"/>
      <c r="M552" s="17"/>
    </row>
    <row r="553" spans="2:13" ht="14.45" customHeight="1" x14ac:dyDescent="0.25">
      <c r="B553" s="17"/>
      <c r="C553" s="14"/>
      <c r="D553" s="14"/>
      <c r="E553" s="18"/>
      <c r="F553" s="61"/>
      <c r="G553" s="79"/>
      <c r="H553" s="79"/>
      <c r="I553" s="79"/>
      <c r="J553" s="14"/>
      <c r="K553" s="38"/>
      <c r="L553" s="38"/>
      <c r="M553" s="17"/>
    </row>
    <row r="554" spans="2:13" ht="14.45" customHeight="1" x14ac:dyDescent="0.25">
      <c r="B554" s="17"/>
      <c r="C554" s="14"/>
      <c r="D554" s="14"/>
      <c r="E554" s="18"/>
      <c r="F554" s="61"/>
      <c r="G554" s="79"/>
      <c r="H554" s="79"/>
      <c r="I554" s="79"/>
      <c r="J554" s="14"/>
      <c r="K554" s="38"/>
      <c r="L554" s="38"/>
      <c r="M554" s="17"/>
    </row>
    <row r="555" spans="2:13" ht="14.45" customHeight="1" x14ac:dyDescent="0.25">
      <c r="B555" s="17"/>
      <c r="C555" s="14"/>
      <c r="D555" s="14"/>
      <c r="E555" s="18"/>
      <c r="F555" s="61"/>
      <c r="G555" s="79"/>
      <c r="H555" s="79"/>
      <c r="I555" s="79"/>
      <c r="J555" s="14"/>
      <c r="K555" s="38"/>
      <c r="L555" s="38"/>
      <c r="M555" s="17"/>
    </row>
    <row r="556" spans="2:13" ht="14.45" customHeight="1" x14ac:dyDescent="0.25">
      <c r="B556" s="17"/>
      <c r="C556" s="14"/>
      <c r="D556" s="14"/>
      <c r="E556" s="18"/>
      <c r="F556" s="61"/>
      <c r="G556" s="79"/>
      <c r="H556" s="79"/>
      <c r="I556" s="79"/>
      <c r="J556" s="14"/>
      <c r="K556" s="38"/>
      <c r="L556" s="38"/>
      <c r="M556" s="17"/>
    </row>
    <row r="557" spans="2:13" ht="14.45" customHeight="1" x14ac:dyDescent="0.25">
      <c r="B557" s="17"/>
      <c r="C557" s="14"/>
      <c r="D557" s="14"/>
      <c r="E557" s="18"/>
      <c r="F557" s="61"/>
      <c r="G557" s="79"/>
      <c r="H557" s="79"/>
      <c r="I557" s="79"/>
      <c r="J557" s="14"/>
      <c r="K557" s="38"/>
      <c r="L557" s="38"/>
      <c r="M557" s="17"/>
    </row>
    <row r="558" spans="2:13" ht="14.45" customHeight="1" x14ac:dyDescent="0.25">
      <c r="B558" s="17"/>
      <c r="C558" s="14"/>
      <c r="D558" s="14"/>
      <c r="E558" s="18"/>
      <c r="F558" s="61"/>
      <c r="G558" s="79"/>
      <c r="H558" s="79"/>
      <c r="I558" s="79"/>
      <c r="J558" s="14"/>
      <c r="K558" s="38"/>
      <c r="L558" s="38"/>
      <c r="M558" s="17"/>
    </row>
    <row r="559" spans="2:13" ht="14.45" customHeight="1" x14ac:dyDescent="0.25">
      <c r="B559" s="17"/>
      <c r="C559" s="14"/>
      <c r="D559" s="14"/>
      <c r="E559" s="18"/>
      <c r="F559" s="61"/>
      <c r="G559" s="79"/>
      <c r="H559" s="79"/>
      <c r="I559" s="79"/>
      <c r="J559" s="14"/>
      <c r="K559" s="38"/>
      <c r="L559" s="38"/>
      <c r="M559" s="17"/>
    </row>
    <row r="560" spans="2:13" ht="14.45" customHeight="1" x14ac:dyDescent="0.25">
      <c r="B560" s="17"/>
      <c r="C560" s="14"/>
      <c r="D560" s="14"/>
      <c r="E560" s="18"/>
      <c r="F560" s="61"/>
      <c r="G560" s="79"/>
      <c r="H560" s="79"/>
      <c r="I560" s="79"/>
      <c r="J560" s="14"/>
      <c r="K560" s="38"/>
      <c r="L560" s="38"/>
      <c r="M560" s="17"/>
    </row>
    <row r="561" spans="2:13" ht="14.45" customHeight="1" x14ac:dyDescent="0.25">
      <c r="B561" s="17"/>
      <c r="C561" s="14"/>
      <c r="D561" s="14"/>
      <c r="E561" s="18"/>
      <c r="F561" s="61"/>
      <c r="G561" s="79"/>
      <c r="H561" s="79"/>
      <c r="I561" s="79"/>
      <c r="J561" s="14"/>
      <c r="K561" s="38"/>
      <c r="L561" s="38"/>
      <c r="M561" s="17"/>
    </row>
    <row r="562" spans="2:13" ht="14.45" customHeight="1" x14ac:dyDescent="0.25">
      <c r="B562" s="17"/>
      <c r="C562" s="14"/>
      <c r="D562" s="14"/>
      <c r="E562" s="18"/>
      <c r="F562" s="61"/>
      <c r="G562" s="79"/>
      <c r="H562" s="79"/>
      <c r="I562" s="79"/>
      <c r="J562" s="14"/>
      <c r="K562" s="38"/>
      <c r="L562" s="38"/>
      <c r="M562" s="17"/>
    </row>
    <row r="563" spans="2:13" ht="14.45" customHeight="1" x14ac:dyDescent="0.25">
      <c r="B563" s="17"/>
      <c r="C563" s="14"/>
      <c r="D563" s="14"/>
      <c r="E563" s="18"/>
      <c r="F563" s="61"/>
      <c r="G563" s="79"/>
      <c r="H563" s="79"/>
      <c r="I563" s="79"/>
      <c r="J563" s="14"/>
      <c r="K563" s="38"/>
      <c r="L563" s="38"/>
      <c r="M563" s="17"/>
    </row>
    <row r="564" spans="2:13" ht="14.45" customHeight="1" x14ac:dyDescent="0.25">
      <c r="B564" s="17"/>
      <c r="C564" s="14"/>
      <c r="D564" s="14"/>
      <c r="E564" s="18"/>
      <c r="F564" s="61"/>
      <c r="G564" s="79"/>
      <c r="H564" s="79"/>
      <c r="I564" s="79"/>
      <c r="J564" s="14"/>
      <c r="K564" s="38"/>
      <c r="L564" s="38"/>
      <c r="M564" s="17"/>
    </row>
    <row r="565" spans="2:13" ht="14.45" customHeight="1" x14ac:dyDescent="0.25">
      <c r="B565" s="17"/>
      <c r="C565" s="14"/>
      <c r="D565" s="14"/>
      <c r="E565" s="18"/>
      <c r="F565" s="61"/>
      <c r="G565" s="79"/>
      <c r="H565" s="79"/>
      <c r="I565" s="79"/>
      <c r="J565" s="14"/>
      <c r="K565" s="38"/>
      <c r="L565" s="38"/>
      <c r="M565" s="17"/>
    </row>
    <row r="566" spans="2:13" ht="14.45" customHeight="1" x14ac:dyDescent="0.25">
      <c r="B566" s="17"/>
      <c r="C566" s="14"/>
      <c r="D566" s="14"/>
      <c r="E566" s="18"/>
      <c r="F566" s="61"/>
      <c r="G566" s="79"/>
      <c r="H566" s="79"/>
      <c r="I566" s="79"/>
      <c r="J566" s="14"/>
      <c r="K566" s="38"/>
      <c r="L566" s="38"/>
      <c r="M566" s="17"/>
    </row>
    <row r="567" spans="2:13" ht="14.45" customHeight="1" x14ac:dyDescent="0.25">
      <c r="B567" s="17"/>
      <c r="C567" s="14"/>
      <c r="D567" s="14"/>
      <c r="E567" s="18"/>
      <c r="F567" s="61"/>
      <c r="G567" s="79"/>
      <c r="H567" s="79"/>
      <c r="I567" s="79"/>
      <c r="J567" s="14"/>
      <c r="K567" s="38"/>
      <c r="L567" s="38"/>
      <c r="M567" s="17"/>
    </row>
    <row r="568" spans="2:13" ht="14.45" customHeight="1" x14ac:dyDescent="0.25">
      <c r="B568" s="17"/>
      <c r="C568" s="14"/>
      <c r="D568" s="14"/>
      <c r="E568" s="18"/>
      <c r="F568" s="61"/>
      <c r="G568" s="79"/>
      <c r="H568" s="79"/>
      <c r="I568" s="79"/>
      <c r="J568" s="14"/>
      <c r="K568" s="38"/>
      <c r="L568" s="38"/>
      <c r="M568" s="17"/>
    </row>
    <row r="569" spans="2:13" ht="14.45" customHeight="1" x14ac:dyDescent="0.25">
      <c r="B569" s="17"/>
      <c r="C569" s="14"/>
      <c r="D569" s="14"/>
      <c r="E569" s="18"/>
      <c r="F569" s="61"/>
      <c r="G569" s="79"/>
      <c r="H569" s="79"/>
      <c r="I569" s="79"/>
      <c r="J569" s="14"/>
      <c r="K569" s="38"/>
      <c r="L569" s="38"/>
      <c r="M569" s="17"/>
    </row>
    <row r="570" spans="2:13" ht="14.45" customHeight="1" x14ac:dyDescent="0.25">
      <c r="B570" s="17"/>
      <c r="C570" s="14"/>
      <c r="D570" s="14"/>
      <c r="E570" s="18"/>
      <c r="F570" s="61"/>
      <c r="G570" s="79"/>
      <c r="H570" s="79"/>
      <c r="I570" s="79"/>
      <c r="J570" s="14"/>
      <c r="K570" s="38"/>
      <c r="L570" s="38"/>
      <c r="M570" s="17"/>
    </row>
    <row r="571" spans="2:13" ht="14.45" customHeight="1" x14ac:dyDescent="0.25">
      <c r="B571" s="17"/>
      <c r="C571" s="14"/>
      <c r="D571" s="14"/>
      <c r="E571" s="18"/>
      <c r="F571" s="61"/>
      <c r="G571" s="79"/>
      <c r="H571" s="79"/>
      <c r="I571" s="79"/>
      <c r="J571" s="14"/>
      <c r="K571" s="38"/>
      <c r="L571" s="38"/>
      <c r="M571" s="17"/>
    </row>
    <row r="572" spans="2:13" ht="14.45" customHeight="1" x14ac:dyDescent="0.25">
      <c r="B572" s="17"/>
      <c r="C572" s="14"/>
      <c r="D572" s="14"/>
      <c r="E572" s="18"/>
      <c r="F572" s="61"/>
      <c r="G572" s="79"/>
      <c r="H572" s="79"/>
      <c r="I572" s="79"/>
      <c r="J572" s="14"/>
      <c r="K572" s="38"/>
      <c r="L572" s="38"/>
      <c r="M572" s="17"/>
    </row>
    <row r="573" spans="2:13" ht="14.45" customHeight="1" x14ac:dyDescent="0.25">
      <c r="B573" s="17"/>
      <c r="C573" s="14"/>
      <c r="D573" s="14"/>
      <c r="E573" s="18"/>
      <c r="F573" s="61"/>
      <c r="G573" s="79"/>
      <c r="H573" s="79"/>
      <c r="I573" s="79"/>
      <c r="J573" s="14"/>
      <c r="K573" s="38"/>
      <c r="L573" s="38"/>
      <c r="M573" s="17"/>
    </row>
    <row r="574" spans="2:13" ht="14.45" customHeight="1" x14ac:dyDescent="0.25">
      <c r="B574" s="17"/>
      <c r="C574" s="14"/>
      <c r="D574" s="14"/>
      <c r="E574" s="18"/>
      <c r="F574" s="61"/>
      <c r="G574" s="79"/>
      <c r="H574" s="79"/>
      <c r="I574" s="79"/>
      <c r="J574" s="14"/>
      <c r="K574" s="38"/>
      <c r="L574" s="38"/>
      <c r="M574" s="17"/>
    </row>
    <row r="575" spans="2:13" ht="14.45" customHeight="1" x14ac:dyDescent="0.25">
      <c r="B575" s="17"/>
      <c r="C575" s="14"/>
      <c r="D575" s="14"/>
      <c r="E575" s="18"/>
      <c r="F575" s="61"/>
      <c r="G575" s="79"/>
      <c r="H575" s="79"/>
      <c r="I575" s="79"/>
      <c r="J575" s="14"/>
      <c r="K575" s="38"/>
      <c r="L575" s="38"/>
      <c r="M575" s="17"/>
    </row>
    <row r="576" spans="2:13" ht="14.45" customHeight="1" x14ac:dyDescent="0.25">
      <c r="B576" s="17"/>
      <c r="C576" s="14"/>
      <c r="D576" s="14"/>
      <c r="E576" s="18"/>
      <c r="F576" s="61"/>
      <c r="G576" s="79"/>
      <c r="H576" s="79"/>
      <c r="I576" s="79"/>
      <c r="J576" s="14"/>
      <c r="K576" s="38"/>
      <c r="L576" s="38"/>
      <c r="M576" s="17"/>
    </row>
    <row r="577" spans="2:13" ht="14.45" customHeight="1" x14ac:dyDescent="0.25">
      <c r="B577" s="17"/>
      <c r="C577" s="14"/>
      <c r="D577" s="14"/>
      <c r="E577" s="18"/>
      <c r="F577" s="61"/>
      <c r="G577" s="79"/>
      <c r="H577" s="79"/>
      <c r="I577" s="79"/>
      <c r="J577" s="14"/>
      <c r="K577" s="38"/>
      <c r="L577" s="38"/>
      <c r="M577" s="17"/>
    </row>
    <row r="578" spans="2:13" ht="14.45" customHeight="1" x14ac:dyDescent="0.25">
      <c r="B578" s="17"/>
      <c r="C578" s="14"/>
      <c r="D578" s="14"/>
      <c r="E578" s="18"/>
      <c r="F578" s="61"/>
      <c r="G578" s="79"/>
      <c r="H578" s="79"/>
      <c r="I578" s="79"/>
      <c r="J578" s="14"/>
      <c r="K578" s="38"/>
      <c r="L578" s="38"/>
      <c r="M578" s="17"/>
    </row>
    <row r="579" spans="2:13" ht="14.45" customHeight="1" x14ac:dyDescent="0.25">
      <c r="B579" s="17"/>
      <c r="C579" s="14"/>
      <c r="D579" s="14"/>
      <c r="E579" s="18"/>
      <c r="F579" s="61"/>
      <c r="G579" s="79"/>
      <c r="H579" s="79"/>
      <c r="I579" s="79"/>
      <c r="J579" s="14"/>
      <c r="K579" s="38"/>
      <c r="L579" s="38"/>
      <c r="M579" s="17"/>
    </row>
    <row r="580" spans="2:13" ht="14.45" customHeight="1" x14ac:dyDescent="0.25">
      <c r="B580" s="17"/>
      <c r="C580" s="14"/>
      <c r="D580" s="14"/>
      <c r="E580" s="18"/>
      <c r="F580" s="61"/>
      <c r="G580" s="79"/>
      <c r="H580" s="79"/>
      <c r="I580" s="79"/>
      <c r="J580" s="14"/>
      <c r="K580" s="38"/>
      <c r="L580" s="38"/>
      <c r="M580" s="17"/>
    </row>
    <row r="581" spans="2:13" ht="14.45" customHeight="1" x14ac:dyDescent="0.25">
      <c r="B581" s="17"/>
      <c r="C581" s="14"/>
      <c r="D581" s="14"/>
      <c r="E581" s="18"/>
      <c r="F581" s="61"/>
      <c r="G581" s="79"/>
      <c r="H581" s="79"/>
      <c r="I581" s="79"/>
      <c r="J581" s="14"/>
      <c r="K581" s="38"/>
      <c r="L581" s="38"/>
      <c r="M581" s="17"/>
    </row>
    <row r="582" spans="2:13" ht="14.45" customHeight="1" x14ac:dyDescent="0.25">
      <c r="B582" s="17"/>
      <c r="C582" s="14"/>
      <c r="D582" s="14"/>
      <c r="E582" s="18"/>
      <c r="F582" s="61"/>
      <c r="G582" s="79"/>
      <c r="H582" s="79"/>
      <c r="I582" s="79"/>
      <c r="J582" s="14"/>
      <c r="K582" s="38"/>
      <c r="L582" s="38"/>
      <c r="M582" s="17"/>
    </row>
    <row r="583" spans="2:13" ht="14.45" customHeight="1" x14ac:dyDescent="0.25">
      <c r="B583" s="17"/>
      <c r="C583" s="14"/>
      <c r="D583" s="14"/>
      <c r="E583" s="18"/>
      <c r="F583" s="61"/>
      <c r="G583" s="79"/>
      <c r="H583" s="79"/>
      <c r="I583" s="79"/>
      <c r="J583" s="14"/>
      <c r="K583" s="38"/>
      <c r="L583" s="38"/>
      <c r="M583" s="17"/>
    </row>
    <row r="584" spans="2:13" ht="14.45" customHeight="1" x14ac:dyDescent="0.25">
      <c r="B584" s="17"/>
      <c r="C584" s="14"/>
      <c r="D584" s="14"/>
      <c r="E584" s="18"/>
      <c r="F584" s="61"/>
      <c r="G584" s="79"/>
      <c r="H584" s="79"/>
      <c r="I584" s="79"/>
      <c r="J584" s="14"/>
      <c r="K584" s="38"/>
      <c r="L584" s="38"/>
      <c r="M584" s="17"/>
    </row>
    <row r="585" spans="2:13" ht="14.45" customHeight="1" x14ac:dyDescent="0.25">
      <c r="B585" s="17"/>
      <c r="C585" s="14"/>
      <c r="D585" s="14"/>
      <c r="E585" s="18"/>
      <c r="F585" s="61"/>
      <c r="G585" s="79"/>
      <c r="H585" s="79"/>
      <c r="I585" s="79"/>
      <c r="J585" s="14"/>
      <c r="K585" s="38"/>
      <c r="L585" s="38"/>
      <c r="M585" s="17"/>
    </row>
    <row r="586" spans="2:13" ht="14.45" customHeight="1" x14ac:dyDescent="0.25">
      <c r="B586" s="17"/>
      <c r="C586" s="14"/>
      <c r="D586" s="14"/>
      <c r="E586" s="18"/>
      <c r="F586" s="61"/>
      <c r="G586" s="79"/>
      <c r="H586" s="79"/>
      <c r="I586" s="79"/>
      <c r="J586" s="14"/>
      <c r="K586" s="38"/>
      <c r="L586" s="38"/>
      <c r="M586" s="17"/>
    </row>
    <row r="587" spans="2:13" ht="14.45" customHeight="1" x14ac:dyDescent="0.25">
      <c r="B587" s="17"/>
      <c r="C587" s="14"/>
      <c r="D587" s="14"/>
      <c r="E587" s="18"/>
      <c r="F587" s="61"/>
      <c r="G587" s="79"/>
      <c r="H587" s="79"/>
      <c r="I587" s="79"/>
      <c r="J587" s="14"/>
      <c r="K587" s="38"/>
      <c r="L587" s="38"/>
      <c r="M587" s="17"/>
    </row>
    <row r="588" spans="2:13" ht="14.45" customHeight="1" x14ac:dyDescent="0.25">
      <c r="B588" s="17"/>
      <c r="C588" s="14"/>
      <c r="D588" s="14"/>
      <c r="E588" s="18"/>
      <c r="F588" s="61"/>
      <c r="G588" s="79"/>
      <c r="H588" s="79"/>
      <c r="I588" s="79"/>
      <c r="J588" s="14"/>
      <c r="K588" s="38"/>
      <c r="L588" s="38"/>
      <c r="M588" s="17"/>
    </row>
    <row r="589" spans="2:13" ht="14.45" customHeight="1" x14ac:dyDescent="0.25">
      <c r="B589" s="17"/>
      <c r="C589" s="14"/>
      <c r="D589" s="14"/>
      <c r="E589" s="18"/>
      <c r="F589" s="61"/>
      <c r="G589" s="79"/>
      <c r="H589" s="79"/>
      <c r="I589" s="79"/>
      <c r="J589" s="14"/>
      <c r="K589" s="38"/>
      <c r="L589" s="38"/>
      <c r="M589" s="17"/>
    </row>
    <row r="590" spans="2:13" ht="14.45" customHeight="1" x14ac:dyDescent="0.25">
      <c r="B590" s="17"/>
      <c r="C590" s="14"/>
      <c r="D590" s="14"/>
      <c r="E590" s="18"/>
      <c r="F590" s="61"/>
      <c r="G590" s="79"/>
      <c r="H590" s="79"/>
      <c r="I590" s="79"/>
      <c r="J590" s="14"/>
      <c r="K590" s="38"/>
      <c r="L590" s="38"/>
      <c r="M590" s="17"/>
    </row>
    <row r="591" spans="2:13" ht="14.45" customHeight="1" x14ac:dyDescent="0.25">
      <c r="B591" s="17"/>
      <c r="C591" s="14"/>
      <c r="D591" s="14"/>
      <c r="E591" s="18"/>
      <c r="F591" s="61"/>
      <c r="G591" s="79"/>
      <c r="H591" s="79"/>
      <c r="I591" s="79"/>
      <c r="J591" s="14"/>
      <c r="K591" s="38"/>
      <c r="L591" s="38"/>
      <c r="M591" s="17"/>
    </row>
    <row r="592" spans="2:13" ht="14.45" customHeight="1" x14ac:dyDescent="0.25">
      <c r="B592" s="17"/>
      <c r="C592" s="14"/>
      <c r="D592" s="14"/>
      <c r="E592" s="18"/>
      <c r="F592" s="61"/>
      <c r="G592" s="79"/>
      <c r="H592" s="79"/>
      <c r="I592" s="79"/>
      <c r="J592" s="14"/>
      <c r="K592" s="38"/>
      <c r="L592" s="38"/>
      <c r="M592" s="17"/>
    </row>
    <row r="593" spans="2:13" ht="14.45" customHeight="1" x14ac:dyDescent="0.25">
      <c r="B593" s="17"/>
      <c r="C593" s="14"/>
      <c r="D593" s="14"/>
      <c r="E593" s="18"/>
      <c r="F593" s="61"/>
      <c r="G593" s="79"/>
      <c r="H593" s="79"/>
      <c r="I593" s="79"/>
      <c r="J593" s="14"/>
      <c r="K593" s="38"/>
      <c r="L593" s="38"/>
      <c r="M593" s="17"/>
    </row>
    <row r="594" spans="2:13" ht="14.45" customHeight="1" x14ac:dyDescent="0.25">
      <c r="B594" s="17"/>
      <c r="C594" s="14"/>
      <c r="D594" s="14"/>
      <c r="E594" s="18"/>
      <c r="F594" s="61"/>
      <c r="G594" s="79"/>
      <c r="H594" s="79"/>
      <c r="I594" s="79"/>
      <c r="J594" s="14"/>
      <c r="K594" s="38"/>
      <c r="L594" s="38"/>
      <c r="M594" s="17"/>
    </row>
    <row r="595" spans="2:13" ht="14.45" customHeight="1" x14ac:dyDescent="0.25">
      <c r="B595" s="17"/>
      <c r="C595" s="14"/>
      <c r="D595" s="14"/>
      <c r="E595" s="18"/>
      <c r="F595" s="61"/>
      <c r="G595" s="79"/>
      <c r="H595" s="79"/>
      <c r="I595" s="79"/>
      <c r="J595" s="14"/>
      <c r="K595" s="38"/>
      <c r="L595" s="38"/>
      <c r="M595" s="17"/>
    </row>
    <row r="596" spans="2:13" ht="14.45" customHeight="1" x14ac:dyDescent="0.25">
      <c r="B596" s="17"/>
      <c r="C596" s="14"/>
      <c r="D596" s="14"/>
      <c r="E596" s="18"/>
      <c r="F596" s="61"/>
      <c r="G596" s="79"/>
      <c r="H596" s="79"/>
      <c r="I596" s="79"/>
      <c r="J596" s="14"/>
      <c r="K596" s="38"/>
      <c r="L596" s="38"/>
      <c r="M596" s="17"/>
    </row>
    <row r="597" spans="2:13" ht="14.45" customHeight="1" x14ac:dyDescent="0.25">
      <c r="B597" s="17"/>
      <c r="C597" s="14"/>
      <c r="D597" s="14"/>
      <c r="E597" s="18"/>
      <c r="F597" s="61"/>
      <c r="G597" s="79"/>
      <c r="H597" s="79"/>
      <c r="I597" s="79"/>
      <c r="J597" s="14"/>
      <c r="K597" s="38"/>
      <c r="L597" s="38"/>
      <c r="M597" s="17"/>
    </row>
    <row r="598" spans="2:13" ht="14.45" customHeight="1" x14ac:dyDescent="0.25">
      <c r="B598" s="17"/>
      <c r="C598" s="14"/>
      <c r="D598" s="14"/>
      <c r="E598" s="18"/>
      <c r="F598" s="61"/>
      <c r="G598" s="79"/>
      <c r="H598" s="79"/>
      <c r="I598" s="79"/>
      <c r="J598" s="14"/>
      <c r="K598" s="38"/>
      <c r="L598" s="38"/>
      <c r="M598" s="17"/>
    </row>
    <row r="599" spans="2:13" ht="14.45" customHeight="1" x14ac:dyDescent="0.25">
      <c r="B599" s="17"/>
      <c r="C599" s="14"/>
      <c r="D599" s="14"/>
      <c r="E599" s="18"/>
      <c r="F599" s="61"/>
      <c r="G599" s="79"/>
      <c r="H599" s="79"/>
      <c r="I599" s="79"/>
      <c r="J599" s="14"/>
      <c r="K599" s="38"/>
      <c r="L599" s="38"/>
      <c r="M599" s="17"/>
    </row>
    <row r="600" spans="2:13" ht="14.45" customHeight="1" x14ac:dyDescent="0.25">
      <c r="B600" s="17"/>
      <c r="C600" s="14"/>
      <c r="D600" s="14"/>
      <c r="E600" s="18"/>
      <c r="F600" s="61"/>
      <c r="G600" s="79"/>
      <c r="H600" s="79"/>
      <c r="I600" s="79"/>
      <c r="J600" s="14"/>
      <c r="K600" s="38"/>
      <c r="L600" s="38"/>
      <c r="M600" s="17"/>
    </row>
    <row r="601" spans="2:13" ht="14.45" customHeight="1" x14ac:dyDescent="0.25">
      <c r="B601" s="17"/>
      <c r="C601" s="14"/>
      <c r="D601" s="14"/>
      <c r="E601" s="18"/>
      <c r="F601" s="61"/>
      <c r="G601" s="79"/>
      <c r="H601" s="79"/>
      <c r="I601" s="79"/>
      <c r="J601" s="14"/>
      <c r="K601" s="38"/>
      <c r="L601" s="38"/>
      <c r="M601" s="17"/>
    </row>
    <row r="602" spans="2:13" ht="14.45" customHeight="1" x14ac:dyDescent="0.25">
      <c r="B602" s="17"/>
      <c r="C602" s="14"/>
      <c r="D602" s="14"/>
      <c r="E602" s="18"/>
      <c r="F602" s="61"/>
      <c r="G602" s="79"/>
      <c r="H602" s="79"/>
      <c r="I602" s="79"/>
      <c r="J602" s="14"/>
      <c r="K602" s="38"/>
      <c r="L602" s="38"/>
      <c r="M602" s="17"/>
    </row>
    <row r="603" spans="2:13" ht="14.45" customHeight="1" x14ac:dyDescent="0.25">
      <c r="B603" s="17"/>
      <c r="C603" s="14"/>
      <c r="D603" s="14"/>
      <c r="E603" s="18"/>
      <c r="F603" s="61"/>
      <c r="G603" s="79"/>
      <c r="H603" s="79"/>
      <c r="I603" s="79"/>
      <c r="J603" s="14"/>
      <c r="K603" s="38"/>
      <c r="L603" s="38"/>
      <c r="M603" s="17"/>
    </row>
    <row r="604" spans="2:13" ht="14.45" customHeight="1" x14ac:dyDescent="0.25">
      <c r="B604" s="17"/>
      <c r="C604" s="14"/>
      <c r="D604" s="14"/>
      <c r="E604" s="18"/>
      <c r="F604" s="61"/>
      <c r="G604" s="79"/>
      <c r="H604" s="79"/>
      <c r="I604" s="79"/>
      <c r="J604" s="14"/>
      <c r="K604" s="38"/>
      <c r="L604" s="38"/>
      <c r="M604" s="17"/>
    </row>
    <row r="605" spans="2:13" ht="14.45" customHeight="1" x14ac:dyDescent="0.25">
      <c r="B605" s="17"/>
      <c r="C605" s="14"/>
      <c r="D605" s="14"/>
      <c r="E605" s="18"/>
      <c r="F605" s="61"/>
      <c r="G605" s="79"/>
      <c r="H605" s="79"/>
      <c r="I605" s="79"/>
      <c r="J605" s="14"/>
      <c r="K605" s="38"/>
      <c r="L605" s="38"/>
      <c r="M605" s="17"/>
    </row>
    <row r="606" spans="2:13" ht="14.45" customHeight="1" x14ac:dyDescent="0.25">
      <c r="B606" s="17"/>
      <c r="C606" s="14"/>
      <c r="D606" s="14"/>
      <c r="E606" s="18"/>
      <c r="F606" s="61"/>
      <c r="G606" s="79"/>
      <c r="H606" s="79"/>
      <c r="I606" s="79"/>
      <c r="J606" s="14"/>
      <c r="K606" s="38"/>
      <c r="L606" s="38"/>
      <c r="M606" s="17"/>
    </row>
    <row r="607" spans="2:13" ht="14.45" customHeight="1" x14ac:dyDescent="0.25">
      <c r="B607" s="17"/>
      <c r="C607" s="14"/>
      <c r="D607" s="14"/>
      <c r="E607" s="18"/>
      <c r="F607" s="61"/>
      <c r="G607" s="79"/>
      <c r="H607" s="79"/>
      <c r="I607" s="79"/>
      <c r="J607" s="14"/>
      <c r="K607" s="38"/>
      <c r="L607" s="38"/>
      <c r="M607" s="17"/>
    </row>
    <row r="608" spans="2:13" ht="14.45" customHeight="1" x14ac:dyDescent="0.25">
      <c r="B608" s="17"/>
      <c r="C608" s="14"/>
      <c r="D608" s="14"/>
      <c r="E608" s="18"/>
      <c r="F608" s="61"/>
      <c r="G608" s="79"/>
      <c r="H608" s="79"/>
      <c r="I608" s="79"/>
      <c r="J608" s="14"/>
      <c r="K608" s="38"/>
      <c r="L608" s="38"/>
      <c r="M608" s="17"/>
    </row>
    <row r="609" spans="2:13" ht="14.45" customHeight="1" x14ac:dyDescent="0.25">
      <c r="B609" s="17"/>
      <c r="C609" s="14"/>
      <c r="D609" s="14"/>
      <c r="E609" s="18"/>
      <c r="F609" s="61"/>
      <c r="G609" s="79"/>
      <c r="H609" s="79"/>
      <c r="I609" s="79"/>
      <c r="J609" s="14"/>
      <c r="K609" s="38"/>
      <c r="L609" s="38"/>
      <c r="M609" s="17"/>
    </row>
    <row r="610" spans="2:13" ht="14.45" customHeight="1" x14ac:dyDescent="0.25">
      <c r="B610" s="17"/>
      <c r="C610" s="14"/>
      <c r="D610" s="14"/>
      <c r="E610" s="18"/>
      <c r="F610" s="61"/>
      <c r="G610" s="79"/>
      <c r="H610" s="79"/>
      <c r="I610" s="79"/>
      <c r="J610" s="14"/>
      <c r="K610" s="38"/>
      <c r="L610" s="38"/>
      <c r="M610" s="17"/>
    </row>
    <row r="611" spans="2:13" ht="14.45" customHeight="1" x14ac:dyDescent="0.25">
      <c r="B611" s="17"/>
      <c r="C611" s="14"/>
      <c r="D611" s="14"/>
      <c r="E611" s="18"/>
      <c r="F611" s="61"/>
      <c r="G611" s="79"/>
      <c r="H611" s="79"/>
      <c r="I611" s="79"/>
      <c r="J611" s="14"/>
      <c r="K611" s="38"/>
      <c r="L611" s="38"/>
      <c r="M611" s="17"/>
    </row>
    <row r="612" spans="2:13" ht="14.45" customHeight="1" x14ac:dyDescent="0.25">
      <c r="B612" s="17"/>
      <c r="C612" s="14"/>
      <c r="D612" s="14"/>
      <c r="E612" s="18"/>
      <c r="F612" s="61"/>
      <c r="G612" s="79"/>
      <c r="H612" s="79"/>
      <c r="I612" s="79"/>
      <c r="J612" s="14"/>
      <c r="K612" s="38"/>
      <c r="L612" s="38"/>
      <c r="M612" s="17"/>
    </row>
    <row r="613" spans="2:13" ht="14.45" customHeight="1" x14ac:dyDescent="0.25">
      <c r="B613" s="17"/>
      <c r="C613" s="14"/>
      <c r="D613" s="14"/>
      <c r="E613" s="18"/>
      <c r="F613" s="61"/>
      <c r="G613" s="79"/>
      <c r="H613" s="79"/>
      <c r="I613" s="79"/>
      <c r="J613" s="14"/>
      <c r="K613" s="38"/>
      <c r="L613" s="38"/>
      <c r="M613" s="17"/>
    </row>
    <row r="614" spans="2:13" ht="14.45" customHeight="1" x14ac:dyDescent="0.25">
      <c r="B614" s="17"/>
      <c r="C614" s="14"/>
      <c r="D614" s="14"/>
      <c r="E614" s="18"/>
      <c r="F614" s="61"/>
      <c r="G614" s="79"/>
      <c r="H614" s="79"/>
      <c r="I614" s="79"/>
      <c r="J614" s="14"/>
      <c r="K614" s="38"/>
      <c r="L614" s="38"/>
      <c r="M614" s="17"/>
    </row>
    <row r="615" spans="2:13" ht="14.45" customHeight="1" x14ac:dyDescent="0.25">
      <c r="B615" s="17"/>
      <c r="C615" s="14"/>
      <c r="D615" s="14"/>
      <c r="E615" s="18"/>
      <c r="F615" s="61"/>
      <c r="G615" s="79"/>
      <c r="H615" s="79"/>
      <c r="I615" s="79"/>
      <c r="J615" s="14"/>
      <c r="K615" s="38"/>
      <c r="L615" s="38"/>
      <c r="M615" s="17"/>
    </row>
    <row r="616" spans="2:13" ht="14.45" customHeight="1" x14ac:dyDescent="0.25">
      <c r="B616" s="17"/>
      <c r="C616" s="14"/>
      <c r="D616" s="14"/>
      <c r="E616" s="18"/>
      <c r="F616" s="61"/>
      <c r="G616" s="79"/>
      <c r="H616" s="79"/>
      <c r="I616" s="79"/>
      <c r="J616" s="14"/>
      <c r="K616" s="38"/>
      <c r="L616" s="38"/>
      <c r="M616" s="17"/>
    </row>
    <row r="617" spans="2:13" ht="14.45" customHeight="1" x14ac:dyDescent="0.25">
      <c r="B617" s="17"/>
      <c r="C617" s="14"/>
      <c r="D617" s="14"/>
      <c r="E617" s="18"/>
      <c r="F617" s="61"/>
      <c r="G617" s="79"/>
      <c r="H617" s="79"/>
      <c r="I617" s="79"/>
      <c r="J617" s="14"/>
      <c r="K617" s="38"/>
      <c r="L617" s="38"/>
      <c r="M617" s="17"/>
    </row>
    <row r="618" spans="2:13" ht="14.45" customHeight="1" x14ac:dyDescent="0.25">
      <c r="B618" s="17"/>
      <c r="C618" s="14"/>
      <c r="D618" s="14"/>
      <c r="E618" s="18"/>
      <c r="F618" s="61"/>
      <c r="G618" s="79"/>
      <c r="H618" s="79"/>
      <c r="I618" s="79"/>
      <c r="J618" s="14"/>
      <c r="K618" s="38"/>
      <c r="L618" s="38"/>
      <c r="M618" s="17"/>
    </row>
    <row r="619" spans="2:13" ht="14.45" customHeight="1" x14ac:dyDescent="0.25">
      <c r="B619" s="17"/>
      <c r="C619" s="14"/>
      <c r="D619" s="14"/>
      <c r="E619" s="18"/>
      <c r="F619" s="61"/>
      <c r="G619" s="79"/>
      <c r="H619" s="79"/>
      <c r="I619" s="79"/>
      <c r="J619" s="14"/>
      <c r="K619" s="38"/>
      <c r="L619" s="38"/>
      <c r="M619" s="17"/>
    </row>
    <row r="620" spans="2:13" ht="14.45" customHeight="1" x14ac:dyDescent="0.25">
      <c r="B620" s="17"/>
      <c r="C620" s="14"/>
      <c r="D620" s="14"/>
      <c r="E620" s="18"/>
      <c r="F620" s="61"/>
      <c r="G620" s="79"/>
      <c r="H620" s="79"/>
      <c r="I620" s="79"/>
      <c r="J620" s="14"/>
      <c r="K620" s="38"/>
      <c r="L620" s="38"/>
      <c r="M620" s="17"/>
    </row>
    <row r="621" spans="2:13" ht="14.45" customHeight="1" x14ac:dyDescent="0.25">
      <c r="B621" s="17"/>
      <c r="C621" s="14"/>
      <c r="D621" s="14"/>
      <c r="E621" s="18"/>
      <c r="F621" s="61"/>
      <c r="G621" s="79"/>
      <c r="H621" s="79"/>
      <c r="I621" s="79"/>
      <c r="J621" s="14"/>
      <c r="K621" s="38"/>
      <c r="L621" s="38"/>
      <c r="M621" s="17"/>
    </row>
    <row r="622" spans="2:13" ht="14.45" customHeight="1" x14ac:dyDescent="0.25">
      <c r="B622" s="17"/>
      <c r="C622" s="14"/>
      <c r="D622" s="14"/>
      <c r="E622" s="18"/>
      <c r="F622" s="61"/>
      <c r="G622" s="79"/>
      <c r="H622" s="79"/>
      <c r="I622" s="79"/>
      <c r="J622" s="14"/>
      <c r="K622" s="38"/>
      <c r="L622" s="38"/>
      <c r="M622" s="17"/>
    </row>
    <row r="623" spans="2:13" ht="14.45" customHeight="1" x14ac:dyDescent="0.25">
      <c r="B623" s="17"/>
      <c r="C623" s="14"/>
      <c r="D623" s="14"/>
      <c r="E623" s="18"/>
      <c r="F623" s="61"/>
      <c r="G623" s="79"/>
      <c r="H623" s="79"/>
      <c r="I623" s="79"/>
      <c r="J623" s="14"/>
      <c r="K623" s="38"/>
      <c r="L623" s="38"/>
      <c r="M623" s="17"/>
    </row>
    <row r="624" spans="2:13" ht="14.45" customHeight="1" x14ac:dyDescent="0.25">
      <c r="B624" s="17"/>
      <c r="C624" s="14"/>
      <c r="D624" s="14"/>
      <c r="E624" s="18"/>
      <c r="F624" s="61"/>
      <c r="G624" s="79"/>
      <c r="H624" s="79"/>
      <c r="I624" s="79"/>
      <c r="J624" s="14"/>
      <c r="K624" s="38"/>
      <c r="L624" s="38"/>
      <c r="M624" s="17"/>
    </row>
    <row r="625" spans="2:13" ht="14.45" customHeight="1" x14ac:dyDescent="0.25">
      <c r="B625" s="17"/>
      <c r="C625" s="14"/>
      <c r="D625" s="14"/>
      <c r="E625" s="18"/>
      <c r="F625" s="61"/>
      <c r="G625" s="79"/>
      <c r="H625" s="79"/>
      <c r="I625" s="79"/>
      <c r="J625" s="14"/>
      <c r="K625" s="38"/>
      <c r="L625" s="38"/>
      <c r="M625" s="17"/>
    </row>
    <row r="626" spans="2:13" ht="14.45" customHeight="1" x14ac:dyDescent="0.25">
      <c r="B626" s="17"/>
      <c r="C626" s="14"/>
      <c r="D626" s="14"/>
      <c r="E626" s="18"/>
      <c r="F626" s="61"/>
      <c r="G626" s="79"/>
      <c r="H626" s="79"/>
      <c r="I626" s="79"/>
      <c r="J626" s="14"/>
      <c r="K626" s="38"/>
      <c r="L626" s="38"/>
      <c r="M626" s="17"/>
    </row>
    <row r="627" spans="2:13" ht="14.45" customHeight="1" x14ac:dyDescent="0.25">
      <c r="B627" s="17"/>
      <c r="C627" s="14"/>
      <c r="D627" s="14"/>
      <c r="E627" s="18"/>
      <c r="F627" s="61"/>
      <c r="G627" s="79"/>
      <c r="H627" s="79"/>
      <c r="I627" s="79"/>
      <c r="J627" s="14"/>
      <c r="K627" s="38"/>
      <c r="L627" s="38"/>
      <c r="M627" s="17"/>
    </row>
    <row r="628" spans="2:13" ht="14.45" customHeight="1" x14ac:dyDescent="0.25">
      <c r="B628" s="17"/>
      <c r="C628" s="14"/>
      <c r="D628" s="14"/>
      <c r="E628" s="18"/>
      <c r="F628" s="61"/>
      <c r="G628" s="79"/>
      <c r="H628" s="79"/>
      <c r="I628" s="79"/>
      <c r="J628" s="14"/>
      <c r="K628" s="38"/>
      <c r="L628" s="38"/>
      <c r="M628" s="17"/>
    </row>
    <row r="629" spans="2:13" ht="14.45" customHeight="1" x14ac:dyDescent="0.25">
      <c r="B629" s="17"/>
      <c r="C629" s="14"/>
      <c r="D629" s="14"/>
      <c r="E629" s="18"/>
      <c r="F629" s="61"/>
      <c r="G629" s="79"/>
      <c r="H629" s="79"/>
      <c r="I629" s="79"/>
      <c r="J629" s="14"/>
      <c r="K629" s="38"/>
      <c r="L629" s="38"/>
      <c r="M629" s="17"/>
    </row>
    <row r="630" spans="2:13" ht="14.45" customHeight="1" x14ac:dyDescent="0.25">
      <c r="B630" s="17"/>
      <c r="C630" s="14"/>
      <c r="D630" s="14"/>
      <c r="E630" s="18"/>
      <c r="F630" s="61"/>
      <c r="G630" s="79"/>
      <c r="H630" s="79"/>
      <c r="I630" s="79"/>
      <c r="J630" s="14"/>
      <c r="K630" s="38"/>
      <c r="L630" s="38"/>
      <c r="M630" s="17"/>
    </row>
    <row r="631" spans="2:13" ht="14.45" customHeight="1" x14ac:dyDescent="0.25">
      <c r="B631" s="17"/>
      <c r="C631" s="14"/>
      <c r="D631" s="14"/>
      <c r="E631" s="18"/>
      <c r="F631" s="61"/>
      <c r="G631" s="79"/>
      <c r="H631" s="79"/>
      <c r="I631" s="79"/>
      <c r="J631" s="14"/>
      <c r="K631" s="38"/>
      <c r="L631" s="38"/>
      <c r="M631" s="17"/>
    </row>
    <row r="632" spans="2:13" ht="14.45" customHeight="1" x14ac:dyDescent="0.25">
      <c r="B632" s="17"/>
      <c r="C632" s="14"/>
      <c r="D632" s="14"/>
      <c r="E632" s="18"/>
      <c r="F632" s="61"/>
      <c r="G632" s="79"/>
      <c r="H632" s="79"/>
      <c r="I632" s="79"/>
      <c r="J632" s="14"/>
      <c r="K632" s="38"/>
      <c r="L632" s="38"/>
      <c r="M632" s="17"/>
    </row>
    <row r="633" spans="2:13" ht="14.45" customHeight="1" x14ac:dyDescent="0.25">
      <c r="B633" s="17"/>
      <c r="C633" s="14"/>
      <c r="D633" s="14"/>
      <c r="E633" s="18"/>
      <c r="F633" s="61"/>
      <c r="G633" s="79"/>
      <c r="H633" s="79"/>
      <c r="I633" s="79"/>
      <c r="J633" s="14"/>
      <c r="K633" s="38"/>
      <c r="L633" s="38"/>
      <c r="M633" s="17"/>
    </row>
    <row r="634" spans="2:13" ht="14.45" customHeight="1" x14ac:dyDescent="0.25">
      <c r="B634" s="17"/>
      <c r="C634" s="14"/>
      <c r="D634" s="14"/>
      <c r="E634" s="18"/>
      <c r="F634" s="61"/>
      <c r="G634" s="79"/>
      <c r="H634" s="79"/>
      <c r="I634" s="79"/>
      <c r="J634" s="14"/>
      <c r="K634" s="38"/>
      <c r="L634" s="38"/>
      <c r="M634" s="17"/>
    </row>
    <row r="635" spans="2:13" ht="14.45" customHeight="1" x14ac:dyDescent="0.25">
      <c r="B635" s="17"/>
      <c r="C635" s="14"/>
      <c r="D635" s="14"/>
      <c r="E635" s="18"/>
      <c r="F635" s="61"/>
      <c r="G635" s="79"/>
      <c r="H635" s="79"/>
      <c r="I635" s="79"/>
      <c r="J635" s="14"/>
      <c r="K635" s="38"/>
      <c r="L635" s="38"/>
      <c r="M635" s="17"/>
    </row>
    <row r="636" spans="2:13" ht="14.45" customHeight="1" x14ac:dyDescent="0.25">
      <c r="B636" s="17"/>
      <c r="C636" s="14"/>
      <c r="D636" s="14"/>
      <c r="E636" s="18"/>
      <c r="F636" s="61"/>
      <c r="G636" s="79"/>
      <c r="H636" s="79"/>
      <c r="I636" s="79"/>
      <c r="J636" s="14"/>
      <c r="K636" s="38"/>
      <c r="L636" s="38"/>
      <c r="M636" s="17"/>
    </row>
    <row r="637" spans="2:13" ht="14.45" customHeight="1" x14ac:dyDescent="0.25">
      <c r="B637" s="17"/>
      <c r="C637" s="14"/>
      <c r="D637" s="14"/>
      <c r="E637" s="18"/>
      <c r="F637" s="61"/>
      <c r="G637" s="79"/>
      <c r="H637" s="79"/>
      <c r="I637" s="79"/>
      <c r="J637" s="14"/>
      <c r="K637" s="38"/>
      <c r="L637" s="38"/>
      <c r="M637" s="17"/>
    </row>
    <row r="638" spans="2:13" ht="14.45" customHeight="1" x14ac:dyDescent="0.25">
      <c r="B638" s="17"/>
      <c r="C638" s="14"/>
      <c r="D638" s="14"/>
      <c r="E638" s="18"/>
      <c r="F638" s="61"/>
      <c r="G638" s="79"/>
      <c r="H638" s="79"/>
      <c r="I638" s="79"/>
      <c r="J638" s="14"/>
      <c r="K638" s="38"/>
      <c r="L638" s="38"/>
      <c r="M638" s="17"/>
    </row>
    <row r="639" spans="2:13" ht="14.45" customHeight="1" x14ac:dyDescent="0.25">
      <c r="B639" s="17"/>
      <c r="C639" s="14"/>
      <c r="D639" s="14"/>
      <c r="E639" s="18"/>
      <c r="F639" s="61"/>
      <c r="G639" s="79"/>
      <c r="H639" s="79"/>
      <c r="I639" s="79"/>
      <c r="J639" s="14"/>
      <c r="K639" s="38"/>
      <c r="L639" s="38"/>
      <c r="M639" s="17"/>
    </row>
    <row r="640" spans="2:13" ht="14.45" customHeight="1" x14ac:dyDescent="0.25">
      <c r="B640" s="17"/>
      <c r="C640" s="14"/>
      <c r="D640" s="14"/>
      <c r="E640" s="18"/>
      <c r="F640" s="61"/>
      <c r="G640" s="79"/>
      <c r="H640" s="79"/>
      <c r="I640" s="79"/>
      <c r="J640" s="14"/>
      <c r="K640" s="38"/>
      <c r="L640" s="38"/>
      <c r="M640" s="17"/>
    </row>
    <row r="641" spans="2:13" ht="14.45" customHeight="1" x14ac:dyDescent="0.25">
      <c r="B641" s="17"/>
      <c r="C641" s="14"/>
      <c r="D641" s="14"/>
      <c r="E641" s="18"/>
      <c r="F641" s="61"/>
      <c r="G641" s="79"/>
      <c r="H641" s="79"/>
      <c r="I641" s="79"/>
      <c r="J641" s="14"/>
      <c r="K641" s="38"/>
      <c r="L641" s="38"/>
      <c r="M641" s="17"/>
    </row>
    <row r="642" spans="2:13" ht="14.45" customHeight="1" x14ac:dyDescent="0.25">
      <c r="B642" s="17"/>
      <c r="C642" s="14"/>
      <c r="D642" s="14"/>
      <c r="E642" s="18"/>
      <c r="F642" s="61"/>
      <c r="G642" s="79"/>
      <c r="H642" s="79"/>
      <c r="I642" s="79"/>
      <c r="J642" s="14"/>
      <c r="K642" s="38"/>
      <c r="L642" s="38"/>
      <c r="M642" s="17"/>
    </row>
    <row r="643" spans="2:13" ht="14.45" customHeight="1" x14ac:dyDescent="0.25">
      <c r="B643" s="17"/>
      <c r="C643" s="14"/>
      <c r="D643" s="14"/>
      <c r="E643" s="18"/>
      <c r="F643" s="61"/>
      <c r="G643" s="79"/>
      <c r="H643" s="79"/>
      <c r="I643" s="79"/>
      <c r="J643" s="14"/>
      <c r="K643" s="38"/>
      <c r="L643" s="38"/>
      <c r="M643" s="17"/>
    </row>
    <row r="644" spans="2:13" ht="14.45" customHeight="1" x14ac:dyDescent="0.25">
      <c r="B644" s="17"/>
      <c r="C644" s="14"/>
      <c r="D644" s="14"/>
      <c r="E644" s="18"/>
      <c r="F644" s="61"/>
      <c r="G644" s="79"/>
      <c r="H644" s="79"/>
      <c r="I644" s="79"/>
      <c r="J644" s="14"/>
      <c r="K644" s="38"/>
      <c r="L644" s="38"/>
      <c r="M644" s="17"/>
    </row>
    <row r="645" spans="2:13" ht="14.45" customHeight="1" x14ac:dyDescent="0.25">
      <c r="B645" s="17"/>
      <c r="C645" s="14"/>
      <c r="D645" s="14"/>
      <c r="E645" s="18"/>
      <c r="F645" s="61"/>
      <c r="G645" s="79"/>
      <c r="H645" s="79"/>
      <c r="I645" s="79"/>
      <c r="J645" s="14"/>
      <c r="K645" s="38"/>
      <c r="L645" s="38"/>
      <c r="M645" s="17"/>
    </row>
    <row r="646" spans="2:13" ht="14.45" customHeight="1" x14ac:dyDescent="0.25">
      <c r="B646" s="17"/>
      <c r="C646" s="14"/>
      <c r="D646" s="14"/>
      <c r="E646" s="18"/>
      <c r="F646" s="61"/>
      <c r="G646" s="79"/>
      <c r="H646" s="79"/>
      <c r="I646" s="79"/>
      <c r="J646" s="14"/>
      <c r="K646" s="38"/>
      <c r="L646" s="38"/>
      <c r="M646" s="17"/>
    </row>
    <row r="647" spans="2:13" ht="14.45" customHeight="1" x14ac:dyDescent="0.25">
      <c r="B647" s="17"/>
      <c r="C647" s="14"/>
      <c r="D647" s="14"/>
      <c r="E647" s="18"/>
      <c r="F647" s="61"/>
      <c r="G647" s="79"/>
      <c r="H647" s="79"/>
      <c r="I647" s="79"/>
      <c r="J647" s="14"/>
      <c r="K647" s="38"/>
      <c r="L647" s="38"/>
      <c r="M647" s="17"/>
    </row>
    <row r="648" spans="2:13" ht="14.45" customHeight="1" x14ac:dyDescent="0.25">
      <c r="B648" s="17"/>
      <c r="C648" s="14"/>
      <c r="D648" s="14"/>
      <c r="E648" s="18"/>
      <c r="F648" s="61"/>
      <c r="G648" s="79"/>
      <c r="H648" s="79"/>
      <c r="I648" s="79"/>
      <c r="J648" s="14"/>
      <c r="K648" s="38"/>
      <c r="L648" s="38"/>
      <c r="M648" s="17"/>
    </row>
    <row r="649" spans="2:13" ht="14.45" customHeight="1" x14ac:dyDescent="0.25">
      <c r="B649" s="17"/>
      <c r="C649" s="14"/>
      <c r="D649" s="14"/>
      <c r="E649" s="18"/>
      <c r="F649" s="61"/>
      <c r="G649" s="79"/>
      <c r="H649" s="79"/>
      <c r="I649" s="79"/>
      <c r="J649" s="14"/>
      <c r="K649" s="38"/>
      <c r="L649" s="38"/>
      <c r="M649" s="17"/>
    </row>
    <row r="650" spans="2:13" ht="14.45" customHeight="1" x14ac:dyDescent="0.25">
      <c r="B650" s="17"/>
      <c r="C650" s="14"/>
      <c r="D650" s="14"/>
      <c r="E650" s="18"/>
      <c r="F650" s="61"/>
      <c r="G650" s="79"/>
      <c r="H650" s="79"/>
      <c r="I650" s="79"/>
      <c r="J650" s="14"/>
      <c r="K650" s="38"/>
      <c r="L650" s="38"/>
      <c r="M650" s="17"/>
    </row>
    <row r="651" spans="2:13" ht="14.45" customHeight="1" x14ac:dyDescent="0.25">
      <c r="B651" s="17"/>
      <c r="C651" s="14"/>
      <c r="D651" s="14"/>
      <c r="E651" s="18"/>
      <c r="F651" s="61"/>
      <c r="G651" s="79"/>
      <c r="H651" s="79"/>
      <c r="I651" s="79"/>
      <c r="J651" s="14"/>
      <c r="K651" s="38"/>
      <c r="L651" s="38"/>
      <c r="M651" s="17"/>
    </row>
    <row r="652" spans="2:13" ht="14.45" customHeight="1" x14ac:dyDescent="0.25">
      <c r="B652" s="17"/>
      <c r="C652" s="14"/>
      <c r="D652" s="14"/>
      <c r="E652" s="18"/>
      <c r="F652" s="61"/>
      <c r="G652" s="79"/>
      <c r="H652" s="79"/>
      <c r="I652" s="79"/>
      <c r="J652" s="14"/>
      <c r="K652" s="38"/>
      <c r="L652" s="38"/>
      <c r="M652" s="17"/>
    </row>
    <row r="653" spans="2:13" ht="14.45" customHeight="1" x14ac:dyDescent="0.25">
      <c r="B653" s="17"/>
      <c r="C653" s="14"/>
      <c r="D653" s="14"/>
      <c r="E653" s="18"/>
      <c r="F653" s="61"/>
      <c r="G653" s="79"/>
      <c r="H653" s="79"/>
      <c r="I653" s="79"/>
      <c r="J653" s="14"/>
      <c r="K653" s="38"/>
      <c r="L653" s="38"/>
      <c r="M653" s="17"/>
    </row>
    <row r="654" spans="2:13" ht="14.45" customHeight="1" x14ac:dyDescent="0.25">
      <c r="B654" s="17"/>
      <c r="C654" s="14"/>
      <c r="D654" s="14"/>
      <c r="E654" s="18"/>
      <c r="F654" s="61"/>
      <c r="G654" s="79"/>
      <c r="H654" s="79"/>
      <c r="I654" s="79"/>
      <c r="J654" s="14"/>
      <c r="K654" s="38"/>
      <c r="L654" s="38"/>
      <c r="M654" s="17"/>
    </row>
    <row r="655" spans="2:13" ht="14.45" customHeight="1" x14ac:dyDescent="0.25">
      <c r="B655" s="17"/>
      <c r="C655" s="14"/>
      <c r="D655" s="14"/>
      <c r="E655" s="18"/>
      <c r="F655" s="61"/>
      <c r="G655" s="79"/>
      <c r="H655" s="79"/>
      <c r="I655" s="79"/>
      <c r="J655" s="14"/>
      <c r="K655" s="38"/>
      <c r="L655" s="38"/>
      <c r="M655" s="17"/>
    </row>
    <row r="656" spans="2:13" ht="14.45" customHeight="1" x14ac:dyDescent="0.25">
      <c r="B656" s="17"/>
      <c r="C656" s="14"/>
      <c r="D656" s="14"/>
      <c r="E656" s="18"/>
      <c r="F656" s="61"/>
      <c r="G656" s="79"/>
      <c r="H656" s="79"/>
      <c r="I656" s="79"/>
      <c r="J656" s="14"/>
      <c r="K656" s="38"/>
      <c r="L656" s="38"/>
      <c r="M656" s="17"/>
    </row>
    <row r="657" spans="2:13" ht="14.45" customHeight="1" x14ac:dyDescent="0.25">
      <c r="B657" s="17"/>
      <c r="C657" s="14"/>
      <c r="D657" s="14"/>
      <c r="E657" s="18"/>
      <c r="F657" s="61"/>
      <c r="G657" s="79"/>
      <c r="H657" s="79"/>
      <c r="I657" s="79"/>
      <c r="J657" s="14"/>
      <c r="K657" s="38"/>
      <c r="L657" s="38"/>
      <c r="M657" s="17"/>
    </row>
    <row r="658" spans="2:13" ht="14.45" customHeight="1" x14ac:dyDescent="0.25">
      <c r="B658" s="17"/>
      <c r="C658" s="14"/>
      <c r="D658" s="14"/>
      <c r="E658" s="18"/>
      <c r="F658" s="61"/>
      <c r="G658" s="79"/>
      <c r="H658" s="79"/>
      <c r="I658" s="79"/>
      <c r="J658" s="14"/>
      <c r="K658" s="38"/>
      <c r="L658" s="38"/>
      <c r="M658" s="17"/>
    </row>
    <row r="659" spans="2:13" ht="14.45" customHeight="1" x14ac:dyDescent="0.25">
      <c r="B659" s="17"/>
      <c r="C659" s="14"/>
      <c r="D659" s="14"/>
      <c r="E659" s="18"/>
      <c r="F659" s="61"/>
      <c r="G659" s="79"/>
      <c r="H659" s="79"/>
      <c r="I659" s="79"/>
      <c r="J659" s="14"/>
      <c r="K659" s="38"/>
      <c r="L659" s="38"/>
      <c r="M659" s="17"/>
    </row>
    <row r="660" spans="2:13" ht="14.45" customHeight="1" x14ac:dyDescent="0.25">
      <c r="B660" s="17"/>
      <c r="C660" s="14"/>
      <c r="D660" s="14"/>
      <c r="E660" s="18"/>
      <c r="F660" s="61"/>
      <c r="G660" s="79"/>
      <c r="H660" s="79"/>
      <c r="I660" s="79"/>
      <c r="J660" s="14"/>
      <c r="K660" s="38"/>
      <c r="L660" s="38"/>
      <c r="M660" s="17"/>
    </row>
    <row r="661" spans="2:13" ht="14.45" customHeight="1" x14ac:dyDescent="0.25">
      <c r="B661" s="17"/>
      <c r="C661" s="14"/>
      <c r="D661" s="14"/>
      <c r="E661" s="18"/>
      <c r="F661" s="61"/>
      <c r="G661" s="79"/>
      <c r="H661" s="79"/>
      <c r="I661" s="79"/>
      <c r="J661" s="14"/>
      <c r="K661" s="38"/>
      <c r="L661" s="38"/>
      <c r="M661" s="17"/>
    </row>
    <row r="662" spans="2:13" ht="14.45" customHeight="1" x14ac:dyDescent="0.25">
      <c r="B662" s="17"/>
      <c r="C662" s="14"/>
      <c r="D662" s="14"/>
      <c r="E662" s="18"/>
      <c r="F662" s="61"/>
      <c r="G662" s="79"/>
      <c r="H662" s="79"/>
      <c r="I662" s="79"/>
      <c r="J662" s="14"/>
      <c r="K662" s="38"/>
      <c r="L662" s="38"/>
      <c r="M662" s="17"/>
    </row>
    <row r="663" spans="2:13" ht="14.45" customHeight="1" x14ac:dyDescent="0.25">
      <c r="B663" s="17"/>
      <c r="C663" s="14"/>
      <c r="D663" s="14"/>
      <c r="E663" s="18"/>
      <c r="F663" s="61"/>
      <c r="G663" s="79"/>
      <c r="H663" s="79"/>
      <c r="I663" s="79"/>
      <c r="J663" s="14"/>
      <c r="K663" s="38"/>
      <c r="L663" s="38"/>
      <c r="M663" s="17"/>
    </row>
    <row r="664" spans="2:13" ht="14.45" customHeight="1" x14ac:dyDescent="0.25">
      <c r="B664" s="17"/>
      <c r="C664" s="14"/>
      <c r="D664" s="14"/>
      <c r="E664" s="18"/>
      <c r="F664" s="61"/>
      <c r="G664" s="79"/>
      <c r="H664" s="79"/>
      <c r="I664" s="79"/>
      <c r="J664" s="14"/>
      <c r="K664" s="38"/>
      <c r="L664" s="38"/>
      <c r="M664" s="17"/>
    </row>
    <row r="665" spans="2:13" ht="14.45" customHeight="1" x14ac:dyDescent="0.25">
      <c r="B665" s="17"/>
      <c r="C665" s="14"/>
      <c r="D665" s="14"/>
      <c r="E665" s="18"/>
      <c r="F665" s="61"/>
      <c r="G665" s="79"/>
      <c r="H665" s="79"/>
      <c r="I665" s="79"/>
      <c r="J665" s="14"/>
      <c r="K665" s="38"/>
      <c r="L665" s="38"/>
      <c r="M665" s="17"/>
    </row>
    <row r="666" spans="2:13" ht="14.45" customHeight="1" x14ac:dyDescent="0.25">
      <c r="B666" s="17"/>
      <c r="C666" s="14"/>
      <c r="D666" s="14"/>
      <c r="E666" s="18"/>
      <c r="F666" s="61"/>
      <c r="G666" s="79"/>
      <c r="H666" s="79"/>
      <c r="I666" s="79"/>
      <c r="J666" s="14"/>
      <c r="K666" s="38"/>
      <c r="L666" s="38"/>
      <c r="M666" s="17"/>
    </row>
    <row r="667" spans="2:13" ht="14.45" customHeight="1" x14ac:dyDescent="0.25">
      <c r="B667" s="17"/>
      <c r="C667" s="14"/>
      <c r="D667" s="14"/>
      <c r="E667" s="18"/>
      <c r="F667" s="61"/>
      <c r="G667" s="79"/>
      <c r="H667" s="79"/>
      <c r="I667" s="79"/>
      <c r="J667" s="14"/>
      <c r="K667" s="38"/>
      <c r="L667" s="38"/>
      <c r="M667" s="17"/>
    </row>
    <row r="668" spans="2:13" ht="14.45" customHeight="1" x14ac:dyDescent="0.25">
      <c r="B668" s="17"/>
      <c r="C668" s="14"/>
      <c r="D668" s="14"/>
      <c r="E668" s="18"/>
      <c r="F668" s="61"/>
      <c r="G668" s="79"/>
      <c r="H668" s="79"/>
      <c r="I668" s="79"/>
      <c r="J668" s="14"/>
      <c r="K668" s="38"/>
      <c r="L668" s="38"/>
      <c r="M668" s="17"/>
    </row>
    <row r="669" spans="2:13" ht="14.45" customHeight="1" x14ac:dyDescent="0.25">
      <c r="B669" s="17"/>
      <c r="C669" s="14"/>
      <c r="D669" s="14"/>
      <c r="E669" s="18"/>
      <c r="F669" s="61"/>
      <c r="G669" s="79"/>
      <c r="H669" s="79"/>
      <c r="I669" s="79"/>
      <c r="J669" s="14"/>
      <c r="K669" s="38"/>
      <c r="L669" s="38"/>
      <c r="M669" s="17"/>
    </row>
    <row r="670" spans="2:13" ht="14.45" customHeight="1" x14ac:dyDescent="0.25">
      <c r="B670" s="17"/>
      <c r="C670" s="14"/>
      <c r="D670" s="14"/>
      <c r="E670" s="18"/>
      <c r="F670" s="61"/>
      <c r="G670" s="79"/>
      <c r="H670" s="79"/>
      <c r="I670" s="79"/>
      <c r="J670" s="14"/>
      <c r="K670" s="38"/>
      <c r="L670" s="38"/>
      <c r="M670" s="17"/>
    </row>
    <row r="671" spans="2:13" ht="14.45" customHeight="1" x14ac:dyDescent="0.25">
      <c r="B671" s="17"/>
      <c r="C671" s="14"/>
      <c r="D671" s="14"/>
      <c r="E671" s="18"/>
      <c r="F671" s="61"/>
      <c r="G671" s="79"/>
      <c r="H671" s="79"/>
      <c r="I671" s="79"/>
      <c r="J671" s="14"/>
      <c r="K671" s="38"/>
      <c r="L671" s="38"/>
      <c r="M671" s="17"/>
    </row>
    <row r="672" spans="2:13" ht="14.45" customHeight="1" x14ac:dyDescent="0.25">
      <c r="B672" s="17"/>
      <c r="C672" s="14"/>
      <c r="D672" s="14"/>
      <c r="E672" s="18"/>
      <c r="F672" s="61"/>
      <c r="G672" s="79"/>
      <c r="H672" s="79"/>
      <c r="I672" s="79"/>
      <c r="J672" s="14"/>
      <c r="K672" s="38"/>
      <c r="L672" s="38"/>
      <c r="M672" s="17"/>
    </row>
    <row r="673" spans="2:13" ht="14.45" customHeight="1" x14ac:dyDescent="0.25">
      <c r="B673" s="17"/>
      <c r="C673" s="14"/>
      <c r="D673" s="14"/>
      <c r="E673" s="18"/>
      <c r="F673" s="61"/>
      <c r="G673" s="79"/>
      <c r="H673" s="79"/>
      <c r="I673" s="79"/>
      <c r="J673" s="14"/>
      <c r="K673" s="38"/>
      <c r="L673" s="38"/>
      <c r="M673" s="17"/>
    </row>
    <row r="674" spans="2:13" ht="14.45" customHeight="1" x14ac:dyDescent="0.25">
      <c r="B674" s="17"/>
      <c r="C674" s="14"/>
      <c r="D674" s="14"/>
      <c r="E674" s="18"/>
      <c r="F674" s="61"/>
      <c r="G674" s="79"/>
      <c r="H674" s="79"/>
      <c r="I674" s="79"/>
      <c r="J674" s="14"/>
      <c r="K674" s="38"/>
      <c r="L674" s="38"/>
      <c r="M674" s="17"/>
    </row>
    <row r="675" spans="2:13" ht="14.45" customHeight="1" x14ac:dyDescent="0.25">
      <c r="B675" s="17"/>
      <c r="C675" s="14"/>
      <c r="D675" s="14"/>
      <c r="E675" s="18"/>
      <c r="F675" s="61"/>
      <c r="G675" s="79"/>
      <c r="H675" s="79"/>
      <c r="I675" s="79"/>
      <c r="J675" s="14"/>
      <c r="K675" s="38"/>
      <c r="L675" s="38"/>
      <c r="M675" s="17"/>
    </row>
    <row r="676" spans="2:13" ht="14.45" customHeight="1" x14ac:dyDescent="0.25">
      <c r="B676" s="17"/>
      <c r="C676" s="14"/>
      <c r="D676" s="14"/>
      <c r="E676" s="18"/>
      <c r="F676" s="61"/>
      <c r="G676" s="79"/>
      <c r="H676" s="79"/>
      <c r="I676" s="79"/>
      <c r="J676" s="14"/>
      <c r="K676" s="38"/>
      <c r="L676" s="38"/>
      <c r="M676" s="17"/>
    </row>
    <row r="677" spans="2:13" ht="14.45" customHeight="1" x14ac:dyDescent="0.25">
      <c r="B677" s="17"/>
      <c r="C677" s="14"/>
      <c r="D677" s="14"/>
      <c r="E677" s="18"/>
      <c r="F677" s="61"/>
      <c r="G677" s="79"/>
      <c r="H677" s="79"/>
      <c r="I677" s="79"/>
      <c r="J677" s="14"/>
      <c r="K677" s="38"/>
      <c r="L677" s="38"/>
      <c r="M677" s="17"/>
    </row>
    <row r="678" spans="2:13" ht="14.45" customHeight="1" x14ac:dyDescent="0.25">
      <c r="B678" s="17"/>
      <c r="C678" s="14"/>
      <c r="D678" s="14"/>
      <c r="E678" s="18"/>
      <c r="F678" s="61"/>
      <c r="G678" s="79"/>
      <c r="H678" s="79"/>
      <c r="I678" s="79"/>
      <c r="J678" s="14"/>
      <c r="K678" s="38"/>
      <c r="L678" s="38"/>
      <c r="M678" s="17"/>
    </row>
    <row r="679" spans="2:13" ht="14.45" customHeight="1" x14ac:dyDescent="0.25">
      <c r="B679" s="17"/>
      <c r="C679" s="14"/>
      <c r="D679" s="14"/>
      <c r="E679" s="18"/>
      <c r="F679" s="61"/>
      <c r="G679" s="79"/>
      <c r="H679" s="79"/>
      <c r="I679" s="79"/>
      <c r="J679" s="14"/>
      <c r="K679" s="38"/>
      <c r="L679" s="38"/>
      <c r="M679" s="17"/>
    </row>
    <row r="680" spans="2:13" ht="14.45" customHeight="1" x14ac:dyDescent="0.25">
      <c r="B680" s="17"/>
      <c r="C680" s="14"/>
      <c r="D680" s="14"/>
      <c r="E680" s="18"/>
      <c r="F680" s="61"/>
      <c r="G680" s="79"/>
      <c r="H680" s="79"/>
      <c r="I680" s="79"/>
      <c r="J680" s="14"/>
      <c r="K680" s="38"/>
      <c r="L680" s="38"/>
      <c r="M680" s="17"/>
    </row>
    <row r="681" spans="2:13" ht="14.45" customHeight="1" x14ac:dyDescent="0.25">
      <c r="B681" s="17"/>
      <c r="C681" s="14"/>
      <c r="D681" s="14"/>
      <c r="E681" s="18"/>
      <c r="F681" s="61"/>
      <c r="G681" s="79"/>
      <c r="H681" s="79"/>
      <c r="I681" s="79"/>
      <c r="J681" s="14"/>
      <c r="K681" s="38"/>
      <c r="L681" s="38"/>
      <c r="M681" s="17"/>
    </row>
    <row r="682" spans="2:13" ht="14.45" customHeight="1" x14ac:dyDescent="0.25">
      <c r="B682" s="17"/>
      <c r="C682" s="14"/>
      <c r="D682" s="14"/>
      <c r="E682" s="18"/>
      <c r="F682" s="61"/>
      <c r="G682" s="79"/>
      <c r="H682" s="79"/>
      <c r="I682" s="79"/>
      <c r="J682" s="14"/>
      <c r="K682" s="38"/>
      <c r="L682" s="38"/>
      <c r="M682" s="17"/>
    </row>
    <row r="683" spans="2:13" ht="14.45" customHeight="1" x14ac:dyDescent="0.25">
      <c r="B683" s="17"/>
      <c r="C683" s="14"/>
      <c r="D683" s="14"/>
      <c r="E683" s="18"/>
      <c r="F683" s="61"/>
      <c r="G683" s="79"/>
      <c r="H683" s="79"/>
      <c r="I683" s="79"/>
      <c r="J683" s="14"/>
      <c r="K683" s="38"/>
      <c r="L683" s="38"/>
      <c r="M683" s="17"/>
    </row>
    <row r="684" spans="2:13" ht="14.45" customHeight="1" x14ac:dyDescent="0.25">
      <c r="B684" s="17"/>
      <c r="C684" s="14"/>
      <c r="D684" s="14"/>
      <c r="E684" s="18"/>
      <c r="F684" s="61"/>
      <c r="G684" s="79"/>
      <c r="H684" s="79"/>
      <c r="I684" s="79"/>
      <c r="J684" s="14"/>
      <c r="K684" s="38"/>
      <c r="L684" s="38"/>
      <c r="M684" s="17"/>
    </row>
    <row r="685" spans="2:13" ht="14.45" customHeight="1" x14ac:dyDescent="0.25">
      <c r="B685" s="17"/>
      <c r="C685" s="14"/>
      <c r="D685" s="14"/>
      <c r="E685" s="18"/>
      <c r="F685" s="61"/>
      <c r="G685" s="79"/>
      <c r="H685" s="79"/>
      <c r="I685" s="79"/>
      <c r="J685" s="14"/>
      <c r="K685" s="38"/>
      <c r="L685" s="38"/>
      <c r="M685" s="17"/>
    </row>
    <row r="686" spans="2:13" ht="14.45" customHeight="1" x14ac:dyDescent="0.25">
      <c r="B686" s="17"/>
      <c r="C686" s="14"/>
      <c r="D686" s="14"/>
      <c r="E686" s="18"/>
      <c r="F686" s="61"/>
      <c r="G686" s="79"/>
      <c r="H686" s="79"/>
      <c r="I686" s="79"/>
      <c r="J686" s="14"/>
      <c r="K686" s="38"/>
      <c r="L686" s="38"/>
      <c r="M686" s="17"/>
    </row>
    <row r="687" spans="2:13" ht="14.45" customHeight="1" x14ac:dyDescent="0.25">
      <c r="B687" s="17"/>
      <c r="C687" s="14"/>
      <c r="D687" s="14"/>
      <c r="E687" s="18"/>
      <c r="F687" s="61"/>
      <c r="G687" s="79"/>
      <c r="H687" s="79"/>
      <c r="I687" s="79"/>
      <c r="J687" s="14"/>
      <c r="K687" s="38"/>
      <c r="L687" s="38"/>
      <c r="M687" s="17"/>
    </row>
    <row r="688" spans="2:13" ht="14.45" customHeight="1" x14ac:dyDescent="0.25">
      <c r="B688" s="17"/>
      <c r="C688" s="14"/>
      <c r="D688" s="14"/>
      <c r="E688" s="18"/>
      <c r="F688" s="61"/>
      <c r="G688" s="79"/>
      <c r="H688" s="79"/>
      <c r="I688" s="79"/>
      <c r="J688" s="14"/>
      <c r="K688" s="38"/>
      <c r="L688" s="38"/>
      <c r="M688" s="17"/>
    </row>
    <row r="689" spans="2:13" ht="14.45" customHeight="1" x14ac:dyDescent="0.25">
      <c r="B689" s="17"/>
      <c r="C689" s="14"/>
      <c r="D689" s="14"/>
      <c r="E689" s="18"/>
      <c r="F689" s="61"/>
      <c r="G689" s="79"/>
      <c r="H689" s="79"/>
      <c r="I689" s="79"/>
      <c r="J689" s="14"/>
      <c r="K689" s="38"/>
      <c r="L689" s="38"/>
      <c r="M689" s="17"/>
    </row>
    <row r="690" spans="2:13" ht="14.45" customHeight="1" x14ac:dyDescent="0.25">
      <c r="B690" s="17"/>
      <c r="C690" s="14"/>
      <c r="D690" s="14"/>
      <c r="E690" s="18"/>
      <c r="F690" s="61"/>
      <c r="G690" s="79"/>
      <c r="H690" s="79"/>
      <c r="I690" s="79"/>
      <c r="J690" s="14"/>
      <c r="K690" s="38"/>
      <c r="L690" s="38"/>
      <c r="M690" s="17"/>
    </row>
    <row r="691" spans="2:13" ht="14.45" customHeight="1" x14ac:dyDescent="0.25">
      <c r="B691" s="17"/>
      <c r="C691" s="14"/>
      <c r="D691" s="14"/>
      <c r="E691" s="18"/>
      <c r="F691" s="61"/>
      <c r="G691" s="79"/>
      <c r="H691" s="79"/>
      <c r="I691" s="79"/>
      <c r="J691" s="14"/>
      <c r="K691" s="38"/>
      <c r="L691" s="38"/>
      <c r="M691" s="17"/>
    </row>
    <row r="692" spans="2:13" ht="14.45" customHeight="1" x14ac:dyDescent="0.25">
      <c r="B692" s="17"/>
      <c r="C692" s="14"/>
      <c r="D692" s="14"/>
      <c r="E692" s="18"/>
      <c r="F692" s="61"/>
      <c r="G692" s="79"/>
      <c r="H692" s="79"/>
      <c r="I692" s="79"/>
      <c r="J692" s="14"/>
      <c r="K692" s="38"/>
      <c r="L692" s="38"/>
      <c r="M692" s="17"/>
    </row>
    <row r="693" spans="2:13" ht="14.45" customHeight="1" x14ac:dyDescent="0.25">
      <c r="B693" s="17"/>
      <c r="C693" s="14"/>
      <c r="D693" s="14"/>
      <c r="E693" s="18"/>
      <c r="F693" s="61"/>
      <c r="G693" s="79"/>
      <c r="H693" s="79"/>
      <c r="I693" s="79"/>
      <c r="J693" s="14"/>
      <c r="K693" s="38"/>
      <c r="L693" s="38"/>
      <c r="M693" s="17"/>
    </row>
    <row r="694" spans="2:13" ht="14.45" customHeight="1" x14ac:dyDescent="0.25">
      <c r="B694" s="17"/>
      <c r="C694" s="14"/>
      <c r="D694" s="14"/>
      <c r="E694" s="18"/>
      <c r="F694" s="61"/>
      <c r="G694" s="79"/>
      <c r="H694" s="79"/>
      <c r="I694" s="79"/>
      <c r="J694" s="14"/>
      <c r="K694" s="38"/>
      <c r="L694" s="38"/>
      <c r="M694" s="17"/>
    </row>
    <row r="695" spans="2:13" ht="14.45" customHeight="1" x14ac:dyDescent="0.25">
      <c r="B695" s="17"/>
      <c r="C695" s="14"/>
      <c r="D695" s="14"/>
      <c r="E695" s="18"/>
      <c r="F695" s="61"/>
      <c r="G695" s="79"/>
      <c r="H695" s="79"/>
      <c r="I695" s="79"/>
      <c r="J695" s="14"/>
      <c r="K695" s="38"/>
      <c r="L695" s="38"/>
      <c r="M695" s="17"/>
    </row>
    <row r="696" spans="2:13" ht="14.45" customHeight="1" x14ac:dyDescent="0.25">
      <c r="B696" s="17"/>
      <c r="C696" s="14"/>
      <c r="D696" s="14"/>
      <c r="E696" s="18"/>
      <c r="F696" s="61"/>
      <c r="G696" s="79"/>
      <c r="H696" s="79"/>
      <c r="I696" s="79"/>
      <c r="J696" s="14"/>
      <c r="K696" s="38"/>
      <c r="L696" s="38"/>
      <c r="M696" s="17"/>
    </row>
    <row r="697" spans="2:13" ht="14.45" customHeight="1" x14ac:dyDescent="0.25">
      <c r="B697" s="17"/>
      <c r="C697" s="14"/>
      <c r="D697" s="14"/>
      <c r="E697" s="18"/>
      <c r="F697" s="61"/>
      <c r="G697" s="79"/>
      <c r="H697" s="79"/>
      <c r="I697" s="79"/>
      <c r="J697" s="14"/>
      <c r="K697" s="38"/>
      <c r="L697" s="38"/>
      <c r="M697" s="17"/>
    </row>
    <row r="698" spans="2:13" ht="14.45" customHeight="1" x14ac:dyDescent="0.25">
      <c r="B698" s="17"/>
      <c r="C698" s="14"/>
      <c r="D698" s="14"/>
      <c r="E698" s="18"/>
      <c r="F698" s="61"/>
      <c r="G698" s="79"/>
      <c r="H698" s="79"/>
      <c r="I698" s="79"/>
      <c r="J698" s="14"/>
      <c r="K698" s="38"/>
      <c r="L698" s="38"/>
      <c r="M698" s="17"/>
    </row>
    <row r="699" spans="2:13" ht="14.45" customHeight="1" x14ac:dyDescent="0.25">
      <c r="B699" s="17"/>
      <c r="C699" s="14"/>
      <c r="D699" s="14"/>
      <c r="E699" s="18"/>
      <c r="F699" s="61"/>
      <c r="G699" s="79"/>
      <c r="H699" s="79"/>
      <c r="I699" s="79"/>
      <c r="J699" s="14"/>
      <c r="K699" s="38"/>
      <c r="L699" s="38"/>
      <c r="M699" s="17"/>
    </row>
    <row r="700" spans="2:13" ht="14.45" customHeight="1" x14ac:dyDescent="0.25">
      <c r="B700" s="17"/>
      <c r="C700" s="14"/>
      <c r="D700" s="14"/>
      <c r="E700" s="18"/>
      <c r="F700" s="61"/>
      <c r="G700" s="79"/>
      <c r="H700" s="79"/>
      <c r="I700" s="79"/>
      <c r="J700" s="14"/>
      <c r="K700" s="38"/>
      <c r="L700" s="38"/>
      <c r="M700" s="17"/>
    </row>
    <row r="701" spans="2:13" ht="14.45" customHeight="1" x14ac:dyDescent="0.25">
      <c r="B701" s="17"/>
      <c r="C701" s="14"/>
      <c r="D701" s="14"/>
      <c r="E701" s="18"/>
      <c r="F701" s="61"/>
      <c r="G701" s="79"/>
      <c r="H701" s="79"/>
      <c r="I701" s="79"/>
      <c r="J701" s="14"/>
      <c r="K701" s="38"/>
      <c r="L701" s="38"/>
      <c r="M701" s="17"/>
    </row>
    <row r="702" spans="2:13" ht="14.45" customHeight="1" x14ac:dyDescent="0.25">
      <c r="B702" s="17"/>
      <c r="C702" s="14"/>
      <c r="D702" s="14"/>
      <c r="E702" s="18"/>
      <c r="F702" s="61"/>
      <c r="G702" s="79"/>
      <c r="H702" s="79"/>
      <c r="I702" s="79"/>
      <c r="J702" s="14"/>
      <c r="K702" s="38"/>
      <c r="L702" s="38"/>
      <c r="M702" s="17"/>
    </row>
    <row r="703" spans="2:13" ht="14.45" customHeight="1" x14ac:dyDescent="0.25">
      <c r="B703" s="17"/>
      <c r="C703" s="14"/>
      <c r="D703" s="14"/>
      <c r="E703" s="18"/>
      <c r="F703" s="61"/>
      <c r="G703" s="79"/>
      <c r="H703" s="79"/>
      <c r="I703" s="79"/>
      <c r="J703" s="14"/>
      <c r="K703" s="38"/>
      <c r="L703" s="38"/>
      <c r="M703" s="17"/>
    </row>
    <row r="704" spans="2:13" ht="14.45" customHeight="1" x14ac:dyDescent="0.25">
      <c r="B704" s="17"/>
      <c r="C704" s="14"/>
      <c r="D704" s="14"/>
      <c r="E704" s="18"/>
      <c r="F704" s="61"/>
      <c r="G704" s="79"/>
      <c r="H704" s="79"/>
      <c r="I704" s="79"/>
      <c r="J704" s="14"/>
      <c r="K704" s="38"/>
      <c r="L704" s="38"/>
      <c r="M704" s="17"/>
    </row>
    <row r="705" spans="2:13" ht="14.45" customHeight="1" x14ac:dyDescent="0.25">
      <c r="B705" s="17"/>
      <c r="C705" s="14"/>
      <c r="D705" s="14"/>
      <c r="E705" s="18"/>
      <c r="F705" s="61"/>
      <c r="G705" s="79"/>
      <c r="H705" s="79"/>
      <c r="I705" s="79"/>
      <c r="J705" s="14"/>
      <c r="K705" s="38"/>
      <c r="L705" s="38"/>
      <c r="M705" s="17"/>
    </row>
    <row r="706" spans="2:13" ht="14.45" customHeight="1" x14ac:dyDescent="0.25">
      <c r="B706" s="17"/>
      <c r="C706" s="14"/>
      <c r="D706" s="14"/>
      <c r="E706" s="18"/>
      <c r="F706" s="61"/>
      <c r="G706" s="79"/>
      <c r="H706" s="79"/>
      <c r="I706" s="79"/>
      <c r="J706" s="14"/>
      <c r="K706" s="38"/>
      <c r="L706" s="38"/>
      <c r="M706" s="17"/>
    </row>
    <row r="707" spans="2:13" ht="14.45" customHeight="1" x14ac:dyDescent="0.25">
      <c r="B707" s="17"/>
      <c r="C707" s="14"/>
      <c r="D707" s="14"/>
      <c r="E707" s="18"/>
      <c r="F707" s="61"/>
      <c r="G707" s="79"/>
      <c r="H707" s="79"/>
      <c r="I707" s="79"/>
      <c r="J707" s="14"/>
      <c r="K707" s="38"/>
      <c r="L707" s="38"/>
      <c r="M707" s="17"/>
    </row>
    <row r="708" spans="2:13" ht="14.45" customHeight="1" x14ac:dyDescent="0.25">
      <c r="B708" s="17"/>
      <c r="C708" s="14"/>
      <c r="D708" s="14"/>
      <c r="E708" s="18"/>
      <c r="F708" s="61"/>
      <c r="G708" s="79"/>
      <c r="H708" s="79"/>
      <c r="I708" s="79"/>
      <c r="J708" s="14"/>
      <c r="K708" s="38"/>
      <c r="L708" s="38"/>
      <c r="M708" s="17"/>
    </row>
    <row r="709" spans="2:13" ht="14.45" customHeight="1" x14ac:dyDescent="0.25">
      <c r="B709" s="17"/>
      <c r="C709" s="14"/>
      <c r="D709" s="14"/>
      <c r="E709" s="18"/>
      <c r="F709" s="61"/>
      <c r="G709" s="79"/>
      <c r="H709" s="79"/>
      <c r="I709" s="79"/>
      <c r="J709" s="14"/>
      <c r="K709" s="38"/>
      <c r="L709" s="38"/>
      <c r="M709" s="17"/>
    </row>
    <row r="710" spans="2:13" ht="14.45" customHeight="1" x14ac:dyDescent="0.25">
      <c r="B710" s="17"/>
      <c r="C710" s="14"/>
      <c r="D710" s="14"/>
      <c r="E710" s="18"/>
      <c r="F710" s="61"/>
      <c r="G710" s="79"/>
      <c r="H710" s="79"/>
      <c r="I710" s="79"/>
      <c r="J710" s="14"/>
      <c r="K710" s="38"/>
      <c r="L710" s="38"/>
      <c r="M710" s="17"/>
    </row>
    <row r="711" spans="2:13" ht="14.45" customHeight="1" x14ac:dyDescent="0.25">
      <c r="B711" s="17"/>
      <c r="C711" s="14"/>
      <c r="D711" s="14"/>
      <c r="E711" s="18"/>
      <c r="F711" s="61"/>
      <c r="G711" s="79"/>
      <c r="H711" s="79"/>
      <c r="I711" s="79"/>
      <c r="J711" s="14"/>
      <c r="K711" s="38"/>
      <c r="L711" s="38"/>
      <c r="M711" s="17"/>
    </row>
    <row r="712" spans="2:13" ht="14.45" customHeight="1" x14ac:dyDescent="0.25">
      <c r="B712" s="17"/>
      <c r="C712" s="14"/>
      <c r="D712" s="14"/>
      <c r="E712" s="18"/>
      <c r="F712" s="61"/>
      <c r="G712" s="79"/>
      <c r="H712" s="79"/>
      <c r="I712" s="79"/>
      <c r="J712" s="14"/>
      <c r="K712" s="38"/>
      <c r="L712" s="38"/>
      <c r="M712" s="17"/>
    </row>
    <row r="713" spans="2:13" ht="14.45" customHeight="1" x14ac:dyDescent="0.25">
      <c r="B713" s="17"/>
      <c r="C713" s="14"/>
      <c r="D713" s="14"/>
      <c r="E713" s="18"/>
      <c r="F713" s="61"/>
      <c r="G713" s="79"/>
      <c r="H713" s="79"/>
      <c r="I713" s="79"/>
      <c r="J713" s="14"/>
      <c r="K713" s="38"/>
      <c r="L713" s="38"/>
      <c r="M713" s="17"/>
    </row>
    <row r="714" spans="2:13" ht="14.45" customHeight="1" x14ac:dyDescent="0.25">
      <c r="B714" s="17"/>
      <c r="C714" s="14"/>
      <c r="D714" s="14"/>
      <c r="E714" s="18"/>
      <c r="F714" s="61"/>
      <c r="G714" s="79"/>
      <c r="H714" s="79"/>
      <c r="I714" s="79"/>
      <c r="J714" s="14"/>
      <c r="K714" s="38"/>
      <c r="L714" s="38"/>
      <c r="M714" s="17"/>
    </row>
    <row r="715" spans="2:13" ht="14.45" customHeight="1" x14ac:dyDescent="0.25">
      <c r="B715" s="17"/>
      <c r="C715" s="14"/>
      <c r="D715" s="14"/>
      <c r="E715" s="18"/>
      <c r="F715" s="61"/>
      <c r="G715" s="79"/>
      <c r="H715" s="79"/>
      <c r="I715" s="79"/>
      <c r="J715" s="14"/>
      <c r="K715" s="38"/>
      <c r="L715" s="38"/>
      <c r="M715" s="17"/>
    </row>
    <row r="716" spans="2:13" ht="14.45" customHeight="1" x14ac:dyDescent="0.25">
      <c r="B716" s="17"/>
      <c r="C716" s="14"/>
      <c r="D716" s="14"/>
      <c r="E716" s="18"/>
      <c r="F716" s="61"/>
      <c r="G716" s="79"/>
      <c r="H716" s="79"/>
      <c r="I716" s="79"/>
      <c r="J716" s="14"/>
      <c r="K716" s="38"/>
      <c r="L716" s="38"/>
      <c r="M716" s="17"/>
    </row>
    <row r="717" spans="2:13" ht="14.45" customHeight="1" x14ac:dyDescent="0.25">
      <c r="B717" s="17"/>
      <c r="C717" s="14"/>
      <c r="D717" s="14"/>
      <c r="E717" s="18"/>
      <c r="F717" s="61"/>
      <c r="G717" s="79"/>
      <c r="H717" s="79"/>
      <c r="I717" s="79"/>
      <c r="J717" s="14"/>
      <c r="K717" s="38"/>
      <c r="L717" s="38"/>
      <c r="M717" s="17"/>
    </row>
    <row r="718" spans="2:13" ht="14.45" customHeight="1" x14ac:dyDescent="0.25">
      <c r="B718" s="17"/>
      <c r="C718" s="14"/>
      <c r="D718" s="14"/>
      <c r="E718" s="18"/>
      <c r="F718" s="61"/>
      <c r="G718" s="79"/>
      <c r="H718" s="79"/>
      <c r="I718" s="79"/>
      <c r="J718" s="14"/>
      <c r="K718" s="38"/>
      <c r="L718" s="38"/>
      <c r="M718" s="17"/>
    </row>
    <row r="719" spans="2:13" ht="14.45" customHeight="1" x14ac:dyDescent="0.25">
      <c r="B719" s="17"/>
      <c r="C719" s="14"/>
      <c r="D719" s="14"/>
      <c r="E719" s="18"/>
      <c r="F719" s="61"/>
      <c r="G719" s="79"/>
      <c r="H719" s="79"/>
      <c r="I719" s="79"/>
      <c r="J719" s="14"/>
      <c r="K719" s="38"/>
      <c r="L719" s="38"/>
      <c r="M719" s="17"/>
    </row>
    <row r="720" spans="2:13" ht="14.45" customHeight="1" x14ac:dyDescent="0.25">
      <c r="B720" s="17"/>
      <c r="C720" s="14"/>
      <c r="D720" s="14"/>
      <c r="E720" s="18"/>
      <c r="F720" s="61"/>
      <c r="G720" s="79"/>
      <c r="H720" s="79"/>
      <c r="I720" s="79"/>
      <c r="J720" s="14"/>
      <c r="K720" s="38"/>
      <c r="L720" s="38"/>
      <c r="M720" s="17"/>
    </row>
    <row r="721" spans="2:13" ht="14.45" customHeight="1" x14ac:dyDescent="0.25">
      <c r="B721" s="17"/>
      <c r="C721" s="14"/>
      <c r="D721" s="14"/>
      <c r="E721" s="18"/>
      <c r="F721" s="61"/>
      <c r="G721" s="79"/>
      <c r="H721" s="79"/>
      <c r="I721" s="79"/>
      <c r="J721" s="14"/>
      <c r="K721" s="38"/>
      <c r="L721" s="38"/>
      <c r="M721" s="17"/>
    </row>
    <row r="722" spans="2:13" ht="14.45" customHeight="1" x14ac:dyDescent="0.25">
      <c r="B722" s="17"/>
      <c r="C722" s="14"/>
      <c r="D722" s="14"/>
      <c r="E722" s="18"/>
      <c r="F722" s="61"/>
      <c r="G722" s="79"/>
      <c r="H722" s="79"/>
      <c r="I722" s="79"/>
      <c r="J722" s="14"/>
      <c r="K722" s="38"/>
      <c r="L722" s="38"/>
      <c r="M722" s="17"/>
    </row>
    <row r="723" spans="2:13" ht="14.45" customHeight="1" x14ac:dyDescent="0.25">
      <c r="B723" s="17"/>
      <c r="C723" s="14"/>
      <c r="D723" s="14"/>
      <c r="E723" s="18"/>
      <c r="F723" s="61"/>
      <c r="G723" s="79"/>
      <c r="H723" s="79"/>
      <c r="I723" s="79"/>
      <c r="J723" s="14"/>
      <c r="K723" s="38"/>
      <c r="L723" s="38"/>
      <c r="M723" s="17"/>
    </row>
    <row r="724" spans="2:13" ht="14.45" customHeight="1" x14ac:dyDescent="0.25">
      <c r="B724" s="17"/>
      <c r="C724" s="14"/>
      <c r="D724" s="14"/>
      <c r="E724" s="18"/>
      <c r="F724" s="61"/>
      <c r="G724" s="79"/>
      <c r="H724" s="79"/>
      <c r="I724" s="79"/>
      <c r="J724" s="14"/>
      <c r="K724" s="38"/>
      <c r="L724" s="38"/>
      <c r="M724" s="17"/>
    </row>
    <row r="725" spans="2:13" ht="14.45" customHeight="1" x14ac:dyDescent="0.25">
      <c r="B725" s="17"/>
      <c r="C725" s="14"/>
      <c r="D725" s="14"/>
      <c r="E725" s="18"/>
      <c r="F725" s="61"/>
      <c r="G725" s="79"/>
      <c r="H725" s="79"/>
      <c r="I725" s="79"/>
      <c r="J725" s="14"/>
      <c r="K725" s="38"/>
      <c r="L725" s="38"/>
      <c r="M725" s="17"/>
    </row>
    <row r="726" spans="2:13" ht="14.45" customHeight="1" x14ac:dyDescent="0.25">
      <c r="B726" s="17"/>
      <c r="C726" s="14"/>
      <c r="D726" s="14"/>
      <c r="E726" s="18"/>
      <c r="F726" s="61"/>
      <c r="G726" s="79"/>
      <c r="H726" s="79"/>
      <c r="I726" s="79"/>
      <c r="J726" s="14"/>
      <c r="K726" s="38"/>
      <c r="L726" s="38"/>
      <c r="M726" s="17"/>
    </row>
    <row r="727" spans="2:13" ht="14.45" customHeight="1" x14ac:dyDescent="0.25">
      <c r="B727" s="17"/>
      <c r="C727" s="14"/>
      <c r="D727" s="14"/>
      <c r="E727" s="18"/>
      <c r="F727" s="61"/>
      <c r="G727" s="79"/>
      <c r="H727" s="79"/>
      <c r="I727" s="79"/>
      <c r="J727" s="14"/>
      <c r="K727" s="38"/>
      <c r="L727" s="38"/>
      <c r="M727" s="17"/>
    </row>
    <row r="728" spans="2:13" ht="14.45" customHeight="1" x14ac:dyDescent="0.25">
      <c r="B728" s="17"/>
      <c r="C728" s="14"/>
      <c r="D728" s="14"/>
      <c r="E728" s="18"/>
      <c r="F728" s="61"/>
      <c r="G728" s="79"/>
      <c r="H728" s="79"/>
      <c r="I728" s="79"/>
      <c r="J728" s="14"/>
      <c r="K728" s="38"/>
      <c r="L728" s="38"/>
      <c r="M728" s="17"/>
    </row>
    <row r="729" spans="2:13" ht="14.45" customHeight="1" x14ac:dyDescent="0.25">
      <c r="B729" s="17"/>
      <c r="C729" s="14"/>
      <c r="D729" s="14"/>
      <c r="E729" s="18"/>
      <c r="F729" s="61"/>
      <c r="G729" s="79"/>
      <c r="H729" s="79"/>
      <c r="I729" s="79"/>
      <c r="J729" s="14"/>
      <c r="K729" s="38"/>
      <c r="L729" s="38"/>
      <c r="M729" s="17"/>
    </row>
    <row r="730" spans="2:13" ht="14.45" customHeight="1" x14ac:dyDescent="0.25">
      <c r="B730" s="17"/>
      <c r="C730" s="14"/>
      <c r="D730" s="14"/>
      <c r="E730" s="18"/>
      <c r="F730" s="61"/>
      <c r="G730" s="79"/>
      <c r="H730" s="79"/>
      <c r="I730" s="79"/>
      <c r="J730" s="14"/>
      <c r="K730" s="38"/>
      <c r="L730" s="38"/>
      <c r="M730" s="17"/>
    </row>
    <row r="731" spans="2:13" ht="14.45" customHeight="1" x14ac:dyDescent="0.25">
      <c r="B731" s="17"/>
      <c r="C731" s="14"/>
      <c r="D731" s="14"/>
      <c r="E731" s="18"/>
      <c r="F731" s="61"/>
      <c r="G731" s="79"/>
      <c r="H731" s="79"/>
      <c r="I731" s="79"/>
      <c r="J731" s="14"/>
      <c r="K731" s="38"/>
      <c r="L731" s="38"/>
      <c r="M731" s="17"/>
    </row>
    <row r="732" spans="2:13" ht="14.45" customHeight="1" x14ac:dyDescent="0.25">
      <c r="B732" s="17"/>
      <c r="C732" s="14"/>
      <c r="D732" s="14"/>
      <c r="E732" s="18"/>
      <c r="F732" s="61"/>
      <c r="G732" s="79"/>
      <c r="H732" s="79"/>
      <c r="I732" s="79"/>
      <c r="J732" s="14"/>
      <c r="K732" s="38"/>
      <c r="L732" s="38"/>
      <c r="M732" s="17"/>
    </row>
    <row r="733" spans="2:13" ht="14.45" customHeight="1" x14ac:dyDescent="0.25">
      <c r="B733" s="17"/>
      <c r="C733" s="14"/>
      <c r="D733" s="14"/>
      <c r="E733" s="18"/>
      <c r="F733" s="61"/>
      <c r="G733" s="79"/>
      <c r="H733" s="79"/>
      <c r="I733" s="79"/>
      <c r="J733" s="14"/>
      <c r="K733" s="38"/>
      <c r="L733" s="38"/>
      <c r="M733" s="17"/>
    </row>
    <row r="734" spans="2:13" ht="14.45" customHeight="1" x14ac:dyDescent="0.25">
      <c r="B734" s="17"/>
      <c r="C734" s="14"/>
      <c r="D734" s="14"/>
      <c r="E734" s="18"/>
      <c r="F734" s="61"/>
      <c r="G734" s="79"/>
      <c r="H734" s="79"/>
      <c r="I734" s="79"/>
      <c r="J734" s="14"/>
      <c r="K734" s="38"/>
      <c r="L734" s="38"/>
      <c r="M734" s="17"/>
    </row>
    <row r="735" spans="2:13" ht="14.45" customHeight="1" x14ac:dyDescent="0.25">
      <c r="B735" s="17"/>
      <c r="C735" s="14"/>
      <c r="D735" s="14"/>
      <c r="E735" s="18"/>
      <c r="F735" s="61"/>
      <c r="G735" s="79"/>
      <c r="H735" s="79"/>
      <c r="I735" s="79"/>
      <c r="J735" s="14"/>
      <c r="K735" s="38"/>
      <c r="L735" s="38"/>
      <c r="M735" s="17"/>
    </row>
    <row r="736" spans="2:13" ht="14.45" customHeight="1" x14ac:dyDescent="0.25">
      <c r="B736" s="17"/>
      <c r="C736" s="14"/>
      <c r="D736" s="14"/>
      <c r="E736" s="18"/>
      <c r="F736" s="61"/>
      <c r="G736" s="79"/>
      <c r="H736" s="79"/>
      <c r="I736" s="79"/>
      <c r="J736" s="14"/>
      <c r="K736" s="38"/>
      <c r="L736" s="38"/>
      <c r="M736" s="17"/>
    </row>
    <row r="737" spans="2:13" ht="14.45" customHeight="1" x14ac:dyDescent="0.25">
      <c r="B737" s="17"/>
      <c r="C737" s="14"/>
      <c r="D737" s="14"/>
      <c r="E737" s="18"/>
      <c r="F737" s="61"/>
      <c r="G737" s="79"/>
      <c r="H737" s="79"/>
      <c r="I737" s="79"/>
      <c r="J737" s="14"/>
      <c r="K737" s="38"/>
      <c r="L737" s="38"/>
      <c r="M737" s="17"/>
    </row>
    <row r="738" spans="2:13" ht="14.45" customHeight="1" x14ac:dyDescent="0.25">
      <c r="B738" s="17"/>
      <c r="C738" s="14"/>
      <c r="D738" s="14"/>
      <c r="E738" s="18"/>
      <c r="F738" s="61"/>
      <c r="G738" s="79"/>
      <c r="H738" s="79"/>
      <c r="I738" s="79"/>
      <c r="J738" s="14"/>
      <c r="K738" s="38"/>
      <c r="L738" s="38"/>
      <c r="M738" s="17"/>
    </row>
    <row r="739" spans="2:13" ht="14.45" customHeight="1" x14ac:dyDescent="0.25">
      <c r="B739" s="17"/>
      <c r="C739" s="14"/>
      <c r="D739" s="14"/>
      <c r="E739" s="18"/>
      <c r="F739" s="61"/>
      <c r="G739" s="79"/>
      <c r="H739" s="79"/>
      <c r="I739" s="79"/>
      <c r="J739" s="14"/>
      <c r="K739" s="38"/>
      <c r="L739" s="38"/>
      <c r="M739" s="17"/>
    </row>
    <row r="740" spans="2:13" ht="14.45" customHeight="1" x14ac:dyDescent="0.25">
      <c r="B740" s="17"/>
      <c r="C740" s="14"/>
      <c r="D740" s="14"/>
      <c r="E740" s="18"/>
      <c r="F740" s="61"/>
      <c r="G740" s="79"/>
      <c r="H740" s="79"/>
      <c r="I740" s="79"/>
      <c r="J740" s="14"/>
      <c r="K740" s="38"/>
      <c r="L740" s="38"/>
      <c r="M740" s="17"/>
    </row>
    <row r="741" spans="2:13" ht="14.45" customHeight="1" x14ac:dyDescent="0.25">
      <c r="B741" s="17"/>
      <c r="C741" s="14"/>
      <c r="D741" s="14"/>
      <c r="E741" s="18"/>
      <c r="F741" s="61"/>
      <c r="G741" s="79"/>
      <c r="H741" s="79"/>
      <c r="I741" s="79"/>
      <c r="J741" s="14"/>
      <c r="K741" s="38"/>
      <c r="L741" s="38"/>
      <c r="M741" s="17"/>
    </row>
    <row r="742" spans="2:13" ht="14.45" customHeight="1" x14ac:dyDescent="0.25">
      <c r="B742" s="17"/>
      <c r="C742" s="14"/>
      <c r="D742" s="14"/>
      <c r="E742" s="18"/>
      <c r="F742" s="61"/>
      <c r="G742" s="79"/>
      <c r="H742" s="79"/>
      <c r="I742" s="79"/>
      <c r="J742" s="14"/>
      <c r="K742" s="38"/>
      <c r="L742" s="38"/>
      <c r="M742" s="17"/>
    </row>
    <row r="743" spans="2:13" ht="14.45" customHeight="1" x14ac:dyDescent="0.25">
      <c r="B743" s="17"/>
      <c r="C743" s="14"/>
      <c r="D743" s="14"/>
      <c r="E743" s="18"/>
      <c r="F743" s="61"/>
      <c r="G743" s="79"/>
      <c r="H743" s="79"/>
      <c r="I743" s="79"/>
      <c r="J743" s="14"/>
      <c r="K743" s="38"/>
      <c r="L743" s="38"/>
      <c r="M743" s="17"/>
    </row>
    <row r="744" spans="2:13" ht="14.45" customHeight="1" x14ac:dyDescent="0.25">
      <c r="B744" s="17"/>
      <c r="C744" s="14"/>
      <c r="D744" s="14"/>
      <c r="E744" s="18"/>
      <c r="F744" s="61"/>
      <c r="G744" s="79"/>
      <c r="H744" s="79"/>
      <c r="I744" s="79"/>
      <c r="J744" s="14"/>
      <c r="K744" s="38"/>
      <c r="L744" s="38"/>
      <c r="M744" s="17"/>
    </row>
    <row r="745" spans="2:13" ht="14.45" customHeight="1" x14ac:dyDescent="0.25">
      <c r="B745" s="17"/>
      <c r="C745" s="14"/>
      <c r="D745" s="14"/>
      <c r="E745" s="18"/>
      <c r="F745" s="61"/>
      <c r="G745" s="79"/>
      <c r="H745" s="79"/>
      <c r="I745" s="79"/>
      <c r="J745" s="14"/>
      <c r="K745" s="38"/>
      <c r="L745" s="38"/>
      <c r="M745" s="17"/>
    </row>
    <row r="746" spans="2:13" ht="14.45" customHeight="1" x14ac:dyDescent="0.25">
      <c r="B746" s="17"/>
      <c r="C746" s="14"/>
      <c r="D746" s="14"/>
      <c r="E746" s="18"/>
      <c r="F746" s="61"/>
      <c r="G746" s="79"/>
      <c r="H746" s="79"/>
      <c r="I746" s="79"/>
      <c r="J746" s="14"/>
      <c r="K746" s="38"/>
      <c r="L746" s="38"/>
      <c r="M746" s="17"/>
    </row>
    <row r="747" spans="2:13" ht="14.45" customHeight="1" x14ac:dyDescent="0.25">
      <c r="B747" s="17"/>
      <c r="C747" s="14"/>
      <c r="D747" s="14"/>
      <c r="E747" s="18"/>
      <c r="F747" s="61"/>
      <c r="G747" s="79"/>
      <c r="H747" s="79"/>
      <c r="I747" s="79"/>
      <c r="J747" s="14"/>
      <c r="K747" s="38"/>
      <c r="L747" s="38"/>
      <c r="M747" s="17"/>
    </row>
    <row r="748" spans="2:13" ht="14.45" customHeight="1" x14ac:dyDescent="0.25">
      <c r="B748" s="17"/>
      <c r="C748" s="14"/>
      <c r="D748" s="14"/>
      <c r="E748" s="18"/>
      <c r="F748" s="61"/>
      <c r="G748" s="79"/>
      <c r="H748" s="79"/>
      <c r="I748" s="79"/>
      <c r="J748" s="14"/>
      <c r="K748" s="38"/>
      <c r="L748" s="38"/>
      <c r="M748" s="17"/>
    </row>
    <row r="749" spans="2:13" ht="14.45" customHeight="1" x14ac:dyDescent="0.25">
      <c r="B749" s="17"/>
      <c r="C749" s="14"/>
      <c r="D749" s="14"/>
      <c r="E749" s="18"/>
      <c r="F749" s="61"/>
      <c r="G749" s="79"/>
      <c r="H749" s="79"/>
      <c r="I749" s="79"/>
      <c r="J749" s="14"/>
      <c r="K749" s="38"/>
      <c r="L749" s="38"/>
      <c r="M749" s="17"/>
    </row>
    <row r="750" spans="2:13" ht="14.45" customHeight="1" x14ac:dyDescent="0.25">
      <c r="B750" s="17"/>
      <c r="C750" s="14"/>
      <c r="D750" s="14"/>
      <c r="E750" s="18"/>
      <c r="F750" s="61"/>
      <c r="G750" s="79"/>
      <c r="H750" s="79"/>
      <c r="I750" s="79"/>
      <c r="J750" s="14"/>
      <c r="K750" s="38"/>
      <c r="L750" s="38"/>
      <c r="M750" s="17"/>
    </row>
    <row r="751" spans="2:13" ht="14.45" customHeight="1" x14ac:dyDescent="0.25">
      <c r="B751" s="17"/>
      <c r="C751" s="14"/>
      <c r="D751" s="14"/>
      <c r="E751" s="18"/>
      <c r="F751" s="61"/>
      <c r="G751" s="79"/>
      <c r="H751" s="79"/>
      <c r="I751" s="79"/>
      <c r="J751" s="14"/>
      <c r="K751" s="38"/>
      <c r="L751" s="38"/>
      <c r="M751" s="17"/>
    </row>
    <row r="752" spans="2:13" ht="14.45" customHeight="1" x14ac:dyDescent="0.25">
      <c r="B752" s="17"/>
      <c r="C752" s="14"/>
      <c r="D752" s="14"/>
      <c r="E752" s="18"/>
      <c r="F752" s="61"/>
      <c r="G752" s="79"/>
      <c r="H752" s="79"/>
      <c r="I752" s="79"/>
      <c r="J752" s="14"/>
      <c r="K752" s="38"/>
      <c r="L752" s="38"/>
      <c r="M752" s="17"/>
    </row>
    <row r="753" spans="2:13" ht="14.45" customHeight="1" x14ac:dyDescent="0.25">
      <c r="B753" s="17"/>
      <c r="C753" s="14"/>
      <c r="D753" s="14"/>
      <c r="E753" s="18"/>
      <c r="F753" s="61"/>
      <c r="G753" s="79"/>
      <c r="H753" s="79"/>
      <c r="I753" s="79"/>
      <c r="J753" s="14"/>
      <c r="K753" s="38"/>
      <c r="L753" s="38"/>
      <c r="M753" s="17"/>
    </row>
    <row r="754" spans="2:13" ht="14.45" customHeight="1" x14ac:dyDescent="0.25">
      <c r="B754" s="17"/>
      <c r="C754" s="14"/>
      <c r="D754" s="14"/>
      <c r="E754" s="18"/>
      <c r="F754" s="61"/>
      <c r="G754" s="79"/>
      <c r="H754" s="79"/>
      <c r="I754" s="79"/>
      <c r="J754" s="14"/>
      <c r="K754" s="38"/>
      <c r="L754" s="38"/>
      <c r="M754" s="17"/>
    </row>
    <row r="755" spans="2:13" ht="14.45" customHeight="1" x14ac:dyDescent="0.25">
      <c r="B755" s="17"/>
      <c r="C755" s="14"/>
      <c r="D755" s="14"/>
      <c r="E755" s="18"/>
      <c r="F755" s="61"/>
      <c r="G755" s="79"/>
      <c r="H755" s="79"/>
      <c r="I755" s="79"/>
      <c r="J755" s="14"/>
      <c r="K755" s="38"/>
      <c r="L755" s="38"/>
      <c r="M755" s="17"/>
    </row>
    <row r="756" spans="2:13" ht="14.45" customHeight="1" x14ac:dyDescent="0.25">
      <c r="B756" s="17"/>
      <c r="C756" s="14"/>
      <c r="D756" s="14"/>
      <c r="E756" s="18"/>
      <c r="F756" s="61"/>
      <c r="G756" s="79"/>
      <c r="H756" s="79"/>
      <c r="I756" s="79"/>
      <c r="J756" s="14"/>
      <c r="K756" s="38"/>
      <c r="L756" s="38"/>
      <c r="M756" s="17"/>
    </row>
    <row r="757" spans="2:13" ht="14.45" customHeight="1" x14ac:dyDescent="0.25">
      <c r="B757" s="17"/>
      <c r="C757" s="14"/>
      <c r="D757" s="14"/>
      <c r="E757" s="18"/>
      <c r="F757" s="61"/>
      <c r="G757" s="79"/>
      <c r="H757" s="79"/>
      <c r="I757" s="79"/>
      <c r="J757" s="14"/>
      <c r="K757" s="38"/>
      <c r="L757" s="38"/>
      <c r="M757" s="17"/>
    </row>
    <row r="758" spans="2:13" ht="14.45" customHeight="1" x14ac:dyDescent="0.25">
      <c r="B758" s="17"/>
      <c r="C758" s="14"/>
      <c r="D758" s="14"/>
      <c r="E758" s="18"/>
      <c r="F758" s="61"/>
      <c r="G758" s="79"/>
      <c r="H758" s="79"/>
      <c r="I758" s="79"/>
      <c r="J758" s="14"/>
      <c r="K758" s="38"/>
      <c r="L758" s="38"/>
      <c r="M758" s="17"/>
    </row>
    <row r="759" spans="2:13" ht="14.45" customHeight="1" x14ac:dyDescent="0.25">
      <c r="B759" s="17"/>
      <c r="C759" s="14"/>
      <c r="D759" s="14"/>
      <c r="E759" s="18"/>
      <c r="F759" s="61"/>
      <c r="G759" s="79"/>
      <c r="H759" s="79"/>
      <c r="I759" s="79"/>
      <c r="J759" s="14"/>
      <c r="K759" s="38"/>
      <c r="L759" s="38"/>
      <c r="M759" s="17"/>
    </row>
    <row r="760" spans="2:13" ht="14.45" customHeight="1" x14ac:dyDescent="0.25">
      <c r="B760" s="17"/>
      <c r="C760" s="14"/>
      <c r="D760" s="14"/>
      <c r="E760" s="18"/>
      <c r="F760" s="61"/>
      <c r="G760" s="79"/>
      <c r="H760" s="79"/>
      <c r="I760" s="79"/>
      <c r="J760" s="14"/>
      <c r="K760" s="38"/>
      <c r="L760" s="38"/>
      <c r="M760" s="17"/>
    </row>
    <row r="761" spans="2:13" ht="14.45" customHeight="1" x14ac:dyDescent="0.25">
      <c r="B761" s="17"/>
      <c r="C761" s="14"/>
      <c r="D761" s="14"/>
      <c r="E761" s="18"/>
      <c r="F761" s="61"/>
      <c r="G761" s="79"/>
      <c r="H761" s="79"/>
      <c r="I761" s="79"/>
      <c r="J761" s="14"/>
      <c r="K761" s="38"/>
      <c r="L761" s="38"/>
      <c r="M761" s="17"/>
    </row>
    <row r="762" spans="2:13" ht="14.45" customHeight="1" x14ac:dyDescent="0.25">
      <c r="B762" s="17"/>
      <c r="C762" s="14"/>
      <c r="D762" s="14"/>
      <c r="E762" s="18"/>
      <c r="F762" s="61"/>
      <c r="G762" s="79"/>
      <c r="H762" s="79"/>
      <c r="I762" s="79"/>
      <c r="J762" s="14"/>
      <c r="K762" s="38"/>
      <c r="L762" s="38"/>
      <c r="M762" s="17"/>
    </row>
    <row r="763" spans="2:13" ht="14.45" customHeight="1" x14ac:dyDescent="0.25">
      <c r="B763" s="17"/>
      <c r="C763" s="14"/>
      <c r="D763" s="14"/>
      <c r="E763" s="18"/>
      <c r="F763" s="61"/>
      <c r="G763" s="79"/>
      <c r="H763" s="79"/>
      <c r="I763" s="79"/>
      <c r="J763" s="14"/>
      <c r="K763" s="38"/>
      <c r="L763" s="38"/>
      <c r="M763" s="17"/>
    </row>
    <row r="764" spans="2:13" ht="14.45" customHeight="1" x14ac:dyDescent="0.25">
      <c r="B764" s="17"/>
      <c r="C764" s="14"/>
      <c r="D764" s="14"/>
      <c r="E764" s="18"/>
      <c r="F764" s="61"/>
      <c r="G764" s="79"/>
      <c r="H764" s="79"/>
      <c r="I764" s="79"/>
      <c r="J764" s="14"/>
      <c r="K764" s="38"/>
      <c r="L764" s="38"/>
      <c r="M764" s="17"/>
    </row>
    <row r="765" spans="2:13" ht="14.45" customHeight="1" x14ac:dyDescent="0.25">
      <c r="B765" s="17"/>
      <c r="C765" s="14"/>
      <c r="D765" s="14"/>
      <c r="E765" s="18"/>
      <c r="F765" s="61"/>
      <c r="G765" s="79"/>
      <c r="H765" s="79"/>
      <c r="I765" s="79"/>
      <c r="J765" s="14"/>
      <c r="K765" s="38"/>
      <c r="L765" s="38"/>
      <c r="M765" s="17"/>
    </row>
    <row r="766" spans="2:13" ht="14.45" customHeight="1" x14ac:dyDescent="0.25">
      <c r="B766" s="17"/>
      <c r="C766" s="14"/>
      <c r="D766" s="14"/>
      <c r="E766" s="18"/>
      <c r="F766" s="61"/>
      <c r="G766" s="79"/>
      <c r="H766" s="79"/>
      <c r="I766" s="79"/>
      <c r="J766" s="14"/>
      <c r="K766" s="38"/>
      <c r="L766" s="38"/>
      <c r="M766" s="17"/>
    </row>
    <row r="767" spans="2:13" ht="14.45" customHeight="1" x14ac:dyDescent="0.25">
      <c r="B767" s="17"/>
      <c r="C767" s="14"/>
      <c r="D767" s="14"/>
      <c r="E767" s="18"/>
      <c r="F767" s="61"/>
      <c r="G767" s="79"/>
      <c r="H767" s="79"/>
      <c r="I767" s="79"/>
      <c r="J767" s="14"/>
      <c r="K767" s="38"/>
      <c r="L767" s="38"/>
      <c r="M767" s="17"/>
    </row>
    <row r="768" spans="2:13" ht="14.45" customHeight="1" x14ac:dyDescent="0.25">
      <c r="B768" s="17"/>
      <c r="C768" s="14"/>
      <c r="D768" s="14"/>
      <c r="E768" s="18"/>
      <c r="F768" s="61"/>
      <c r="G768" s="79"/>
      <c r="H768" s="79"/>
      <c r="I768" s="79"/>
      <c r="J768" s="14"/>
      <c r="K768" s="38"/>
      <c r="L768" s="38"/>
      <c r="M768" s="17"/>
    </row>
    <row r="769" spans="2:13" ht="14.45" customHeight="1" x14ac:dyDescent="0.25">
      <c r="B769" s="17"/>
      <c r="C769" s="14"/>
      <c r="D769" s="14"/>
      <c r="E769" s="18"/>
      <c r="F769" s="61"/>
      <c r="G769" s="79"/>
      <c r="H769" s="79"/>
      <c r="I769" s="79"/>
      <c r="J769" s="14"/>
      <c r="K769" s="38"/>
      <c r="L769" s="38"/>
      <c r="M769" s="17"/>
    </row>
    <row r="770" spans="2:13" ht="14.45" customHeight="1" x14ac:dyDescent="0.25">
      <c r="B770" s="17"/>
      <c r="C770" s="14"/>
      <c r="D770" s="14"/>
      <c r="E770" s="18"/>
      <c r="F770" s="61"/>
      <c r="G770" s="79"/>
      <c r="H770" s="79"/>
      <c r="I770" s="79"/>
      <c r="J770" s="14"/>
      <c r="K770" s="38"/>
      <c r="L770" s="38"/>
      <c r="M770" s="17"/>
    </row>
    <row r="771" spans="2:13" ht="14.45" customHeight="1" x14ac:dyDescent="0.25">
      <c r="B771" s="17"/>
      <c r="C771" s="14"/>
      <c r="D771" s="14"/>
      <c r="E771" s="18"/>
      <c r="F771" s="61"/>
      <c r="G771" s="79"/>
      <c r="H771" s="79"/>
      <c r="I771" s="79"/>
      <c r="J771" s="14"/>
      <c r="K771" s="38"/>
      <c r="L771" s="38"/>
      <c r="M771" s="17"/>
    </row>
    <row r="772" spans="2:13" ht="14.45" customHeight="1" x14ac:dyDescent="0.25">
      <c r="B772" s="17"/>
      <c r="C772" s="14"/>
      <c r="D772" s="14"/>
      <c r="E772" s="18"/>
      <c r="F772" s="61"/>
      <c r="G772" s="79"/>
      <c r="H772" s="79"/>
      <c r="I772" s="79"/>
      <c r="J772" s="14"/>
      <c r="K772" s="38"/>
      <c r="L772" s="38"/>
      <c r="M772" s="17"/>
    </row>
    <row r="773" spans="2:13" ht="14.45" customHeight="1" x14ac:dyDescent="0.25">
      <c r="B773" s="17"/>
      <c r="C773" s="14"/>
      <c r="D773" s="14"/>
      <c r="E773" s="18"/>
      <c r="F773" s="61"/>
      <c r="G773" s="79"/>
      <c r="H773" s="79"/>
      <c r="I773" s="79"/>
      <c r="J773" s="14"/>
      <c r="K773" s="38"/>
      <c r="L773" s="38"/>
      <c r="M773" s="17"/>
    </row>
    <row r="774" spans="2:13" ht="14.45" customHeight="1" x14ac:dyDescent="0.25">
      <c r="B774" s="17"/>
      <c r="C774" s="14"/>
      <c r="D774" s="14"/>
      <c r="E774" s="18"/>
      <c r="F774" s="61"/>
      <c r="G774" s="79"/>
      <c r="H774" s="79"/>
      <c r="I774" s="79"/>
      <c r="J774" s="14"/>
      <c r="K774" s="38"/>
      <c r="L774" s="38"/>
      <c r="M774" s="17"/>
    </row>
    <row r="775" spans="2:13" ht="14.45" customHeight="1" x14ac:dyDescent="0.25">
      <c r="B775" s="17"/>
      <c r="C775" s="14"/>
      <c r="D775" s="14"/>
      <c r="E775" s="18"/>
      <c r="F775" s="61"/>
      <c r="G775" s="79"/>
      <c r="H775" s="79"/>
      <c r="I775" s="79"/>
      <c r="J775" s="14"/>
      <c r="K775" s="38"/>
      <c r="L775" s="38"/>
      <c r="M775" s="17"/>
    </row>
    <row r="776" spans="2:13" ht="14.45" customHeight="1" x14ac:dyDescent="0.25">
      <c r="B776" s="17"/>
      <c r="C776" s="14"/>
      <c r="D776" s="14"/>
      <c r="E776" s="18"/>
      <c r="F776" s="61"/>
      <c r="G776" s="79"/>
      <c r="H776" s="79"/>
      <c r="I776" s="79"/>
      <c r="J776" s="14"/>
      <c r="K776" s="38"/>
      <c r="L776" s="38"/>
      <c r="M776" s="17"/>
    </row>
    <row r="777" spans="2:13" ht="14.45" customHeight="1" x14ac:dyDescent="0.25">
      <c r="B777" s="17"/>
      <c r="C777" s="14"/>
      <c r="D777" s="14"/>
      <c r="E777" s="18"/>
      <c r="F777" s="61"/>
      <c r="G777" s="79"/>
      <c r="H777" s="79"/>
      <c r="I777" s="79"/>
      <c r="J777" s="14"/>
      <c r="K777" s="38"/>
      <c r="L777" s="38"/>
      <c r="M777" s="17"/>
    </row>
    <row r="778" spans="2:13" ht="14.45" customHeight="1" x14ac:dyDescent="0.25">
      <c r="B778" s="17"/>
      <c r="C778" s="14"/>
      <c r="D778" s="14"/>
      <c r="E778" s="18"/>
      <c r="F778" s="61"/>
      <c r="G778" s="79"/>
      <c r="H778" s="79"/>
      <c r="I778" s="79"/>
      <c r="J778" s="14"/>
      <c r="K778" s="38"/>
      <c r="L778" s="38"/>
      <c r="M778" s="17"/>
    </row>
    <row r="779" spans="2:13" ht="14.45" customHeight="1" x14ac:dyDescent="0.25">
      <c r="B779" s="17"/>
      <c r="C779" s="14"/>
      <c r="D779" s="14"/>
      <c r="E779" s="18"/>
      <c r="F779" s="61"/>
      <c r="G779" s="79"/>
      <c r="H779" s="79"/>
      <c r="I779" s="79"/>
      <c r="J779" s="14"/>
      <c r="K779" s="38"/>
      <c r="L779" s="38"/>
      <c r="M779" s="17"/>
    </row>
    <row r="780" spans="2:13" ht="14.45" customHeight="1" x14ac:dyDescent="0.25">
      <c r="B780" s="17"/>
      <c r="C780" s="14"/>
      <c r="D780" s="14"/>
      <c r="E780" s="18"/>
      <c r="F780" s="61"/>
      <c r="G780" s="79"/>
      <c r="H780" s="79"/>
      <c r="I780" s="79"/>
      <c r="J780" s="14"/>
      <c r="K780" s="38"/>
      <c r="L780" s="38"/>
      <c r="M780" s="17"/>
    </row>
    <row r="781" spans="2:13" ht="14.45" customHeight="1" x14ac:dyDescent="0.25">
      <c r="B781" s="17"/>
      <c r="C781" s="14"/>
      <c r="D781" s="14"/>
      <c r="E781" s="18"/>
      <c r="F781" s="61"/>
      <c r="G781" s="79"/>
      <c r="H781" s="79"/>
      <c r="I781" s="79"/>
      <c r="J781" s="14"/>
      <c r="K781" s="38"/>
      <c r="L781" s="38"/>
      <c r="M781" s="17"/>
    </row>
    <row r="782" spans="2:13" ht="14.45" customHeight="1" x14ac:dyDescent="0.25">
      <c r="B782" s="17"/>
      <c r="C782" s="14"/>
      <c r="D782" s="14"/>
      <c r="E782" s="18"/>
      <c r="F782" s="61"/>
      <c r="G782" s="79"/>
      <c r="H782" s="79"/>
      <c r="I782" s="79"/>
      <c r="J782" s="14"/>
      <c r="K782" s="38"/>
      <c r="L782" s="38"/>
      <c r="M782" s="17"/>
    </row>
    <row r="783" spans="2:13" ht="14.45" customHeight="1" x14ac:dyDescent="0.25">
      <c r="B783" s="17"/>
      <c r="C783" s="14"/>
      <c r="D783" s="14"/>
      <c r="E783" s="18"/>
      <c r="F783" s="61"/>
      <c r="G783" s="79"/>
      <c r="H783" s="79"/>
      <c r="I783" s="79"/>
      <c r="J783" s="14"/>
      <c r="K783" s="38"/>
      <c r="L783" s="38"/>
      <c r="M783" s="17"/>
    </row>
    <row r="784" spans="2:13" ht="14.45" customHeight="1" x14ac:dyDescent="0.25">
      <c r="B784" s="17"/>
      <c r="C784" s="14"/>
      <c r="D784" s="14"/>
      <c r="E784" s="18"/>
      <c r="F784" s="61"/>
      <c r="G784" s="79"/>
      <c r="H784" s="79"/>
      <c r="I784" s="79"/>
      <c r="J784" s="14"/>
      <c r="K784" s="38"/>
      <c r="L784" s="38"/>
      <c r="M784" s="17"/>
    </row>
    <row r="785" spans="2:13" ht="14.45" customHeight="1" x14ac:dyDescent="0.25">
      <c r="B785" s="17"/>
      <c r="C785" s="14"/>
      <c r="D785" s="14"/>
      <c r="E785" s="18"/>
      <c r="F785" s="61"/>
      <c r="G785" s="79"/>
      <c r="H785" s="79"/>
      <c r="I785" s="79"/>
      <c r="J785" s="14"/>
      <c r="K785" s="38"/>
      <c r="L785" s="38"/>
      <c r="M785" s="17"/>
    </row>
    <row r="786" spans="2:13" ht="14.45" customHeight="1" x14ac:dyDescent="0.25">
      <c r="B786" s="17"/>
      <c r="C786" s="14"/>
      <c r="D786" s="14"/>
      <c r="E786" s="18"/>
      <c r="F786" s="61"/>
      <c r="G786" s="79"/>
      <c r="H786" s="79"/>
      <c r="I786" s="79"/>
      <c r="J786" s="14"/>
      <c r="K786" s="38"/>
      <c r="L786" s="38"/>
      <c r="M786" s="17"/>
    </row>
    <row r="787" spans="2:13" ht="14.45" customHeight="1" x14ac:dyDescent="0.25">
      <c r="B787" s="17"/>
      <c r="C787" s="14"/>
      <c r="D787" s="14"/>
      <c r="E787" s="18"/>
      <c r="F787" s="61"/>
      <c r="G787" s="79"/>
      <c r="H787" s="79"/>
      <c r="I787" s="79"/>
      <c r="J787" s="14"/>
      <c r="K787" s="38"/>
      <c r="L787" s="38"/>
      <c r="M787" s="17"/>
    </row>
    <row r="788" spans="2:13" ht="14.45" customHeight="1" x14ac:dyDescent="0.25">
      <c r="B788" s="17"/>
      <c r="C788" s="14"/>
      <c r="D788" s="14"/>
      <c r="E788" s="18"/>
      <c r="F788" s="61"/>
      <c r="G788" s="79"/>
      <c r="H788" s="79"/>
      <c r="I788" s="79"/>
      <c r="J788" s="14"/>
      <c r="K788" s="38"/>
      <c r="L788" s="38"/>
      <c r="M788" s="17"/>
    </row>
    <row r="789" spans="2:13" ht="14.45" customHeight="1" x14ac:dyDescent="0.25">
      <c r="B789" s="17"/>
      <c r="C789" s="14"/>
      <c r="D789" s="14"/>
      <c r="E789" s="18"/>
      <c r="F789" s="61"/>
      <c r="G789" s="79"/>
      <c r="H789" s="79"/>
      <c r="I789" s="79"/>
      <c r="J789" s="14"/>
      <c r="K789" s="38"/>
      <c r="L789" s="38"/>
      <c r="M789" s="17"/>
    </row>
    <row r="790" spans="2:13" ht="14.45" customHeight="1" x14ac:dyDescent="0.25">
      <c r="B790" s="17"/>
      <c r="C790" s="14"/>
      <c r="D790" s="14"/>
      <c r="E790" s="18"/>
      <c r="F790" s="61"/>
      <c r="G790" s="79"/>
      <c r="H790" s="79"/>
      <c r="I790" s="79"/>
      <c r="J790" s="14"/>
      <c r="K790" s="38"/>
      <c r="L790" s="38"/>
      <c r="M790" s="17"/>
    </row>
    <row r="791" spans="2:13" ht="14.45" customHeight="1" x14ac:dyDescent="0.25">
      <c r="B791" s="17"/>
      <c r="C791" s="14"/>
      <c r="D791" s="14"/>
      <c r="E791" s="18"/>
      <c r="F791" s="61"/>
      <c r="G791" s="79"/>
      <c r="H791" s="79"/>
      <c r="I791" s="79"/>
      <c r="J791" s="14"/>
      <c r="K791" s="38"/>
      <c r="L791" s="38"/>
      <c r="M791" s="17"/>
    </row>
    <row r="792" spans="2:13" ht="14.45" customHeight="1" x14ac:dyDescent="0.25">
      <c r="B792" s="17"/>
      <c r="C792" s="14"/>
      <c r="D792" s="14"/>
      <c r="E792" s="18"/>
      <c r="F792" s="61"/>
      <c r="G792" s="79"/>
      <c r="H792" s="79"/>
      <c r="I792" s="79"/>
      <c r="J792" s="14"/>
      <c r="K792" s="38"/>
      <c r="L792" s="38"/>
      <c r="M792" s="17"/>
    </row>
    <row r="793" spans="2:13" ht="14.45" customHeight="1" x14ac:dyDescent="0.25">
      <c r="B793" s="17"/>
      <c r="C793" s="14"/>
      <c r="D793" s="14"/>
      <c r="E793" s="18"/>
      <c r="F793" s="61"/>
      <c r="G793" s="79"/>
      <c r="H793" s="79"/>
      <c r="I793" s="79"/>
      <c r="J793" s="14"/>
      <c r="K793" s="38"/>
      <c r="L793" s="38"/>
      <c r="M793" s="17"/>
    </row>
    <row r="794" spans="2:13" ht="14.45" customHeight="1" x14ac:dyDescent="0.25">
      <c r="B794" s="17"/>
      <c r="C794" s="14"/>
      <c r="D794" s="14"/>
      <c r="E794" s="18"/>
      <c r="F794" s="61"/>
      <c r="G794" s="79"/>
      <c r="H794" s="79"/>
      <c r="I794" s="79"/>
      <c r="J794" s="14"/>
      <c r="K794" s="38"/>
      <c r="L794" s="38"/>
      <c r="M794" s="17"/>
    </row>
    <row r="795" spans="2:13" ht="14.45" customHeight="1" x14ac:dyDescent="0.25">
      <c r="B795" s="17"/>
      <c r="C795" s="14"/>
      <c r="D795" s="14"/>
      <c r="E795" s="18"/>
      <c r="F795" s="61"/>
      <c r="G795" s="79"/>
      <c r="H795" s="79"/>
      <c r="I795" s="79"/>
      <c r="J795" s="14"/>
      <c r="K795" s="38"/>
      <c r="L795" s="38"/>
      <c r="M795" s="17"/>
    </row>
    <row r="796" spans="2:13" ht="14.45" customHeight="1" x14ac:dyDescent="0.25">
      <c r="B796" s="17"/>
      <c r="C796" s="14"/>
      <c r="D796" s="14"/>
      <c r="E796" s="18"/>
      <c r="F796" s="61"/>
      <c r="G796" s="79"/>
      <c r="H796" s="79"/>
      <c r="I796" s="79"/>
      <c r="J796" s="14"/>
      <c r="K796" s="38"/>
      <c r="L796" s="38"/>
      <c r="M796" s="17"/>
    </row>
    <row r="797" spans="2:13" ht="14.45" customHeight="1" x14ac:dyDescent="0.25">
      <c r="B797" s="17"/>
      <c r="C797" s="14"/>
      <c r="D797" s="14"/>
      <c r="E797" s="18"/>
      <c r="F797" s="61"/>
      <c r="G797" s="79"/>
      <c r="H797" s="79"/>
      <c r="I797" s="79"/>
      <c r="J797" s="14"/>
      <c r="K797" s="38"/>
      <c r="L797" s="38"/>
      <c r="M797" s="17"/>
    </row>
    <row r="798" spans="2:13" ht="14.45" customHeight="1" x14ac:dyDescent="0.25">
      <c r="B798" s="17"/>
      <c r="C798" s="14"/>
      <c r="D798" s="14"/>
      <c r="E798" s="18"/>
      <c r="F798" s="61"/>
      <c r="G798" s="79"/>
      <c r="H798" s="79"/>
      <c r="I798" s="79"/>
      <c r="J798" s="14"/>
      <c r="K798" s="38"/>
      <c r="L798" s="38"/>
      <c r="M798" s="17"/>
    </row>
    <row r="799" spans="2:13" ht="14.45" customHeight="1" x14ac:dyDescent="0.25">
      <c r="B799" s="17"/>
      <c r="C799" s="14"/>
      <c r="D799" s="14"/>
      <c r="E799" s="18"/>
      <c r="F799" s="61"/>
      <c r="G799" s="79"/>
      <c r="H799" s="79"/>
      <c r="I799" s="79"/>
      <c r="J799" s="14"/>
      <c r="K799" s="38"/>
      <c r="L799" s="38"/>
      <c r="M799" s="17"/>
    </row>
    <row r="800" spans="2:13" ht="14.45" customHeight="1" x14ac:dyDescent="0.25">
      <c r="B800" s="17"/>
      <c r="C800" s="14"/>
      <c r="D800" s="14"/>
      <c r="E800" s="18"/>
      <c r="F800" s="61"/>
      <c r="G800" s="79"/>
      <c r="H800" s="79"/>
      <c r="I800" s="79"/>
      <c r="J800" s="14"/>
      <c r="K800" s="38"/>
      <c r="L800" s="38"/>
      <c r="M800" s="17"/>
    </row>
    <row r="801" spans="2:13" ht="14.45" customHeight="1" x14ac:dyDescent="0.25">
      <c r="B801" s="17"/>
      <c r="C801" s="14"/>
      <c r="D801" s="14"/>
      <c r="E801" s="18"/>
      <c r="F801" s="61"/>
      <c r="G801" s="79"/>
      <c r="H801" s="79"/>
      <c r="I801" s="79"/>
      <c r="J801" s="14"/>
      <c r="K801" s="38"/>
      <c r="L801" s="38"/>
      <c r="M801" s="17"/>
    </row>
    <row r="802" spans="2:13" ht="14.45" customHeight="1" x14ac:dyDescent="0.25">
      <c r="B802" s="17"/>
      <c r="C802" s="14"/>
      <c r="D802" s="14"/>
      <c r="E802" s="18"/>
      <c r="F802" s="61"/>
      <c r="G802" s="79"/>
      <c r="H802" s="79"/>
      <c r="I802" s="79"/>
      <c r="J802" s="14"/>
      <c r="K802" s="38"/>
      <c r="L802" s="38"/>
      <c r="M802" s="17"/>
    </row>
    <row r="803" spans="2:13" ht="14.45" customHeight="1" x14ac:dyDescent="0.25">
      <c r="B803" s="17"/>
      <c r="C803" s="14"/>
      <c r="D803" s="14"/>
      <c r="E803" s="18"/>
      <c r="F803" s="61"/>
      <c r="G803" s="79"/>
      <c r="H803" s="79"/>
      <c r="I803" s="79"/>
      <c r="J803" s="14"/>
      <c r="K803" s="38"/>
      <c r="L803" s="38"/>
      <c r="M803" s="17"/>
    </row>
    <row r="804" spans="2:13" ht="14.45" customHeight="1" x14ac:dyDescent="0.25">
      <c r="B804" s="17"/>
      <c r="C804" s="14"/>
      <c r="D804" s="14"/>
      <c r="E804" s="18"/>
      <c r="F804" s="61"/>
      <c r="G804" s="79"/>
      <c r="H804" s="79"/>
      <c r="I804" s="79"/>
      <c r="J804" s="14"/>
      <c r="K804" s="38"/>
      <c r="L804" s="38"/>
      <c r="M804" s="17"/>
    </row>
    <row r="805" spans="2:13" ht="14.45" customHeight="1" x14ac:dyDescent="0.25">
      <c r="B805" s="17"/>
      <c r="C805" s="14"/>
      <c r="D805" s="14"/>
      <c r="E805" s="18"/>
      <c r="F805" s="61"/>
      <c r="G805" s="79"/>
      <c r="H805" s="79"/>
      <c r="I805" s="79"/>
      <c r="J805" s="14"/>
      <c r="K805" s="38"/>
      <c r="L805" s="38"/>
      <c r="M805" s="17"/>
    </row>
    <row r="806" spans="2:13" ht="14.45" customHeight="1" x14ac:dyDescent="0.25">
      <c r="B806" s="17"/>
      <c r="C806" s="14"/>
      <c r="D806" s="14"/>
      <c r="E806" s="18"/>
      <c r="F806" s="61"/>
      <c r="G806" s="79"/>
      <c r="H806" s="79"/>
      <c r="I806" s="79"/>
      <c r="J806" s="14"/>
      <c r="K806" s="38"/>
      <c r="L806" s="38"/>
      <c r="M806" s="17"/>
    </row>
    <row r="807" spans="2:13" ht="14.45" customHeight="1" x14ac:dyDescent="0.25">
      <c r="B807" s="17"/>
      <c r="C807" s="14"/>
      <c r="D807" s="14"/>
      <c r="E807" s="18"/>
      <c r="F807" s="61"/>
      <c r="G807" s="79"/>
      <c r="H807" s="79"/>
      <c r="I807" s="79"/>
      <c r="J807" s="14"/>
      <c r="K807" s="38"/>
      <c r="L807" s="38"/>
      <c r="M807" s="17"/>
    </row>
    <row r="808" spans="2:13" ht="14.45" customHeight="1" x14ac:dyDescent="0.25">
      <c r="B808" s="17"/>
      <c r="C808" s="14"/>
      <c r="D808" s="14"/>
      <c r="E808" s="18"/>
      <c r="F808" s="61"/>
      <c r="G808" s="79"/>
      <c r="H808" s="79"/>
      <c r="I808" s="79"/>
      <c r="J808" s="14"/>
      <c r="K808" s="38"/>
      <c r="L808" s="38"/>
      <c r="M808" s="17"/>
    </row>
    <row r="809" spans="2:13" ht="14.45" customHeight="1" x14ac:dyDescent="0.25">
      <c r="B809" s="17"/>
      <c r="C809" s="14"/>
      <c r="D809" s="14"/>
      <c r="E809" s="18"/>
      <c r="F809" s="61"/>
      <c r="G809" s="79"/>
      <c r="H809" s="79"/>
      <c r="I809" s="79"/>
      <c r="J809" s="14"/>
      <c r="K809" s="38"/>
      <c r="L809" s="38"/>
      <c r="M809" s="17"/>
    </row>
    <row r="810" spans="2:13" ht="14.45" customHeight="1" x14ac:dyDescent="0.25">
      <c r="B810" s="17"/>
      <c r="C810" s="14"/>
      <c r="D810" s="14"/>
      <c r="E810" s="18"/>
      <c r="F810" s="61"/>
      <c r="G810" s="79"/>
      <c r="H810" s="79"/>
      <c r="I810" s="79"/>
      <c r="J810" s="14"/>
      <c r="K810" s="38"/>
      <c r="L810" s="38"/>
      <c r="M810" s="17"/>
    </row>
    <row r="811" spans="2:13" ht="14.45" customHeight="1" x14ac:dyDescent="0.25">
      <c r="B811" s="17"/>
      <c r="C811" s="14"/>
      <c r="D811" s="14"/>
      <c r="E811" s="18"/>
      <c r="F811" s="61"/>
      <c r="G811" s="79"/>
      <c r="H811" s="79"/>
      <c r="I811" s="79"/>
      <c r="J811" s="14"/>
      <c r="K811" s="38"/>
      <c r="L811" s="38"/>
      <c r="M811" s="17"/>
    </row>
    <row r="812" spans="2:13" ht="14.45" customHeight="1" x14ac:dyDescent="0.25">
      <c r="B812" s="17"/>
      <c r="C812" s="14"/>
      <c r="D812" s="14"/>
      <c r="E812" s="18"/>
      <c r="F812" s="61"/>
      <c r="G812" s="79"/>
      <c r="H812" s="79"/>
      <c r="I812" s="79"/>
      <c r="J812" s="14"/>
      <c r="K812" s="38"/>
      <c r="L812" s="38"/>
      <c r="M812" s="17"/>
    </row>
    <row r="813" spans="2:13" ht="14.45" customHeight="1" x14ac:dyDescent="0.25">
      <c r="B813" s="17"/>
      <c r="C813" s="14"/>
      <c r="D813" s="14"/>
      <c r="E813" s="18"/>
      <c r="F813" s="61"/>
      <c r="G813" s="79"/>
      <c r="H813" s="79"/>
      <c r="I813" s="79"/>
      <c r="J813" s="14"/>
      <c r="K813" s="38"/>
      <c r="L813" s="38"/>
      <c r="M813" s="17"/>
    </row>
    <row r="814" spans="2:13" ht="14.45" customHeight="1" x14ac:dyDescent="0.25">
      <c r="B814" s="17"/>
      <c r="C814" s="14"/>
      <c r="D814" s="14"/>
      <c r="E814" s="18"/>
      <c r="F814" s="61"/>
      <c r="G814" s="79"/>
      <c r="H814" s="79"/>
      <c r="I814" s="79"/>
      <c r="J814" s="14"/>
      <c r="K814" s="38"/>
      <c r="L814" s="38"/>
      <c r="M814" s="17"/>
    </row>
    <row r="815" spans="2:13" ht="14.45" customHeight="1" x14ac:dyDescent="0.25">
      <c r="B815" s="17"/>
      <c r="C815" s="14"/>
      <c r="D815" s="14"/>
      <c r="E815" s="18"/>
      <c r="F815" s="61"/>
      <c r="G815" s="79"/>
      <c r="H815" s="79"/>
      <c r="I815" s="79"/>
      <c r="J815" s="14"/>
      <c r="K815" s="38"/>
      <c r="L815" s="38"/>
      <c r="M815" s="17"/>
    </row>
    <row r="816" spans="2:13" ht="14.45" customHeight="1" x14ac:dyDescent="0.25">
      <c r="B816" s="17"/>
      <c r="C816" s="14"/>
      <c r="D816" s="14"/>
      <c r="E816" s="18"/>
      <c r="F816" s="61"/>
      <c r="G816" s="79"/>
      <c r="H816" s="79"/>
      <c r="I816" s="79"/>
      <c r="J816" s="14"/>
      <c r="K816" s="38"/>
      <c r="L816" s="38"/>
      <c r="M816" s="17"/>
    </row>
    <row r="817" spans="2:13" ht="14.45" customHeight="1" x14ac:dyDescent="0.25">
      <c r="B817" s="17"/>
      <c r="C817" s="14"/>
      <c r="D817" s="14"/>
      <c r="E817" s="18"/>
      <c r="F817" s="61"/>
      <c r="G817" s="79"/>
      <c r="H817" s="79"/>
      <c r="I817" s="79"/>
      <c r="J817" s="14"/>
      <c r="K817" s="38"/>
      <c r="L817" s="38"/>
      <c r="M817" s="17"/>
    </row>
    <row r="818" spans="2:13" ht="14.45" customHeight="1" x14ac:dyDescent="0.25">
      <c r="B818" s="17"/>
      <c r="C818" s="14"/>
      <c r="D818" s="14"/>
      <c r="E818" s="18"/>
      <c r="F818" s="61"/>
      <c r="G818" s="79"/>
      <c r="H818" s="79"/>
      <c r="I818" s="79"/>
      <c r="J818" s="14"/>
      <c r="K818" s="38"/>
      <c r="L818" s="38"/>
      <c r="M818" s="17"/>
    </row>
    <row r="819" spans="2:13" ht="14.45" customHeight="1" x14ac:dyDescent="0.25">
      <c r="B819" s="17"/>
      <c r="C819" s="14"/>
      <c r="D819" s="14"/>
      <c r="E819" s="18"/>
      <c r="F819" s="61"/>
      <c r="G819" s="79"/>
      <c r="H819" s="79"/>
      <c r="I819" s="79"/>
      <c r="J819" s="14"/>
      <c r="K819" s="38"/>
      <c r="L819" s="38"/>
      <c r="M819" s="17"/>
    </row>
    <row r="820" spans="2:13" ht="14.45" customHeight="1" x14ac:dyDescent="0.25">
      <c r="B820" s="17"/>
      <c r="C820" s="14"/>
      <c r="D820" s="14"/>
      <c r="E820" s="18"/>
      <c r="F820" s="61"/>
      <c r="G820" s="79"/>
      <c r="H820" s="79"/>
      <c r="I820" s="79"/>
      <c r="J820" s="14"/>
      <c r="K820" s="38"/>
      <c r="L820" s="38"/>
      <c r="M820" s="17"/>
    </row>
    <row r="821" spans="2:13" ht="14.45" customHeight="1" x14ac:dyDescent="0.25">
      <c r="B821" s="17"/>
      <c r="C821" s="14"/>
      <c r="D821" s="14"/>
      <c r="E821" s="18"/>
      <c r="F821" s="61"/>
      <c r="G821" s="79"/>
      <c r="H821" s="79"/>
      <c r="I821" s="79"/>
      <c r="J821" s="14"/>
      <c r="K821" s="38"/>
      <c r="L821" s="38"/>
      <c r="M821" s="17"/>
    </row>
    <row r="822" spans="2:13" ht="14.45" customHeight="1" x14ac:dyDescent="0.25">
      <c r="B822" s="17"/>
      <c r="C822" s="14"/>
      <c r="D822" s="14"/>
      <c r="E822" s="18"/>
      <c r="F822" s="61"/>
      <c r="G822" s="79"/>
      <c r="H822" s="79"/>
      <c r="I822" s="79"/>
      <c r="J822" s="14"/>
      <c r="K822" s="38"/>
      <c r="L822" s="38"/>
      <c r="M822" s="17"/>
    </row>
    <row r="823" spans="2:13" ht="14.45" customHeight="1" x14ac:dyDescent="0.25">
      <c r="B823" s="17"/>
      <c r="C823" s="14"/>
      <c r="D823" s="14"/>
      <c r="E823" s="18"/>
      <c r="F823" s="61"/>
      <c r="G823" s="79"/>
      <c r="H823" s="79"/>
      <c r="I823" s="79"/>
      <c r="J823" s="14"/>
      <c r="K823" s="38"/>
      <c r="L823" s="38"/>
      <c r="M823" s="17"/>
    </row>
    <row r="824" spans="2:13" ht="14.45" customHeight="1" x14ac:dyDescent="0.25">
      <c r="B824" s="17"/>
      <c r="C824" s="14"/>
      <c r="D824" s="14"/>
      <c r="E824" s="18"/>
      <c r="F824" s="61"/>
      <c r="G824" s="79"/>
      <c r="H824" s="79"/>
      <c r="I824" s="79"/>
      <c r="J824" s="14"/>
      <c r="K824" s="38"/>
      <c r="L824" s="38"/>
      <c r="M824" s="17"/>
    </row>
    <row r="825" spans="2:13" ht="14.45" customHeight="1" x14ac:dyDescent="0.25">
      <c r="B825" s="17"/>
      <c r="C825" s="14"/>
      <c r="D825" s="14"/>
      <c r="E825" s="18"/>
      <c r="F825" s="61"/>
      <c r="G825" s="79"/>
      <c r="H825" s="79"/>
      <c r="I825" s="79"/>
      <c r="J825" s="14"/>
      <c r="K825" s="38"/>
      <c r="L825" s="38"/>
      <c r="M825" s="17"/>
    </row>
    <row r="826" spans="2:13" ht="14.45" customHeight="1" x14ac:dyDescent="0.25">
      <c r="B826" s="17"/>
      <c r="C826" s="14"/>
      <c r="D826" s="14"/>
      <c r="E826" s="18"/>
      <c r="F826" s="61"/>
      <c r="G826" s="79"/>
      <c r="H826" s="79"/>
      <c r="I826" s="79"/>
      <c r="J826" s="14"/>
      <c r="K826" s="38"/>
      <c r="L826" s="38"/>
      <c r="M826" s="17"/>
    </row>
    <row r="827" spans="2:13" ht="14.45" customHeight="1" x14ac:dyDescent="0.25">
      <c r="B827" s="17"/>
      <c r="C827" s="14"/>
      <c r="D827" s="14"/>
      <c r="E827" s="18"/>
      <c r="F827" s="61"/>
      <c r="G827" s="79"/>
      <c r="H827" s="79"/>
      <c r="I827" s="79"/>
      <c r="J827" s="14"/>
      <c r="K827" s="38"/>
      <c r="L827" s="38"/>
      <c r="M827" s="17"/>
    </row>
    <row r="828" spans="2:13" ht="14.45" customHeight="1" x14ac:dyDescent="0.25">
      <c r="B828" s="17"/>
      <c r="C828" s="14"/>
      <c r="D828" s="14"/>
      <c r="E828" s="18"/>
      <c r="F828" s="61"/>
      <c r="G828" s="79"/>
      <c r="H828" s="79"/>
      <c r="I828" s="79"/>
      <c r="J828" s="14"/>
      <c r="K828" s="38"/>
      <c r="L828" s="38"/>
      <c r="M828" s="17"/>
    </row>
    <row r="829" spans="2:13" ht="14.45" customHeight="1" x14ac:dyDescent="0.25">
      <c r="B829" s="17"/>
      <c r="C829" s="14"/>
      <c r="D829" s="14"/>
      <c r="E829" s="18"/>
      <c r="F829" s="61"/>
      <c r="G829" s="79"/>
      <c r="H829" s="79"/>
      <c r="I829" s="79"/>
      <c r="J829" s="14"/>
      <c r="K829" s="38"/>
      <c r="L829" s="38"/>
      <c r="M829" s="17"/>
    </row>
    <row r="830" spans="2:13" ht="14.45" customHeight="1" x14ac:dyDescent="0.25">
      <c r="B830" s="17"/>
      <c r="C830" s="14"/>
      <c r="D830" s="14"/>
      <c r="E830" s="18"/>
      <c r="F830" s="61"/>
      <c r="G830" s="79"/>
      <c r="H830" s="79"/>
      <c r="I830" s="79"/>
      <c r="J830" s="14"/>
      <c r="K830" s="38"/>
      <c r="L830" s="38"/>
      <c r="M830" s="17"/>
    </row>
    <row r="831" spans="2:13" ht="14.45" customHeight="1" x14ac:dyDescent="0.25">
      <c r="B831" s="17"/>
      <c r="C831" s="14"/>
      <c r="D831" s="14"/>
      <c r="E831" s="18"/>
      <c r="F831" s="61"/>
      <c r="G831" s="79"/>
      <c r="H831" s="79"/>
      <c r="I831" s="79"/>
      <c r="J831" s="14"/>
      <c r="K831" s="38"/>
      <c r="L831" s="38"/>
      <c r="M831" s="17"/>
    </row>
    <row r="832" spans="2:13" ht="14.45" customHeight="1" x14ac:dyDescent="0.25">
      <c r="B832" s="17"/>
      <c r="C832" s="14"/>
      <c r="D832" s="14"/>
      <c r="E832" s="18"/>
      <c r="F832" s="61"/>
      <c r="G832" s="79"/>
      <c r="H832" s="79"/>
      <c r="I832" s="79"/>
      <c r="J832" s="14"/>
      <c r="K832" s="38"/>
      <c r="L832" s="38"/>
      <c r="M832" s="17"/>
    </row>
    <row r="833" spans="2:13" ht="14.45" customHeight="1" x14ac:dyDescent="0.25">
      <c r="B833" s="17"/>
      <c r="C833" s="14"/>
      <c r="D833" s="14"/>
      <c r="E833" s="18"/>
      <c r="F833" s="61"/>
      <c r="G833" s="79"/>
      <c r="H833" s="79"/>
      <c r="I833" s="79"/>
      <c r="J833" s="14"/>
      <c r="K833" s="38"/>
      <c r="L833" s="38"/>
      <c r="M833" s="17"/>
    </row>
    <row r="834" spans="2:13" ht="14.45" customHeight="1" x14ac:dyDescent="0.25">
      <c r="B834" s="17"/>
      <c r="C834" s="14"/>
      <c r="D834" s="14"/>
      <c r="E834" s="18"/>
      <c r="F834" s="61"/>
      <c r="G834" s="79"/>
      <c r="H834" s="79"/>
      <c r="I834" s="79"/>
      <c r="J834" s="14"/>
      <c r="K834" s="38"/>
      <c r="L834" s="38"/>
      <c r="M834" s="17"/>
    </row>
    <row r="835" spans="2:13" ht="14.45" customHeight="1" x14ac:dyDescent="0.25">
      <c r="B835" s="17"/>
      <c r="C835" s="14"/>
      <c r="D835" s="14"/>
      <c r="E835" s="18"/>
      <c r="F835" s="61"/>
      <c r="G835" s="79"/>
      <c r="H835" s="79"/>
      <c r="I835" s="79"/>
      <c r="J835" s="14"/>
      <c r="K835" s="38"/>
      <c r="L835" s="38"/>
      <c r="M835" s="17"/>
    </row>
    <row r="836" spans="2:13" ht="14.45" customHeight="1" x14ac:dyDescent="0.25">
      <c r="B836" s="17"/>
      <c r="C836" s="14"/>
      <c r="D836" s="14"/>
      <c r="E836" s="18"/>
      <c r="F836" s="61"/>
      <c r="G836" s="79"/>
      <c r="H836" s="79"/>
      <c r="I836" s="79"/>
      <c r="J836" s="14"/>
      <c r="K836" s="38"/>
      <c r="L836" s="38"/>
      <c r="M836" s="17"/>
    </row>
    <row r="837" spans="2:13" ht="14.45" customHeight="1" x14ac:dyDescent="0.25">
      <c r="B837" s="17"/>
      <c r="C837" s="14"/>
      <c r="D837" s="14"/>
      <c r="E837" s="18"/>
      <c r="F837" s="61"/>
      <c r="G837" s="79"/>
      <c r="H837" s="79"/>
      <c r="I837" s="79"/>
      <c r="J837" s="14"/>
      <c r="K837" s="38"/>
      <c r="L837" s="38"/>
      <c r="M837" s="17"/>
    </row>
    <row r="838" spans="2:13" ht="14.45" customHeight="1" x14ac:dyDescent="0.25">
      <c r="B838" s="17"/>
      <c r="C838" s="14"/>
      <c r="D838" s="14"/>
      <c r="E838" s="18"/>
      <c r="F838" s="61"/>
      <c r="G838" s="79"/>
      <c r="H838" s="79"/>
      <c r="I838" s="79"/>
      <c r="J838" s="14"/>
      <c r="K838" s="38"/>
      <c r="L838" s="38"/>
      <c r="M838" s="17"/>
    </row>
    <row r="839" spans="2:13" ht="14.45" customHeight="1" x14ac:dyDescent="0.25">
      <c r="B839" s="17"/>
      <c r="C839" s="14"/>
      <c r="D839" s="14"/>
      <c r="E839" s="18"/>
      <c r="F839" s="61"/>
      <c r="G839" s="79"/>
      <c r="H839" s="79"/>
      <c r="I839" s="79"/>
      <c r="J839" s="14"/>
      <c r="K839" s="38"/>
      <c r="L839" s="38"/>
      <c r="M839" s="17"/>
    </row>
    <row r="840" spans="2:13" ht="14.45" customHeight="1" x14ac:dyDescent="0.25">
      <c r="B840" s="17"/>
      <c r="C840" s="14"/>
      <c r="D840" s="14"/>
      <c r="E840" s="18"/>
      <c r="F840" s="61"/>
      <c r="G840" s="79"/>
      <c r="H840" s="79"/>
      <c r="I840" s="79"/>
      <c r="J840" s="14"/>
      <c r="K840" s="38"/>
      <c r="L840" s="38"/>
      <c r="M840" s="17"/>
    </row>
    <row r="841" spans="2:13" ht="14.45" customHeight="1" x14ac:dyDescent="0.25">
      <c r="B841" s="17"/>
      <c r="C841" s="14"/>
      <c r="D841" s="14"/>
      <c r="E841" s="18"/>
      <c r="F841" s="61"/>
      <c r="G841" s="79"/>
      <c r="H841" s="79"/>
      <c r="I841" s="79"/>
      <c r="J841" s="14"/>
      <c r="K841" s="38"/>
      <c r="L841" s="38"/>
      <c r="M841" s="17"/>
    </row>
    <row r="842" spans="2:13" ht="14.45" customHeight="1" x14ac:dyDescent="0.25">
      <c r="B842" s="17"/>
      <c r="C842" s="14"/>
      <c r="D842" s="14"/>
      <c r="E842" s="18"/>
      <c r="F842" s="61"/>
      <c r="G842" s="79"/>
      <c r="H842" s="79"/>
      <c r="I842" s="79"/>
      <c r="J842" s="14"/>
      <c r="K842" s="38"/>
      <c r="L842" s="38"/>
      <c r="M842" s="17"/>
    </row>
    <row r="843" spans="2:13" ht="14.45" customHeight="1" x14ac:dyDescent="0.25">
      <c r="B843" s="17"/>
      <c r="C843" s="14"/>
      <c r="D843" s="14"/>
      <c r="E843" s="18"/>
      <c r="F843" s="61"/>
      <c r="G843" s="79"/>
      <c r="H843" s="79"/>
      <c r="I843" s="79"/>
      <c r="J843" s="14"/>
      <c r="K843" s="38"/>
      <c r="L843" s="38"/>
      <c r="M843" s="17"/>
    </row>
    <row r="844" spans="2:13" ht="14.45" customHeight="1" x14ac:dyDescent="0.25">
      <c r="B844" s="17"/>
      <c r="C844" s="14"/>
      <c r="D844" s="14"/>
      <c r="E844" s="18"/>
      <c r="F844" s="61"/>
      <c r="G844" s="79"/>
      <c r="H844" s="79"/>
      <c r="I844" s="79"/>
      <c r="J844" s="14"/>
      <c r="K844" s="38"/>
      <c r="L844" s="38"/>
      <c r="M844" s="17"/>
    </row>
    <row r="845" spans="2:13" ht="14.45" customHeight="1" x14ac:dyDescent="0.25">
      <c r="B845" s="17"/>
      <c r="C845" s="14"/>
      <c r="D845" s="14"/>
      <c r="E845" s="18"/>
      <c r="F845" s="61"/>
      <c r="G845" s="79"/>
      <c r="H845" s="79"/>
      <c r="I845" s="79"/>
      <c r="J845" s="14"/>
      <c r="K845" s="38"/>
      <c r="L845" s="38"/>
      <c r="M845" s="17"/>
    </row>
    <row r="846" spans="2:13" ht="14.45" customHeight="1" x14ac:dyDescent="0.25">
      <c r="B846" s="17"/>
      <c r="C846" s="14"/>
      <c r="D846" s="14"/>
      <c r="E846" s="18"/>
      <c r="F846" s="61"/>
      <c r="G846" s="79"/>
      <c r="H846" s="79"/>
      <c r="I846" s="79"/>
      <c r="J846" s="14"/>
      <c r="K846" s="38"/>
      <c r="L846" s="38"/>
      <c r="M846" s="17"/>
    </row>
    <row r="847" spans="2:13" ht="14.45" customHeight="1" x14ac:dyDescent="0.25">
      <c r="B847" s="17"/>
      <c r="C847" s="14"/>
      <c r="D847" s="14"/>
      <c r="E847" s="18"/>
      <c r="F847" s="61"/>
      <c r="G847" s="79"/>
      <c r="H847" s="79"/>
      <c r="I847" s="79"/>
      <c r="J847" s="14"/>
      <c r="K847" s="38"/>
      <c r="L847" s="38"/>
      <c r="M847" s="17"/>
    </row>
    <row r="848" spans="2:13" ht="14.45" customHeight="1" x14ac:dyDescent="0.25">
      <c r="B848" s="17"/>
      <c r="C848" s="14"/>
      <c r="D848" s="14"/>
      <c r="E848" s="18"/>
      <c r="F848" s="61"/>
      <c r="G848" s="79"/>
      <c r="H848" s="79"/>
      <c r="I848" s="79"/>
      <c r="J848" s="14"/>
      <c r="K848" s="38"/>
      <c r="L848" s="38"/>
      <c r="M848" s="17"/>
    </row>
    <row r="849" spans="2:13" ht="14.45" customHeight="1" x14ac:dyDescent="0.25">
      <c r="B849" s="17"/>
      <c r="C849" s="14"/>
      <c r="D849" s="14"/>
      <c r="E849" s="18"/>
      <c r="F849" s="61"/>
      <c r="G849" s="79"/>
      <c r="H849" s="79"/>
      <c r="I849" s="79"/>
      <c r="J849" s="14"/>
      <c r="K849" s="38"/>
      <c r="L849" s="38"/>
      <c r="M849" s="17"/>
    </row>
    <row r="850" spans="2:13" ht="14.45" customHeight="1" x14ac:dyDescent="0.25">
      <c r="B850" s="17"/>
      <c r="C850" s="14"/>
      <c r="D850" s="14"/>
      <c r="E850" s="18"/>
      <c r="F850" s="61"/>
      <c r="G850" s="79"/>
      <c r="H850" s="79"/>
      <c r="I850" s="79"/>
      <c r="J850" s="14"/>
      <c r="K850" s="38"/>
      <c r="L850" s="38"/>
      <c r="M850" s="17"/>
    </row>
    <row r="851" spans="2:13" ht="14.45" customHeight="1" x14ac:dyDescent="0.25">
      <c r="B851" s="17"/>
      <c r="C851" s="14"/>
      <c r="D851" s="14"/>
      <c r="E851" s="18"/>
      <c r="F851" s="61"/>
      <c r="G851" s="79"/>
      <c r="H851" s="79"/>
      <c r="I851" s="79"/>
      <c r="J851" s="14"/>
      <c r="K851" s="38"/>
      <c r="L851" s="38"/>
      <c r="M851" s="17"/>
    </row>
    <row r="852" spans="2:13" ht="14.45" customHeight="1" x14ac:dyDescent="0.25">
      <c r="B852" s="17"/>
      <c r="C852" s="14"/>
      <c r="D852" s="14"/>
      <c r="E852" s="18"/>
      <c r="F852" s="61"/>
      <c r="G852" s="79"/>
      <c r="H852" s="79"/>
      <c r="I852" s="79"/>
      <c r="J852" s="14"/>
      <c r="K852" s="38"/>
      <c r="L852" s="38"/>
      <c r="M852" s="17"/>
    </row>
    <row r="853" spans="2:13" ht="14.45" customHeight="1" x14ac:dyDescent="0.25">
      <c r="B853" s="17"/>
      <c r="C853" s="14"/>
      <c r="D853" s="14"/>
      <c r="E853" s="18"/>
      <c r="F853" s="61"/>
      <c r="G853" s="79"/>
      <c r="H853" s="79"/>
      <c r="I853" s="79"/>
      <c r="J853" s="14"/>
      <c r="K853" s="38"/>
      <c r="L853" s="38"/>
      <c r="M853" s="17"/>
    </row>
    <row r="854" spans="2:13" ht="14.45" customHeight="1" x14ac:dyDescent="0.25">
      <c r="B854" s="17"/>
      <c r="C854" s="14"/>
      <c r="D854" s="14"/>
      <c r="E854" s="18"/>
      <c r="F854" s="61"/>
      <c r="G854" s="79"/>
      <c r="H854" s="79"/>
      <c r="I854" s="79"/>
      <c r="J854" s="14"/>
      <c r="K854" s="38"/>
      <c r="L854" s="38"/>
      <c r="M854" s="17"/>
    </row>
    <row r="855" spans="2:13" ht="14.45" customHeight="1" x14ac:dyDescent="0.25">
      <c r="B855" s="17"/>
      <c r="C855" s="14"/>
      <c r="D855" s="14"/>
      <c r="E855" s="18"/>
      <c r="F855" s="61"/>
      <c r="G855" s="79"/>
      <c r="H855" s="79"/>
      <c r="I855" s="79"/>
      <c r="J855" s="14"/>
      <c r="K855" s="38"/>
      <c r="L855" s="38"/>
      <c r="M855" s="17"/>
    </row>
    <row r="856" spans="2:13" ht="14.45" customHeight="1" x14ac:dyDescent="0.25">
      <c r="B856" s="17"/>
      <c r="C856" s="14"/>
      <c r="D856" s="14"/>
      <c r="E856" s="18"/>
      <c r="F856" s="61"/>
      <c r="G856" s="79"/>
      <c r="H856" s="79"/>
      <c r="I856" s="79"/>
      <c r="J856" s="14"/>
      <c r="K856" s="38"/>
      <c r="L856" s="38"/>
      <c r="M856" s="17"/>
    </row>
    <row r="857" spans="2:13" ht="14.45" customHeight="1" x14ac:dyDescent="0.25">
      <c r="B857" s="17"/>
      <c r="C857" s="14"/>
      <c r="D857" s="14"/>
      <c r="E857" s="18"/>
      <c r="F857" s="61"/>
      <c r="G857" s="79"/>
      <c r="H857" s="79"/>
      <c r="I857" s="79"/>
      <c r="J857" s="14"/>
      <c r="K857" s="38"/>
      <c r="L857" s="38"/>
      <c r="M857" s="17"/>
    </row>
    <row r="858" spans="2:13" ht="14.45" customHeight="1" x14ac:dyDescent="0.25">
      <c r="B858" s="17"/>
      <c r="C858" s="14"/>
      <c r="D858" s="14"/>
      <c r="E858" s="18"/>
      <c r="F858" s="61"/>
      <c r="G858" s="79"/>
      <c r="H858" s="79"/>
      <c r="I858" s="79"/>
      <c r="J858" s="14"/>
      <c r="K858" s="38"/>
      <c r="L858" s="38"/>
      <c r="M858" s="17"/>
    </row>
    <row r="859" spans="2:13" ht="14.45" customHeight="1" x14ac:dyDescent="0.25">
      <c r="B859" s="17"/>
      <c r="C859" s="14"/>
      <c r="D859" s="14"/>
      <c r="E859" s="18"/>
      <c r="F859" s="61"/>
      <c r="G859" s="79"/>
      <c r="H859" s="79"/>
      <c r="I859" s="79"/>
      <c r="J859" s="14"/>
      <c r="K859" s="38"/>
      <c r="L859" s="38"/>
      <c r="M859" s="17"/>
    </row>
    <row r="860" spans="2:13" ht="14.45" customHeight="1" x14ac:dyDescent="0.25">
      <c r="B860" s="17"/>
      <c r="C860" s="14"/>
      <c r="D860" s="14"/>
      <c r="E860" s="18"/>
      <c r="F860" s="61"/>
      <c r="G860" s="79"/>
      <c r="H860" s="79"/>
      <c r="I860" s="79"/>
      <c r="J860" s="14"/>
      <c r="K860" s="38"/>
      <c r="L860" s="38"/>
      <c r="M860" s="17"/>
    </row>
    <row r="861" spans="2:13" ht="14.45" customHeight="1" x14ac:dyDescent="0.25">
      <c r="B861" s="17"/>
      <c r="C861" s="14"/>
      <c r="D861" s="14"/>
      <c r="E861" s="18"/>
      <c r="F861" s="61"/>
      <c r="G861" s="79"/>
      <c r="H861" s="79"/>
      <c r="I861" s="79"/>
      <c r="J861" s="14"/>
      <c r="K861" s="38"/>
      <c r="L861" s="38"/>
      <c r="M861" s="17"/>
    </row>
    <row r="862" spans="2:13" ht="14.45" customHeight="1" x14ac:dyDescent="0.25">
      <c r="B862" s="17"/>
      <c r="C862" s="14"/>
      <c r="D862" s="14"/>
      <c r="E862" s="18"/>
      <c r="F862" s="61"/>
      <c r="G862" s="79"/>
      <c r="H862" s="79"/>
      <c r="I862" s="79"/>
      <c r="J862" s="14"/>
      <c r="K862" s="38"/>
      <c r="L862" s="38"/>
      <c r="M862" s="17"/>
    </row>
    <row r="863" spans="2:13" ht="14.45" customHeight="1" x14ac:dyDescent="0.25">
      <c r="B863" s="17"/>
      <c r="C863" s="14"/>
      <c r="D863" s="14"/>
      <c r="E863" s="18"/>
      <c r="F863" s="61"/>
      <c r="G863" s="79"/>
      <c r="H863" s="79"/>
      <c r="I863" s="79"/>
      <c r="J863" s="14"/>
      <c r="K863" s="38"/>
      <c r="L863" s="38"/>
      <c r="M863" s="17"/>
    </row>
    <row r="864" spans="2:13" ht="14.45" customHeight="1" x14ac:dyDescent="0.25">
      <c r="B864" s="17"/>
      <c r="C864" s="14"/>
      <c r="D864" s="14"/>
      <c r="E864" s="18"/>
      <c r="F864" s="61"/>
      <c r="G864" s="79"/>
      <c r="H864" s="79"/>
      <c r="I864" s="79"/>
      <c r="J864" s="14"/>
      <c r="K864" s="38"/>
      <c r="L864" s="38"/>
      <c r="M864" s="17"/>
    </row>
    <row r="865" spans="2:13" ht="14.45" customHeight="1" x14ac:dyDescent="0.25">
      <c r="B865" s="17"/>
      <c r="C865" s="14"/>
      <c r="D865" s="14"/>
      <c r="E865" s="18"/>
      <c r="F865" s="61"/>
      <c r="G865" s="79"/>
      <c r="H865" s="79"/>
      <c r="I865" s="79"/>
      <c r="J865" s="14"/>
      <c r="K865" s="38"/>
      <c r="L865" s="38"/>
      <c r="M865" s="17"/>
    </row>
    <row r="866" spans="2:13" ht="14.45" customHeight="1" x14ac:dyDescent="0.25">
      <c r="B866" s="17"/>
      <c r="C866" s="14"/>
      <c r="D866" s="14"/>
      <c r="E866" s="18"/>
      <c r="F866" s="61"/>
      <c r="G866" s="79"/>
      <c r="H866" s="79"/>
      <c r="I866" s="79"/>
      <c r="J866" s="14"/>
      <c r="K866" s="38"/>
      <c r="L866" s="38"/>
      <c r="M866" s="17"/>
    </row>
    <row r="867" spans="2:13" ht="14.45" customHeight="1" x14ac:dyDescent="0.25">
      <c r="B867" s="17"/>
      <c r="C867" s="14"/>
      <c r="D867" s="14"/>
      <c r="E867" s="18"/>
      <c r="F867" s="61"/>
      <c r="G867" s="79"/>
      <c r="H867" s="79"/>
      <c r="I867" s="79"/>
      <c r="J867" s="14"/>
      <c r="K867" s="38"/>
      <c r="L867" s="38"/>
      <c r="M867" s="17"/>
    </row>
    <row r="868" spans="2:13" ht="14.45" customHeight="1" x14ac:dyDescent="0.25">
      <c r="B868" s="17"/>
      <c r="C868" s="14"/>
      <c r="D868" s="14"/>
      <c r="E868" s="18"/>
      <c r="F868" s="61"/>
      <c r="G868" s="79"/>
      <c r="H868" s="79"/>
      <c r="I868" s="79"/>
      <c r="J868" s="14"/>
      <c r="K868" s="38"/>
      <c r="L868" s="38"/>
      <c r="M868" s="17"/>
    </row>
    <row r="869" spans="2:13" ht="14.45" customHeight="1" x14ac:dyDescent="0.25">
      <c r="B869" s="17"/>
      <c r="C869" s="14"/>
      <c r="D869" s="14"/>
      <c r="E869" s="18"/>
      <c r="F869" s="61"/>
      <c r="G869" s="79"/>
      <c r="H869" s="79"/>
      <c r="I869" s="79"/>
      <c r="J869" s="14"/>
      <c r="K869" s="38"/>
      <c r="L869" s="38"/>
      <c r="M869" s="17"/>
    </row>
    <row r="870" spans="2:13" ht="14.45" customHeight="1" x14ac:dyDescent="0.25">
      <c r="B870" s="17"/>
      <c r="C870" s="14"/>
      <c r="D870" s="14"/>
      <c r="E870" s="18"/>
      <c r="F870" s="61"/>
      <c r="G870" s="79"/>
      <c r="H870" s="79"/>
      <c r="I870" s="79"/>
      <c r="J870" s="14"/>
      <c r="K870" s="38"/>
      <c r="L870" s="38"/>
      <c r="M870" s="17"/>
    </row>
    <row r="871" spans="2:13" ht="14.45" customHeight="1" x14ac:dyDescent="0.25">
      <c r="B871" s="17"/>
      <c r="C871" s="14"/>
      <c r="D871" s="14"/>
      <c r="E871" s="18"/>
      <c r="F871" s="61"/>
      <c r="G871" s="79"/>
      <c r="H871" s="79"/>
      <c r="I871" s="79"/>
      <c r="J871" s="14"/>
      <c r="K871" s="38"/>
      <c r="L871" s="38"/>
      <c r="M871" s="17"/>
    </row>
    <row r="872" spans="2:13" ht="14.45" customHeight="1" x14ac:dyDescent="0.25">
      <c r="B872" s="17"/>
      <c r="C872" s="14"/>
      <c r="D872" s="14"/>
      <c r="E872" s="18"/>
      <c r="F872" s="61"/>
      <c r="G872" s="79"/>
      <c r="H872" s="79"/>
      <c r="I872" s="79"/>
      <c r="J872" s="14"/>
      <c r="K872" s="38"/>
      <c r="L872" s="38"/>
      <c r="M872" s="17"/>
    </row>
    <row r="873" spans="2:13" ht="14.45" customHeight="1" x14ac:dyDescent="0.25">
      <c r="B873" s="17"/>
      <c r="C873" s="14"/>
      <c r="D873" s="14"/>
      <c r="E873" s="18"/>
      <c r="F873" s="61"/>
      <c r="G873" s="79"/>
      <c r="H873" s="79"/>
      <c r="I873" s="79"/>
      <c r="J873" s="14"/>
      <c r="K873" s="38"/>
      <c r="L873" s="38"/>
      <c r="M873" s="17"/>
    </row>
    <row r="874" spans="2:13" ht="14.45" customHeight="1" x14ac:dyDescent="0.25">
      <c r="B874" s="17"/>
      <c r="C874" s="14"/>
      <c r="D874" s="14"/>
      <c r="E874" s="18"/>
      <c r="F874" s="61"/>
      <c r="G874" s="79"/>
      <c r="H874" s="79"/>
      <c r="I874" s="79"/>
      <c r="J874" s="14"/>
      <c r="K874" s="38"/>
      <c r="L874" s="38"/>
      <c r="M874" s="17"/>
    </row>
    <row r="875" spans="2:13" ht="14.45" customHeight="1" x14ac:dyDescent="0.25">
      <c r="B875" s="17"/>
      <c r="C875" s="14"/>
      <c r="D875" s="14"/>
      <c r="E875" s="18"/>
      <c r="F875" s="61"/>
      <c r="G875" s="79"/>
      <c r="H875" s="79"/>
      <c r="I875" s="79"/>
      <c r="J875" s="14"/>
      <c r="K875" s="38"/>
      <c r="L875" s="38"/>
      <c r="M875" s="17"/>
    </row>
    <row r="876" spans="2:13" ht="14.45" customHeight="1" x14ac:dyDescent="0.25">
      <c r="B876" s="17"/>
      <c r="C876" s="14"/>
      <c r="D876" s="14"/>
      <c r="E876" s="18"/>
      <c r="F876" s="61"/>
      <c r="G876" s="79"/>
      <c r="H876" s="79"/>
      <c r="I876" s="79"/>
      <c r="J876" s="14"/>
      <c r="K876" s="38"/>
      <c r="L876" s="38"/>
      <c r="M876" s="17"/>
    </row>
    <row r="877" spans="2:13" ht="14.45" customHeight="1" x14ac:dyDescent="0.25">
      <c r="B877" s="17"/>
      <c r="C877" s="14"/>
      <c r="D877" s="14"/>
      <c r="E877" s="18"/>
      <c r="F877" s="61"/>
      <c r="G877" s="79"/>
      <c r="H877" s="79"/>
      <c r="I877" s="79"/>
      <c r="J877" s="14"/>
      <c r="K877" s="38"/>
      <c r="L877" s="38"/>
      <c r="M877" s="17"/>
    </row>
    <row r="878" spans="2:13" ht="14.45" customHeight="1" x14ac:dyDescent="0.25">
      <c r="B878" s="17"/>
      <c r="C878" s="14"/>
      <c r="D878" s="14"/>
      <c r="E878" s="18"/>
      <c r="F878" s="61"/>
      <c r="G878" s="79"/>
      <c r="H878" s="79"/>
      <c r="I878" s="79"/>
      <c r="J878" s="14"/>
      <c r="K878" s="38"/>
      <c r="L878" s="38"/>
      <c r="M878" s="17"/>
    </row>
    <row r="879" spans="2:13" ht="14.45" customHeight="1" x14ac:dyDescent="0.25">
      <c r="B879" s="17"/>
      <c r="C879" s="14"/>
      <c r="D879" s="14"/>
      <c r="E879" s="18"/>
      <c r="F879" s="61"/>
      <c r="G879" s="79"/>
      <c r="H879" s="79"/>
      <c r="I879" s="79"/>
      <c r="J879" s="14"/>
      <c r="K879" s="38"/>
      <c r="L879" s="38"/>
      <c r="M879" s="17"/>
    </row>
    <row r="880" spans="2:13" ht="14.45" customHeight="1" x14ac:dyDescent="0.25">
      <c r="B880" s="17"/>
      <c r="C880" s="14"/>
      <c r="D880" s="14"/>
      <c r="E880" s="18"/>
      <c r="F880" s="61"/>
      <c r="G880" s="79"/>
      <c r="H880" s="79"/>
      <c r="I880" s="79"/>
      <c r="J880" s="14"/>
      <c r="K880" s="38"/>
      <c r="L880" s="38"/>
      <c r="M880" s="17"/>
    </row>
    <row r="881" spans="2:13" ht="14.45" customHeight="1" x14ac:dyDescent="0.25">
      <c r="B881" s="17"/>
      <c r="C881" s="14"/>
      <c r="D881" s="14"/>
      <c r="E881" s="18"/>
      <c r="F881" s="61"/>
      <c r="G881" s="79"/>
      <c r="H881" s="79"/>
      <c r="I881" s="79"/>
      <c r="J881" s="14"/>
      <c r="K881" s="38"/>
      <c r="L881" s="38"/>
      <c r="M881" s="17"/>
    </row>
    <row r="882" spans="2:13" ht="14.45" customHeight="1" x14ac:dyDescent="0.25">
      <c r="B882" s="17"/>
      <c r="C882" s="14"/>
      <c r="D882" s="14"/>
      <c r="E882" s="18"/>
      <c r="F882" s="61"/>
      <c r="G882" s="79"/>
      <c r="H882" s="79"/>
      <c r="I882" s="79"/>
      <c r="J882" s="14"/>
      <c r="K882" s="38"/>
      <c r="L882" s="38"/>
      <c r="M882" s="17"/>
    </row>
    <row r="883" spans="2:13" ht="14.45" customHeight="1" x14ac:dyDescent="0.25">
      <c r="B883" s="17"/>
      <c r="C883" s="14"/>
      <c r="D883" s="14"/>
      <c r="E883" s="18"/>
      <c r="F883" s="61"/>
      <c r="G883" s="79"/>
      <c r="H883" s="79"/>
      <c r="I883" s="79"/>
      <c r="J883" s="14"/>
      <c r="K883" s="38"/>
      <c r="L883" s="38"/>
      <c r="M883" s="17"/>
    </row>
    <row r="884" spans="2:13" ht="14.45" customHeight="1" x14ac:dyDescent="0.25">
      <c r="B884" s="17"/>
      <c r="C884" s="14"/>
      <c r="D884" s="14"/>
      <c r="E884" s="18"/>
      <c r="F884" s="61"/>
      <c r="G884" s="79"/>
      <c r="H884" s="79"/>
      <c r="I884" s="79"/>
      <c r="J884" s="14"/>
      <c r="K884" s="38"/>
      <c r="L884" s="38"/>
      <c r="M884" s="17"/>
    </row>
    <row r="885" spans="2:13" ht="14.45" customHeight="1" x14ac:dyDescent="0.25">
      <c r="B885" s="17"/>
      <c r="C885" s="14"/>
      <c r="D885" s="14"/>
      <c r="E885" s="18"/>
      <c r="F885" s="61"/>
      <c r="G885" s="79"/>
      <c r="H885" s="79"/>
      <c r="I885" s="79"/>
      <c r="J885" s="14"/>
      <c r="K885" s="38"/>
      <c r="L885" s="38"/>
      <c r="M885" s="17"/>
    </row>
    <row r="886" spans="2:13" ht="14.45" customHeight="1" x14ac:dyDescent="0.25">
      <c r="B886" s="17"/>
      <c r="C886" s="14"/>
      <c r="D886" s="14"/>
      <c r="E886" s="18"/>
      <c r="F886" s="61"/>
      <c r="G886" s="79"/>
      <c r="H886" s="79"/>
      <c r="I886" s="79"/>
      <c r="J886" s="14"/>
      <c r="K886" s="38"/>
      <c r="L886" s="38"/>
      <c r="M886" s="17"/>
    </row>
    <row r="887" spans="2:13" ht="14.45" customHeight="1" x14ac:dyDescent="0.25">
      <c r="B887" s="17"/>
      <c r="C887" s="14"/>
      <c r="D887" s="14"/>
      <c r="E887" s="18"/>
      <c r="F887" s="61"/>
      <c r="G887" s="79"/>
      <c r="H887" s="79"/>
      <c r="I887" s="79"/>
      <c r="J887" s="14"/>
      <c r="K887" s="38"/>
      <c r="L887" s="38"/>
      <c r="M887" s="17"/>
    </row>
    <row r="888" spans="2:13" ht="14.45" customHeight="1" x14ac:dyDescent="0.25">
      <c r="B888" s="17"/>
      <c r="C888" s="14"/>
      <c r="D888" s="14"/>
      <c r="E888" s="18"/>
      <c r="F888" s="61"/>
      <c r="G888" s="79"/>
      <c r="H888" s="79"/>
      <c r="I888" s="79"/>
      <c r="J888" s="14"/>
      <c r="K888" s="38"/>
      <c r="L888" s="38"/>
      <c r="M888" s="17"/>
    </row>
    <row r="889" spans="2:13" ht="14.45" customHeight="1" x14ac:dyDescent="0.25">
      <c r="B889" s="17"/>
      <c r="C889" s="14"/>
      <c r="D889" s="14"/>
      <c r="E889" s="18"/>
      <c r="F889" s="61"/>
      <c r="G889" s="79"/>
      <c r="H889" s="79"/>
      <c r="I889" s="79"/>
      <c r="J889" s="14"/>
      <c r="K889" s="38"/>
      <c r="L889" s="38"/>
      <c r="M889" s="17"/>
    </row>
    <row r="890" spans="2:13" ht="14.45" customHeight="1" x14ac:dyDescent="0.25">
      <c r="B890" s="17"/>
      <c r="C890" s="14"/>
      <c r="D890" s="14"/>
      <c r="E890" s="18"/>
      <c r="F890" s="61"/>
      <c r="G890" s="79"/>
      <c r="H890" s="79"/>
      <c r="I890" s="79"/>
      <c r="J890" s="14"/>
      <c r="K890" s="38"/>
      <c r="L890" s="38"/>
      <c r="M890" s="17"/>
    </row>
    <row r="891" spans="2:13" ht="14.45" customHeight="1" x14ac:dyDescent="0.25">
      <c r="B891" s="17"/>
      <c r="C891" s="14"/>
      <c r="D891" s="14"/>
      <c r="E891" s="18"/>
      <c r="F891" s="61"/>
      <c r="G891" s="79"/>
      <c r="H891" s="79"/>
      <c r="I891" s="79"/>
      <c r="J891" s="14"/>
      <c r="K891" s="38"/>
      <c r="L891" s="38"/>
      <c r="M891" s="17"/>
    </row>
    <row r="892" spans="2:13" ht="14.45" customHeight="1" x14ac:dyDescent="0.25">
      <c r="B892" s="17"/>
      <c r="C892" s="14"/>
      <c r="D892" s="14"/>
      <c r="E892" s="18"/>
      <c r="F892" s="61"/>
      <c r="G892" s="79"/>
      <c r="H892" s="79"/>
      <c r="I892" s="79"/>
      <c r="J892" s="14"/>
      <c r="K892" s="38"/>
      <c r="L892" s="38"/>
      <c r="M892" s="17"/>
    </row>
    <row r="893" spans="2:13" ht="14.45" customHeight="1" x14ac:dyDescent="0.25">
      <c r="B893" s="17"/>
      <c r="C893" s="14"/>
      <c r="D893" s="14"/>
      <c r="E893" s="18"/>
      <c r="F893" s="61"/>
      <c r="G893" s="79"/>
      <c r="H893" s="79"/>
      <c r="I893" s="79"/>
      <c r="J893" s="14"/>
      <c r="K893" s="38"/>
      <c r="L893" s="38"/>
      <c r="M893" s="17"/>
    </row>
    <row r="894" spans="2:13" ht="14.45" customHeight="1" x14ac:dyDescent="0.25">
      <c r="B894" s="17"/>
      <c r="C894" s="14"/>
      <c r="D894" s="14"/>
      <c r="E894" s="18"/>
      <c r="F894" s="61"/>
      <c r="G894" s="79"/>
      <c r="H894" s="79"/>
      <c r="I894" s="79"/>
      <c r="J894" s="14"/>
      <c r="K894" s="38"/>
      <c r="L894" s="38"/>
      <c r="M894" s="17"/>
    </row>
    <row r="895" spans="2:13" ht="14.45" customHeight="1" x14ac:dyDescent="0.25">
      <c r="B895" s="17"/>
      <c r="C895" s="14"/>
      <c r="D895" s="14"/>
      <c r="E895" s="18"/>
      <c r="F895" s="61"/>
      <c r="G895" s="79"/>
      <c r="H895" s="79"/>
      <c r="I895" s="79"/>
      <c r="J895" s="14"/>
      <c r="K895" s="38"/>
      <c r="L895" s="38"/>
      <c r="M895" s="17"/>
    </row>
    <row r="896" spans="2:13" ht="14.45" customHeight="1" x14ac:dyDescent="0.25">
      <c r="B896" s="17"/>
      <c r="C896" s="14"/>
      <c r="D896" s="14"/>
      <c r="E896" s="18"/>
      <c r="F896" s="61"/>
      <c r="G896" s="79"/>
      <c r="H896" s="79"/>
      <c r="I896" s="79"/>
      <c r="J896" s="14"/>
      <c r="K896" s="38"/>
      <c r="L896" s="38"/>
      <c r="M896" s="17"/>
    </row>
    <row r="897" spans="2:13" ht="14.45" customHeight="1" x14ac:dyDescent="0.25">
      <c r="B897" s="17"/>
      <c r="C897" s="14"/>
      <c r="D897" s="14"/>
      <c r="E897" s="18"/>
      <c r="F897" s="61"/>
      <c r="G897" s="79"/>
      <c r="H897" s="79"/>
      <c r="I897" s="79"/>
      <c r="J897" s="14"/>
      <c r="K897" s="38"/>
      <c r="L897" s="38"/>
      <c r="M897" s="17"/>
    </row>
    <row r="898" spans="2:13" ht="14.45" customHeight="1" x14ac:dyDescent="0.25">
      <c r="B898" s="17"/>
      <c r="C898" s="14"/>
      <c r="D898" s="14"/>
      <c r="E898" s="18"/>
      <c r="F898" s="61"/>
      <c r="G898" s="79"/>
      <c r="H898" s="79"/>
      <c r="I898" s="79"/>
      <c r="J898" s="14"/>
      <c r="K898" s="38"/>
      <c r="L898" s="38"/>
      <c r="M898" s="17"/>
    </row>
    <row r="899" spans="2:13" ht="14.45" customHeight="1" x14ac:dyDescent="0.25">
      <c r="B899" s="17"/>
      <c r="C899" s="14"/>
      <c r="D899" s="14"/>
      <c r="E899" s="18"/>
      <c r="F899" s="61"/>
      <c r="G899" s="79"/>
      <c r="H899" s="79"/>
      <c r="I899" s="79"/>
      <c r="J899" s="14"/>
      <c r="K899" s="38"/>
      <c r="L899" s="38"/>
      <c r="M899" s="17"/>
    </row>
    <row r="900" spans="2:13" ht="14.45" customHeight="1" x14ac:dyDescent="0.25">
      <c r="B900" s="17"/>
      <c r="C900" s="14"/>
      <c r="D900" s="14"/>
      <c r="E900" s="18"/>
      <c r="F900" s="61"/>
      <c r="G900" s="79"/>
      <c r="H900" s="79"/>
      <c r="I900" s="79"/>
      <c r="J900" s="14"/>
      <c r="K900" s="38"/>
      <c r="L900" s="38"/>
      <c r="M900" s="17"/>
    </row>
    <row r="901" spans="2:13" ht="14.45" customHeight="1" x14ac:dyDescent="0.25">
      <c r="B901" s="17"/>
      <c r="C901" s="14"/>
      <c r="D901" s="14"/>
      <c r="E901" s="18"/>
      <c r="F901" s="61"/>
      <c r="G901" s="79"/>
      <c r="H901" s="79"/>
      <c r="I901" s="79"/>
      <c r="J901" s="14"/>
      <c r="K901" s="38"/>
      <c r="L901" s="38"/>
      <c r="M901" s="17"/>
    </row>
    <row r="902" spans="2:13" ht="14.45" customHeight="1" x14ac:dyDescent="0.25">
      <c r="B902" s="17"/>
      <c r="C902" s="14"/>
      <c r="D902" s="14"/>
      <c r="E902" s="18"/>
      <c r="F902" s="61"/>
      <c r="G902" s="79"/>
      <c r="H902" s="79"/>
      <c r="I902" s="79"/>
      <c r="J902" s="14"/>
      <c r="K902" s="38"/>
      <c r="L902" s="38"/>
      <c r="M902" s="17"/>
    </row>
    <row r="903" spans="2:13" ht="14.45" customHeight="1" x14ac:dyDescent="0.25">
      <c r="B903" s="17"/>
      <c r="C903" s="14"/>
      <c r="D903" s="14"/>
      <c r="E903" s="18"/>
      <c r="F903" s="61"/>
      <c r="G903" s="79"/>
      <c r="H903" s="79"/>
      <c r="I903" s="79"/>
      <c r="J903" s="14"/>
      <c r="K903" s="38"/>
      <c r="L903" s="38"/>
      <c r="M903" s="17"/>
    </row>
    <row r="904" spans="2:13" ht="14.45" customHeight="1" x14ac:dyDescent="0.25">
      <c r="B904" s="17"/>
      <c r="C904" s="14"/>
      <c r="D904" s="14"/>
      <c r="E904" s="18"/>
      <c r="F904" s="61"/>
      <c r="G904" s="79"/>
      <c r="H904" s="79"/>
      <c r="I904" s="79"/>
      <c r="J904" s="14"/>
      <c r="K904" s="38"/>
      <c r="L904" s="38"/>
      <c r="M904" s="17"/>
    </row>
    <row r="905" spans="2:13" ht="14.45" customHeight="1" x14ac:dyDescent="0.25">
      <c r="B905" s="17"/>
      <c r="C905" s="14"/>
      <c r="D905" s="14"/>
      <c r="E905" s="18"/>
      <c r="F905" s="61"/>
      <c r="G905" s="79"/>
      <c r="H905" s="79"/>
      <c r="I905" s="79"/>
      <c r="J905" s="14"/>
      <c r="K905" s="38"/>
      <c r="L905" s="38"/>
      <c r="M905" s="17"/>
    </row>
    <row r="906" spans="2:13" ht="14.45" customHeight="1" x14ac:dyDescent="0.25">
      <c r="B906" s="17"/>
      <c r="C906" s="14"/>
      <c r="D906" s="14"/>
      <c r="E906" s="18"/>
      <c r="F906" s="61"/>
      <c r="G906" s="79"/>
      <c r="H906" s="79"/>
      <c r="I906" s="79"/>
      <c r="J906" s="14"/>
      <c r="K906" s="38"/>
      <c r="L906" s="38"/>
      <c r="M906" s="17"/>
    </row>
    <row r="907" spans="2:13" ht="14.45" customHeight="1" x14ac:dyDescent="0.25">
      <c r="B907" s="17"/>
      <c r="C907" s="14"/>
      <c r="D907" s="14"/>
      <c r="E907" s="18"/>
      <c r="F907" s="61"/>
      <c r="G907" s="79"/>
      <c r="H907" s="79"/>
      <c r="I907" s="79"/>
      <c r="J907" s="14"/>
      <c r="K907" s="38"/>
      <c r="L907" s="38"/>
      <c r="M907" s="17"/>
    </row>
    <row r="908" spans="2:13" ht="14.45" customHeight="1" x14ac:dyDescent="0.25">
      <c r="B908" s="17"/>
      <c r="C908" s="14"/>
      <c r="D908" s="14"/>
      <c r="E908" s="18"/>
      <c r="F908" s="61"/>
      <c r="G908" s="79"/>
      <c r="H908" s="79"/>
      <c r="I908" s="79"/>
      <c r="J908" s="14"/>
      <c r="K908" s="38"/>
      <c r="L908" s="38"/>
      <c r="M908" s="17"/>
    </row>
    <row r="909" spans="2:13" ht="14.45" customHeight="1" x14ac:dyDescent="0.25">
      <c r="B909" s="17"/>
      <c r="C909" s="14"/>
      <c r="D909" s="14"/>
      <c r="E909" s="18"/>
      <c r="F909" s="61"/>
      <c r="G909" s="79"/>
      <c r="H909" s="79"/>
      <c r="I909" s="79"/>
      <c r="J909" s="14"/>
      <c r="K909" s="38"/>
      <c r="L909" s="38"/>
      <c r="M909" s="17"/>
    </row>
    <row r="910" spans="2:13" ht="14.45" customHeight="1" x14ac:dyDescent="0.25">
      <c r="B910" s="17"/>
      <c r="C910" s="14"/>
      <c r="D910" s="14"/>
      <c r="E910" s="18"/>
      <c r="F910" s="61"/>
      <c r="G910" s="79"/>
      <c r="H910" s="79"/>
      <c r="I910" s="79"/>
      <c r="J910" s="14"/>
      <c r="K910" s="38"/>
      <c r="L910" s="38"/>
      <c r="M910" s="17"/>
    </row>
    <row r="911" spans="2:13" ht="14.45" customHeight="1" x14ac:dyDescent="0.25">
      <c r="B911" s="17"/>
      <c r="C911" s="14"/>
      <c r="D911" s="14"/>
      <c r="E911" s="18"/>
      <c r="F911" s="61"/>
      <c r="G911" s="79"/>
      <c r="H911" s="79"/>
      <c r="I911" s="79"/>
      <c r="J911" s="14"/>
      <c r="K911" s="38"/>
      <c r="L911" s="38"/>
      <c r="M911" s="17"/>
    </row>
    <row r="912" spans="2:13" ht="14.45" customHeight="1" x14ac:dyDescent="0.25">
      <c r="B912" s="17"/>
      <c r="C912" s="14"/>
      <c r="D912" s="14"/>
      <c r="E912" s="18"/>
      <c r="F912" s="61"/>
      <c r="G912" s="79"/>
      <c r="H912" s="79"/>
      <c r="I912" s="79"/>
      <c r="J912" s="14"/>
      <c r="K912" s="38"/>
      <c r="L912" s="38"/>
      <c r="M912" s="17"/>
    </row>
    <row r="913" spans="2:13" ht="14.45" customHeight="1" x14ac:dyDescent="0.25">
      <c r="B913" s="17"/>
      <c r="C913" s="14"/>
      <c r="D913" s="14"/>
      <c r="E913" s="18"/>
      <c r="F913" s="61"/>
      <c r="G913" s="79"/>
      <c r="H913" s="79"/>
      <c r="I913" s="79"/>
      <c r="J913" s="14"/>
      <c r="K913" s="38"/>
      <c r="L913" s="38"/>
      <c r="M913" s="17"/>
    </row>
    <row r="914" spans="2:13" ht="14.45" customHeight="1" x14ac:dyDescent="0.25">
      <c r="B914" s="17"/>
      <c r="C914" s="14"/>
      <c r="D914" s="14"/>
      <c r="E914" s="18"/>
      <c r="F914" s="61"/>
      <c r="G914" s="79"/>
      <c r="H914" s="79"/>
      <c r="I914" s="79"/>
      <c r="J914" s="14"/>
      <c r="K914" s="38"/>
      <c r="L914" s="38"/>
      <c r="M914" s="17"/>
    </row>
    <row r="915" spans="2:13" ht="14.45" customHeight="1" x14ac:dyDescent="0.25">
      <c r="B915" s="17"/>
      <c r="C915" s="14"/>
      <c r="D915" s="14"/>
      <c r="E915" s="18"/>
      <c r="F915" s="61"/>
      <c r="G915" s="79"/>
      <c r="H915" s="79"/>
      <c r="I915" s="79"/>
      <c r="J915" s="14"/>
      <c r="K915" s="38"/>
      <c r="L915" s="38"/>
      <c r="M915" s="17"/>
    </row>
    <row r="916" spans="2:13" ht="14.45" customHeight="1" x14ac:dyDescent="0.25">
      <c r="B916" s="17"/>
      <c r="C916" s="14"/>
      <c r="D916" s="14"/>
      <c r="E916" s="18"/>
      <c r="F916" s="61"/>
      <c r="G916" s="79"/>
      <c r="H916" s="79"/>
      <c r="I916" s="79"/>
      <c r="J916" s="14"/>
      <c r="K916" s="38"/>
      <c r="L916" s="38"/>
      <c r="M916" s="17"/>
    </row>
    <row r="917" spans="2:13" ht="14.45" customHeight="1" x14ac:dyDescent="0.25">
      <c r="B917" s="17"/>
      <c r="C917" s="14"/>
      <c r="D917" s="14"/>
      <c r="E917" s="18"/>
      <c r="F917" s="61"/>
      <c r="G917" s="79"/>
      <c r="H917" s="79"/>
      <c r="I917" s="79"/>
      <c r="J917" s="14"/>
      <c r="K917" s="38"/>
      <c r="L917" s="38"/>
      <c r="M917" s="17"/>
    </row>
    <row r="918" spans="2:13" ht="14.45" customHeight="1" x14ac:dyDescent="0.25">
      <c r="B918" s="17"/>
      <c r="C918" s="14"/>
      <c r="D918" s="14"/>
      <c r="E918" s="18"/>
      <c r="F918" s="61"/>
      <c r="G918" s="79"/>
      <c r="H918" s="79"/>
      <c r="I918" s="79"/>
      <c r="J918" s="14"/>
      <c r="K918" s="38"/>
      <c r="L918" s="38"/>
      <c r="M918" s="17"/>
    </row>
    <row r="919" spans="2:13" ht="14.45" customHeight="1" x14ac:dyDescent="0.25">
      <c r="B919" s="17"/>
      <c r="C919" s="14"/>
      <c r="D919" s="14"/>
      <c r="E919" s="18"/>
      <c r="F919" s="61"/>
      <c r="G919" s="79"/>
      <c r="H919" s="79"/>
      <c r="I919" s="79"/>
      <c r="J919" s="14"/>
      <c r="K919" s="38"/>
      <c r="L919" s="38"/>
      <c r="M919" s="17"/>
    </row>
    <row r="920" spans="2:13" ht="14.45" customHeight="1" x14ac:dyDescent="0.25">
      <c r="B920" s="17"/>
      <c r="C920" s="14"/>
      <c r="D920" s="14"/>
      <c r="E920" s="18"/>
      <c r="F920" s="61"/>
      <c r="G920" s="79"/>
      <c r="H920" s="79"/>
      <c r="I920" s="79"/>
      <c r="J920" s="14"/>
      <c r="K920" s="38"/>
      <c r="L920" s="38"/>
      <c r="M920" s="17"/>
    </row>
    <row r="921" spans="2:13" ht="14.45" customHeight="1" x14ac:dyDescent="0.25">
      <c r="B921" s="17"/>
      <c r="C921" s="14"/>
      <c r="D921" s="14"/>
      <c r="E921" s="18"/>
      <c r="F921" s="61"/>
      <c r="G921" s="79"/>
      <c r="H921" s="79"/>
      <c r="I921" s="79"/>
      <c r="J921" s="14"/>
      <c r="K921" s="38"/>
      <c r="L921" s="38"/>
      <c r="M921" s="17"/>
    </row>
    <row r="922" spans="2:13" ht="14.45" customHeight="1" x14ac:dyDescent="0.25">
      <c r="B922" s="17"/>
      <c r="C922" s="14"/>
      <c r="D922" s="14"/>
      <c r="E922" s="18"/>
      <c r="F922" s="61"/>
      <c r="G922" s="79"/>
      <c r="H922" s="79"/>
      <c r="I922" s="79"/>
      <c r="J922" s="14"/>
      <c r="K922" s="38"/>
      <c r="L922" s="38"/>
      <c r="M922" s="17"/>
    </row>
    <row r="923" spans="2:13" ht="14.45" customHeight="1" x14ac:dyDescent="0.25">
      <c r="B923" s="17"/>
      <c r="C923" s="14"/>
      <c r="D923" s="14"/>
      <c r="E923" s="18"/>
      <c r="F923" s="61"/>
      <c r="G923" s="79"/>
      <c r="H923" s="79"/>
      <c r="I923" s="79"/>
      <c r="J923" s="14"/>
      <c r="K923" s="38"/>
      <c r="L923" s="38"/>
      <c r="M923" s="17"/>
    </row>
    <row r="924" spans="2:13" ht="14.45" customHeight="1" x14ac:dyDescent="0.25">
      <c r="B924" s="17"/>
      <c r="C924" s="14"/>
      <c r="D924" s="14"/>
      <c r="E924" s="18"/>
      <c r="F924" s="61"/>
      <c r="G924" s="79"/>
      <c r="H924" s="79"/>
      <c r="I924" s="79"/>
      <c r="J924" s="14"/>
      <c r="K924" s="38"/>
      <c r="L924" s="38"/>
      <c r="M924" s="17"/>
    </row>
    <row r="925" spans="2:13" ht="14.45" customHeight="1" x14ac:dyDescent="0.25">
      <c r="B925" s="17"/>
      <c r="C925" s="14"/>
      <c r="D925" s="14"/>
      <c r="E925" s="18"/>
      <c r="F925" s="61"/>
      <c r="G925" s="79"/>
      <c r="H925" s="79"/>
      <c r="I925" s="79"/>
      <c r="J925" s="14"/>
      <c r="K925" s="38"/>
      <c r="L925" s="38"/>
      <c r="M925" s="17"/>
    </row>
    <row r="926" spans="2:13" ht="14.45" customHeight="1" x14ac:dyDescent="0.25">
      <c r="B926" s="17"/>
      <c r="C926" s="14"/>
      <c r="D926" s="14"/>
      <c r="E926" s="18"/>
      <c r="F926" s="61"/>
      <c r="G926" s="79"/>
      <c r="H926" s="79"/>
      <c r="I926" s="79"/>
      <c r="J926" s="14"/>
      <c r="K926" s="38"/>
      <c r="L926" s="38"/>
      <c r="M926" s="17"/>
    </row>
    <row r="927" spans="2:13" ht="14.45" customHeight="1" x14ac:dyDescent="0.25">
      <c r="B927" s="17"/>
      <c r="C927" s="14"/>
      <c r="D927" s="14"/>
      <c r="E927" s="18"/>
      <c r="F927" s="61"/>
      <c r="G927" s="79"/>
      <c r="H927" s="79"/>
      <c r="I927" s="79"/>
      <c r="J927" s="14"/>
      <c r="K927" s="38"/>
      <c r="L927" s="38"/>
      <c r="M927" s="17"/>
    </row>
    <row r="928" spans="2:13" ht="14.45" customHeight="1" x14ac:dyDescent="0.25">
      <c r="B928" s="17"/>
      <c r="C928" s="14"/>
      <c r="D928" s="14"/>
      <c r="E928" s="18"/>
      <c r="F928" s="61"/>
      <c r="G928" s="79"/>
      <c r="H928" s="79"/>
      <c r="I928" s="79"/>
      <c r="J928" s="14"/>
      <c r="K928" s="38"/>
      <c r="L928" s="38"/>
      <c r="M928" s="17"/>
    </row>
    <row r="929" spans="2:13" ht="14.45" customHeight="1" x14ac:dyDescent="0.25">
      <c r="B929" s="17"/>
      <c r="C929" s="14"/>
      <c r="D929" s="14"/>
      <c r="E929" s="18"/>
      <c r="F929" s="61"/>
      <c r="G929" s="79"/>
      <c r="H929" s="79"/>
      <c r="I929" s="79"/>
      <c r="J929" s="14"/>
      <c r="K929" s="38"/>
      <c r="L929" s="38"/>
      <c r="M929" s="17"/>
    </row>
    <row r="930" spans="2:13" ht="14.45" customHeight="1" x14ac:dyDescent="0.25">
      <c r="B930" s="17"/>
      <c r="C930" s="14"/>
      <c r="D930" s="14"/>
      <c r="E930" s="18"/>
      <c r="F930" s="61"/>
      <c r="G930" s="79"/>
      <c r="H930" s="79"/>
      <c r="I930" s="79"/>
      <c r="J930" s="14"/>
      <c r="K930" s="38"/>
      <c r="L930" s="38"/>
      <c r="M930" s="17"/>
    </row>
    <row r="931" spans="2:13" ht="14.45" customHeight="1" x14ac:dyDescent="0.25">
      <c r="B931" s="17"/>
      <c r="C931" s="14"/>
      <c r="D931" s="14"/>
      <c r="E931" s="18"/>
      <c r="F931" s="61"/>
      <c r="G931" s="79"/>
      <c r="H931" s="79"/>
      <c r="I931" s="79"/>
      <c r="J931" s="14"/>
      <c r="K931" s="38"/>
      <c r="L931" s="38"/>
      <c r="M931" s="17"/>
    </row>
    <row r="932" spans="2:13" ht="14.45" customHeight="1" x14ac:dyDescent="0.25">
      <c r="B932" s="17"/>
      <c r="C932" s="14"/>
      <c r="D932" s="14"/>
      <c r="E932" s="18"/>
      <c r="F932" s="61"/>
      <c r="G932" s="79"/>
      <c r="H932" s="79"/>
      <c r="I932" s="79"/>
      <c r="J932" s="14"/>
      <c r="K932" s="38"/>
      <c r="L932" s="38"/>
      <c r="M932" s="17"/>
    </row>
    <row r="933" spans="2:13" ht="14.45" customHeight="1" x14ac:dyDescent="0.25">
      <c r="B933" s="17"/>
      <c r="C933" s="14"/>
      <c r="D933" s="14"/>
      <c r="E933" s="18"/>
      <c r="F933" s="61"/>
      <c r="G933" s="79"/>
      <c r="H933" s="79"/>
      <c r="I933" s="79"/>
      <c r="J933" s="14"/>
      <c r="K933" s="38"/>
      <c r="L933" s="38"/>
      <c r="M933" s="17"/>
    </row>
    <row r="934" spans="2:13" ht="14.45" customHeight="1" x14ac:dyDescent="0.25">
      <c r="B934" s="17"/>
      <c r="C934" s="14"/>
      <c r="D934" s="14"/>
      <c r="E934" s="18"/>
      <c r="F934" s="61"/>
      <c r="G934" s="79"/>
      <c r="H934" s="79"/>
      <c r="I934" s="79"/>
      <c r="J934" s="14"/>
      <c r="K934" s="38"/>
      <c r="L934" s="38"/>
      <c r="M934" s="17"/>
    </row>
    <row r="935" spans="2:13" ht="14.45" customHeight="1" x14ac:dyDescent="0.25">
      <c r="B935" s="17"/>
      <c r="C935" s="14"/>
      <c r="D935" s="14"/>
      <c r="E935" s="18"/>
      <c r="F935" s="61"/>
      <c r="G935" s="79"/>
      <c r="H935" s="79"/>
      <c r="I935" s="79"/>
      <c r="J935" s="14"/>
      <c r="K935" s="38"/>
      <c r="L935" s="38"/>
      <c r="M935" s="17"/>
    </row>
    <row r="936" spans="2:13" ht="14.45" customHeight="1" x14ac:dyDescent="0.25">
      <c r="B936" s="17"/>
      <c r="C936" s="14"/>
      <c r="D936" s="14"/>
      <c r="E936" s="18"/>
      <c r="F936" s="61"/>
      <c r="G936" s="79"/>
      <c r="H936" s="79"/>
      <c r="I936" s="79"/>
      <c r="J936" s="14"/>
      <c r="K936" s="38"/>
      <c r="L936" s="38"/>
      <c r="M936" s="17"/>
    </row>
    <row r="937" spans="2:13" ht="14.45" customHeight="1" x14ac:dyDescent="0.25">
      <c r="B937" s="17"/>
      <c r="C937" s="14"/>
      <c r="D937" s="14"/>
      <c r="E937" s="18"/>
      <c r="F937" s="61"/>
      <c r="G937" s="79"/>
      <c r="H937" s="79"/>
      <c r="I937" s="79"/>
      <c r="J937" s="14"/>
      <c r="K937" s="38"/>
      <c r="L937" s="38"/>
      <c r="M937" s="17"/>
    </row>
    <row r="938" spans="2:13" ht="14.45" customHeight="1" x14ac:dyDescent="0.25">
      <c r="B938" s="17"/>
      <c r="C938" s="14"/>
      <c r="D938" s="14"/>
      <c r="E938" s="18"/>
      <c r="F938" s="61"/>
      <c r="G938" s="79"/>
      <c r="H938" s="79"/>
      <c r="I938" s="79"/>
      <c r="J938" s="14"/>
      <c r="K938" s="38"/>
      <c r="L938" s="38"/>
      <c r="M938" s="17"/>
    </row>
    <row r="939" spans="2:13" ht="14.45" customHeight="1" x14ac:dyDescent="0.25">
      <c r="B939" s="17"/>
      <c r="C939" s="14"/>
      <c r="D939" s="14"/>
      <c r="E939" s="18"/>
      <c r="F939" s="61"/>
      <c r="G939" s="79"/>
      <c r="H939" s="79"/>
      <c r="I939" s="79"/>
      <c r="J939" s="14"/>
      <c r="K939" s="38"/>
      <c r="L939" s="38"/>
      <c r="M939" s="17"/>
    </row>
    <row r="940" spans="2:13" ht="14.45" customHeight="1" x14ac:dyDescent="0.25">
      <c r="B940" s="17"/>
      <c r="C940" s="14"/>
      <c r="D940" s="14"/>
      <c r="E940" s="18"/>
      <c r="F940" s="61"/>
      <c r="G940" s="79"/>
      <c r="H940" s="79"/>
      <c r="I940" s="79"/>
      <c r="J940" s="14"/>
      <c r="K940" s="38"/>
      <c r="L940" s="38"/>
      <c r="M940" s="17"/>
    </row>
    <row r="941" spans="2:13" ht="14.45" customHeight="1" x14ac:dyDescent="0.25">
      <c r="B941" s="17"/>
      <c r="C941" s="14"/>
      <c r="D941" s="14"/>
      <c r="E941" s="18"/>
      <c r="F941" s="61"/>
      <c r="G941" s="79"/>
      <c r="H941" s="79"/>
      <c r="I941" s="79"/>
      <c r="J941" s="14"/>
      <c r="K941" s="38"/>
      <c r="L941" s="38"/>
      <c r="M941" s="17"/>
    </row>
    <row r="942" spans="2:13" ht="14.45" customHeight="1" x14ac:dyDescent="0.25">
      <c r="B942" s="17"/>
      <c r="C942" s="14"/>
      <c r="D942" s="14"/>
      <c r="E942" s="18"/>
      <c r="F942" s="61"/>
      <c r="G942" s="79"/>
      <c r="H942" s="79"/>
      <c r="I942" s="79"/>
      <c r="J942" s="14"/>
      <c r="K942" s="38"/>
      <c r="L942" s="38"/>
      <c r="M942" s="17"/>
    </row>
    <row r="943" spans="2:13" ht="14.45" customHeight="1" x14ac:dyDescent="0.25">
      <c r="B943" s="17"/>
      <c r="C943" s="14"/>
      <c r="D943" s="14"/>
      <c r="E943" s="18"/>
      <c r="F943" s="61"/>
      <c r="G943" s="79"/>
      <c r="H943" s="79"/>
      <c r="I943" s="79"/>
      <c r="J943" s="14"/>
      <c r="K943" s="38"/>
      <c r="L943" s="38"/>
      <c r="M943" s="17"/>
    </row>
    <row r="944" spans="2:13" ht="14.45" customHeight="1" x14ac:dyDescent="0.25">
      <c r="B944" s="17"/>
      <c r="C944" s="14"/>
      <c r="D944" s="14"/>
      <c r="E944" s="18"/>
      <c r="F944" s="61"/>
      <c r="G944" s="79"/>
      <c r="H944" s="79"/>
      <c r="I944" s="79"/>
      <c r="J944" s="14"/>
      <c r="K944" s="38"/>
      <c r="L944" s="38"/>
      <c r="M944" s="17"/>
    </row>
    <row r="945" spans="2:13" ht="14.45" customHeight="1" x14ac:dyDescent="0.25">
      <c r="B945" s="17"/>
      <c r="C945" s="14"/>
      <c r="D945" s="14"/>
      <c r="E945" s="18"/>
      <c r="F945" s="61"/>
      <c r="G945" s="79"/>
      <c r="H945" s="79"/>
      <c r="I945" s="79"/>
      <c r="J945" s="14"/>
      <c r="K945" s="38"/>
      <c r="L945" s="38"/>
      <c r="M945" s="17"/>
    </row>
    <row r="946" spans="2:13" ht="14.45" customHeight="1" x14ac:dyDescent="0.25">
      <c r="B946" s="17"/>
      <c r="C946" s="14"/>
      <c r="D946" s="14"/>
      <c r="E946" s="18"/>
      <c r="F946" s="61"/>
      <c r="G946" s="79"/>
      <c r="H946" s="79"/>
      <c r="I946" s="79"/>
      <c r="J946" s="14"/>
      <c r="K946" s="38"/>
      <c r="L946" s="38"/>
      <c r="M946" s="17"/>
    </row>
    <row r="947" spans="2:13" ht="14.45" customHeight="1" x14ac:dyDescent="0.25">
      <c r="B947" s="17"/>
      <c r="C947" s="14"/>
      <c r="D947" s="14"/>
      <c r="E947" s="18"/>
      <c r="F947" s="61"/>
      <c r="G947" s="79"/>
      <c r="H947" s="79"/>
      <c r="I947" s="79"/>
      <c r="J947" s="14"/>
      <c r="K947" s="38"/>
      <c r="L947" s="38"/>
      <c r="M947" s="17"/>
    </row>
    <row r="948" spans="2:13" ht="14.45" customHeight="1" x14ac:dyDescent="0.25">
      <c r="B948" s="17"/>
      <c r="C948" s="14"/>
      <c r="D948" s="14"/>
      <c r="E948" s="18"/>
      <c r="F948" s="61"/>
      <c r="G948" s="79"/>
      <c r="H948" s="79"/>
      <c r="I948" s="79"/>
      <c r="J948" s="14"/>
      <c r="K948" s="38"/>
      <c r="L948" s="38"/>
      <c r="M948" s="17"/>
    </row>
    <row r="949" spans="2:13" ht="14.45" customHeight="1" x14ac:dyDescent="0.25">
      <c r="B949" s="17"/>
      <c r="C949" s="14"/>
      <c r="D949" s="14"/>
      <c r="E949" s="18"/>
      <c r="F949" s="61"/>
      <c r="G949" s="79"/>
      <c r="H949" s="79"/>
      <c r="I949" s="79"/>
      <c r="J949" s="14"/>
      <c r="K949" s="38"/>
      <c r="L949" s="38"/>
      <c r="M949" s="17"/>
    </row>
    <row r="950" spans="2:13" ht="14.45" customHeight="1" x14ac:dyDescent="0.25">
      <c r="B950" s="17"/>
      <c r="C950" s="14"/>
      <c r="D950" s="14"/>
      <c r="E950" s="18"/>
      <c r="F950" s="61"/>
      <c r="G950" s="79"/>
      <c r="H950" s="79"/>
      <c r="I950" s="79"/>
      <c r="J950" s="14"/>
      <c r="K950" s="38"/>
      <c r="L950" s="38"/>
      <c r="M950" s="17"/>
    </row>
    <row r="951" spans="2:13" ht="14.45" customHeight="1" x14ac:dyDescent="0.25">
      <c r="B951" s="17"/>
      <c r="C951" s="14"/>
      <c r="D951" s="14"/>
      <c r="E951" s="18"/>
      <c r="F951" s="61"/>
      <c r="G951" s="79"/>
      <c r="H951" s="79"/>
      <c r="I951" s="79"/>
      <c r="J951" s="14"/>
      <c r="K951" s="38"/>
      <c r="L951" s="38"/>
      <c r="M951" s="17"/>
    </row>
    <row r="952" spans="2:13" ht="14.45" customHeight="1" x14ac:dyDescent="0.25">
      <c r="B952" s="17"/>
      <c r="C952" s="14"/>
      <c r="D952" s="14"/>
      <c r="E952" s="18"/>
      <c r="F952" s="61"/>
      <c r="G952" s="79"/>
      <c r="H952" s="79"/>
      <c r="I952" s="79"/>
      <c r="J952" s="14"/>
      <c r="K952" s="38"/>
      <c r="L952" s="38"/>
      <c r="M952" s="17"/>
    </row>
    <row r="953" spans="2:13" ht="14.45" customHeight="1" x14ac:dyDescent="0.25">
      <c r="B953" s="17"/>
      <c r="C953" s="14"/>
      <c r="D953" s="14"/>
      <c r="E953" s="18"/>
      <c r="F953" s="61"/>
      <c r="G953" s="79"/>
      <c r="H953" s="79"/>
      <c r="I953" s="79"/>
      <c r="J953" s="14"/>
      <c r="K953" s="38"/>
      <c r="L953" s="38"/>
      <c r="M953" s="17"/>
    </row>
    <row r="954" spans="2:13" ht="14.45" customHeight="1" x14ac:dyDescent="0.25">
      <c r="B954" s="17"/>
      <c r="C954" s="14"/>
      <c r="D954" s="14"/>
      <c r="E954" s="18"/>
      <c r="F954" s="61"/>
      <c r="G954" s="79"/>
      <c r="H954" s="79"/>
      <c r="I954" s="79"/>
      <c r="J954" s="14"/>
      <c r="K954" s="38"/>
      <c r="L954" s="38"/>
      <c r="M954" s="17"/>
    </row>
    <row r="955" spans="2:13" ht="14.45" customHeight="1" x14ac:dyDescent="0.25">
      <c r="B955" s="17"/>
      <c r="C955" s="14"/>
      <c r="D955" s="14"/>
      <c r="E955" s="18"/>
      <c r="F955" s="61"/>
      <c r="G955" s="79"/>
      <c r="H955" s="79"/>
      <c r="I955" s="79"/>
      <c r="J955" s="14"/>
      <c r="K955" s="38"/>
      <c r="L955" s="38"/>
      <c r="M955" s="17"/>
    </row>
    <row r="956" spans="2:13" ht="14.45" customHeight="1" x14ac:dyDescent="0.25">
      <c r="B956" s="17"/>
      <c r="C956" s="14"/>
      <c r="D956" s="14"/>
      <c r="E956" s="18"/>
      <c r="F956" s="61"/>
      <c r="G956" s="79"/>
      <c r="H956" s="79"/>
      <c r="I956" s="79"/>
      <c r="J956" s="14"/>
      <c r="K956" s="38"/>
      <c r="L956" s="38"/>
      <c r="M956" s="17"/>
    </row>
    <row r="957" spans="2:13" ht="14.45" customHeight="1" x14ac:dyDescent="0.25">
      <c r="B957" s="17"/>
      <c r="C957" s="14"/>
      <c r="D957" s="14"/>
      <c r="E957" s="18"/>
      <c r="F957" s="61"/>
      <c r="G957" s="79"/>
      <c r="H957" s="79"/>
      <c r="I957" s="79"/>
      <c r="J957" s="14"/>
      <c r="K957" s="38"/>
      <c r="L957" s="38"/>
      <c r="M957" s="17"/>
    </row>
    <row r="958" spans="2:13" ht="14.45" customHeight="1" x14ac:dyDescent="0.25">
      <c r="B958" s="17"/>
      <c r="C958" s="14"/>
      <c r="D958" s="14"/>
      <c r="E958" s="18"/>
      <c r="F958" s="61"/>
      <c r="G958" s="79"/>
      <c r="H958" s="79"/>
      <c r="I958" s="79"/>
      <c r="J958" s="14"/>
      <c r="K958" s="38"/>
      <c r="L958" s="38"/>
      <c r="M958" s="17"/>
    </row>
    <row r="959" spans="2:13" ht="14.45" customHeight="1" x14ac:dyDescent="0.25">
      <c r="B959" s="17"/>
      <c r="C959" s="14"/>
      <c r="D959" s="14"/>
      <c r="E959" s="18"/>
      <c r="F959" s="61"/>
      <c r="G959" s="79"/>
      <c r="H959" s="79"/>
      <c r="I959" s="79"/>
      <c r="J959" s="14"/>
      <c r="K959" s="38"/>
      <c r="L959" s="38"/>
      <c r="M959" s="17"/>
    </row>
    <row r="960" spans="2:13" ht="14.45" customHeight="1" x14ac:dyDescent="0.25">
      <c r="B960" s="17"/>
      <c r="C960" s="14"/>
      <c r="D960" s="14"/>
      <c r="E960" s="18"/>
      <c r="F960" s="61"/>
      <c r="G960" s="79"/>
      <c r="H960" s="79"/>
      <c r="I960" s="79"/>
      <c r="J960" s="14"/>
      <c r="K960" s="38"/>
      <c r="L960" s="38"/>
      <c r="M960" s="17"/>
    </row>
    <row r="961" spans="2:13" ht="14.45" customHeight="1" x14ac:dyDescent="0.25">
      <c r="B961" s="17"/>
      <c r="C961" s="14"/>
      <c r="D961" s="14"/>
      <c r="E961" s="18"/>
      <c r="F961" s="61"/>
      <c r="G961" s="79"/>
      <c r="H961" s="79"/>
      <c r="I961" s="79"/>
      <c r="J961" s="14"/>
      <c r="K961" s="38"/>
      <c r="L961" s="38"/>
      <c r="M961" s="17"/>
    </row>
    <row r="962" spans="2:13" ht="14.45" customHeight="1" x14ac:dyDescent="0.25">
      <c r="B962" s="17"/>
      <c r="C962" s="14"/>
      <c r="D962" s="14"/>
      <c r="E962" s="18"/>
      <c r="F962" s="61"/>
      <c r="G962" s="79"/>
      <c r="H962" s="79"/>
      <c r="I962" s="79"/>
      <c r="J962" s="14"/>
      <c r="K962" s="38"/>
      <c r="L962" s="38"/>
      <c r="M962" s="17"/>
    </row>
    <row r="963" spans="2:13" ht="14.45" customHeight="1" x14ac:dyDescent="0.25">
      <c r="B963" s="17"/>
      <c r="C963" s="14"/>
      <c r="D963" s="14"/>
      <c r="E963" s="18"/>
      <c r="F963" s="61"/>
      <c r="G963" s="79"/>
      <c r="H963" s="79"/>
      <c r="I963" s="79"/>
      <c r="J963" s="14"/>
      <c r="K963" s="38"/>
      <c r="L963" s="38"/>
      <c r="M963" s="17"/>
    </row>
    <row r="964" spans="2:13" ht="14.45" customHeight="1" x14ac:dyDescent="0.25">
      <c r="B964" s="17"/>
      <c r="C964" s="14"/>
      <c r="D964" s="14"/>
      <c r="E964" s="18"/>
      <c r="F964" s="61"/>
      <c r="G964" s="79"/>
      <c r="H964" s="79"/>
      <c r="I964" s="79"/>
      <c r="J964" s="14"/>
      <c r="K964" s="38"/>
      <c r="L964" s="38"/>
      <c r="M964" s="17"/>
    </row>
    <row r="965" spans="2:13" ht="14.45" customHeight="1" x14ac:dyDescent="0.25">
      <c r="B965" s="17"/>
      <c r="C965" s="14"/>
      <c r="D965" s="14"/>
      <c r="E965" s="18"/>
      <c r="F965" s="61"/>
      <c r="G965" s="79"/>
      <c r="H965" s="79"/>
      <c r="I965" s="79"/>
      <c r="J965" s="14"/>
      <c r="K965" s="38"/>
      <c r="L965" s="38"/>
      <c r="M965" s="17"/>
    </row>
    <row r="966" spans="2:13" ht="14.45" customHeight="1" x14ac:dyDescent="0.25">
      <c r="B966" s="17"/>
      <c r="C966" s="14"/>
      <c r="D966" s="14"/>
      <c r="E966" s="18"/>
      <c r="F966" s="61"/>
      <c r="G966" s="79"/>
      <c r="H966" s="79"/>
      <c r="I966" s="79"/>
      <c r="J966" s="14"/>
      <c r="K966" s="38"/>
      <c r="L966" s="38"/>
      <c r="M966" s="17"/>
    </row>
    <row r="967" spans="2:13" ht="14.45" customHeight="1" x14ac:dyDescent="0.25">
      <c r="B967" s="17"/>
      <c r="C967" s="14"/>
      <c r="D967" s="14"/>
      <c r="E967" s="18"/>
      <c r="F967" s="61"/>
      <c r="G967" s="79"/>
      <c r="H967" s="79"/>
      <c r="I967" s="79"/>
      <c r="J967" s="14"/>
      <c r="K967" s="38"/>
      <c r="L967" s="38"/>
      <c r="M967" s="17"/>
    </row>
    <row r="968" spans="2:13" ht="14.45" customHeight="1" x14ac:dyDescent="0.25">
      <c r="B968" s="17"/>
      <c r="C968" s="14"/>
      <c r="D968" s="14"/>
      <c r="E968" s="18"/>
      <c r="F968" s="61"/>
      <c r="G968" s="79"/>
      <c r="H968" s="79"/>
      <c r="I968" s="79"/>
      <c r="J968" s="14"/>
      <c r="K968" s="38"/>
      <c r="L968" s="38"/>
      <c r="M968" s="17"/>
    </row>
    <row r="969" spans="2:13" ht="14.45" customHeight="1" x14ac:dyDescent="0.25">
      <c r="B969" s="17"/>
      <c r="C969" s="14"/>
      <c r="D969" s="14"/>
      <c r="E969" s="18"/>
      <c r="F969" s="61"/>
      <c r="G969" s="79"/>
      <c r="H969" s="79"/>
      <c r="I969" s="79"/>
      <c r="J969" s="14"/>
      <c r="K969" s="38"/>
      <c r="L969" s="38"/>
      <c r="M969" s="17"/>
    </row>
    <row r="970" spans="2:13" ht="14.45" customHeight="1" x14ac:dyDescent="0.25">
      <c r="B970" s="17"/>
      <c r="C970" s="14"/>
      <c r="D970" s="14"/>
      <c r="E970" s="18"/>
      <c r="F970" s="61"/>
      <c r="G970" s="79"/>
      <c r="H970" s="79"/>
      <c r="I970" s="79"/>
      <c r="J970" s="14"/>
      <c r="K970" s="38"/>
      <c r="L970" s="38"/>
      <c r="M970" s="17"/>
    </row>
    <row r="971" spans="2:13" ht="14.45" customHeight="1" x14ac:dyDescent="0.25">
      <c r="B971" s="17"/>
      <c r="C971" s="14"/>
      <c r="D971" s="14"/>
      <c r="E971" s="18"/>
      <c r="F971" s="61"/>
      <c r="G971" s="79"/>
      <c r="H971" s="79"/>
      <c r="I971" s="79"/>
      <c r="J971" s="14"/>
      <c r="K971" s="38"/>
      <c r="L971" s="38"/>
      <c r="M971" s="17"/>
    </row>
    <row r="972" spans="2:13" ht="14.45" customHeight="1" x14ac:dyDescent="0.25">
      <c r="B972" s="17"/>
      <c r="C972" s="14"/>
      <c r="D972" s="14"/>
      <c r="E972" s="18"/>
      <c r="F972" s="61"/>
      <c r="G972" s="79"/>
      <c r="H972" s="79"/>
      <c r="I972" s="79"/>
      <c r="J972" s="14"/>
      <c r="K972" s="38"/>
      <c r="L972" s="38"/>
      <c r="M972" s="17"/>
    </row>
    <row r="973" spans="2:13" ht="14.45" customHeight="1" x14ac:dyDescent="0.25">
      <c r="B973" s="17"/>
      <c r="C973" s="14"/>
      <c r="D973" s="14"/>
      <c r="E973" s="18"/>
      <c r="F973" s="61"/>
      <c r="G973" s="79"/>
      <c r="H973" s="79"/>
      <c r="I973" s="79"/>
      <c r="J973" s="14"/>
      <c r="K973" s="38"/>
      <c r="L973" s="38"/>
      <c r="M973" s="17"/>
    </row>
    <row r="974" spans="2:13" ht="14.45" customHeight="1" x14ac:dyDescent="0.25">
      <c r="B974" s="17"/>
      <c r="C974" s="14"/>
      <c r="D974" s="14"/>
      <c r="E974" s="18"/>
      <c r="F974" s="61"/>
      <c r="G974" s="79"/>
      <c r="H974" s="79"/>
      <c r="I974" s="79"/>
      <c r="J974" s="14"/>
      <c r="K974" s="38"/>
      <c r="L974" s="38"/>
      <c r="M974" s="17"/>
    </row>
    <row r="975" spans="2:13" ht="14.45" customHeight="1" x14ac:dyDescent="0.25">
      <c r="B975" s="17"/>
      <c r="C975" s="14"/>
      <c r="D975" s="14"/>
      <c r="E975" s="18"/>
      <c r="F975" s="61"/>
      <c r="G975" s="79"/>
      <c r="H975" s="79"/>
      <c r="I975" s="79"/>
      <c r="J975" s="14"/>
      <c r="K975" s="38"/>
      <c r="L975" s="38"/>
      <c r="M975" s="17"/>
    </row>
    <row r="976" spans="2:13" ht="14.45" customHeight="1" x14ac:dyDescent="0.25">
      <c r="B976" s="17"/>
      <c r="C976" s="14"/>
      <c r="D976" s="14"/>
      <c r="E976" s="18"/>
      <c r="F976" s="61"/>
      <c r="G976" s="79"/>
      <c r="H976" s="79"/>
      <c r="I976" s="79"/>
      <c r="J976" s="14"/>
      <c r="K976" s="38"/>
      <c r="L976" s="38"/>
      <c r="M976" s="17"/>
    </row>
    <row r="977" spans="2:13" ht="14.45" customHeight="1" x14ac:dyDescent="0.25">
      <c r="B977" s="17"/>
      <c r="C977" s="14"/>
      <c r="D977" s="14"/>
      <c r="E977" s="18"/>
      <c r="F977" s="61"/>
      <c r="G977" s="79"/>
      <c r="H977" s="79"/>
      <c r="I977" s="79"/>
      <c r="J977" s="14"/>
      <c r="K977" s="38"/>
      <c r="L977" s="38"/>
      <c r="M977" s="17"/>
    </row>
    <row r="978" spans="2:13" ht="14.45" customHeight="1" x14ac:dyDescent="0.25">
      <c r="B978" s="17"/>
      <c r="C978" s="14"/>
      <c r="D978" s="14"/>
      <c r="E978" s="18"/>
      <c r="F978" s="61"/>
      <c r="G978" s="79"/>
      <c r="H978" s="79"/>
      <c r="I978" s="79"/>
      <c r="J978" s="14"/>
      <c r="K978" s="38"/>
      <c r="L978" s="38"/>
      <c r="M978" s="17"/>
    </row>
    <row r="979" spans="2:13" ht="14.45" customHeight="1" x14ac:dyDescent="0.25">
      <c r="B979" s="17"/>
      <c r="C979" s="14"/>
      <c r="D979" s="14"/>
      <c r="E979" s="18"/>
      <c r="F979" s="61"/>
      <c r="G979" s="79"/>
      <c r="H979" s="79"/>
      <c r="I979" s="79"/>
      <c r="J979" s="14"/>
      <c r="K979" s="38"/>
      <c r="L979" s="38"/>
      <c r="M979" s="17"/>
    </row>
    <row r="980" spans="2:13" ht="14.45" customHeight="1" x14ac:dyDescent="0.25">
      <c r="B980" s="17"/>
      <c r="C980" s="14"/>
      <c r="D980" s="14"/>
      <c r="E980" s="18"/>
      <c r="F980" s="61"/>
      <c r="G980" s="79"/>
      <c r="H980" s="79"/>
      <c r="I980" s="79"/>
      <c r="J980" s="14"/>
      <c r="K980" s="38"/>
      <c r="L980" s="38"/>
      <c r="M980" s="17"/>
    </row>
    <row r="981" spans="2:13" ht="14.45" customHeight="1" x14ac:dyDescent="0.25">
      <c r="B981" s="17"/>
      <c r="C981" s="14"/>
      <c r="D981" s="14"/>
      <c r="E981" s="18"/>
      <c r="F981" s="61"/>
      <c r="G981" s="79"/>
      <c r="H981" s="79"/>
      <c r="I981" s="79"/>
      <c r="J981" s="14"/>
      <c r="K981" s="38"/>
      <c r="L981" s="38"/>
      <c r="M981" s="17"/>
    </row>
    <row r="982" spans="2:13" ht="14.45" customHeight="1" x14ac:dyDescent="0.25">
      <c r="B982" s="17"/>
      <c r="C982" s="14"/>
      <c r="D982" s="14"/>
      <c r="E982" s="18"/>
      <c r="F982" s="61"/>
      <c r="G982" s="79"/>
      <c r="H982" s="79"/>
      <c r="I982" s="79"/>
      <c r="J982" s="14"/>
      <c r="K982" s="38"/>
      <c r="L982" s="38"/>
      <c r="M982" s="17"/>
    </row>
    <row r="983" spans="2:13" ht="14.45" customHeight="1" x14ac:dyDescent="0.25">
      <c r="B983" s="17"/>
      <c r="C983" s="14"/>
      <c r="D983" s="14"/>
      <c r="E983" s="18"/>
      <c r="F983" s="61"/>
      <c r="G983" s="79"/>
      <c r="H983" s="79"/>
      <c r="I983" s="79"/>
      <c r="J983" s="14"/>
      <c r="K983" s="38"/>
      <c r="L983" s="38"/>
      <c r="M983" s="17"/>
    </row>
    <row r="984" spans="2:13" ht="14.45" customHeight="1" x14ac:dyDescent="0.25">
      <c r="B984" s="17"/>
      <c r="C984" s="14"/>
      <c r="D984" s="14"/>
      <c r="E984" s="18"/>
      <c r="F984" s="61"/>
      <c r="G984" s="79"/>
      <c r="H984" s="79"/>
      <c r="I984" s="79"/>
      <c r="J984" s="14"/>
      <c r="K984" s="38"/>
      <c r="L984" s="38"/>
      <c r="M984" s="17"/>
    </row>
    <row r="985" spans="2:13" ht="14.45" customHeight="1" x14ac:dyDescent="0.25">
      <c r="B985" s="17"/>
      <c r="C985" s="14"/>
      <c r="D985" s="14"/>
      <c r="E985" s="18"/>
      <c r="F985" s="61"/>
      <c r="G985" s="79"/>
      <c r="H985" s="79"/>
      <c r="I985" s="79"/>
      <c r="J985" s="14"/>
      <c r="K985" s="38"/>
      <c r="L985" s="38"/>
      <c r="M985" s="17"/>
    </row>
    <row r="986" spans="2:13" ht="14.45" customHeight="1" x14ac:dyDescent="0.25">
      <c r="B986" s="17"/>
      <c r="C986" s="14"/>
      <c r="D986" s="14"/>
      <c r="E986" s="18"/>
      <c r="F986" s="61"/>
      <c r="G986" s="79"/>
      <c r="H986" s="79"/>
      <c r="I986" s="79"/>
      <c r="J986" s="14"/>
      <c r="K986" s="38"/>
      <c r="L986" s="38"/>
      <c r="M986" s="17"/>
    </row>
    <row r="987" spans="2:13" ht="14.45" customHeight="1" x14ac:dyDescent="0.25">
      <c r="B987" s="17"/>
      <c r="C987" s="14"/>
      <c r="D987" s="14"/>
      <c r="E987" s="18"/>
      <c r="F987" s="61"/>
      <c r="G987" s="79"/>
      <c r="H987" s="79"/>
      <c r="I987" s="79"/>
      <c r="J987" s="14"/>
      <c r="K987" s="38"/>
      <c r="L987" s="38"/>
      <c r="M987" s="17"/>
    </row>
    <row r="988" spans="2:13" ht="14.45" customHeight="1" x14ac:dyDescent="0.25">
      <c r="B988" s="17"/>
      <c r="C988" s="14"/>
      <c r="D988" s="14"/>
      <c r="E988" s="18"/>
      <c r="F988" s="61"/>
      <c r="G988" s="79"/>
      <c r="H988" s="79"/>
      <c r="I988" s="79"/>
      <c r="J988" s="14"/>
      <c r="K988" s="38"/>
      <c r="L988" s="38"/>
      <c r="M988" s="17"/>
    </row>
    <row r="989" spans="2:13" ht="14.45" customHeight="1" x14ac:dyDescent="0.25">
      <c r="B989" s="17"/>
      <c r="C989" s="14"/>
      <c r="D989" s="14"/>
      <c r="E989" s="18"/>
      <c r="F989" s="61"/>
      <c r="G989" s="79"/>
      <c r="H989" s="79"/>
      <c r="I989" s="79"/>
      <c r="J989" s="14"/>
      <c r="K989" s="38"/>
      <c r="L989" s="38"/>
      <c r="M989" s="17"/>
    </row>
    <row r="990" spans="2:13" ht="14.45" customHeight="1" x14ac:dyDescent="0.25">
      <c r="B990" s="17"/>
      <c r="C990" s="14"/>
      <c r="D990" s="14"/>
      <c r="E990" s="18"/>
      <c r="F990" s="61"/>
      <c r="G990" s="79"/>
      <c r="H990" s="79"/>
      <c r="I990" s="79"/>
      <c r="J990" s="14"/>
      <c r="K990" s="38"/>
      <c r="L990" s="38"/>
      <c r="M990" s="17"/>
    </row>
    <row r="991" spans="2:13" ht="14.45" customHeight="1" x14ac:dyDescent="0.25">
      <c r="B991" s="17"/>
      <c r="C991" s="14"/>
      <c r="D991" s="14"/>
      <c r="E991" s="18"/>
      <c r="F991" s="61"/>
      <c r="G991" s="79"/>
      <c r="H991" s="79"/>
      <c r="I991" s="79"/>
      <c r="J991" s="14"/>
      <c r="K991" s="38"/>
      <c r="L991" s="38"/>
      <c r="M991" s="17"/>
    </row>
    <row r="992" spans="2:13" ht="14.45" customHeight="1" x14ac:dyDescent="0.25">
      <c r="B992" s="17"/>
      <c r="C992" s="14"/>
      <c r="D992" s="14"/>
      <c r="E992" s="18"/>
      <c r="F992" s="61"/>
      <c r="G992" s="79"/>
      <c r="H992" s="79"/>
      <c r="I992" s="79"/>
      <c r="J992" s="14"/>
      <c r="K992" s="38"/>
      <c r="L992" s="38"/>
      <c r="M992" s="17"/>
    </row>
    <row r="993" spans="2:13" ht="14.45" customHeight="1" x14ac:dyDescent="0.25">
      <c r="B993" s="17"/>
      <c r="C993" s="14"/>
      <c r="D993" s="14"/>
      <c r="E993" s="18"/>
      <c r="F993" s="61"/>
      <c r="G993" s="79"/>
      <c r="H993" s="79"/>
      <c r="I993" s="79"/>
      <c r="J993" s="14"/>
      <c r="K993" s="38"/>
      <c r="L993" s="38"/>
      <c r="M993" s="17"/>
    </row>
    <row r="994" spans="2:13" ht="14.45" customHeight="1" x14ac:dyDescent="0.25">
      <c r="B994" s="17"/>
      <c r="C994" s="14"/>
      <c r="D994" s="14"/>
      <c r="E994" s="18"/>
      <c r="F994" s="61"/>
      <c r="G994" s="79"/>
      <c r="H994" s="79"/>
      <c r="I994" s="79"/>
      <c r="J994" s="14"/>
      <c r="K994" s="38"/>
      <c r="L994" s="38"/>
      <c r="M994" s="17"/>
    </row>
    <row r="995" spans="2:13" ht="14.45" customHeight="1" x14ac:dyDescent="0.25">
      <c r="B995" s="17"/>
      <c r="C995" s="14"/>
      <c r="D995" s="14"/>
      <c r="E995" s="18"/>
      <c r="F995" s="61"/>
      <c r="G995" s="79"/>
      <c r="H995" s="79"/>
      <c r="I995" s="79"/>
      <c r="J995" s="14"/>
      <c r="K995" s="38"/>
      <c r="L995" s="38"/>
      <c r="M995" s="17"/>
    </row>
    <row r="996" spans="2:13" ht="14.45" customHeight="1" x14ac:dyDescent="0.25">
      <c r="B996" s="17"/>
      <c r="C996" s="14"/>
      <c r="D996" s="14"/>
      <c r="E996" s="18"/>
      <c r="F996" s="61"/>
      <c r="G996" s="79"/>
      <c r="H996" s="79"/>
      <c r="I996" s="79"/>
      <c r="J996" s="14"/>
      <c r="K996" s="38"/>
      <c r="L996" s="38"/>
      <c r="M996" s="17"/>
    </row>
    <row r="997" spans="2:13" ht="14.45" customHeight="1" x14ac:dyDescent="0.25">
      <c r="B997" s="17"/>
      <c r="C997" s="14"/>
      <c r="D997" s="14"/>
      <c r="E997" s="18"/>
      <c r="F997" s="61"/>
      <c r="G997" s="79"/>
      <c r="H997" s="79"/>
      <c r="I997" s="79"/>
      <c r="J997" s="14"/>
      <c r="K997" s="38"/>
      <c r="L997" s="38"/>
      <c r="M997" s="17"/>
    </row>
    <row r="998" spans="2:13" ht="14.45" customHeight="1" x14ac:dyDescent="0.25">
      <c r="B998" s="17"/>
      <c r="C998" s="14"/>
      <c r="D998" s="14"/>
      <c r="E998" s="18"/>
      <c r="F998" s="61"/>
      <c r="G998" s="79"/>
      <c r="H998" s="79"/>
      <c r="I998" s="79"/>
      <c r="J998" s="14"/>
      <c r="K998" s="38"/>
      <c r="L998" s="38"/>
      <c r="M998" s="17"/>
    </row>
    <row r="999" spans="2:13" ht="14.45" customHeight="1" x14ac:dyDescent="0.25">
      <c r="B999" s="17"/>
      <c r="C999" s="14"/>
      <c r="D999" s="14"/>
      <c r="E999" s="18"/>
      <c r="F999" s="61"/>
      <c r="G999" s="79"/>
      <c r="H999" s="79"/>
      <c r="I999" s="79"/>
      <c r="J999" s="14"/>
      <c r="K999" s="38"/>
      <c r="L999" s="38"/>
      <c r="M999" s="17"/>
    </row>
    <row r="1000" spans="2:13" ht="14.45" customHeight="1" x14ac:dyDescent="0.25">
      <c r="B1000" s="17"/>
      <c r="C1000" s="14"/>
      <c r="D1000" s="14"/>
      <c r="E1000" s="18"/>
      <c r="F1000" s="61"/>
      <c r="G1000" s="79"/>
      <c r="H1000" s="79"/>
      <c r="I1000" s="79"/>
      <c r="J1000" s="14"/>
      <c r="K1000" s="38"/>
      <c r="L1000" s="38"/>
      <c r="M1000" s="17"/>
    </row>
  </sheetData>
  <sheetProtection algorithmName="SHA-512" hashValue="v54EapYbewmgYLpYmLpeD4ytDtrRaCNXdLieXsbA5UEli37UxiXiL1/bJ5xGNwlGqbTm0F7sHQmV6F30yniLbQ==" saltValue="Z+jtabGhSlbgTbBC4hv8qQ==" spinCount="100000" sheet="1" objects="1" scenarios="1"/>
  <mergeCells count="2">
    <mergeCell ref="H10:I10"/>
    <mergeCell ref="C10:F10"/>
  </mergeCells>
  <phoneticPr fontId="11" type="noConversion"/>
  <conditionalFormatting sqref="K13:K1000">
    <cfRule type="cellIs" dxfId="229" priority="2" operator="lessThan">
      <formula>0</formula>
    </cfRule>
  </conditionalFormatting>
  <conditionalFormatting sqref="H10:I10">
    <cfRule type="cellIs" dxfId="228" priority="1" operator="greaterThanOrEqual">
      <formula>6750</formula>
    </cfRule>
  </conditionalFormatting>
  <dataValidations count="1">
    <dataValidation type="list" allowBlank="1" showInputMessage="1" showErrorMessage="1" sqref="H13:H1000" xr:uid="{32B04FBD-4204-4524-863C-E6E2307A3CAD}">
      <formula1>"Ativa,Cancelada"</formula1>
    </dataValidation>
  </dataValidations>
  <printOptions horizontalCentered="1"/>
  <pageMargins left="0.19685039370078741" right="0.19685039370078741" top="0.39370078740157483" bottom="0.78740157480314965" header="0.31496062992125984" footer="0.31496062992125984"/>
  <pageSetup paperSize="9" scale="54" fitToHeight="50" orientation="portrait" r:id="rId1"/>
  <headerFooter>
    <oddHeader>&amp;L&amp;"Calibri"&amp;12&amp;K008000 Documento Público&amp;1#_x000D_</oddHeader>
    <oddFooter>Página &amp;P de &amp;N</oddFooter>
  </headerFooter>
  <rowBreaks count="1" manualBreakCount="1">
    <brk id="63" min="1" max="5" man="1"/>
  </rowBreaks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88FFFD-D2E5-41F9-A828-23D454F34E83}">
  <sheetPr codeName="Planilha6">
    <tabColor theme="8" tint="-0.499984740745262"/>
    <pageSetUpPr fitToPage="1"/>
  </sheetPr>
  <dimension ref="A1:Q1000"/>
  <sheetViews>
    <sheetView showGridLines="0" showRowColHeaders="0" zoomScaleNormal="100" workbookViewId="0">
      <pane ySplit="12" topLeftCell="A13" activePane="bottomLeft" state="frozen"/>
      <selection activeCell="G26" sqref="G26:O26"/>
      <selection pane="bottomLeft"/>
    </sheetView>
  </sheetViews>
  <sheetFormatPr defaultColWidth="0" defaultRowHeight="14.45" customHeight="1" x14ac:dyDescent="0.25"/>
  <cols>
    <col min="1" max="1" width="1.7109375" customWidth="1"/>
    <col min="2" max="2" width="15.28515625" customWidth="1"/>
    <col min="3" max="3" width="35.85546875" customWidth="1"/>
    <col min="4" max="4" width="20.7109375" customWidth="1"/>
    <col min="5" max="5" width="42.28515625" customWidth="1"/>
    <col min="6" max="6" width="25.7109375" customWidth="1"/>
    <col min="7" max="7" width="12.28515625" bestFit="1" customWidth="1"/>
    <col min="8" max="8" width="12.28515625" customWidth="1"/>
    <col min="9" max="9" width="21.42578125" bestFit="1" customWidth="1"/>
    <col min="10" max="10" width="16.140625" customWidth="1"/>
    <col min="11" max="11" width="13" customWidth="1"/>
    <col min="12" max="12" width="11.28515625" customWidth="1"/>
    <col min="13" max="13" width="18.28515625" customWidth="1"/>
    <col min="14" max="14" width="5.7109375" customWidth="1"/>
    <col min="15" max="15" width="25" hidden="1" customWidth="1"/>
    <col min="16" max="16" width="6.7109375" hidden="1" customWidth="1"/>
    <col min="17" max="17" width="3.85546875" hidden="1" customWidth="1"/>
    <col min="18" max="16384" width="8.85546875" hidden="1"/>
  </cols>
  <sheetData>
    <row r="1" spans="2:13" ht="15" x14ac:dyDescent="0.25"/>
    <row r="2" spans="2:13" ht="15" x14ac:dyDescent="0.25"/>
    <row r="3" spans="2:13" ht="15" x14ac:dyDescent="0.25">
      <c r="J3" s="9" t="str">
        <f>IF(H10&gt;=6750,"ATENÇÃO: Você atingiu o limite de faturamento mensal de R$ 6.750,00",IF(H10&gt;=6000,"O limite de faturamento mensal de R$ 6.750,00 está quase sendo atingido.",""))</f>
        <v/>
      </c>
    </row>
    <row r="4" spans="2:13" ht="1.9" customHeight="1" x14ac:dyDescent="0.25"/>
    <row r="5" spans="2:13" s="1" customFormat="1" ht="4.9000000000000004" customHeight="1" x14ac:dyDescent="0.25"/>
    <row r="6" spans="2:13" ht="3" customHeight="1" x14ac:dyDescent="0.25"/>
    <row r="7" spans="2:13" s="1" customFormat="1" ht="4.9000000000000004" customHeight="1" x14ac:dyDescent="0.25"/>
    <row r="8" spans="2:13" ht="1.9" customHeight="1" x14ac:dyDescent="0.25"/>
    <row r="9" spans="2:13" ht="30" customHeight="1" x14ac:dyDescent="0.25"/>
    <row r="10" spans="2:13" ht="34.9" customHeight="1" x14ac:dyDescent="0.25">
      <c r="B10" s="4" t="s">
        <v>0</v>
      </c>
      <c r="C10" s="94" t="str">
        <f>Menu!G26</f>
        <v>Empresa ABCDE</v>
      </c>
      <c r="D10" s="95"/>
      <c r="E10" s="95"/>
      <c r="F10" s="96"/>
      <c r="G10" s="87"/>
      <c r="H10" s="93">
        <f>SUMIF(FEV[Status Nota Fiscal],"Ativa",FEV[Valor da Parcela a Receber])</f>
        <v>2000</v>
      </c>
      <c r="I10" s="93"/>
      <c r="J10" s="85"/>
      <c r="M10" s="86"/>
    </row>
    <row r="11" spans="2:13" ht="4.9000000000000004" customHeight="1" x14ac:dyDescent="0.25"/>
    <row r="12" spans="2:13" ht="30" customHeight="1" x14ac:dyDescent="0.25">
      <c r="B12" s="5" t="s">
        <v>2</v>
      </c>
      <c r="C12" s="6" t="s">
        <v>3</v>
      </c>
      <c r="D12" s="6" t="s">
        <v>4</v>
      </c>
      <c r="E12" s="6" t="s">
        <v>5</v>
      </c>
      <c r="F12" s="7" t="s">
        <v>6</v>
      </c>
      <c r="G12" s="7" t="s">
        <v>7</v>
      </c>
      <c r="H12" s="7" t="s">
        <v>8</v>
      </c>
      <c r="I12" s="7" t="s">
        <v>9</v>
      </c>
      <c r="J12" s="7" t="s">
        <v>10</v>
      </c>
      <c r="K12" s="7" t="s">
        <v>11</v>
      </c>
      <c r="L12" s="7" t="s">
        <v>12</v>
      </c>
      <c r="M12" s="8" t="s">
        <v>13</v>
      </c>
    </row>
    <row r="13" spans="2:13" ht="14.45" customHeight="1" x14ac:dyDescent="0.25">
      <c r="B13" s="24"/>
      <c r="C13" s="25"/>
      <c r="D13" s="25"/>
      <c r="E13" s="25"/>
      <c r="F13" s="26">
        <v>2000</v>
      </c>
      <c r="G13" s="62"/>
      <c r="H13" s="62" t="s">
        <v>17</v>
      </c>
      <c r="I13" s="62"/>
      <c r="J13" s="27"/>
      <c r="K13" s="28"/>
      <c r="L13" s="28"/>
      <c r="M13" s="29"/>
    </row>
    <row r="14" spans="2:13" ht="14.45" customHeight="1" x14ac:dyDescent="0.25">
      <c r="B14" s="30"/>
      <c r="C14" s="31"/>
      <c r="D14" s="31"/>
      <c r="E14" s="31"/>
      <c r="F14" s="32"/>
      <c r="G14" s="63"/>
      <c r="H14" s="63"/>
      <c r="I14" s="63"/>
      <c r="J14" s="33"/>
      <c r="K14" s="34"/>
      <c r="L14" s="34"/>
      <c r="M14" s="35"/>
    </row>
    <row r="15" spans="2:13" ht="14.45" customHeight="1" x14ac:dyDescent="0.25">
      <c r="B15" s="36"/>
      <c r="C15" s="14"/>
      <c r="D15" s="14"/>
      <c r="E15" s="18"/>
      <c r="F15" s="20"/>
      <c r="G15" s="64"/>
      <c r="H15" s="68"/>
      <c r="I15" s="68"/>
      <c r="J15" s="37"/>
      <c r="K15" s="38"/>
      <c r="L15" s="38"/>
      <c r="M15" s="36"/>
    </row>
    <row r="16" spans="2:13" ht="14.45" customHeight="1" x14ac:dyDescent="0.25">
      <c r="B16" s="17"/>
      <c r="C16" s="14"/>
      <c r="D16" s="14"/>
      <c r="E16" s="18"/>
      <c r="F16" s="20"/>
      <c r="G16" s="64"/>
      <c r="H16" s="68"/>
      <c r="I16" s="68"/>
      <c r="J16" s="15"/>
      <c r="K16" s="38"/>
      <c r="L16" s="38"/>
      <c r="M16" s="17"/>
    </row>
    <row r="17" spans="2:13" ht="14.45" customHeight="1" x14ac:dyDescent="0.25">
      <c r="B17" s="17"/>
      <c r="C17" s="14"/>
      <c r="D17" s="14"/>
      <c r="E17" s="18"/>
      <c r="F17" s="20"/>
      <c r="G17" s="64"/>
      <c r="H17" s="68"/>
      <c r="I17" s="68"/>
      <c r="J17" s="15"/>
      <c r="K17" s="38"/>
      <c r="L17" s="38"/>
      <c r="M17" s="17"/>
    </row>
    <row r="18" spans="2:13" ht="14.45" customHeight="1" x14ac:dyDescent="0.25">
      <c r="B18" s="17"/>
      <c r="C18" s="14"/>
      <c r="D18" s="14"/>
      <c r="E18" s="18"/>
      <c r="F18" s="20"/>
      <c r="G18" s="64"/>
      <c r="H18" s="68"/>
      <c r="I18" s="68"/>
      <c r="J18" s="15"/>
      <c r="K18" s="38"/>
      <c r="L18" s="38"/>
      <c r="M18" s="17"/>
    </row>
    <row r="19" spans="2:13" ht="14.45" customHeight="1" x14ac:dyDescent="0.25">
      <c r="B19" s="17"/>
      <c r="C19" s="14"/>
      <c r="D19" s="14"/>
      <c r="E19" s="18"/>
      <c r="F19" s="20"/>
      <c r="G19" s="64"/>
      <c r="H19" s="68"/>
      <c r="I19" s="68"/>
      <c r="J19" s="15"/>
      <c r="K19" s="38"/>
      <c r="L19" s="38"/>
      <c r="M19" s="17"/>
    </row>
    <row r="20" spans="2:13" ht="14.45" customHeight="1" x14ac:dyDescent="0.25">
      <c r="B20" s="17"/>
      <c r="C20" s="14"/>
      <c r="D20" s="14"/>
      <c r="E20" s="18"/>
      <c r="F20" s="20"/>
      <c r="G20" s="64"/>
      <c r="H20" s="68"/>
      <c r="I20" s="68"/>
      <c r="J20" s="15"/>
      <c r="K20" s="38"/>
      <c r="L20" s="38"/>
      <c r="M20" s="17"/>
    </row>
    <row r="21" spans="2:13" ht="14.45" customHeight="1" x14ac:dyDescent="0.25">
      <c r="B21" s="17"/>
      <c r="C21" s="14"/>
      <c r="D21" s="14"/>
      <c r="E21" s="18"/>
      <c r="F21" s="20"/>
      <c r="G21" s="64"/>
      <c r="H21" s="68"/>
      <c r="I21" s="68"/>
      <c r="J21" s="15"/>
      <c r="K21" s="38"/>
      <c r="L21" s="38"/>
      <c r="M21" s="17"/>
    </row>
    <row r="22" spans="2:13" ht="14.45" customHeight="1" x14ac:dyDescent="0.25">
      <c r="B22" s="17"/>
      <c r="C22" s="14"/>
      <c r="D22" s="14"/>
      <c r="E22" s="18"/>
      <c r="F22" s="20"/>
      <c r="G22" s="64"/>
      <c r="H22" s="68"/>
      <c r="I22" s="68"/>
      <c r="J22" s="15"/>
      <c r="K22" s="38"/>
      <c r="L22" s="38"/>
      <c r="M22" s="17"/>
    </row>
    <row r="23" spans="2:13" ht="14.45" customHeight="1" x14ac:dyDescent="0.25">
      <c r="B23" s="17"/>
      <c r="C23" s="14"/>
      <c r="D23" s="14"/>
      <c r="E23" s="18"/>
      <c r="F23" s="20"/>
      <c r="G23" s="64"/>
      <c r="H23" s="68"/>
      <c r="I23" s="68"/>
      <c r="J23" s="15"/>
      <c r="K23" s="38"/>
      <c r="L23" s="38"/>
      <c r="M23" s="17"/>
    </row>
    <row r="24" spans="2:13" ht="14.45" customHeight="1" x14ac:dyDescent="0.25">
      <c r="B24" s="17"/>
      <c r="C24" s="14"/>
      <c r="D24" s="14"/>
      <c r="E24" s="18"/>
      <c r="F24" s="20"/>
      <c r="G24" s="64"/>
      <c r="H24" s="68"/>
      <c r="I24" s="68"/>
      <c r="J24" s="15"/>
      <c r="K24" s="38"/>
      <c r="L24" s="38"/>
      <c r="M24" s="17"/>
    </row>
    <row r="25" spans="2:13" ht="14.45" customHeight="1" x14ac:dyDescent="0.25">
      <c r="B25" s="17"/>
      <c r="C25" s="14"/>
      <c r="D25" s="14"/>
      <c r="E25" s="18"/>
      <c r="F25" s="20"/>
      <c r="G25" s="64"/>
      <c r="H25" s="68"/>
      <c r="I25" s="68"/>
      <c r="J25" s="15"/>
      <c r="K25" s="38"/>
      <c r="L25" s="38"/>
      <c r="M25" s="17"/>
    </row>
    <row r="26" spans="2:13" ht="14.45" customHeight="1" x14ac:dyDescent="0.25">
      <c r="B26" s="17"/>
      <c r="C26" s="14"/>
      <c r="D26" s="14"/>
      <c r="E26" s="18"/>
      <c r="F26" s="20"/>
      <c r="G26" s="64"/>
      <c r="H26" s="68"/>
      <c r="I26" s="68"/>
      <c r="J26" s="15"/>
      <c r="K26" s="38"/>
      <c r="L26" s="38"/>
      <c r="M26" s="17"/>
    </row>
    <row r="27" spans="2:13" ht="14.45" customHeight="1" x14ac:dyDescent="0.25">
      <c r="B27" s="17"/>
      <c r="C27" s="14"/>
      <c r="D27" s="14"/>
      <c r="E27" s="18"/>
      <c r="F27" s="20"/>
      <c r="G27" s="64"/>
      <c r="H27" s="68"/>
      <c r="I27" s="68"/>
      <c r="J27" s="15"/>
      <c r="K27" s="38"/>
      <c r="L27" s="38"/>
      <c r="M27" s="17"/>
    </row>
    <row r="28" spans="2:13" ht="14.45" customHeight="1" x14ac:dyDescent="0.25">
      <c r="B28" s="17"/>
      <c r="C28" s="14"/>
      <c r="D28" s="14"/>
      <c r="E28" s="18"/>
      <c r="F28" s="20"/>
      <c r="G28" s="64"/>
      <c r="H28" s="68"/>
      <c r="I28" s="68"/>
      <c r="J28" s="15"/>
      <c r="K28" s="38"/>
      <c r="L28" s="38"/>
      <c r="M28" s="17"/>
    </row>
    <row r="29" spans="2:13" ht="14.45" customHeight="1" x14ac:dyDescent="0.25">
      <c r="B29" s="17"/>
      <c r="C29" s="14"/>
      <c r="D29" s="14"/>
      <c r="E29" s="18"/>
      <c r="F29" s="20"/>
      <c r="G29" s="64"/>
      <c r="H29" s="68"/>
      <c r="I29" s="68"/>
      <c r="J29" s="15"/>
      <c r="K29" s="38"/>
      <c r="L29" s="38"/>
      <c r="M29" s="17"/>
    </row>
    <row r="30" spans="2:13" ht="14.45" customHeight="1" x14ac:dyDescent="0.25">
      <c r="B30" s="17"/>
      <c r="C30" s="14"/>
      <c r="D30" s="14"/>
      <c r="E30" s="18"/>
      <c r="F30" s="20"/>
      <c r="G30" s="64"/>
      <c r="H30" s="68"/>
      <c r="I30" s="68"/>
      <c r="J30" s="15"/>
      <c r="K30" s="38"/>
      <c r="L30" s="38"/>
      <c r="M30" s="17"/>
    </row>
    <row r="31" spans="2:13" ht="14.45" customHeight="1" x14ac:dyDescent="0.25">
      <c r="B31" s="17"/>
      <c r="C31" s="14"/>
      <c r="D31" s="14"/>
      <c r="E31" s="18"/>
      <c r="F31" s="20"/>
      <c r="G31" s="64"/>
      <c r="H31" s="68"/>
      <c r="I31" s="68"/>
      <c r="J31" s="15"/>
      <c r="K31" s="38"/>
      <c r="L31" s="38"/>
      <c r="M31" s="17"/>
    </row>
    <row r="32" spans="2:13" ht="14.45" customHeight="1" x14ac:dyDescent="0.25">
      <c r="B32" s="17"/>
      <c r="C32" s="14"/>
      <c r="D32" s="14"/>
      <c r="E32" s="18"/>
      <c r="F32" s="20"/>
      <c r="G32" s="64"/>
      <c r="H32" s="68"/>
      <c r="I32" s="68"/>
      <c r="J32" s="15"/>
      <c r="K32" s="38"/>
      <c r="L32" s="38"/>
      <c r="M32" s="17"/>
    </row>
    <row r="33" spans="2:13" ht="14.45" customHeight="1" x14ac:dyDescent="0.25">
      <c r="B33" s="17"/>
      <c r="C33" s="14"/>
      <c r="D33" s="14"/>
      <c r="E33" s="18"/>
      <c r="F33" s="20"/>
      <c r="G33" s="64"/>
      <c r="H33" s="68"/>
      <c r="I33" s="68"/>
      <c r="J33" s="15"/>
      <c r="K33" s="38"/>
      <c r="L33" s="38"/>
      <c r="M33" s="17"/>
    </row>
    <row r="34" spans="2:13" ht="14.45" customHeight="1" x14ac:dyDescent="0.25">
      <c r="B34" s="17"/>
      <c r="C34" s="14"/>
      <c r="D34" s="14"/>
      <c r="E34" s="18"/>
      <c r="F34" s="20"/>
      <c r="G34" s="64"/>
      <c r="H34" s="68"/>
      <c r="I34" s="68"/>
      <c r="J34" s="15"/>
      <c r="K34" s="38"/>
      <c r="L34" s="38"/>
      <c r="M34" s="17"/>
    </row>
    <row r="35" spans="2:13" ht="14.45" customHeight="1" x14ac:dyDescent="0.25">
      <c r="B35" s="39"/>
      <c r="C35" s="40"/>
      <c r="D35" s="40"/>
      <c r="E35" s="41"/>
      <c r="F35" s="42"/>
      <c r="G35" s="65"/>
      <c r="H35" s="70"/>
      <c r="I35" s="70"/>
      <c r="J35" s="43"/>
      <c r="K35" s="38"/>
      <c r="L35" s="38"/>
      <c r="M35" s="17"/>
    </row>
    <row r="36" spans="2:13" ht="14.45" customHeight="1" x14ac:dyDescent="0.25">
      <c r="B36" s="17"/>
      <c r="C36" s="14"/>
      <c r="D36" s="14"/>
      <c r="E36" s="18"/>
      <c r="F36" s="20"/>
      <c r="G36" s="64"/>
      <c r="H36" s="68"/>
      <c r="I36" s="68"/>
      <c r="J36" s="14"/>
      <c r="K36" s="38"/>
      <c r="L36" s="38"/>
      <c r="M36" s="17"/>
    </row>
    <row r="37" spans="2:13" ht="14.45" customHeight="1" x14ac:dyDescent="0.25">
      <c r="B37" s="39"/>
      <c r="C37" s="40"/>
      <c r="D37" s="40"/>
      <c r="E37" s="41"/>
      <c r="F37" s="42"/>
      <c r="G37" s="65"/>
      <c r="H37" s="70"/>
      <c r="I37" s="70"/>
      <c r="J37" s="40"/>
      <c r="K37" s="38"/>
      <c r="L37" s="38"/>
      <c r="M37" s="17"/>
    </row>
    <row r="38" spans="2:13" ht="14.45" customHeight="1" x14ac:dyDescent="0.25">
      <c r="B38" s="44"/>
      <c r="C38" s="45"/>
      <c r="D38" s="45"/>
      <c r="E38" s="46"/>
      <c r="F38" s="47"/>
      <c r="G38" s="66"/>
      <c r="H38" s="77"/>
      <c r="I38" s="77"/>
      <c r="J38" s="45"/>
      <c r="K38" s="38"/>
      <c r="L38" s="38"/>
      <c r="M38" s="17"/>
    </row>
    <row r="39" spans="2:13" ht="14.45" customHeight="1" x14ac:dyDescent="0.25">
      <c r="B39" s="39"/>
      <c r="C39" s="48"/>
      <c r="D39" s="48"/>
      <c r="E39" s="49"/>
      <c r="F39" s="50"/>
      <c r="G39" s="67"/>
      <c r="H39" s="67"/>
      <c r="I39" s="67"/>
      <c r="J39" s="51"/>
      <c r="K39" s="38"/>
      <c r="L39" s="38"/>
      <c r="M39" s="17"/>
    </row>
    <row r="40" spans="2:13" ht="14.45" customHeight="1" x14ac:dyDescent="0.25">
      <c r="B40" s="17"/>
      <c r="C40" s="14"/>
      <c r="D40" s="14"/>
      <c r="E40" s="19"/>
      <c r="F40" s="21"/>
      <c r="G40" s="68"/>
      <c r="H40" s="68"/>
      <c r="I40" s="68"/>
      <c r="J40" s="52"/>
      <c r="K40" s="38"/>
      <c r="L40" s="38"/>
      <c r="M40" s="17"/>
    </row>
    <row r="41" spans="2:13" ht="14.45" customHeight="1" x14ac:dyDescent="0.25">
      <c r="B41" s="17"/>
      <c r="C41" s="14"/>
      <c r="D41" s="14"/>
      <c r="E41" s="19"/>
      <c r="F41" s="21"/>
      <c r="G41" s="68"/>
      <c r="H41" s="68"/>
      <c r="I41" s="68"/>
      <c r="J41" s="52"/>
      <c r="K41" s="38"/>
      <c r="L41" s="38"/>
      <c r="M41" s="17"/>
    </row>
    <row r="42" spans="2:13" ht="14.45" customHeight="1" x14ac:dyDescent="0.25">
      <c r="B42" s="17"/>
      <c r="C42" s="14"/>
      <c r="D42" s="14"/>
      <c r="E42" s="19"/>
      <c r="F42" s="21"/>
      <c r="G42" s="68"/>
      <c r="H42" s="68"/>
      <c r="I42" s="68"/>
      <c r="J42" s="52"/>
      <c r="K42" s="38"/>
      <c r="L42" s="38"/>
      <c r="M42" s="17"/>
    </row>
    <row r="43" spans="2:13" ht="14.45" customHeight="1" x14ac:dyDescent="0.25">
      <c r="B43" s="17"/>
      <c r="C43" s="14"/>
      <c r="D43" s="14"/>
      <c r="E43" s="19"/>
      <c r="F43" s="21"/>
      <c r="G43" s="68"/>
      <c r="H43" s="68"/>
      <c r="I43" s="68"/>
      <c r="J43" s="52"/>
      <c r="K43" s="38"/>
      <c r="L43" s="38"/>
      <c r="M43" s="17"/>
    </row>
    <row r="44" spans="2:13" ht="14.45" customHeight="1" x14ac:dyDescent="0.25">
      <c r="B44" s="17"/>
      <c r="C44" s="14"/>
      <c r="D44" s="14"/>
      <c r="E44" s="19"/>
      <c r="F44" s="21"/>
      <c r="G44" s="68"/>
      <c r="H44" s="68"/>
      <c r="I44" s="68"/>
      <c r="J44" s="52"/>
      <c r="K44" s="38"/>
      <c r="L44" s="38"/>
      <c r="M44" s="17"/>
    </row>
    <row r="45" spans="2:13" ht="14.45" customHeight="1" x14ac:dyDescent="0.25">
      <c r="B45" s="17"/>
      <c r="C45" s="14"/>
      <c r="D45" s="14"/>
      <c r="E45" s="19"/>
      <c r="F45" s="21"/>
      <c r="G45" s="68"/>
      <c r="H45" s="68"/>
      <c r="I45" s="68"/>
      <c r="J45" s="52"/>
      <c r="K45" s="38"/>
      <c r="L45" s="38"/>
      <c r="M45" s="17"/>
    </row>
    <row r="46" spans="2:13" ht="14.45" customHeight="1" x14ac:dyDescent="0.25">
      <c r="B46" s="17"/>
      <c r="C46" s="14"/>
      <c r="D46" s="14"/>
      <c r="E46" s="19"/>
      <c r="F46" s="21"/>
      <c r="G46" s="68"/>
      <c r="H46" s="68"/>
      <c r="I46" s="68"/>
      <c r="J46" s="52"/>
      <c r="K46" s="38"/>
      <c r="L46" s="38"/>
      <c r="M46" s="17"/>
    </row>
    <row r="47" spans="2:13" ht="14.45" customHeight="1" x14ac:dyDescent="0.25">
      <c r="B47" s="17"/>
      <c r="C47" s="14"/>
      <c r="D47" s="14"/>
      <c r="E47" s="19"/>
      <c r="F47" s="21"/>
      <c r="G47" s="68"/>
      <c r="H47" s="68"/>
      <c r="I47" s="68"/>
      <c r="J47" s="52"/>
      <c r="K47" s="38"/>
      <c r="L47" s="38"/>
      <c r="M47" s="17"/>
    </row>
    <row r="48" spans="2:13" ht="14.45" customHeight="1" x14ac:dyDescent="0.25">
      <c r="B48" s="17"/>
      <c r="C48" s="14"/>
      <c r="D48" s="14"/>
      <c r="E48" s="19"/>
      <c r="F48" s="21"/>
      <c r="G48" s="68"/>
      <c r="H48" s="68"/>
      <c r="I48" s="68"/>
      <c r="J48" s="52"/>
      <c r="K48" s="38"/>
      <c r="L48" s="38"/>
      <c r="M48" s="17"/>
    </row>
    <row r="49" spans="2:13" ht="14.45" customHeight="1" x14ac:dyDescent="0.25">
      <c r="B49" s="17"/>
      <c r="C49" s="14"/>
      <c r="D49" s="14"/>
      <c r="E49" s="19"/>
      <c r="F49" s="21"/>
      <c r="G49" s="68"/>
      <c r="H49" s="68"/>
      <c r="I49" s="68"/>
      <c r="J49" s="52"/>
      <c r="K49" s="38"/>
      <c r="L49" s="38"/>
      <c r="M49" s="17"/>
    </row>
    <row r="50" spans="2:13" ht="14.45" customHeight="1" x14ac:dyDescent="0.25">
      <c r="B50" s="53"/>
      <c r="C50" s="40"/>
      <c r="D50" s="40"/>
      <c r="E50" s="54"/>
      <c r="F50" s="55"/>
      <c r="G50" s="69"/>
      <c r="H50" s="78"/>
      <c r="I50" s="78"/>
      <c r="J50" s="56"/>
      <c r="K50" s="38"/>
      <c r="L50" s="38"/>
      <c r="M50" s="17"/>
    </row>
    <row r="51" spans="2:13" ht="14.45" customHeight="1" x14ac:dyDescent="0.25">
      <c r="B51" s="44"/>
      <c r="C51" s="45"/>
      <c r="D51" s="45"/>
      <c r="E51" s="46"/>
      <c r="F51" s="47"/>
      <c r="G51" s="66"/>
      <c r="H51" s="77"/>
      <c r="I51" s="77"/>
      <c r="J51" s="45"/>
      <c r="K51" s="38"/>
      <c r="L51" s="38"/>
      <c r="M51" s="17"/>
    </row>
    <row r="52" spans="2:13" ht="14.45" customHeight="1" x14ac:dyDescent="0.25">
      <c r="B52" s="39"/>
      <c r="C52" s="48"/>
      <c r="D52" s="48"/>
      <c r="E52" s="49"/>
      <c r="F52" s="50"/>
      <c r="G52" s="67"/>
      <c r="H52" s="67"/>
      <c r="I52" s="67"/>
      <c r="J52" s="51"/>
      <c r="K52" s="38"/>
      <c r="L52" s="38"/>
      <c r="M52" s="17"/>
    </row>
    <row r="53" spans="2:13" ht="14.45" customHeight="1" x14ac:dyDescent="0.25">
      <c r="B53" s="17"/>
      <c r="C53" s="14"/>
      <c r="D53" s="14"/>
      <c r="E53" s="19"/>
      <c r="F53" s="21"/>
      <c r="G53" s="68"/>
      <c r="H53" s="68"/>
      <c r="I53" s="68"/>
      <c r="J53" s="52"/>
      <c r="K53" s="38"/>
      <c r="L53" s="38"/>
      <c r="M53" s="17"/>
    </row>
    <row r="54" spans="2:13" ht="14.45" customHeight="1" x14ac:dyDescent="0.25">
      <c r="B54" s="17"/>
      <c r="C54" s="14"/>
      <c r="D54" s="14"/>
      <c r="E54" s="19"/>
      <c r="F54" s="21"/>
      <c r="G54" s="68"/>
      <c r="H54" s="68"/>
      <c r="I54" s="68"/>
      <c r="J54" s="52"/>
      <c r="K54" s="38"/>
      <c r="L54" s="38"/>
      <c r="M54" s="17"/>
    </row>
    <row r="55" spans="2:13" ht="14.45" customHeight="1" x14ac:dyDescent="0.25">
      <c r="B55" s="17"/>
      <c r="C55" s="14"/>
      <c r="D55" s="14"/>
      <c r="E55" s="19"/>
      <c r="F55" s="21"/>
      <c r="G55" s="68"/>
      <c r="H55" s="68"/>
      <c r="I55" s="68"/>
      <c r="J55" s="52"/>
      <c r="K55" s="38"/>
      <c r="L55" s="38"/>
      <c r="M55" s="17"/>
    </row>
    <row r="56" spans="2:13" ht="14.45" customHeight="1" x14ac:dyDescent="0.25">
      <c r="B56" s="17"/>
      <c r="C56" s="14"/>
      <c r="D56" s="14"/>
      <c r="E56" s="19"/>
      <c r="F56" s="21"/>
      <c r="G56" s="68"/>
      <c r="H56" s="68"/>
      <c r="I56" s="68"/>
      <c r="J56" s="52"/>
      <c r="K56" s="38"/>
      <c r="L56" s="38"/>
      <c r="M56" s="17"/>
    </row>
    <row r="57" spans="2:13" ht="14.45" customHeight="1" x14ac:dyDescent="0.25">
      <c r="B57" s="17"/>
      <c r="C57" s="14"/>
      <c r="D57" s="14"/>
      <c r="E57" s="19"/>
      <c r="F57" s="21"/>
      <c r="G57" s="68"/>
      <c r="H57" s="68"/>
      <c r="I57" s="68"/>
      <c r="J57" s="52"/>
      <c r="K57" s="38"/>
      <c r="L57" s="38"/>
      <c r="M57" s="17"/>
    </row>
    <row r="58" spans="2:13" ht="14.45" customHeight="1" x14ac:dyDescent="0.25">
      <c r="B58" s="17"/>
      <c r="C58" s="14"/>
      <c r="D58" s="14"/>
      <c r="E58" s="19"/>
      <c r="F58" s="21"/>
      <c r="G58" s="68"/>
      <c r="H58" s="68"/>
      <c r="I58" s="68"/>
      <c r="J58" s="52"/>
      <c r="K58" s="38"/>
      <c r="L58" s="38"/>
      <c r="M58" s="17"/>
    </row>
    <row r="59" spans="2:13" ht="14.45" customHeight="1" x14ac:dyDescent="0.25">
      <c r="B59" s="17"/>
      <c r="C59" s="14"/>
      <c r="D59" s="14"/>
      <c r="E59" s="19"/>
      <c r="F59" s="21"/>
      <c r="G59" s="68"/>
      <c r="H59" s="68"/>
      <c r="I59" s="68"/>
      <c r="J59" s="52"/>
      <c r="K59" s="38"/>
      <c r="L59" s="38"/>
      <c r="M59" s="17"/>
    </row>
    <row r="60" spans="2:13" ht="14.45" customHeight="1" x14ac:dyDescent="0.25">
      <c r="B60" s="17"/>
      <c r="C60" s="14"/>
      <c r="D60" s="14"/>
      <c r="E60" s="19"/>
      <c r="F60" s="21"/>
      <c r="G60" s="68"/>
      <c r="H60" s="68"/>
      <c r="I60" s="68"/>
      <c r="J60" s="52"/>
      <c r="K60" s="38"/>
      <c r="L60" s="38"/>
      <c r="M60" s="17"/>
    </row>
    <row r="61" spans="2:13" ht="14.45" customHeight="1" x14ac:dyDescent="0.25">
      <c r="B61" s="17"/>
      <c r="C61" s="14"/>
      <c r="D61" s="14"/>
      <c r="E61" s="19"/>
      <c r="F61" s="21"/>
      <c r="G61" s="68"/>
      <c r="H61" s="68"/>
      <c r="I61" s="68"/>
      <c r="J61" s="52"/>
      <c r="K61" s="38"/>
      <c r="L61" s="38"/>
      <c r="M61" s="17"/>
    </row>
    <row r="62" spans="2:13" ht="14.45" customHeight="1" x14ac:dyDescent="0.25">
      <c r="B62" s="17"/>
      <c r="C62" s="14"/>
      <c r="D62" s="14"/>
      <c r="E62" s="19"/>
      <c r="F62" s="21"/>
      <c r="G62" s="68"/>
      <c r="H62" s="68"/>
      <c r="I62" s="68"/>
      <c r="J62" s="52"/>
      <c r="K62" s="38"/>
      <c r="L62" s="38"/>
      <c r="M62" s="17"/>
    </row>
    <row r="63" spans="2:13" ht="14.45" customHeight="1" x14ac:dyDescent="0.25">
      <c r="B63" s="53"/>
      <c r="C63" s="40"/>
      <c r="D63" s="40"/>
      <c r="E63" s="54"/>
      <c r="F63" s="55"/>
      <c r="G63" s="69"/>
      <c r="H63" s="78"/>
      <c r="I63" s="78"/>
      <c r="J63" s="56"/>
      <c r="K63" s="38"/>
      <c r="L63" s="38"/>
      <c r="M63" s="17"/>
    </row>
    <row r="64" spans="2:13" ht="14.45" customHeight="1" x14ac:dyDescent="0.25">
      <c r="B64" s="44"/>
      <c r="C64" s="45"/>
      <c r="D64" s="45"/>
      <c r="E64" s="46"/>
      <c r="F64" s="47"/>
      <c r="G64" s="66"/>
      <c r="H64" s="77"/>
      <c r="I64" s="77"/>
      <c r="J64" s="45"/>
      <c r="K64" s="38"/>
      <c r="L64" s="38"/>
      <c r="M64" s="17"/>
    </row>
    <row r="65" spans="2:13" ht="14.45" customHeight="1" x14ac:dyDescent="0.25">
      <c r="B65" s="53"/>
      <c r="C65" s="40"/>
      <c r="D65" s="40"/>
      <c r="E65" s="41"/>
      <c r="F65" s="57"/>
      <c r="G65" s="70"/>
      <c r="H65" s="70"/>
      <c r="I65" s="70"/>
      <c r="J65" s="16"/>
      <c r="K65" s="38"/>
      <c r="L65" s="38"/>
      <c r="M65" s="17"/>
    </row>
    <row r="66" spans="2:13" ht="14.45" customHeight="1" x14ac:dyDescent="0.25">
      <c r="B66" s="44"/>
      <c r="C66" s="45"/>
      <c r="D66" s="45"/>
      <c r="E66" s="46"/>
      <c r="F66" s="47"/>
      <c r="G66" s="66"/>
      <c r="H66" s="77"/>
      <c r="I66" s="77"/>
      <c r="J66" s="45"/>
      <c r="K66" s="38"/>
      <c r="L66" s="38"/>
      <c r="M66" s="17"/>
    </row>
    <row r="67" spans="2:13" ht="14.45" customHeight="1" x14ac:dyDescent="0.25">
      <c r="B67" s="39"/>
      <c r="C67" s="48"/>
      <c r="D67" s="48"/>
      <c r="E67" s="49"/>
      <c r="F67" s="57"/>
      <c r="G67" s="70"/>
      <c r="H67" s="70"/>
      <c r="I67" s="70"/>
      <c r="J67" s="58"/>
      <c r="K67" s="38"/>
      <c r="L67" s="38"/>
      <c r="M67" s="17"/>
    </row>
    <row r="68" spans="2:13" ht="14.45" customHeight="1" x14ac:dyDescent="0.25">
      <c r="B68" s="44"/>
      <c r="C68" s="45"/>
      <c r="D68" s="45"/>
      <c r="E68" s="46"/>
      <c r="F68" s="47"/>
      <c r="G68" s="66"/>
      <c r="H68" s="77"/>
      <c r="I68" s="77"/>
      <c r="J68" s="45"/>
      <c r="K68" s="38"/>
      <c r="L68" s="38"/>
      <c r="M68" s="17"/>
    </row>
    <row r="69" spans="2:13" ht="14.45" customHeight="1" x14ac:dyDescent="0.25">
      <c r="B69" s="53"/>
      <c r="C69" s="40"/>
      <c r="D69" s="40"/>
      <c r="E69" s="41"/>
      <c r="F69" s="42"/>
      <c r="G69" s="65"/>
      <c r="H69" s="70"/>
      <c r="I69" s="70"/>
      <c r="J69" s="40"/>
      <c r="K69" s="38"/>
      <c r="L69" s="38"/>
      <c r="M69" s="17"/>
    </row>
    <row r="70" spans="2:13" ht="14.45" customHeight="1" x14ac:dyDescent="0.25">
      <c r="B70" s="53"/>
      <c r="C70" s="40"/>
      <c r="D70" s="40"/>
      <c r="E70" s="41"/>
      <c r="F70" s="42"/>
      <c r="G70" s="65"/>
      <c r="H70" s="70"/>
      <c r="I70" s="70"/>
      <c r="J70" s="59"/>
      <c r="K70" s="38"/>
      <c r="L70" s="38"/>
      <c r="M70" s="17"/>
    </row>
    <row r="71" spans="2:13" ht="14.45" customHeight="1" x14ac:dyDescent="0.25">
      <c r="B71" s="17"/>
      <c r="C71" s="14"/>
      <c r="D71" s="14"/>
      <c r="E71" s="18"/>
      <c r="F71" s="22"/>
      <c r="G71" s="71"/>
      <c r="H71" s="68"/>
      <c r="I71" s="68"/>
      <c r="J71" s="15"/>
      <c r="K71" s="38"/>
      <c r="L71" s="38"/>
      <c r="M71" s="17"/>
    </row>
    <row r="72" spans="2:13" ht="14.45" customHeight="1" x14ac:dyDescent="0.25">
      <c r="B72" s="17"/>
      <c r="C72" s="14"/>
      <c r="D72" s="14"/>
      <c r="E72" s="18"/>
      <c r="F72" s="22"/>
      <c r="G72" s="71"/>
      <c r="H72" s="68"/>
      <c r="I72" s="68"/>
      <c r="J72" s="15"/>
      <c r="K72" s="38"/>
      <c r="L72" s="38"/>
      <c r="M72" s="17"/>
    </row>
    <row r="73" spans="2:13" ht="14.45" customHeight="1" x14ac:dyDescent="0.25">
      <c r="B73" s="17"/>
      <c r="C73" s="14"/>
      <c r="D73" s="14"/>
      <c r="E73" s="18"/>
      <c r="F73" s="22"/>
      <c r="G73" s="71"/>
      <c r="H73" s="68"/>
      <c r="I73" s="68"/>
      <c r="J73" s="15"/>
      <c r="K73" s="38"/>
      <c r="L73" s="38"/>
      <c r="M73" s="17"/>
    </row>
    <row r="74" spans="2:13" ht="14.45" customHeight="1" x14ac:dyDescent="0.25">
      <c r="B74" s="17"/>
      <c r="C74" s="14"/>
      <c r="D74" s="14"/>
      <c r="E74" s="18"/>
      <c r="F74" s="22"/>
      <c r="G74" s="71"/>
      <c r="H74" s="68"/>
      <c r="I74" s="68"/>
      <c r="J74" s="15"/>
      <c r="K74" s="38"/>
      <c r="L74" s="38"/>
      <c r="M74" s="17"/>
    </row>
    <row r="75" spans="2:13" ht="14.45" customHeight="1" x14ac:dyDescent="0.25">
      <c r="B75" s="17"/>
      <c r="C75" s="14"/>
      <c r="D75" s="14"/>
      <c r="E75" s="18"/>
      <c r="F75" s="22"/>
      <c r="G75" s="71"/>
      <c r="H75" s="68"/>
      <c r="I75" s="68"/>
      <c r="J75" s="15"/>
      <c r="K75" s="38"/>
      <c r="L75" s="38"/>
      <c r="M75" s="17"/>
    </row>
    <row r="76" spans="2:13" ht="14.45" customHeight="1" x14ac:dyDescent="0.25">
      <c r="B76" s="17"/>
      <c r="C76" s="14"/>
      <c r="D76" s="14"/>
      <c r="E76" s="18"/>
      <c r="F76" s="22"/>
      <c r="G76" s="71"/>
      <c r="H76" s="68"/>
      <c r="I76" s="68"/>
      <c r="J76" s="15"/>
      <c r="K76" s="38"/>
      <c r="L76" s="38"/>
      <c r="M76" s="17"/>
    </row>
    <row r="77" spans="2:13" ht="14.45" customHeight="1" x14ac:dyDescent="0.25">
      <c r="B77" s="17"/>
      <c r="C77" s="14"/>
      <c r="D77" s="14"/>
      <c r="E77" s="18"/>
      <c r="F77" s="22"/>
      <c r="G77" s="71"/>
      <c r="H77" s="68"/>
      <c r="I77" s="68"/>
      <c r="J77" s="15"/>
      <c r="K77" s="38"/>
      <c r="L77" s="38"/>
      <c r="M77" s="17"/>
    </row>
    <row r="78" spans="2:13" ht="14.45" customHeight="1" x14ac:dyDescent="0.25">
      <c r="B78" s="17"/>
      <c r="C78" s="14"/>
      <c r="D78" s="14"/>
      <c r="E78" s="18"/>
      <c r="F78" s="22"/>
      <c r="G78" s="71"/>
      <c r="H78" s="68"/>
      <c r="I78" s="68"/>
      <c r="J78" s="15"/>
      <c r="K78" s="38"/>
      <c r="L78" s="38"/>
      <c r="M78" s="17"/>
    </row>
    <row r="79" spans="2:13" ht="14.45" customHeight="1" x14ac:dyDescent="0.25">
      <c r="B79" s="17"/>
      <c r="C79" s="14"/>
      <c r="D79" s="14"/>
      <c r="E79" s="18"/>
      <c r="F79" s="22"/>
      <c r="G79" s="71"/>
      <c r="H79" s="68"/>
      <c r="I79" s="68"/>
      <c r="J79" s="15"/>
      <c r="K79" s="38"/>
      <c r="L79" s="38"/>
      <c r="M79" s="17"/>
    </row>
    <row r="80" spans="2:13" ht="14.45" customHeight="1" x14ac:dyDescent="0.25">
      <c r="B80" s="17"/>
      <c r="C80" s="14"/>
      <c r="D80" s="14"/>
      <c r="E80" s="18"/>
      <c r="F80" s="22"/>
      <c r="G80" s="71"/>
      <c r="H80" s="68"/>
      <c r="I80" s="68"/>
      <c r="J80" s="15"/>
      <c r="K80" s="38"/>
      <c r="L80" s="38"/>
      <c r="M80" s="17"/>
    </row>
    <row r="81" spans="2:13" ht="14.45" customHeight="1" x14ac:dyDescent="0.25">
      <c r="B81" s="53"/>
      <c r="C81" s="40"/>
      <c r="D81" s="40"/>
      <c r="E81" s="41"/>
      <c r="F81" s="42"/>
      <c r="G81" s="65"/>
      <c r="H81" s="70"/>
      <c r="I81" s="70"/>
      <c r="J81" s="43"/>
      <c r="K81" s="38"/>
      <c r="L81" s="38"/>
      <c r="M81" s="17"/>
    </row>
    <row r="82" spans="2:13" ht="14.45" customHeight="1" x14ac:dyDescent="0.25">
      <c r="B82" s="53"/>
      <c r="C82" s="40"/>
      <c r="D82" s="40"/>
      <c r="E82" s="41"/>
      <c r="F82" s="42"/>
      <c r="G82" s="65"/>
      <c r="H82" s="70"/>
      <c r="I82" s="70"/>
      <c r="J82" s="43"/>
      <c r="K82" s="38"/>
      <c r="L82" s="38"/>
      <c r="M82" s="17"/>
    </row>
    <row r="83" spans="2:13" ht="14.45" customHeight="1" x14ac:dyDescent="0.25">
      <c r="B83" s="44"/>
      <c r="C83" s="45"/>
      <c r="D83" s="45"/>
      <c r="E83" s="46"/>
      <c r="F83" s="47"/>
      <c r="G83" s="66"/>
      <c r="H83" s="77"/>
      <c r="I83" s="77"/>
      <c r="J83" s="45"/>
      <c r="K83" s="38"/>
      <c r="L83" s="38"/>
      <c r="M83" s="17"/>
    </row>
    <row r="84" spans="2:13" ht="14.45" customHeight="1" x14ac:dyDescent="0.25">
      <c r="B84" s="39"/>
      <c r="C84" s="48"/>
      <c r="D84" s="48"/>
      <c r="E84" s="49"/>
      <c r="F84" s="60"/>
      <c r="G84" s="72"/>
      <c r="H84" s="67"/>
      <c r="I84" s="67"/>
      <c r="J84" s="43"/>
      <c r="K84" s="38"/>
      <c r="L84" s="38"/>
      <c r="M84" s="17"/>
    </row>
    <row r="85" spans="2:13" ht="14.45" customHeight="1" x14ac:dyDescent="0.25">
      <c r="B85" s="17"/>
      <c r="C85" s="14"/>
      <c r="D85" s="14"/>
      <c r="E85" s="18"/>
      <c r="F85" s="20"/>
      <c r="G85" s="64"/>
      <c r="H85" s="68"/>
      <c r="I85" s="68"/>
      <c r="J85" s="14"/>
      <c r="K85" s="38"/>
      <c r="L85" s="38"/>
      <c r="M85" s="17"/>
    </row>
    <row r="86" spans="2:13" ht="14.45" customHeight="1" x14ac:dyDescent="0.25">
      <c r="B86" s="39"/>
      <c r="C86" s="40"/>
      <c r="D86" s="40"/>
      <c r="E86" s="41"/>
      <c r="F86" s="42"/>
      <c r="G86" s="65"/>
      <c r="H86" s="70"/>
      <c r="I86" s="70"/>
      <c r="J86" s="40"/>
      <c r="K86" s="38"/>
      <c r="L86" s="38"/>
      <c r="M86" s="17"/>
    </row>
    <row r="87" spans="2:13" ht="14.45" customHeight="1" x14ac:dyDescent="0.25">
      <c r="B87" s="53"/>
      <c r="C87" s="40"/>
      <c r="D87" s="40"/>
      <c r="E87" s="41"/>
      <c r="F87" s="42"/>
      <c r="G87" s="65"/>
      <c r="H87" s="70"/>
      <c r="I87" s="70"/>
      <c r="J87" s="43"/>
      <c r="K87" s="38"/>
      <c r="L87" s="38"/>
      <c r="M87" s="17"/>
    </row>
    <row r="88" spans="2:13" ht="14.45" customHeight="1" x14ac:dyDescent="0.25">
      <c r="B88" s="17"/>
      <c r="C88" s="14"/>
      <c r="D88" s="14"/>
      <c r="E88" s="18"/>
      <c r="F88" s="61"/>
      <c r="G88" s="73"/>
      <c r="H88" s="79"/>
      <c r="I88" s="79"/>
      <c r="J88" s="14"/>
      <c r="K88" s="38"/>
      <c r="L88" s="38"/>
      <c r="M88" s="17"/>
    </row>
    <row r="89" spans="2:13" ht="14.45" customHeight="1" x14ac:dyDescent="0.25">
      <c r="B89" s="17"/>
      <c r="C89" s="14"/>
      <c r="D89" s="14"/>
      <c r="E89" s="18"/>
      <c r="F89" s="61"/>
      <c r="G89" s="73"/>
      <c r="H89" s="79"/>
      <c r="I89" s="79"/>
      <c r="J89" s="14"/>
      <c r="K89" s="38"/>
      <c r="L89" s="38"/>
      <c r="M89" s="17"/>
    </row>
    <row r="90" spans="2:13" ht="14.45" customHeight="1" x14ac:dyDescent="0.25">
      <c r="B90" s="17"/>
      <c r="C90" s="14"/>
      <c r="D90" s="14"/>
      <c r="E90" s="18"/>
      <c r="F90" s="61"/>
      <c r="G90" s="73"/>
      <c r="H90" s="79"/>
      <c r="I90" s="79"/>
      <c r="J90" s="14"/>
      <c r="K90" s="38"/>
      <c r="L90" s="38"/>
      <c r="M90" s="17"/>
    </row>
    <row r="91" spans="2:13" ht="14.45" customHeight="1" x14ac:dyDescent="0.25">
      <c r="B91" s="17"/>
      <c r="C91" s="14"/>
      <c r="D91" s="14"/>
      <c r="E91" s="18"/>
      <c r="F91" s="61"/>
      <c r="G91" s="73"/>
      <c r="H91" s="79"/>
      <c r="I91" s="79"/>
      <c r="J91" s="14"/>
      <c r="K91" s="38"/>
      <c r="L91" s="38"/>
      <c r="M91" s="17"/>
    </row>
    <row r="92" spans="2:13" ht="14.45" customHeight="1" x14ac:dyDescent="0.25">
      <c r="B92" s="17"/>
      <c r="C92" s="14"/>
      <c r="D92" s="14"/>
      <c r="E92" s="18"/>
      <c r="F92" s="61"/>
      <c r="G92" s="73"/>
      <c r="H92" s="79"/>
      <c r="I92" s="79"/>
      <c r="J92" s="14"/>
      <c r="K92" s="38"/>
      <c r="L92" s="38"/>
      <c r="M92" s="17"/>
    </row>
    <row r="93" spans="2:13" ht="14.45" customHeight="1" x14ac:dyDescent="0.25">
      <c r="B93" s="17"/>
      <c r="C93" s="14"/>
      <c r="D93" s="14"/>
      <c r="E93" s="18"/>
      <c r="F93" s="61"/>
      <c r="G93" s="73"/>
      <c r="H93" s="79"/>
      <c r="I93" s="79"/>
      <c r="J93" s="14"/>
      <c r="K93" s="38"/>
      <c r="L93" s="38"/>
      <c r="M93" s="17"/>
    </row>
    <row r="94" spans="2:13" ht="14.45" customHeight="1" x14ac:dyDescent="0.25">
      <c r="B94" s="17"/>
      <c r="C94" s="14"/>
      <c r="D94" s="14"/>
      <c r="E94" s="18"/>
      <c r="F94" s="61"/>
      <c r="G94" s="73"/>
      <c r="H94" s="79"/>
      <c r="I94" s="79"/>
      <c r="J94" s="14"/>
      <c r="K94" s="38"/>
      <c r="L94" s="38"/>
      <c r="M94" s="17"/>
    </row>
    <row r="95" spans="2:13" ht="14.45" customHeight="1" x14ac:dyDescent="0.25">
      <c r="B95" s="17"/>
      <c r="C95" s="14"/>
      <c r="D95" s="14"/>
      <c r="E95" s="18"/>
      <c r="F95" s="61"/>
      <c r="G95" s="73"/>
      <c r="H95" s="79"/>
      <c r="I95" s="79"/>
      <c r="J95" s="14"/>
      <c r="K95" s="38"/>
      <c r="L95" s="38"/>
      <c r="M95" s="17"/>
    </row>
    <row r="96" spans="2:13" ht="14.45" customHeight="1" x14ac:dyDescent="0.25">
      <c r="B96" s="17"/>
      <c r="C96" s="14"/>
      <c r="D96" s="14"/>
      <c r="E96" s="18"/>
      <c r="F96" s="61"/>
      <c r="G96" s="73"/>
      <c r="H96" s="79"/>
      <c r="I96" s="79"/>
      <c r="J96" s="14"/>
      <c r="K96" s="38"/>
      <c r="L96" s="38"/>
      <c r="M96" s="17"/>
    </row>
    <row r="97" spans="2:13" ht="14.45" customHeight="1" x14ac:dyDescent="0.25">
      <c r="B97" s="17"/>
      <c r="C97" s="14"/>
      <c r="D97" s="14"/>
      <c r="E97" s="18"/>
      <c r="F97" s="61"/>
      <c r="G97" s="73"/>
      <c r="H97" s="79"/>
      <c r="I97" s="79"/>
      <c r="J97" s="14"/>
      <c r="K97" s="38"/>
      <c r="L97" s="38"/>
      <c r="M97" s="17"/>
    </row>
    <row r="98" spans="2:13" ht="14.45" customHeight="1" x14ac:dyDescent="0.25">
      <c r="B98" s="17"/>
      <c r="C98" s="14"/>
      <c r="D98" s="14"/>
      <c r="E98" s="18"/>
      <c r="F98" s="61"/>
      <c r="G98" s="73"/>
      <c r="H98" s="79"/>
      <c r="I98" s="79"/>
      <c r="J98" s="14"/>
      <c r="K98" s="38"/>
      <c r="L98" s="38"/>
      <c r="M98" s="17"/>
    </row>
    <row r="99" spans="2:13" ht="14.45" customHeight="1" x14ac:dyDescent="0.25">
      <c r="B99" s="17"/>
      <c r="C99" s="14"/>
      <c r="D99" s="14"/>
      <c r="E99" s="18"/>
      <c r="F99" s="61"/>
      <c r="G99" s="73"/>
      <c r="H99" s="79"/>
      <c r="I99" s="79"/>
      <c r="J99" s="14"/>
      <c r="K99" s="38"/>
      <c r="L99" s="38"/>
      <c r="M99" s="17"/>
    </row>
    <row r="100" spans="2:13" ht="14.45" customHeight="1" x14ac:dyDescent="0.25">
      <c r="B100" s="17"/>
      <c r="C100" s="14"/>
      <c r="D100" s="14"/>
      <c r="E100" s="18"/>
      <c r="F100" s="61"/>
      <c r="G100" s="73"/>
      <c r="H100" s="79"/>
      <c r="I100" s="79"/>
      <c r="J100" s="14"/>
      <c r="K100" s="38"/>
      <c r="L100" s="38"/>
      <c r="M100" s="17"/>
    </row>
    <row r="101" spans="2:13" ht="14.45" customHeight="1" x14ac:dyDescent="0.25">
      <c r="B101" s="17"/>
      <c r="C101" s="14"/>
      <c r="D101" s="14"/>
      <c r="E101" s="18"/>
      <c r="F101" s="61"/>
      <c r="G101" s="73"/>
      <c r="H101" s="79"/>
      <c r="I101" s="79"/>
      <c r="J101" s="14"/>
      <c r="K101" s="38"/>
      <c r="L101" s="38"/>
      <c r="M101" s="17"/>
    </row>
    <row r="102" spans="2:13" ht="14.45" customHeight="1" x14ac:dyDescent="0.25">
      <c r="B102" s="17"/>
      <c r="C102" s="14"/>
      <c r="D102" s="14"/>
      <c r="E102" s="18"/>
      <c r="F102" s="61"/>
      <c r="G102" s="73"/>
      <c r="H102" s="79"/>
      <c r="I102" s="79"/>
      <c r="J102" s="14"/>
      <c r="K102" s="38"/>
      <c r="L102" s="38"/>
      <c r="M102" s="17"/>
    </row>
    <row r="103" spans="2:13" ht="14.45" customHeight="1" x14ac:dyDescent="0.25">
      <c r="B103" s="17"/>
      <c r="C103" s="14"/>
      <c r="D103" s="14"/>
      <c r="E103" s="18"/>
      <c r="F103" s="61"/>
      <c r="G103" s="73"/>
      <c r="H103" s="79"/>
      <c r="I103" s="79"/>
      <c r="J103" s="14"/>
      <c r="K103" s="38"/>
      <c r="L103" s="38"/>
      <c r="M103" s="17"/>
    </row>
    <row r="104" spans="2:13" ht="14.45" customHeight="1" x14ac:dyDescent="0.25">
      <c r="B104" s="17"/>
      <c r="C104" s="14"/>
      <c r="D104" s="14"/>
      <c r="E104" s="18"/>
      <c r="F104" s="61"/>
      <c r="G104" s="73"/>
      <c r="H104" s="79"/>
      <c r="I104" s="79"/>
      <c r="J104" s="14"/>
      <c r="K104" s="38"/>
      <c r="L104" s="38"/>
      <c r="M104" s="17"/>
    </row>
    <row r="105" spans="2:13" ht="14.45" customHeight="1" x14ac:dyDescent="0.25">
      <c r="B105" s="17"/>
      <c r="C105" s="14"/>
      <c r="D105" s="14"/>
      <c r="E105" s="18"/>
      <c r="F105" s="61"/>
      <c r="G105" s="73"/>
      <c r="H105" s="79"/>
      <c r="I105" s="79"/>
      <c r="J105" s="14"/>
      <c r="K105" s="38"/>
      <c r="L105" s="38"/>
      <c r="M105" s="17"/>
    </row>
    <row r="106" spans="2:13" ht="14.45" customHeight="1" x14ac:dyDescent="0.25">
      <c r="B106" s="17"/>
      <c r="C106" s="14"/>
      <c r="D106" s="14"/>
      <c r="E106" s="18"/>
      <c r="F106" s="61"/>
      <c r="G106" s="73"/>
      <c r="H106" s="79"/>
      <c r="I106" s="79"/>
      <c r="J106" s="14"/>
      <c r="K106" s="38"/>
      <c r="L106" s="38"/>
      <c r="M106" s="17"/>
    </row>
    <row r="107" spans="2:13" ht="14.45" customHeight="1" x14ac:dyDescent="0.25">
      <c r="B107" s="17"/>
      <c r="C107" s="14"/>
      <c r="D107" s="14"/>
      <c r="E107" s="18"/>
      <c r="F107" s="61"/>
      <c r="G107" s="73"/>
      <c r="H107" s="79"/>
      <c r="I107" s="79"/>
      <c r="J107" s="14"/>
      <c r="K107" s="38"/>
      <c r="L107" s="38"/>
      <c r="M107" s="17"/>
    </row>
    <row r="108" spans="2:13" ht="14.45" customHeight="1" x14ac:dyDescent="0.25">
      <c r="B108" s="17"/>
      <c r="C108" s="14"/>
      <c r="D108" s="14"/>
      <c r="E108" s="18"/>
      <c r="F108" s="61"/>
      <c r="G108" s="73"/>
      <c r="H108" s="79"/>
      <c r="I108" s="79"/>
      <c r="J108" s="14"/>
      <c r="K108" s="38"/>
      <c r="L108" s="38"/>
      <c r="M108" s="17"/>
    </row>
    <row r="109" spans="2:13" ht="14.45" customHeight="1" x14ac:dyDescent="0.25">
      <c r="B109" s="17"/>
      <c r="C109" s="14"/>
      <c r="D109" s="14"/>
      <c r="E109" s="18"/>
      <c r="F109" s="61"/>
      <c r="G109" s="73"/>
      <c r="H109" s="79"/>
      <c r="I109" s="79"/>
      <c r="J109" s="14"/>
      <c r="K109" s="38"/>
      <c r="L109" s="38"/>
      <c r="M109" s="17"/>
    </row>
    <row r="110" spans="2:13" ht="14.45" customHeight="1" x14ac:dyDescent="0.25">
      <c r="B110" s="17"/>
      <c r="C110" s="14"/>
      <c r="D110" s="14"/>
      <c r="E110" s="18"/>
      <c r="F110" s="61"/>
      <c r="G110" s="73"/>
      <c r="H110" s="79"/>
      <c r="I110" s="79"/>
      <c r="J110" s="14"/>
      <c r="K110" s="38"/>
      <c r="L110" s="38"/>
      <c r="M110" s="17"/>
    </row>
    <row r="111" spans="2:13" ht="14.45" customHeight="1" x14ac:dyDescent="0.25">
      <c r="B111" s="17"/>
      <c r="C111" s="14"/>
      <c r="D111" s="14"/>
      <c r="E111" s="18"/>
      <c r="F111" s="61"/>
      <c r="G111" s="73"/>
      <c r="H111" s="79"/>
      <c r="I111" s="79"/>
      <c r="J111" s="14"/>
      <c r="K111" s="38"/>
      <c r="L111" s="38"/>
      <c r="M111" s="17"/>
    </row>
    <row r="112" spans="2:13" ht="14.45" customHeight="1" x14ac:dyDescent="0.25">
      <c r="B112" s="17"/>
      <c r="C112" s="14"/>
      <c r="D112" s="14"/>
      <c r="E112" s="18"/>
      <c r="F112" s="61"/>
      <c r="G112" s="73"/>
      <c r="H112" s="79"/>
      <c r="I112" s="79"/>
      <c r="J112" s="14"/>
      <c r="K112" s="38"/>
      <c r="L112" s="38"/>
      <c r="M112" s="17"/>
    </row>
    <row r="113" spans="2:13" ht="14.45" customHeight="1" x14ac:dyDescent="0.25">
      <c r="B113" s="17"/>
      <c r="C113" s="14"/>
      <c r="D113" s="14"/>
      <c r="E113" s="18"/>
      <c r="F113" s="61"/>
      <c r="G113" s="73"/>
      <c r="H113" s="79"/>
      <c r="I113" s="79"/>
      <c r="J113" s="14"/>
      <c r="K113" s="38"/>
      <c r="L113" s="38"/>
      <c r="M113" s="17"/>
    </row>
    <row r="114" spans="2:13" ht="14.45" customHeight="1" x14ac:dyDescent="0.25">
      <c r="B114" s="17"/>
      <c r="C114" s="14"/>
      <c r="D114" s="14"/>
      <c r="E114" s="18"/>
      <c r="F114" s="61"/>
      <c r="G114" s="73"/>
      <c r="H114" s="79"/>
      <c r="I114" s="79"/>
      <c r="J114" s="14"/>
      <c r="K114" s="38"/>
      <c r="L114" s="38"/>
      <c r="M114" s="17"/>
    </row>
    <row r="115" spans="2:13" ht="14.45" customHeight="1" x14ac:dyDescent="0.25">
      <c r="B115" s="17"/>
      <c r="C115" s="14"/>
      <c r="D115" s="14"/>
      <c r="E115" s="18"/>
      <c r="F115" s="61"/>
      <c r="G115" s="73"/>
      <c r="H115" s="79"/>
      <c r="I115" s="79"/>
      <c r="J115" s="14"/>
      <c r="K115" s="38"/>
      <c r="L115" s="38"/>
      <c r="M115" s="17"/>
    </row>
    <row r="116" spans="2:13" ht="14.45" customHeight="1" x14ac:dyDescent="0.25">
      <c r="B116" s="17"/>
      <c r="C116" s="14"/>
      <c r="D116" s="14"/>
      <c r="E116" s="18"/>
      <c r="F116" s="61"/>
      <c r="G116" s="73"/>
      <c r="H116" s="79"/>
      <c r="I116" s="79"/>
      <c r="J116" s="14"/>
      <c r="K116" s="38"/>
      <c r="L116" s="38"/>
      <c r="M116" s="17"/>
    </row>
    <row r="117" spans="2:13" ht="14.45" customHeight="1" x14ac:dyDescent="0.25">
      <c r="B117" s="17"/>
      <c r="C117" s="14"/>
      <c r="D117" s="14"/>
      <c r="E117" s="18"/>
      <c r="F117" s="61"/>
      <c r="G117" s="73"/>
      <c r="H117" s="79"/>
      <c r="I117" s="79"/>
      <c r="J117" s="14"/>
      <c r="K117" s="38"/>
      <c r="L117" s="38"/>
      <c r="M117" s="17"/>
    </row>
    <row r="118" spans="2:13" ht="14.45" customHeight="1" x14ac:dyDescent="0.25">
      <c r="B118" s="17"/>
      <c r="C118" s="14"/>
      <c r="D118" s="14"/>
      <c r="E118" s="18"/>
      <c r="F118" s="61"/>
      <c r="G118" s="73"/>
      <c r="H118" s="79"/>
      <c r="I118" s="79"/>
      <c r="J118" s="14"/>
      <c r="K118" s="38"/>
      <c r="L118" s="38"/>
      <c r="M118" s="17"/>
    </row>
    <row r="119" spans="2:13" ht="14.45" customHeight="1" x14ac:dyDescent="0.25">
      <c r="B119" s="17"/>
      <c r="C119" s="14"/>
      <c r="D119" s="14"/>
      <c r="E119" s="18"/>
      <c r="F119" s="61"/>
      <c r="G119" s="73"/>
      <c r="H119" s="79"/>
      <c r="I119" s="79"/>
      <c r="J119" s="14"/>
      <c r="K119" s="38"/>
      <c r="L119" s="38"/>
      <c r="M119" s="17"/>
    </row>
    <row r="120" spans="2:13" ht="14.45" customHeight="1" x14ac:dyDescent="0.25">
      <c r="B120" s="17"/>
      <c r="C120" s="14"/>
      <c r="D120" s="14"/>
      <c r="E120" s="18"/>
      <c r="F120" s="61"/>
      <c r="G120" s="73"/>
      <c r="H120" s="79"/>
      <c r="I120" s="79"/>
      <c r="J120" s="14"/>
      <c r="K120" s="38"/>
      <c r="L120" s="38"/>
      <c r="M120" s="17"/>
    </row>
    <row r="121" spans="2:13" ht="14.45" customHeight="1" x14ac:dyDescent="0.25">
      <c r="B121" s="17"/>
      <c r="C121" s="14"/>
      <c r="D121" s="14"/>
      <c r="E121" s="18"/>
      <c r="F121" s="61"/>
      <c r="G121" s="73"/>
      <c r="H121" s="79"/>
      <c r="I121" s="79"/>
      <c r="J121" s="14"/>
      <c r="K121" s="38"/>
      <c r="L121" s="38"/>
      <c r="M121" s="17"/>
    </row>
    <row r="122" spans="2:13" ht="14.45" customHeight="1" x14ac:dyDescent="0.25">
      <c r="B122" s="17"/>
      <c r="C122" s="14"/>
      <c r="D122" s="14"/>
      <c r="E122" s="18"/>
      <c r="F122" s="61"/>
      <c r="G122" s="73"/>
      <c r="H122" s="79"/>
      <c r="I122" s="79"/>
      <c r="J122" s="14"/>
      <c r="K122" s="38"/>
      <c r="L122" s="38"/>
      <c r="M122" s="17"/>
    </row>
    <row r="123" spans="2:13" ht="14.45" customHeight="1" x14ac:dyDescent="0.25">
      <c r="B123" s="17"/>
      <c r="C123" s="14"/>
      <c r="D123" s="14"/>
      <c r="E123" s="18"/>
      <c r="F123" s="61"/>
      <c r="G123" s="73"/>
      <c r="H123" s="79"/>
      <c r="I123" s="79"/>
      <c r="J123" s="14"/>
      <c r="K123" s="38"/>
      <c r="L123" s="38"/>
      <c r="M123" s="17"/>
    </row>
    <row r="124" spans="2:13" ht="14.45" customHeight="1" x14ac:dyDescent="0.25">
      <c r="B124" s="17"/>
      <c r="C124" s="14"/>
      <c r="D124" s="14"/>
      <c r="E124" s="18"/>
      <c r="F124" s="61"/>
      <c r="G124" s="73"/>
      <c r="H124" s="79"/>
      <c r="I124" s="79"/>
      <c r="J124" s="14"/>
      <c r="K124" s="38"/>
      <c r="L124" s="38"/>
      <c r="M124" s="17"/>
    </row>
    <row r="125" spans="2:13" ht="14.45" customHeight="1" x14ac:dyDescent="0.25">
      <c r="B125" s="17"/>
      <c r="C125" s="14"/>
      <c r="D125" s="14"/>
      <c r="E125" s="18"/>
      <c r="F125" s="61"/>
      <c r="G125" s="73"/>
      <c r="H125" s="79"/>
      <c r="I125" s="79"/>
      <c r="J125" s="14"/>
      <c r="K125" s="38"/>
      <c r="L125" s="38"/>
      <c r="M125" s="17"/>
    </row>
    <row r="126" spans="2:13" ht="14.45" customHeight="1" x14ac:dyDescent="0.25">
      <c r="B126" s="17"/>
      <c r="C126" s="14"/>
      <c r="D126" s="14"/>
      <c r="E126" s="18"/>
      <c r="F126" s="61"/>
      <c r="G126" s="73"/>
      <c r="H126" s="79"/>
      <c r="I126" s="79"/>
      <c r="J126" s="14"/>
      <c r="K126" s="38"/>
      <c r="L126" s="38"/>
      <c r="M126" s="17"/>
    </row>
    <row r="127" spans="2:13" ht="14.45" customHeight="1" x14ac:dyDescent="0.25">
      <c r="B127" s="17"/>
      <c r="C127" s="14"/>
      <c r="D127" s="14"/>
      <c r="E127" s="18"/>
      <c r="F127" s="61"/>
      <c r="G127" s="73"/>
      <c r="H127" s="79"/>
      <c r="I127" s="79"/>
      <c r="J127" s="14"/>
      <c r="K127" s="38"/>
      <c r="L127" s="38"/>
      <c r="M127" s="17"/>
    </row>
    <row r="128" spans="2:13" ht="14.45" customHeight="1" x14ac:dyDescent="0.25">
      <c r="B128" s="17"/>
      <c r="C128" s="14"/>
      <c r="D128" s="14"/>
      <c r="E128" s="18"/>
      <c r="F128" s="61"/>
      <c r="G128" s="73"/>
      <c r="H128" s="79"/>
      <c r="I128" s="79"/>
      <c r="J128" s="14"/>
      <c r="K128" s="38"/>
      <c r="L128" s="38"/>
      <c r="M128" s="17"/>
    </row>
    <row r="129" spans="2:13" ht="14.45" customHeight="1" x14ac:dyDescent="0.25">
      <c r="B129" s="17"/>
      <c r="C129" s="14"/>
      <c r="D129" s="14"/>
      <c r="E129" s="18"/>
      <c r="F129" s="61"/>
      <c r="G129" s="73"/>
      <c r="H129" s="79"/>
      <c r="I129" s="79"/>
      <c r="J129" s="14"/>
      <c r="K129" s="38"/>
      <c r="L129" s="38"/>
      <c r="M129" s="17"/>
    </row>
    <row r="130" spans="2:13" ht="14.45" customHeight="1" x14ac:dyDescent="0.25">
      <c r="B130" s="17"/>
      <c r="C130" s="14"/>
      <c r="D130" s="14"/>
      <c r="E130" s="18"/>
      <c r="F130" s="61"/>
      <c r="G130" s="73"/>
      <c r="H130" s="79"/>
      <c r="I130" s="79"/>
      <c r="J130" s="14"/>
      <c r="K130" s="38"/>
      <c r="L130" s="38"/>
      <c r="M130" s="17"/>
    </row>
    <row r="131" spans="2:13" ht="14.45" customHeight="1" x14ac:dyDescent="0.25">
      <c r="B131" s="17"/>
      <c r="C131" s="14"/>
      <c r="D131" s="14"/>
      <c r="E131" s="18"/>
      <c r="F131" s="61"/>
      <c r="G131" s="73"/>
      <c r="H131" s="79"/>
      <c r="I131" s="79"/>
      <c r="J131" s="14"/>
      <c r="K131" s="38"/>
      <c r="L131" s="38"/>
      <c r="M131" s="17"/>
    </row>
    <row r="132" spans="2:13" ht="14.45" customHeight="1" x14ac:dyDescent="0.25">
      <c r="B132" s="17"/>
      <c r="C132" s="14"/>
      <c r="D132" s="14"/>
      <c r="E132" s="18"/>
      <c r="F132" s="61"/>
      <c r="G132" s="73"/>
      <c r="H132" s="79"/>
      <c r="I132" s="79"/>
      <c r="J132" s="14"/>
      <c r="K132" s="38"/>
      <c r="L132" s="38"/>
      <c r="M132" s="17"/>
    </row>
    <row r="133" spans="2:13" ht="14.45" customHeight="1" x14ac:dyDescent="0.25">
      <c r="B133" s="17"/>
      <c r="C133" s="14"/>
      <c r="D133" s="14"/>
      <c r="E133" s="18"/>
      <c r="F133" s="61"/>
      <c r="G133" s="73"/>
      <c r="H133" s="79"/>
      <c r="I133" s="79"/>
      <c r="J133" s="14"/>
      <c r="K133" s="38"/>
      <c r="L133" s="38"/>
      <c r="M133" s="17"/>
    </row>
    <row r="134" spans="2:13" ht="14.45" customHeight="1" x14ac:dyDescent="0.25">
      <c r="B134" s="17"/>
      <c r="C134" s="14"/>
      <c r="D134" s="14"/>
      <c r="E134" s="18"/>
      <c r="F134" s="61"/>
      <c r="G134" s="73"/>
      <c r="H134" s="79"/>
      <c r="I134" s="79"/>
      <c r="J134" s="14"/>
      <c r="K134" s="38"/>
      <c r="L134" s="38"/>
      <c r="M134" s="17"/>
    </row>
    <row r="135" spans="2:13" ht="14.45" customHeight="1" x14ac:dyDescent="0.25">
      <c r="B135" s="17"/>
      <c r="C135" s="14"/>
      <c r="D135" s="14"/>
      <c r="E135" s="18"/>
      <c r="F135" s="61"/>
      <c r="G135" s="73"/>
      <c r="H135" s="79"/>
      <c r="I135" s="79"/>
      <c r="J135" s="14"/>
      <c r="K135" s="38"/>
      <c r="L135" s="38"/>
      <c r="M135" s="17"/>
    </row>
    <row r="136" spans="2:13" ht="14.45" customHeight="1" x14ac:dyDescent="0.25">
      <c r="B136" s="17"/>
      <c r="C136" s="14"/>
      <c r="D136" s="14"/>
      <c r="E136" s="18"/>
      <c r="F136" s="61"/>
      <c r="G136" s="73"/>
      <c r="H136" s="79"/>
      <c r="I136" s="79"/>
      <c r="J136" s="14"/>
      <c r="K136" s="38"/>
      <c r="L136" s="38"/>
      <c r="M136" s="17"/>
    </row>
    <row r="137" spans="2:13" ht="14.45" customHeight="1" x14ac:dyDescent="0.25">
      <c r="B137" s="17"/>
      <c r="C137" s="14"/>
      <c r="D137" s="14"/>
      <c r="E137" s="18"/>
      <c r="F137" s="61"/>
      <c r="G137" s="73"/>
      <c r="H137" s="79"/>
      <c r="I137" s="79"/>
      <c r="J137" s="14"/>
      <c r="K137" s="38"/>
      <c r="L137" s="38"/>
      <c r="M137" s="17"/>
    </row>
    <row r="138" spans="2:13" ht="14.45" customHeight="1" x14ac:dyDescent="0.25">
      <c r="B138" s="17"/>
      <c r="C138" s="14"/>
      <c r="D138" s="14"/>
      <c r="E138" s="18"/>
      <c r="F138" s="61"/>
      <c r="G138" s="73"/>
      <c r="H138" s="79"/>
      <c r="I138" s="79"/>
      <c r="J138" s="14"/>
      <c r="K138" s="38"/>
      <c r="L138" s="38"/>
      <c r="M138" s="17"/>
    </row>
    <row r="139" spans="2:13" ht="14.45" customHeight="1" x14ac:dyDescent="0.25">
      <c r="B139" s="17"/>
      <c r="C139" s="14"/>
      <c r="D139" s="14"/>
      <c r="E139" s="18"/>
      <c r="F139" s="61"/>
      <c r="G139" s="73"/>
      <c r="H139" s="79"/>
      <c r="I139" s="79"/>
      <c r="J139" s="14"/>
      <c r="K139" s="38"/>
      <c r="L139" s="38"/>
      <c r="M139" s="17"/>
    </row>
    <row r="140" spans="2:13" ht="14.45" customHeight="1" x14ac:dyDescent="0.25">
      <c r="B140" s="17"/>
      <c r="C140" s="14"/>
      <c r="D140" s="14"/>
      <c r="E140" s="18"/>
      <c r="F140" s="61"/>
      <c r="G140" s="73"/>
      <c r="H140" s="79"/>
      <c r="I140" s="79"/>
      <c r="J140" s="14"/>
      <c r="K140" s="38"/>
      <c r="L140" s="38"/>
      <c r="M140" s="17"/>
    </row>
    <row r="141" spans="2:13" ht="14.45" customHeight="1" x14ac:dyDescent="0.25">
      <c r="B141" s="17"/>
      <c r="C141" s="14"/>
      <c r="D141" s="14"/>
      <c r="E141" s="18"/>
      <c r="F141" s="61"/>
      <c r="G141" s="73"/>
      <c r="H141" s="79"/>
      <c r="I141" s="79"/>
      <c r="J141" s="14"/>
      <c r="K141" s="38"/>
      <c r="L141" s="38"/>
      <c r="M141" s="17"/>
    </row>
    <row r="142" spans="2:13" ht="14.45" customHeight="1" x14ac:dyDescent="0.25">
      <c r="B142" s="17"/>
      <c r="C142" s="14"/>
      <c r="D142" s="14"/>
      <c r="E142" s="18"/>
      <c r="F142" s="61"/>
      <c r="G142" s="73"/>
      <c r="H142" s="79"/>
      <c r="I142" s="79"/>
      <c r="J142" s="14"/>
      <c r="K142" s="38"/>
      <c r="L142" s="38"/>
      <c r="M142" s="17"/>
    </row>
    <row r="143" spans="2:13" ht="14.45" customHeight="1" x14ac:dyDescent="0.25">
      <c r="B143" s="17"/>
      <c r="C143" s="14"/>
      <c r="D143" s="14"/>
      <c r="E143" s="18"/>
      <c r="F143" s="61"/>
      <c r="G143" s="73"/>
      <c r="H143" s="79"/>
      <c r="I143" s="79"/>
      <c r="J143" s="14"/>
      <c r="K143" s="38"/>
      <c r="L143" s="38"/>
      <c r="M143" s="17"/>
    </row>
    <row r="144" spans="2:13" ht="14.45" customHeight="1" x14ac:dyDescent="0.25">
      <c r="B144" s="17"/>
      <c r="C144" s="14"/>
      <c r="D144" s="14"/>
      <c r="E144" s="18"/>
      <c r="F144" s="61"/>
      <c r="G144" s="73"/>
      <c r="H144" s="79"/>
      <c r="I144" s="79"/>
      <c r="J144" s="14"/>
      <c r="K144" s="38"/>
      <c r="L144" s="38"/>
      <c r="M144" s="17"/>
    </row>
    <row r="145" spans="2:13" ht="14.45" customHeight="1" x14ac:dyDescent="0.25">
      <c r="B145" s="17"/>
      <c r="C145" s="14"/>
      <c r="D145" s="14"/>
      <c r="E145" s="18"/>
      <c r="F145" s="61"/>
      <c r="G145" s="73"/>
      <c r="H145" s="79"/>
      <c r="I145" s="79"/>
      <c r="J145" s="14"/>
      <c r="K145" s="38"/>
      <c r="L145" s="38"/>
      <c r="M145" s="17"/>
    </row>
    <row r="146" spans="2:13" ht="14.45" customHeight="1" x14ac:dyDescent="0.25">
      <c r="B146" s="17"/>
      <c r="C146" s="14"/>
      <c r="D146" s="14"/>
      <c r="E146" s="18"/>
      <c r="F146" s="61"/>
      <c r="G146" s="73"/>
      <c r="H146" s="79"/>
      <c r="I146" s="79"/>
      <c r="J146" s="14"/>
      <c r="K146" s="38"/>
      <c r="L146" s="38"/>
      <c r="M146" s="17"/>
    </row>
    <row r="147" spans="2:13" ht="14.45" customHeight="1" x14ac:dyDescent="0.25">
      <c r="B147" s="17"/>
      <c r="C147" s="14"/>
      <c r="D147" s="14"/>
      <c r="E147" s="18"/>
      <c r="F147" s="61"/>
      <c r="G147" s="73"/>
      <c r="H147" s="79"/>
      <c r="I147" s="79"/>
      <c r="J147" s="14"/>
      <c r="K147" s="38"/>
      <c r="L147" s="38"/>
      <c r="M147" s="17"/>
    </row>
    <row r="148" spans="2:13" ht="14.45" customHeight="1" x14ac:dyDescent="0.25">
      <c r="B148" s="17"/>
      <c r="C148" s="14"/>
      <c r="D148" s="14"/>
      <c r="E148" s="18"/>
      <c r="F148" s="61"/>
      <c r="G148" s="73"/>
      <c r="H148" s="79"/>
      <c r="I148" s="79"/>
      <c r="J148" s="14"/>
      <c r="K148" s="38"/>
      <c r="L148" s="38"/>
      <c r="M148" s="17"/>
    </row>
    <row r="149" spans="2:13" ht="14.45" customHeight="1" x14ac:dyDescent="0.25">
      <c r="B149" s="17"/>
      <c r="C149" s="14"/>
      <c r="D149" s="14"/>
      <c r="E149" s="18"/>
      <c r="F149" s="61"/>
      <c r="G149" s="73"/>
      <c r="H149" s="79"/>
      <c r="I149" s="79"/>
      <c r="J149" s="14"/>
      <c r="K149" s="38"/>
      <c r="L149" s="38"/>
      <c r="M149" s="17"/>
    </row>
    <row r="150" spans="2:13" ht="14.45" customHeight="1" x14ac:dyDescent="0.25">
      <c r="B150" s="17"/>
      <c r="C150" s="14"/>
      <c r="D150" s="14"/>
      <c r="E150" s="18"/>
      <c r="F150" s="61"/>
      <c r="G150" s="73"/>
      <c r="H150" s="79"/>
      <c r="I150" s="79"/>
      <c r="J150" s="14"/>
      <c r="K150" s="38"/>
      <c r="L150" s="38"/>
      <c r="M150" s="17"/>
    </row>
    <row r="151" spans="2:13" ht="14.45" customHeight="1" x14ac:dyDescent="0.25">
      <c r="B151" s="17"/>
      <c r="C151" s="14"/>
      <c r="D151" s="14"/>
      <c r="E151" s="18"/>
      <c r="F151" s="61"/>
      <c r="G151" s="73"/>
      <c r="H151" s="79"/>
      <c r="I151" s="79"/>
      <c r="J151" s="14"/>
      <c r="K151" s="38"/>
      <c r="L151" s="38"/>
      <c r="M151" s="17"/>
    </row>
    <row r="152" spans="2:13" ht="14.45" customHeight="1" x14ac:dyDescent="0.25">
      <c r="B152" s="17"/>
      <c r="C152" s="14"/>
      <c r="D152" s="14"/>
      <c r="E152" s="18"/>
      <c r="F152" s="61"/>
      <c r="G152" s="73"/>
      <c r="H152" s="79"/>
      <c r="I152" s="79"/>
      <c r="J152" s="14"/>
      <c r="K152" s="38"/>
      <c r="L152" s="38"/>
      <c r="M152" s="17"/>
    </row>
    <row r="153" spans="2:13" ht="14.45" customHeight="1" x14ac:dyDescent="0.25">
      <c r="B153" s="17"/>
      <c r="C153" s="14"/>
      <c r="D153" s="14"/>
      <c r="E153" s="18"/>
      <c r="F153" s="61"/>
      <c r="G153" s="73"/>
      <c r="H153" s="79"/>
      <c r="I153" s="79"/>
      <c r="J153" s="14"/>
      <c r="K153" s="38"/>
      <c r="L153" s="38"/>
      <c r="M153" s="17"/>
    </row>
    <row r="154" spans="2:13" ht="14.45" customHeight="1" x14ac:dyDescent="0.25">
      <c r="B154" s="17"/>
      <c r="C154" s="14"/>
      <c r="D154" s="14"/>
      <c r="E154" s="18"/>
      <c r="F154" s="61"/>
      <c r="G154" s="73"/>
      <c r="H154" s="79"/>
      <c r="I154" s="79"/>
      <c r="J154" s="14"/>
      <c r="K154" s="38"/>
      <c r="L154" s="38"/>
      <c r="M154" s="17"/>
    </row>
    <row r="155" spans="2:13" ht="14.45" customHeight="1" x14ac:dyDescent="0.25">
      <c r="B155" s="17"/>
      <c r="C155" s="14"/>
      <c r="D155" s="14"/>
      <c r="E155" s="18"/>
      <c r="F155" s="61"/>
      <c r="G155" s="73"/>
      <c r="H155" s="79"/>
      <c r="I155" s="79"/>
      <c r="J155" s="14"/>
      <c r="K155" s="38"/>
      <c r="L155" s="38"/>
      <c r="M155" s="17"/>
    </row>
    <row r="156" spans="2:13" ht="14.45" customHeight="1" x14ac:dyDescent="0.25">
      <c r="B156" s="17"/>
      <c r="C156" s="14"/>
      <c r="D156" s="14"/>
      <c r="E156" s="18"/>
      <c r="F156" s="61"/>
      <c r="G156" s="73"/>
      <c r="H156" s="79"/>
      <c r="I156" s="79"/>
      <c r="J156" s="14"/>
      <c r="K156" s="38"/>
      <c r="L156" s="38"/>
      <c r="M156" s="17"/>
    </row>
    <row r="157" spans="2:13" ht="14.45" customHeight="1" x14ac:dyDescent="0.25">
      <c r="B157" s="17"/>
      <c r="C157" s="14"/>
      <c r="D157" s="14"/>
      <c r="E157" s="18"/>
      <c r="F157" s="61"/>
      <c r="G157" s="73"/>
      <c r="H157" s="79"/>
      <c r="I157" s="79"/>
      <c r="J157" s="14"/>
      <c r="K157" s="38"/>
      <c r="L157" s="38"/>
      <c r="M157" s="17"/>
    </row>
    <row r="158" spans="2:13" ht="14.45" customHeight="1" x14ac:dyDescent="0.25">
      <c r="B158" s="17"/>
      <c r="C158" s="14"/>
      <c r="D158" s="14"/>
      <c r="E158" s="18"/>
      <c r="F158" s="61"/>
      <c r="G158" s="73"/>
      <c r="H158" s="79"/>
      <c r="I158" s="79"/>
      <c r="J158" s="14"/>
      <c r="K158" s="38"/>
      <c r="L158" s="38"/>
      <c r="M158" s="17"/>
    </row>
    <row r="159" spans="2:13" ht="14.45" customHeight="1" x14ac:dyDescent="0.25">
      <c r="B159" s="17"/>
      <c r="C159" s="14"/>
      <c r="D159" s="14"/>
      <c r="E159" s="18"/>
      <c r="F159" s="61"/>
      <c r="G159" s="73"/>
      <c r="H159" s="79"/>
      <c r="I159" s="79"/>
      <c r="J159" s="14"/>
      <c r="K159" s="38"/>
      <c r="L159" s="38"/>
      <c r="M159" s="17"/>
    </row>
    <row r="160" spans="2:13" ht="14.45" customHeight="1" x14ac:dyDescent="0.25">
      <c r="B160" s="17"/>
      <c r="C160" s="14"/>
      <c r="D160" s="14"/>
      <c r="E160" s="18"/>
      <c r="F160" s="61"/>
      <c r="G160" s="73"/>
      <c r="H160" s="79"/>
      <c r="I160" s="79"/>
      <c r="J160" s="14"/>
      <c r="K160" s="38"/>
      <c r="L160" s="38"/>
      <c r="M160" s="17"/>
    </row>
    <row r="161" spans="2:13" ht="14.45" customHeight="1" x14ac:dyDescent="0.25">
      <c r="B161" s="17"/>
      <c r="C161" s="14"/>
      <c r="D161" s="14"/>
      <c r="E161" s="18"/>
      <c r="F161" s="61"/>
      <c r="G161" s="73"/>
      <c r="H161" s="79"/>
      <c r="I161" s="79"/>
      <c r="J161" s="14"/>
      <c r="K161" s="38"/>
      <c r="L161" s="38"/>
      <c r="M161" s="17"/>
    </row>
    <row r="162" spans="2:13" ht="14.45" customHeight="1" x14ac:dyDescent="0.25">
      <c r="B162" s="17"/>
      <c r="C162" s="14"/>
      <c r="D162" s="14"/>
      <c r="E162" s="18"/>
      <c r="F162" s="61"/>
      <c r="G162" s="73"/>
      <c r="H162" s="79"/>
      <c r="I162" s="79"/>
      <c r="J162" s="14"/>
      <c r="K162" s="38"/>
      <c r="L162" s="38"/>
      <c r="M162" s="17"/>
    </row>
    <row r="163" spans="2:13" ht="14.45" customHeight="1" x14ac:dyDescent="0.25">
      <c r="B163" s="17"/>
      <c r="C163" s="14"/>
      <c r="D163" s="14"/>
      <c r="E163" s="18"/>
      <c r="F163" s="61"/>
      <c r="G163" s="73"/>
      <c r="H163" s="79"/>
      <c r="I163" s="79"/>
      <c r="J163" s="14"/>
      <c r="K163" s="38"/>
      <c r="L163" s="38"/>
      <c r="M163" s="17"/>
    </row>
    <row r="164" spans="2:13" ht="14.45" customHeight="1" x14ac:dyDescent="0.25">
      <c r="B164" s="17"/>
      <c r="C164" s="14"/>
      <c r="D164" s="14"/>
      <c r="E164" s="18"/>
      <c r="F164" s="61"/>
      <c r="G164" s="73"/>
      <c r="H164" s="79"/>
      <c r="I164" s="79"/>
      <c r="J164" s="14"/>
      <c r="K164" s="38"/>
      <c r="L164" s="38"/>
      <c r="M164" s="17"/>
    </row>
    <row r="165" spans="2:13" ht="14.45" customHeight="1" x14ac:dyDescent="0.25">
      <c r="B165" s="17"/>
      <c r="C165" s="14"/>
      <c r="D165" s="14"/>
      <c r="E165" s="18"/>
      <c r="F165" s="61"/>
      <c r="G165" s="73"/>
      <c r="H165" s="79"/>
      <c r="I165" s="79"/>
      <c r="J165" s="14"/>
      <c r="K165" s="38"/>
      <c r="L165" s="38"/>
      <c r="M165" s="17"/>
    </row>
    <row r="166" spans="2:13" ht="14.45" customHeight="1" x14ac:dyDescent="0.25">
      <c r="B166" s="17"/>
      <c r="C166" s="14"/>
      <c r="D166" s="14"/>
      <c r="E166" s="18"/>
      <c r="F166" s="61"/>
      <c r="G166" s="73"/>
      <c r="H166" s="79"/>
      <c r="I166" s="79"/>
      <c r="J166" s="14"/>
      <c r="K166" s="38"/>
      <c r="L166" s="38"/>
      <c r="M166" s="17"/>
    </row>
    <row r="167" spans="2:13" ht="14.45" customHeight="1" x14ac:dyDescent="0.25">
      <c r="B167" s="17"/>
      <c r="C167" s="14"/>
      <c r="D167" s="14"/>
      <c r="E167" s="18"/>
      <c r="F167" s="61"/>
      <c r="G167" s="73"/>
      <c r="H167" s="79"/>
      <c r="I167" s="79"/>
      <c r="J167" s="14"/>
      <c r="K167" s="38"/>
      <c r="L167" s="38"/>
      <c r="M167" s="17"/>
    </row>
    <row r="168" spans="2:13" ht="14.45" customHeight="1" x14ac:dyDescent="0.25">
      <c r="B168" s="17"/>
      <c r="C168" s="14"/>
      <c r="D168" s="14"/>
      <c r="E168" s="18"/>
      <c r="F168" s="61"/>
      <c r="G168" s="73"/>
      <c r="H168" s="79"/>
      <c r="I168" s="79"/>
      <c r="J168" s="14"/>
      <c r="K168" s="38"/>
      <c r="L168" s="38"/>
      <c r="M168" s="17"/>
    </row>
    <row r="169" spans="2:13" ht="14.45" customHeight="1" x14ac:dyDescent="0.25">
      <c r="B169" s="17"/>
      <c r="C169" s="14"/>
      <c r="D169" s="14"/>
      <c r="E169" s="18"/>
      <c r="F169" s="61"/>
      <c r="G169" s="73"/>
      <c r="H169" s="79"/>
      <c r="I169" s="79"/>
      <c r="J169" s="14"/>
      <c r="K169" s="38"/>
      <c r="L169" s="38"/>
      <c r="M169" s="17"/>
    </row>
    <row r="170" spans="2:13" ht="14.45" customHeight="1" x14ac:dyDescent="0.25">
      <c r="B170" s="17"/>
      <c r="C170" s="14"/>
      <c r="D170" s="14"/>
      <c r="E170" s="18"/>
      <c r="F170" s="61"/>
      <c r="G170" s="73"/>
      <c r="H170" s="79"/>
      <c r="I170" s="79"/>
      <c r="J170" s="14"/>
      <c r="K170" s="38"/>
      <c r="L170" s="38"/>
      <c r="M170" s="17"/>
    </row>
    <row r="171" spans="2:13" ht="14.45" customHeight="1" x14ac:dyDescent="0.25">
      <c r="B171" s="17"/>
      <c r="C171" s="14"/>
      <c r="D171" s="14"/>
      <c r="E171" s="18"/>
      <c r="F171" s="61"/>
      <c r="G171" s="73"/>
      <c r="H171" s="79"/>
      <c r="I171" s="79"/>
      <c r="J171" s="14"/>
      <c r="K171" s="38"/>
      <c r="L171" s="38"/>
      <c r="M171" s="17"/>
    </row>
    <row r="172" spans="2:13" ht="14.45" customHeight="1" x14ac:dyDescent="0.25">
      <c r="B172" s="17"/>
      <c r="C172" s="14"/>
      <c r="D172" s="14"/>
      <c r="E172" s="18"/>
      <c r="F172" s="61"/>
      <c r="G172" s="73"/>
      <c r="H172" s="79"/>
      <c r="I172" s="79"/>
      <c r="J172" s="14"/>
      <c r="K172" s="38"/>
      <c r="L172" s="38"/>
      <c r="M172" s="17"/>
    </row>
    <row r="173" spans="2:13" ht="14.45" customHeight="1" x14ac:dyDescent="0.25">
      <c r="B173" s="17"/>
      <c r="C173" s="14"/>
      <c r="D173" s="14"/>
      <c r="E173" s="18"/>
      <c r="F173" s="61"/>
      <c r="G173" s="73"/>
      <c r="H173" s="79"/>
      <c r="I173" s="79"/>
      <c r="J173" s="14"/>
      <c r="K173" s="38"/>
      <c r="L173" s="38"/>
      <c r="M173" s="17"/>
    </row>
    <row r="174" spans="2:13" ht="14.45" customHeight="1" x14ac:dyDescent="0.25">
      <c r="B174" s="17"/>
      <c r="C174" s="14"/>
      <c r="D174" s="14"/>
      <c r="E174" s="18"/>
      <c r="F174" s="61"/>
      <c r="G174" s="73"/>
      <c r="H174" s="79"/>
      <c r="I174" s="79"/>
      <c r="J174" s="14"/>
      <c r="K174" s="38"/>
      <c r="L174" s="38"/>
      <c r="M174" s="17"/>
    </row>
    <row r="175" spans="2:13" ht="14.45" customHeight="1" x14ac:dyDescent="0.25">
      <c r="B175" s="17"/>
      <c r="C175" s="14"/>
      <c r="D175" s="14"/>
      <c r="E175" s="18"/>
      <c r="F175" s="61"/>
      <c r="G175" s="73"/>
      <c r="H175" s="79"/>
      <c r="I175" s="79"/>
      <c r="J175" s="14"/>
      <c r="K175" s="38"/>
      <c r="L175" s="38"/>
      <c r="M175" s="17"/>
    </row>
    <row r="176" spans="2:13" ht="14.45" customHeight="1" x14ac:dyDescent="0.25">
      <c r="B176" s="17"/>
      <c r="C176" s="14"/>
      <c r="D176" s="14"/>
      <c r="E176" s="18"/>
      <c r="F176" s="61"/>
      <c r="G176" s="73"/>
      <c r="H176" s="79"/>
      <c r="I176" s="79"/>
      <c r="J176" s="14"/>
      <c r="K176" s="38"/>
      <c r="L176" s="38"/>
      <c r="M176" s="17"/>
    </row>
    <row r="177" spans="2:13" ht="14.45" customHeight="1" x14ac:dyDescent="0.25">
      <c r="B177" s="17"/>
      <c r="C177" s="14"/>
      <c r="D177" s="14"/>
      <c r="E177" s="18"/>
      <c r="F177" s="61"/>
      <c r="G177" s="73"/>
      <c r="H177" s="79"/>
      <c r="I177" s="79"/>
      <c r="J177" s="14"/>
      <c r="K177" s="38"/>
      <c r="L177" s="38"/>
      <c r="M177" s="17"/>
    </row>
    <row r="178" spans="2:13" ht="14.45" customHeight="1" x14ac:dyDescent="0.25">
      <c r="B178" s="17"/>
      <c r="C178" s="14"/>
      <c r="D178" s="14"/>
      <c r="E178" s="18"/>
      <c r="F178" s="61"/>
      <c r="G178" s="73"/>
      <c r="H178" s="79"/>
      <c r="I178" s="79"/>
      <c r="J178" s="14"/>
      <c r="K178" s="38"/>
      <c r="L178" s="38"/>
      <c r="M178" s="17"/>
    </row>
    <row r="179" spans="2:13" ht="14.45" customHeight="1" x14ac:dyDescent="0.25">
      <c r="B179" s="17"/>
      <c r="C179" s="14"/>
      <c r="D179" s="14"/>
      <c r="E179" s="18"/>
      <c r="F179" s="61"/>
      <c r="G179" s="73"/>
      <c r="H179" s="79"/>
      <c r="I179" s="79"/>
      <c r="J179" s="14"/>
      <c r="K179" s="38"/>
      <c r="L179" s="38"/>
      <c r="M179" s="17"/>
    </row>
    <row r="180" spans="2:13" ht="14.45" customHeight="1" x14ac:dyDescent="0.25">
      <c r="B180" s="17"/>
      <c r="C180" s="14"/>
      <c r="D180" s="14"/>
      <c r="E180" s="18"/>
      <c r="F180" s="61"/>
      <c r="G180" s="73"/>
      <c r="H180" s="79"/>
      <c r="I180" s="79"/>
      <c r="J180" s="14"/>
      <c r="K180" s="38"/>
      <c r="L180" s="38"/>
      <c r="M180" s="17"/>
    </row>
    <row r="181" spans="2:13" ht="14.45" customHeight="1" x14ac:dyDescent="0.25">
      <c r="B181" s="17"/>
      <c r="C181" s="14"/>
      <c r="D181" s="14"/>
      <c r="E181" s="18"/>
      <c r="F181" s="61"/>
      <c r="G181" s="73"/>
      <c r="H181" s="79"/>
      <c r="I181" s="79"/>
      <c r="J181" s="14"/>
      <c r="K181" s="38"/>
      <c r="L181" s="38"/>
      <c r="M181" s="17"/>
    </row>
    <row r="182" spans="2:13" ht="14.45" customHeight="1" x14ac:dyDescent="0.25">
      <c r="B182" s="17"/>
      <c r="C182" s="14"/>
      <c r="D182" s="14"/>
      <c r="E182" s="18"/>
      <c r="F182" s="61"/>
      <c r="G182" s="73"/>
      <c r="H182" s="79"/>
      <c r="I182" s="79"/>
      <c r="J182" s="14"/>
      <c r="K182" s="38"/>
      <c r="L182" s="38"/>
      <c r="M182" s="17"/>
    </row>
    <row r="183" spans="2:13" ht="14.45" customHeight="1" x14ac:dyDescent="0.25">
      <c r="B183" s="17"/>
      <c r="C183" s="14"/>
      <c r="D183" s="14"/>
      <c r="E183" s="18"/>
      <c r="F183" s="61"/>
      <c r="G183" s="73"/>
      <c r="H183" s="79"/>
      <c r="I183" s="79"/>
      <c r="J183" s="14"/>
      <c r="K183" s="38"/>
      <c r="L183" s="38"/>
      <c r="M183" s="17"/>
    </row>
    <row r="184" spans="2:13" ht="14.45" customHeight="1" x14ac:dyDescent="0.25">
      <c r="B184" s="17"/>
      <c r="C184" s="14"/>
      <c r="D184" s="14"/>
      <c r="E184" s="18"/>
      <c r="F184" s="61"/>
      <c r="G184" s="73"/>
      <c r="H184" s="79"/>
      <c r="I184" s="79"/>
      <c r="J184" s="14"/>
      <c r="K184" s="38"/>
      <c r="L184" s="38"/>
      <c r="M184" s="17"/>
    </row>
    <row r="185" spans="2:13" ht="14.45" customHeight="1" x14ac:dyDescent="0.25">
      <c r="B185" s="17"/>
      <c r="C185" s="14"/>
      <c r="D185" s="14"/>
      <c r="E185" s="18"/>
      <c r="F185" s="61"/>
      <c r="G185" s="73"/>
      <c r="H185" s="79"/>
      <c r="I185" s="79"/>
      <c r="J185" s="14"/>
      <c r="K185" s="38"/>
      <c r="L185" s="38"/>
      <c r="M185" s="17"/>
    </row>
    <row r="186" spans="2:13" ht="14.45" customHeight="1" x14ac:dyDescent="0.25">
      <c r="B186" s="17"/>
      <c r="C186" s="14"/>
      <c r="D186" s="14"/>
      <c r="E186" s="18"/>
      <c r="F186" s="61"/>
      <c r="G186" s="73"/>
      <c r="H186" s="79"/>
      <c r="I186" s="79"/>
      <c r="J186" s="14"/>
      <c r="K186" s="38"/>
      <c r="L186" s="38"/>
      <c r="M186" s="17"/>
    </row>
    <row r="187" spans="2:13" ht="14.45" customHeight="1" x14ac:dyDescent="0.25">
      <c r="B187" s="17"/>
      <c r="C187" s="14"/>
      <c r="D187" s="14"/>
      <c r="E187" s="18"/>
      <c r="F187" s="61"/>
      <c r="G187" s="73"/>
      <c r="H187" s="79"/>
      <c r="I187" s="79"/>
      <c r="J187" s="14"/>
      <c r="K187" s="38"/>
      <c r="L187" s="38"/>
      <c r="M187" s="17"/>
    </row>
    <row r="188" spans="2:13" ht="14.45" customHeight="1" x14ac:dyDescent="0.25">
      <c r="B188" s="17"/>
      <c r="C188" s="14"/>
      <c r="D188" s="14"/>
      <c r="E188" s="18"/>
      <c r="F188" s="61"/>
      <c r="G188" s="73"/>
      <c r="H188" s="79"/>
      <c r="I188" s="79"/>
      <c r="J188" s="14"/>
      <c r="K188" s="38"/>
      <c r="L188" s="38"/>
      <c r="M188" s="17"/>
    </row>
    <row r="189" spans="2:13" ht="14.45" customHeight="1" x14ac:dyDescent="0.25">
      <c r="B189" s="17"/>
      <c r="C189" s="14"/>
      <c r="D189" s="14"/>
      <c r="E189" s="18"/>
      <c r="F189" s="61"/>
      <c r="G189" s="73"/>
      <c r="H189" s="79"/>
      <c r="I189" s="79"/>
      <c r="J189" s="14"/>
      <c r="K189" s="38"/>
      <c r="L189" s="38"/>
      <c r="M189" s="17"/>
    </row>
    <row r="190" spans="2:13" ht="14.45" customHeight="1" x14ac:dyDescent="0.25">
      <c r="B190" s="17"/>
      <c r="C190" s="14"/>
      <c r="D190" s="14"/>
      <c r="E190" s="18"/>
      <c r="F190" s="61"/>
      <c r="G190" s="73"/>
      <c r="H190" s="79"/>
      <c r="I190" s="79"/>
      <c r="J190" s="14"/>
      <c r="K190" s="38"/>
      <c r="L190" s="38"/>
      <c r="M190" s="17"/>
    </row>
    <row r="191" spans="2:13" ht="14.45" customHeight="1" x14ac:dyDescent="0.25">
      <c r="B191" s="17"/>
      <c r="C191" s="14"/>
      <c r="D191" s="14"/>
      <c r="E191" s="18"/>
      <c r="F191" s="61"/>
      <c r="G191" s="73"/>
      <c r="H191" s="79"/>
      <c r="I191" s="79"/>
      <c r="J191" s="14"/>
      <c r="K191" s="38"/>
      <c r="L191" s="38"/>
      <c r="M191" s="17"/>
    </row>
    <row r="192" spans="2:13" ht="14.45" customHeight="1" x14ac:dyDescent="0.25">
      <c r="B192" s="17"/>
      <c r="C192" s="14"/>
      <c r="D192" s="14"/>
      <c r="E192" s="18"/>
      <c r="F192" s="61"/>
      <c r="G192" s="73"/>
      <c r="H192" s="79"/>
      <c r="I192" s="79"/>
      <c r="J192" s="14"/>
      <c r="K192" s="38"/>
      <c r="L192" s="38"/>
      <c r="M192" s="17"/>
    </row>
    <row r="193" spans="2:13" ht="14.45" customHeight="1" x14ac:dyDescent="0.25">
      <c r="B193" s="17"/>
      <c r="C193" s="14"/>
      <c r="D193" s="14"/>
      <c r="E193" s="18"/>
      <c r="F193" s="61"/>
      <c r="G193" s="73"/>
      <c r="H193" s="79"/>
      <c r="I193" s="79"/>
      <c r="J193" s="14"/>
      <c r="K193" s="38"/>
      <c r="L193" s="38"/>
      <c r="M193" s="17"/>
    </row>
    <row r="194" spans="2:13" ht="14.45" customHeight="1" x14ac:dyDescent="0.25">
      <c r="B194" s="17"/>
      <c r="C194" s="14"/>
      <c r="D194" s="14"/>
      <c r="E194" s="18"/>
      <c r="F194" s="61"/>
      <c r="G194" s="73"/>
      <c r="H194" s="79"/>
      <c r="I194" s="79"/>
      <c r="J194" s="14"/>
      <c r="K194" s="38"/>
      <c r="L194" s="38"/>
      <c r="M194" s="17"/>
    </row>
    <row r="195" spans="2:13" ht="14.45" customHeight="1" x14ac:dyDescent="0.25">
      <c r="B195" s="17"/>
      <c r="C195" s="14"/>
      <c r="D195" s="14"/>
      <c r="E195" s="18"/>
      <c r="F195" s="61"/>
      <c r="G195" s="73"/>
      <c r="H195" s="79"/>
      <c r="I195" s="79"/>
      <c r="J195" s="14"/>
      <c r="K195" s="38"/>
      <c r="L195" s="38"/>
      <c r="M195" s="17"/>
    </row>
    <row r="196" spans="2:13" ht="14.45" customHeight="1" x14ac:dyDescent="0.25">
      <c r="B196" s="17"/>
      <c r="C196" s="14"/>
      <c r="D196" s="14"/>
      <c r="E196" s="18"/>
      <c r="F196" s="61"/>
      <c r="G196" s="73"/>
      <c r="H196" s="79"/>
      <c r="I196" s="79"/>
      <c r="J196" s="14"/>
      <c r="K196" s="38"/>
      <c r="L196" s="38"/>
      <c r="M196" s="17"/>
    </row>
    <row r="197" spans="2:13" ht="14.45" customHeight="1" x14ac:dyDescent="0.25">
      <c r="B197" s="17"/>
      <c r="C197" s="14"/>
      <c r="D197" s="14"/>
      <c r="E197" s="18"/>
      <c r="F197" s="61"/>
      <c r="G197" s="73"/>
      <c r="H197" s="79"/>
      <c r="I197" s="79"/>
      <c r="J197" s="14"/>
      <c r="K197" s="38"/>
      <c r="L197" s="38"/>
      <c r="M197" s="17"/>
    </row>
    <row r="198" spans="2:13" ht="14.45" customHeight="1" x14ac:dyDescent="0.25">
      <c r="B198" s="17"/>
      <c r="C198" s="14"/>
      <c r="D198" s="14"/>
      <c r="E198" s="18"/>
      <c r="F198" s="61"/>
      <c r="G198" s="73"/>
      <c r="H198" s="79"/>
      <c r="I198" s="79"/>
      <c r="J198" s="14"/>
      <c r="K198" s="38"/>
      <c r="L198" s="38"/>
      <c r="M198" s="17"/>
    </row>
    <row r="199" spans="2:13" ht="14.45" customHeight="1" x14ac:dyDescent="0.25">
      <c r="B199" s="17"/>
      <c r="C199" s="14"/>
      <c r="D199" s="14"/>
      <c r="E199" s="18"/>
      <c r="F199" s="61"/>
      <c r="G199" s="73"/>
      <c r="H199" s="79"/>
      <c r="I199" s="79"/>
      <c r="J199" s="14"/>
      <c r="K199" s="38"/>
      <c r="L199" s="38"/>
      <c r="M199" s="17"/>
    </row>
    <row r="200" spans="2:13" ht="14.45" customHeight="1" x14ac:dyDescent="0.25">
      <c r="B200" s="17"/>
      <c r="C200" s="14"/>
      <c r="D200" s="14"/>
      <c r="E200" s="18"/>
      <c r="F200" s="61"/>
      <c r="G200" s="73"/>
      <c r="H200" s="79"/>
      <c r="I200" s="79"/>
      <c r="J200" s="14"/>
      <c r="K200" s="38"/>
      <c r="L200" s="38"/>
      <c r="M200" s="17"/>
    </row>
    <row r="201" spans="2:13" ht="14.45" customHeight="1" x14ac:dyDescent="0.25">
      <c r="B201" s="17"/>
      <c r="C201" s="14"/>
      <c r="D201" s="14"/>
      <c r="E201" s="18"/>
      <c r="F201" s="61"/>
      <c r="G201" s="73"/>
      <c r="H201" s="79"/>
      <c r="I201" s="79"/>
      <c r="J201" s="14"/>
      <c r="K201" s="38"/>
      <c r="L201" s="38"/>
      <c r="M201" s="17"/>
    </row>
    <row r="202" spans="2:13" ht="14.45" customHeight="1" x14ac:dyDescent="0.25">
      <c r="B202" s="17"/>
      <c r="C202" s="14"/>
      <c r="D202" s="14"/>
      <c r="E202" s="18"/>
      <c r="F202" s="61"/>
      <c r="G202" s="73"/>
      <c r="H202" s="79"/>
      <c r="I202" s="79"/>
      <c r="J202" s="14"/>
      <c r="K202" s="38"/>
      <c r="L202" s="38"/>
      <c r="M202" s="17"/>
    </row>
    <row r="203" spans="2:13" ht="14.45" customHeight="1" x14ac:dyDescent="0.25">
      <c r="B203" s="17"/>
      <c r="C203" s="14"/>
      <c r="D203" s="14"/>
      <c r="E203" s="18"/>
      <c r="F203" s="61"/>
      <c r="G203" s="73"/>
      <c r="H203" s="79"/>
      <c r="I203" s="79"/>
      <c r="J203" s="14"/>
      <c r="K203" s="38"/>
      <c r="L203" s="38"/>
      <c r="M203" s="17"/>
    </row>
    <row r="204" spans="2:13" ht="14.45" customHeight="1" x14ac:dyDescent="0.25">
      <c r="B204" s="17"/>
      <c r="C204" s="14"/>
      <c r="D204" s="14"/>
      <c r="E204" s="18"/>
      <c r="F204" s="61"/>
      <c r="G204" s="73"/>
      <c r="H204" s="79"/>
      <c r="I204" s="79"/>
      <c r="J204" s="14"/>
      <c r="K204" s="38"/>
      <c r="L204" s="38"/>
      <c r="M204" s="17"/>
    </row>
    <row r="205" spans="2:13" ht="14.45" customHeight="1" x14ac:dyDescent="0.25">
      <c r="B205" s="17"/>
      <c r="C205" s="14"/>
      <c r="D205" s="14"/>
      <c r="E205" s="18"/>
      <c r="F205" s="61"/>
      <c r="G205" s="73"/>
      <c r="H205" s="79"/>
      <c r="I205" s="79"/>
      <c r="J205" s="14"/>
      <c r="K205" s="38"/>
      <c r="L205" s="38"/>
      <c r="M205" s="17"/>
    </row>
    <row r="206" spans="2:13" ht="14.45" customHeight="1" x14ac:dyDescent="0.25">
      <c r="B206" s="17"/>
      <c r="C206" s="14"/>
      <c r="D206" s="14"/>
      <c r="E206" s="18"/>
      <c r="F206" s="61"/>
      <c r="G206" s="73"/>
      <c r="H206" s="79"/>
      <c r="I206" s="79"/>
      <c r="J206" s="14"/>
      <c r="K206" s="38"/>
      <c r="L206" s="38"/>
      <c r="M206" s="17"/>
    </row>
    <row r="207" spans="2:13" ht="14.45" customHeight="1" x14ac:dyDescent="0.25">
      <c r="B207" s="17"/>
      <c r="C207" s="14"/>
      <c r="D207" s="14"/>
      <c r="E207" s="18"/>
      <c r="F207" s="61"/>
      <c r="G207" s="73"/>
      <c r="H207" s="79"/>
      <c r="I207" s="79"/>
      <c r="J207" s="14"/>
      <c r="K207" s="38"/>
      <c r="L207" s="38"/>
      <c r="M207" s="17"/>
    </row>
    <row r="208" spans="2:13" ht="14.45" customHeight="1" x14ac:dyDescent="0.25">
      <c r="B208" s="17"/>
      <c r="C208" s="14"/>
      <c r="D208" s="14"/>
      <c r="E208" s="18"/>
      <c r="F208" s="61"/>
      <c r="G208" s="73"/>
      <c r="H208" s="79"/>
      <c r="I208" s="79"/>
      <c r="J208" s="14"/>
      <c r="K208" s="38"/>
      <c r="L208" s="38"/>
      <c r="M208" s="17"/>
    </row>
    <row r="209" spans="2:13" ht="14.45" customHeight="1" x14ac:dyDescent="0.25">
      <c r="B209" s="17"/>
      <c r="C209" s="14"/>
      <c r="D209" s="14"/>
      <c r="E209" s="18"/>
      <c r="F209" s="61"/>
      <c r="G209" s="73"/>
      <c r="H209" s="79"/>
      <c r="I209" s="79"/>
      <c r="J209" s="14"/>
      <c r="K209" s="38"/>
      <c r="L209" s="38"/>
      <c r="M209" s="17"/>
    </row>
    <row r="210" spans="2:13" ht="14.45" customHeight="1" x14ac:dyDescent="0.25">
      <c r="B210" s="17"/>
      <c r="C210" s="14"/>
      <c r="D210" s="14"/>
      <c r="E210" s="18"/>
      <c r="F210" s="61"/>
      <c r="G210" s="73"/>
      <c r="H210" s="79"/>
      <c r="I210" s="79"/>
      <c r="J210" s="14"/>
      <c r="K210" s="38"/>
      <c r="L210" s="38"/>
      <c r="M210" s="17"/>
    </row>
    <row r="211" spans="2:13" ht="14.45" customHeight="1" x14ac:dyDescent="0.25">
      <c r="B211" s="17"/>
      <c r="C211" s="14"/>
      <c r="D211" s="14"/>
      <c r="E211" s="18"/>
      <c r="F211" s="61"/>
      <c r="G211" s="73"/>
      <c r="H211" s="79"/>
      <c r="I211" s="79"/>
      <c r="J211" s="14"/>
      <c r="K211" s="38"/>
      <c r="L211" s="38"/>
      <c r="M211" s="17"/>
    </row>
    <row r="212" spans="2:13" ht="14.45" customHeight="1" x14ac:dyDescent="0.25">
      <c r="B212" s="17"/>
      <c r="C212" s="14"/>
      <c r="D212" s="14"/>
      <c r="E212" s="18"/>
      <c r="F212" s="61"/>
      <c r="G212" s="73"/>
      <c r="H212" s="79"/>
      <c r="I212" s="79"/>
      <c r="J212" s="14"/>
      <c r="K212" s="38"/>
      <c r="L212" s="38"/>
      <c r="M212" s="17"/>
    </row>
    <row r="213" spans="2:13" ht="14.45" customHeight="1" x14ac:dyDescent="0.25">
      <c r="B213" s="17"/>
      <c r="C213" s="14"/>
      <c r="D213" s="14"/>
      <c r="E213" s="18"/>
      <c r="F213" s="61"/>
      <c r="G213" s="73"/>
      <c r="H213" s="79"/>
      <c r="I213" s="79"/>
      <c r="J213" s="14"/>
      <c r="K213" s="38"/>
      <c r="L213" s="38"/>
      <c r="M213" s="17"/>
    </row>
    <row r="214" spans="2:13" ht="14.45" customHeight="1" x14ac:dyDescent="0.25">
      <c r="B214" s="17"/>
      <c r="C214" s="14"/>
      <c r="D214" s="14"/>
      <c r="E214" s="18"/>
      <c r="F214" s="61"/>
      <c r="G214" s="73"/>
      <c r="H214" s="79"/>
      <c r="I214" s="79"/>
      <c r="J214" s="14"/>
      <c r="K214" s="38"/>
      <c r="L214" s="38"/>
      <c r="M214" s="17"/>
    </row>
    <row r="215" spans="2:13" ht="14.45" customHeight="1" x14ac:dyDescent="0.25">
      <c r="B215" s="17"/>
      <c r="C215" s="14"/>
      <c r="D215" s="14"/>
      <c r="E215" s="18"/>
      <c r="F215" s="61"/>
      <c r="G215" s="73"/>
      <c r="H215" s="79"/>
      <c r="I215" s="79"/>
      <c r="J215" s="14"/>
      <c r="K215" s="38"/>
      <c r="L215" s="38"/>
      <c r="M215" s="17"/>
    </row>
    <row r="216" spans="2:13" ht="14.45" customHeight="1" x14ac:dyDescent="0.25">
      <c r="B216" s="17"/>
      <c r="C216" s="14"/>
      <c r="D216" s="14"/>
      <c r="E216" s="18"/>
      <c r="F216" s="61"/>
      <c r="G216" s="73"/>
      <c r="H216" s="79"/>
      <c r="I216" s="79"/>
      <c r="J216" s="14"/>
      <c r="K216" s="38"/>
      <c r="L216" s="38"/>
      <c r="M216" s="17"/>
    </row>
    <row r="217" spans="2:13" ht="14.45" customHeight="1" x14ac:dyDescent="0.25">
      <c r="B217" s="17"/>
      <c r="C217" s="14"/>
      <c r="D217" s="14"/>
      <c r="E217" s="18"/>
      <c r="F217" s="61"/>
      <c r="G217" s="73"/>
      <c r="H217" s="79"/>
      <c r="I217" s="79"/>
      <c r="J217" s="14"/>
      <c r="K217" s="38"/>
      <c r="L217" s="38"/>
      <c r="M217" s="17"/>
    </row>
    <row r="218" spans="2:13" ht="14.45" customHeight="1" x14ac:dyDescent="0.25">
      <c r="B218" s="17"/>
      <c r="C218" s="14"/>
      <c r="D218" s="14"/>
      <c r="E218" s="18"/>
      <c r="F218" s="61"/>
      <c r="G218" s="73"/>
      <c r="H218" s="79"/>
      <c r="I218" s="79"/>
      <c r="J218" s="14"/>
      <c r="K218" s="38"/>
      <c r="L218" s="38"/>
      <c r="M218" s="17"/>
    </row>
    <row r="219" spans="2:13" ht="14.45" customHeight="1" x14ac:dyDescent="0.25">
      <c r="B219" s="17"/>
      <c r="C219" s="14"/>
      <c r="D219" s="14"/>
      <c r="E219" s="18"/>
      <c r="F219" s="61"/>
      <c r="G219" s="73"/>
      <c r="H219" s="79"/>
      <c r="I219" s="79"/>
      <c r="J219" s="14"/>
      <c r="K219" s="38"/>
      <c r="L219" s="38"/>
      <c r="M219" s="17"/>
    </row>
    <row r="220" spans="2:13" ht="14.45" customHeight="1" x14ac:dyDescent="0.25">
      <c r="B220" s="17"/>
      <c r="C220" s="14"/>
      <c r="D220" s="14"/>
      <c r="E220" s="18"/>
      <c r="F220" s="61"/>
      <c r="G220" s="73"/>
      <c r="H220" s="79"/>
      <c r="I220" s="79"/>
      <c r="J220" s="14"/>
      <c r="K220" s="38"/>
      <c r="L220" s="38"/>
      <c r="M220" s="17"/>
    </row>
    <row r="221" spans="2:13" ht="14.45" customHeight="1" x14ac:dyDescent="0.25">
      <c r="B221" s="17"/>
      <c r="C221" s="14"/>
      <c r="D221" s="14"/>
      <c r="E221" s="18"/>
      <c r="F221" s="61"/>
      <c r="G221" s="73"/>
      <c r="H221" s="79"/>
      <c r="I221" s="79"/>
      <c r="J221" s="14"/>
      <c r="K221" s="38"/>
      <c r="L221" s="38"/>
      <c r="M221" s="17"/>
    </row>
    <row r="222" spans="2:13" ht="14.45" customHeight="1" x14ac:dyDescent="0.25">
      <c r="B222" s="17"/>
      <c r="C222" s="14"/>
      <c r="D222" s="14"/>
      <c r="E222" s="18"/>
      <c r="F222" s="61"/>
      <c r="G222" s="73"/>
      <c r="H222" s="79"/>
      <c r="I222" s="79"/>
      <c r="J222" s="14"/>
      <c r="K222" s="38"/>
      <c r="L222" s="38"/>
      <c r="M222" s="17"/>
    </row>
    <row r="223" spans="2:13" ht="14.45" customHeight="1" x14ac:dyDescent="0.25">
      <c r="B223" s="17"/>
      <c r="C223" s="14"/>
      <c r="D223" s="14"/>
      <c r="E223" s="18"/>
      <c r="F223" s="61"/>
      <c r="G223" s="73"/>
      <c r="H223" s="79"/>
      <c r="I223" s="79"/>
      <c r="J223" s="14"/>
      <c r="K223" s="38"/>
      <c r="L223" s="38"/>
      <c r="M223" s="17"/>
    </row>
    <row r="224" spans="2:13" ht="14.45" customHeight="1" x14ac:dyDescent="0.25">
      <c r="B224" s="17"/>
      <c r="C224" s="14"/>
      <c r="D224" s="14"/>
      <c r="E224" s="18"/>
      <c r="F224" s="61"/>
      <c r="G224" s="73"/>
      <c r="H224" s="79"/>
      <c r="I224" s="79"/>
      <c r="J224" s="14"/>
      <c r="K224" s="38"/>
      <c r="L224" s="38"/>
      <c r="M224" s="17"/>
    </row>
    <row r="225" spans="2:13" ht="14.45" customHeight="1" x14ac:dyDescent="0.25">
      <c r="B225" s="17"/>
      <c r="C225" s="14"/>
      <c r="D225" s="14"/>
      <c r="E225" s="18"/>
      <c r="F225" s="61"/>
      <c r="G225" s="73"/>
      <c r="H225" s="79"/>
      <c r="I225" s="79"/>
      <c r="J225" s="14"/>
      <c r="K225" s="38"/>
      <c r="L225" s="38"/>
      <c r="M225" s="17"/>
    </row>
    <row r="226" spans="2:13" ht="14.45" customHeight="1" x14ac:dyDescent="0.25">
      <c r="B226" s="17"/>
      <c r="C226" s="14"/>
      <c r="D226" s="14"/>
      <c r="E226" s="18"/>
      <c r="F226" s="61"/>
      <c r="G226" s="73"/>
      <c r="H226" s="79"/>
      <c r="I226" s="79"/>
      <c r="J226" s="14"/>
      <c r="K226" s="38"/>
      <c r="L226" s="38"/>
      <c r="M226" s="17"/>
    </row>
    <row r="227" spans="2:13" ht="14.45" customHeight="1" x14ac:dyDescent="0.25">
      <c r="B227" s="17"/>
      <c r="C227" s="14"/>
      <c r="D227" s="14"/>
      <c r="E227" s="18"/>
      <c r="F227" s="61"/>
      <c r="G227" s="73"/>
      <c r="H227" s="79"/>
      <c r="I227" s="79"/>
      <c r="J227" s="14"/>
      <c r="K227" s="38"/>
      <c r="L227" s="38"/>
      <c r="M227" s="17"/>
    </row>
    <row r="228" spans="2:13" ht="14.45" customHeight="1" x14ac:dyDescent="0.25">
      <c r="B228" s="17"/>
      <c r="C228" s="14"/>
      <c r="D228" s="14"/>
      <c r="E228" s="18"/>
      <c r="F228" s="61"/>
      <c r="G228" s="73"/>
      <c r="H228" s="79"/>
      <c r="I228" s="79"/>
      <c r="J228" s="14"/>
      <c r="K228" s="38"/>
      <c r="L228" s="38"/>
      <c r="M228" s="17"/>
    </row>
    <row r="229" spans="2:13" ht="14.45" customHeight="1" x14ac:dyDescent="0.25">
      <c r="B229" s="17"/>
      <c r="C229" s="14"/>
      <c r="D229" s="14"/>
      <c r="E229" s="18"/>
      <c r="F229" s="61"/>
      <c r="G229" s="73"/>
      <c r="H229" s="79"/>
      <c r="I229" s="79"/>
      <c r="J229" s="14"/>
      <c r="K229" s="38"/>
      <c r="L229" s="38"/>
      <c r="M229" s="17"/>
    </row>
    <row r="230" spans="2:13" ht="14.45" customHeight="1" x14ac:dyDescent="0.25">
      <c r="B230" s="17"/>
      <c r="C230" s="14"/>
      <c r="D230" s="14"/>
      <c r="E230" s="18"/>
      <c r="F230" s="61"/>
      <c r="G230" s="73"/>
      <c r="H230" s="79"/>
      <c r="I230" s="79"/>
      <c r="J230" s="14"/>
      <c r="K230" s="38"/>
      <c r="L230" s="38"/>
      <c r="M230" s="17"/>
    </row>
    <row r="231" spans="2:13" ht="14.45" customHeight="1" x14ac:dyDescent="0.25">
      <c r="B231" s="17"/>
      <c r="C231" s="14"/>
      <c r="D231" s="14"/>
      <c r="E231" s="18"/>
      <c r="F231" s="61"/>
      <c r="G231" s="73"/>
      <c r="H231" s="79"/>
      <c r="I231" s="79"/>
      <c r="J231" s="14"/>
      <c r="K231" s="38"/>
      <c r="L231" s="38"/>
      <c r="M231" s="17"/>
    </row>
    <row r="232" spans="2:13" ht="14.45" customHeight="1" x14ac:dyDescent="0.25">
      <c r="B232" s="17"/>
      <c r="C232" s="14"/>
      <c r="D232" s="14"/>
      <c r="E232" s="18"/>
      <c r="F232" s="61"/>
      <c r="G232" s="73"/>
      <c r="H232" s="79"/>
      <c r="I232" s="79"/>
      <c r="J232" s="14"/>
      <c r="K232" s="38"/>
      <c r="L232" s="38"/>
      <c r="M232" s="17"/>
    </row>
    <row r="233" spans="2:13" ht="14.45" customHeight="1" x14ac:dyDescent="0.25">
      <c r="B233" s="17"/>
      <c r="C233" s="14"/>
      <c r="D233" s="14"/>
      <c r="E233" s="18"/>
      <c r="F233" s="61"/>
      <c r="G233" s="73"/>
      <c r="H233" s="79"/>
      <c r="I233" s="79"/>
      <c r="J233" s="14"/>
      <c r="K233" s="38"/>
      <c r="L233" s="38"/>
      <c r="M233" s="17"/>
    </row>
    <row r="234" spans="2:13" ht="14.45" customHeight="1" x14ac:dyDescent="0.25">
      <c r="B234" s="17"/>
      <c r="C234" s="14"/>
      <c r="D234" s="14"/>
      <c r="E234" s="18"/>
      <c r="F234" s="61"/>
      <c r="G234" s="73"/>
      <c r="H234" s="79"/>
      <c r="I234" s="79"/>
      <c r="J234" s="14"/>
      <c r="K234" s="38"/>
      <c r="L234" s="38"/>
      <c r="M234" s="17"/>
    </row>
    <row r="235" spans="2:13" ht="14.45" customHeight="1" x14ac:dyDescent="0.25">
      <c r="B235" s="17"/>
      <c r="C235" s="14"/>
      <c r="D235" s="14"/>
      <c r="E235" s="18"/>
      <c r="F235" s="61"/>
      <c r="G235" s="73"/>
      <c r="H235" s="79"/>
      <c r="I235" s="79"/>
      <c r="J235" s="14"/>
      <c r="K235" s="38"/>
      <c r="L235" s="38"/>
      <c r="M235" s="17"/>
    </row>
    <row r="236" spans="2:13" ht="14.45" customHeight="1" x14ac:dyDescent="0.25">
      <c r="B236" s="17"/>
      <c r="C236" s="14"/>
      <c r="D236" s="14"/>
      <c r="E236" s="18"/>
      <c r="F236" s="61"/>
      <c r="G236" s="73"/>
      <c r="H236" s="79"/>
      <c r="I236" s="79"/>
      <c r="J236" s="14"/>
      <c r="K236" s="38"/>
      <c r="L236" s="38"/>
      <c r="M236" s="17"/>
    </row>
    <row r="237" spans="2:13" ht="14.45" customHeight="1" x14ac:dyDescent="0.25">
      <c r="B237" s="17"/>
      <c r="C237" s="14"/>
      <c r="D237" s="14"/>
      <c r="E237" s="18"/>
      <c r="F237" s="61"/>
      <c r="G237" s="73"/>
      <c r="H237" s="79"/>
      <c r="I237" s="79"/>
      <c r="J237" s="14"/>
      <c r="K237" s="38"/>
      <c r="L237" s="38"/>
      <c r="M237" s="17"/>
    </row>
    <row r="238" spans="2:13" ht="14.45" customHeight="1" x14ac:dyDescent="0.25">
      <c r="B238" s="17"/>
      <c r="C238" s="14"/>
      <c r="D238" s="14"/>
      <c r="E238" s="18"/>
      <c r="F238" s="61"/>
      <c r="G238" s="73"/>
      <c r="H238" s="79"/>
      <c r="I238" s="79"/>
      <c r="J238" s="14"/>
      <c r="K238" s="38"/>
      <c r="L238" s="38"/>
      <c r="M238" s="17"/>
    </row>
    <row r="239" spans="2:13" ht="14.45" customHeight="1" x14ac:dyDescent="0.25">
      <c r="B239" s="17"/>
      <c r="C239" s="14"/>
      <c r="D239" s="14"/>
      <c r="E239" s="18"/>
      <c r="F239" s="61"/>
      <c r="G239" s="73"/>
      <c r="H239" s="79"/>
      <c r="I239" s="79"/>
      <c r="J239" s="14"/>
      <c r="K239" s="38"/>
      <c r="L239" s="38"/>
      <c r="M239" s="17"/>
    </row>
    <row r="240" spans="2:13" ht="14.45" customHeight="1" x14ac:dyDescent="0.25">
      <c r="B240" s="17"/>
      <c r="C240" s="14"/>
      <c r="D240" s="14"/>
      <c r="E240" s="18"/>
      <c r="F240" s="61"/>
      <c r="G240" s="73"/>
      <c r="H240" s="79"/>
      <c r="I240" s="79"/>
      <c r="J240" s="14"/>
      <c r="K240" s="38"/>
      <c r="L240" s="38"/>
      <c r="M240" s="17"/>
    </row>
    <row r="241" spans="2:13" ht="14.45" customHeight="1" x14ac:dyDescent="0.25">
      <c r="B241" s="17"/>
      <c r="C241" s="14"/>
      <c r="D241" s="14"/>
      <c r="E241" s="18"/>
      <c r="F241" s="61"/>
      <c r="G241" s="73"/>
      <c r="H241" s="79"/>
      <c r="I241" s="79"/>
      <c r="J241" s="14"/>
      <c r="K241" s="38"/>
      <c r="L241" s="38"/>
      <c r="M241" s="17"/>
    </row>
    <row r="242" spans="2:13" ht="14.45" customHeight="1" x14ac:dyDescent="0.25">
      <c r="B242" s="17"/>
      <c r="C242" s="14"/>
      <c r="D242" s="14"/>
      <c r="E242" s="18"/>
      <c r="F242" s="61"/>
      <c r="G242" s="73"/>
      <c r="H242" s="79"/>
      <c r="I242" s="79"/>
      <c r="J242" s="14"/>
      <c r="K242" s="38"/>
      <c r="L242" s="38"/>
      <c r="M242" s="17"/>
    </row>
    <row r="243" spans="2:13" ht="14.45" customHeight="1" x14ac:dyDescent="0.25">
      <c r="B243" s="17"/>
      <c r="C243" s="14"/>
      <c r="D243" s="14"/>
      <c r="E243" s="18"/>
      <c r="F243" s="61"/>
      <c r="G243" s="73"/>
      <c r="H243" s="79"/>
      <c r="I243" s="79"/>
      <c r="J243" s="14"/>
      <c r="K243" s="38"/>
      <c r="L243" s="38"/>
      <c r="M243" s="17"/>
    </row>
    <row r="244" spans="2:13" ht="14.45" customHeight="1" x14ac:dyDescent="0.25">
      <c r="B244" s="17"/>
      <c r="C244" s="14"/>
      <c r="D244" s="14"/>
      <c r="E244" s="18"/>
      <c r="F244" s="61"/>
      <c r="G244" s="73"/>
      <c r="H244" s="79"/>
      <c r="I244" s="79"/>
      <c r="J244" s="14"/>
      <c r="K244" s="38"/>
      <c r="L244" s="38"/>
      <c r="M244" s="17"/>
    </row>
    <row r="245" spans="2:13" ht="14.45" customHeight="1" x14ac:dyDescent="0.25">
      <c r="B245" s="17"/>
      <c r="C245" s="14"/>
      <c r="D245" s="14"/>
      <c r="E245" s="18"/>
      <c r="F245" s="61"/>
      <c r="G245" s="73"/>
      <c r="H245" s="79"/>
      <c r="I245" s="79"/>
      <c r="J245" s="14"/>
      <c r="K245" s="38"/>
      <c r="L245" s="38"/>
      <c r="M245" s="17"/>
    </row>
    <row r="246" spans="2:13" ht="14.45" customHeight="1" x14ac:dyDescent="0.25">
      <c r="B246" s="17"/>
      <c r="C246" s="14"/>
      <c r="D246" s="14"/>
      <c r="E246" s="18"/>
      <c r="F246" s="61"/>
      <c r="G246" s="73"/>
      <c r="H246" s="79"/>
      <c r="I246" s="79"/>
      <c r="J246" s="14"/>
      <c r="K246" s="38"/>
      <c r="L246" s="38"/>
      <c r="M246" s="17"/>
    </row>
    <row r="247" spans="2:13" ht="14.45" customHeight="1" x14ac:dyDescent="0.25">
      <c r="B247" s="17"/>
      <c r="C247" s="14"/>
      <c r="D247" s="14"/>
      <c r="E247" s="18"/>
      <c r="F247" s="61"/>
      <c r="G247" s="73"/>
      <c r="H247" s="79"/>
      <c r="I247" s="79"/>
      <c r="J247" s="14"/>
      <c r="K247" s="38"/>
      <c r="L247" s="38"/>
      <c r="M247" s="17"/>
    </row>
    <row r="248" spans="2:13" ht="14.45" customHeight="1" x14ac:dyDescent="0.25">
      <c r="B248" s="17"/>
      <c r="C248" s="14"/>
      <c r="D248" s="14"/>
      <c r="E248" s="18"/>
      <c r="F248" s="61"/>
      <c r="G248" s="73"/>
      <c r="H248" s="79"/>
      <c r="I248" s="79"/>
      <c r="J248" s="14"/>
      <c r="K248" s="38"/>
      <c r="L248" s="38"/>
      <c r="M248" s="17"/>
    </row>
    <row r="249" spans="2:13" ht="14.45" customHeight="1" x14ac:dyDescent="0.25">
      <c r="B249" s="17"/>
      <c r="C249" s="14"/>
      <c r="D249" s="14"/>
      <c r="E249" s="18"/>
      <c r="F249" s="61"/>
      <c r="G249" s="73"/>
      <c r="H249" s="79"/>
      <c r="I249" s="79"/>
      <c r="J249" s="14"/>
      <c r="K249" s="38"/>
      <c r="L249" s="38"/>
      <c r="M249" s="17"/>
    </row>
    <row r="250" spans="2:13" ht="14.45" customHeight="1" x14ac:dyDescent="0.25">
      <c r="B250" s="17"/>
      <c r="C250" s="14"/>
      <c r="D250" s="14"/>
      <c r="E250" s="18"/>
      <c r="F250" s="61"/>
      <c r="G250" s="73"/>
      <c r="H250" s="79"/>
      <c r="I250" s="79"/>
      <c r="J250" s="14"/>
      <c r="K250" s="38"/>
      <c r="L250" s="38"/>
      <c r="M250" s="17"/>
    </row>
    <row r="251" spans="2:13" ht="14.45" customHeight="1" x14ac:dyDescent="0.25">
      <c r="B251" s="17"/>
      <c r="C251" s="14"/>
      <c r="D251" s="14"/>
      <c r="E251" s="18"/>
      <c r="F251" s="61"/>
      <c r="G251" s="73"/>
      <c r="H251" s="79"/>
      <c r="I251" s="79"/>
      <c r="J251" s="14"/>
      <c r="K251" s="38"/>
      <c r="L251" s="38"/>
      <c r="M251" s="17"/>
    </row>
    <row r="252" spans="2:13" ht="14.45" customHeight="1" x14ac:dyDescent="0.25">
      <c r="B252" s="17"/>
      <c r="C252" s="14"/>
      <c r="D252" s="14"/>
      <c r="E252" s="18"/>
      <c r="F252" s="61"/>
      <c r="G252" s="73"/>
      <c r="H252" s="79"/>
      <c r="I252" s="79"/>
      <c r="J252" s="14"/>
      <c r="K252" s="38"/>
      <c r="L252" s="38"/>
      <c r="M252" s="17"/>
    </row>
    <row r="253" spans="2:13" ht="14.45" customHeight="1" x14ac:dyDescent="0.25">
      <c r="B253" s="17"/>
      <c r="C253" s="14"/>
      <c r="D253" s="14"/>
      <c r="E253" s="18"/>
      <c r="F253" s="61"/>
      <c r="G253" s="73"/>
      <c r="H253" s="79"/>
      <c r="I253" s="79"/>
      <c r="J253" s="14"/>
      <c r="K253" s="38"/>
      <c r="L253" s="38"/>
      <c r="M253" s="17"/>
    </row>
    <row r="254" spans="2:13" ht="14.45" customHeight="1" x14ac:dyDescent="0.25">
      <c r="B254" s="17"/>
      <c r="C254" s="14"/>
      <c r="D254" s="14"/>
      <c r="E254" s="18"/>
      <c r="F254" s="61"/>
      <c r="G254" s="73"/>
      <c r="H254" s="79"/>
      <c r="I254" s="79"/>
      <c r="J254" s="14"/>
      <c r="K254" s="38"/>
      <c r="L254" s="38"/>
      <c r="M254" s="17"/>
    </row>
    <row r="255" spans="2:13" ht="14.45" customHeight="1" x14ac:dyDescent="0.25">
      <c r="B255" s="17"/>
      <c r="C255" s="14"/>
      <c r="D255" s="14"/>
      <c r="E255" s="18"/>
      <c r="F255" s="61"/>
      <c r="G255" s="73"/>
      <c r="H255" s="79"/>
      <c r="I255" s="79"/>
      <c r="J255" s="14"/>
      <c r="K255" s="38"/>
      <c r="L255" s="38"/>
      <c r="M255" s="17"/>
    </row>
    <row r="256" spans="2:13" ht="14.45" customHeight="1" x14ac:dyDescent="0.25">
      <c r="B256" s="17"/>
      <c r="C256" s="14"/>
      <c r="D256" s="14"/>
      <c r="E256" s="18"/>
      <c r="F256" s="61"/>
      <c r="G256" s="73"/>
      <c r="H256" s="79"/>
      <c r="I256" s="79"/>
      <c r="J256" s="14"/>
      <c r="K256" s="38"/>
      <c r="L256" s="38"/>
      <c r="M256" s="17"/>
    </row>
    <row r="257" spans="2:13" ht="14.45" customHeight="1" x14ac:dyDescent="0.25">
      <c r="B257" s="17"/>
      <c r="C257" s="14"/>
      <c r="D257" s="14"/>
      <c r="E257" s="18"/>
      <c r="F257" s="61"/>
      <c r="G257" s="73"/>
      <c r="H257" s="79"/>
      <c r="I257" s="79"/>
      <c r="J257" s="14"/>
      <c r="K257" s="38"/>
      <c r="L257" s="38"/>
      <c r="M257" s="17"/>
    </row>
    <row r="258" spans="2:13" ht="14.45" customHeight="1" x14ac:dyDescent="0.25">
      <c r="B258" s="17"/>
      <c r="C258" s="14"/>
      <c r="D258" s="14"/>
      <c r="E258" s="18"/>
      <c r="F258" s="61"/>
      <c r="G258" s="73"/>
      <c r="H258" s="79"/>
      <c r="I258" s="79"/>
      <c r="J258" s="14"/>
      <c r="K258" s="38"/>
      <c r="L258" s="38"/>
      <c r="M258" s="17"/>
    </row>
    <row r="259" spans="2:13" ht="14.45" customHeight="1" x14ac:dyDescent="0.25">
      <c r="B259" s="17"/>
      <c r="C259" s="14"/>
      <c r="D259" s="14"/>
      <c r="E259" s="18"/>
      <c r="F259" s="61"/>
      <c r="G259" s="73"/>
      <c r="H259" s="79"/>
      <c r="I259" s="79"/>
      <c r="J259" s="14"/>
      <c r="K259" s="38"/>
      <c r="L259" s="38"/>
      <c r="M259" s="17"/>
    </row>
    <row r="260" spans="2:13" ht="14.45" customHeight="1" x14ac:dyDescent="0.25">
      <c r="B260" s="17"/>
      <c r="C260" s="14"/>
      <c r="D260" s="14"/>
      <c r="E260" s="18"/>
      <c r="F260" s="61"/>
      <c r="G260" s="73"/>
      <c r="H260" s="79"/>
      <c r="I260" s="79"/>
      <c r="J260" s="14"/>
      <c r="K260" s="38"/>
      <c r="L260" s="38"/>
      <c r="M260" s="17"/>
    </row>
    <row r="261" spans="2:13" ht="14.45" customHeight="1" x14ac:dyDescent="0.25">
      <c r="B261" s="17"/>
      <c r="C261" s="14"/>
      <c r="D261" s="14"/>
      <c r="E261" s="18"/>
      <c r="F261" s="61"/>
      <c r="G261" s="73"/>
      <c r="H261" s="79"/>
      <c r="I261" s="79"/>
      <c r="J261" s="14"/>
      <c r="K261" s="38"/>
      <c r="L261" s="38"/>
      <c r="M261" s="17"/>
    </row>
    <row r="262" spans="2:13" ht="14.45" customHeight="1" x14ac:dyDescent="0.25">
      <c r="B262" s="17"/>
      <c r="C262" s="14"/>
      <c r="D262" s="14"/>
      <c r="E262" s="18"/>
      <c r="F262" s="61"/>
      <c r="G262" s="73"/>
      <c r="H262" s="79"/>
      <c r="I262" s="79"/>
      <c r="J262" s="14"/>
      <c r="K262" s="38"/>
      <c r="L262" s="38"/>
      <c r="M262" s="17"/>
    </row>
    <row r="263" spans="2:13" ht="14.45" customHeight="1" x14ac:dyDescent="0.25">
      <c r="B263" s="17"/>
      <c r="C263" s="14"/>
      <c r="D263" s="14"/>
      <c r="E263" s="18"/>
      <c r="F263" s="61"/>
      <c r="G263" s="73"/>
      <c r="H263" s="79"/>
      <c r="I263" s="79"/>
      <c r="J263" s="14"/>
      <c r="K263" s="38"/>
      <c r="L263" s="38"/>
      <c r="M263" s="17"/>
    </row>
    <row r="264" spans="2:13" ht="14.45" customHeight="1" x14ac:dyDescent="0.25">
      <c r="B264" s="17"/>
      <c r="C264" s="14"/>
      <c r="D264" s="14"/>
      <c r="E264" s="18"/>
      <c r="F264" s="61"/>
      <c r="G264" s="73"/>
      <c r="H264" s="79"/>
      <c r="I264" s="79"/>
      <c r="J264" s="14"/>
      <c r="K264" s="38"/>
      <c r="L264" s="38"/>
      <c r="M264" s="17"/>
    </row>
    <row r="265" spans="2:13" ht="14.45" customHeight="1" x14ac:dyDescent="0.25">
      <c r="B265" s="17"/>
      <c r="C265" s="14"/>
      <c r="D265" s="14"/>
      <c r="E265" s="18"/>
      <c r="F265" s="61"/>
      <c r="G265" s="73"/>
      <c r="H265" s="79"/>
      <c r="I265" s="79"/>
      <c r="J265" s="14"/>
      <c r="K265" s="38"/>
      <c r="L265" s="38"/>
      <c r="M265" s="17"/>
    </row>
    <row r="266" spans="2:13" ht="14.45" customHeight="1" x14ac:dyDescent="0.25">
      <c r="B266" s="17"/>
      <c r="C266" s="14"/>
      <c r="D266" s="14"/>
      <c r="E266" s="18"/>
      <c r="F266" s="61"/>
      <c r="G266" s="73"/>
      <c r="H266" s="79"/>
      <c r="I266" s="79"/>
      <c r="J266" s="14"/>
      <c r="K266" s="38"/>
      <c r="L266" s="38"/>
      <c r="M266" s="17"/>
    </row>
    <row r="267" spans="2:13" ht="14.45" customHeight="1" x14ac:dyDescent="0.25">
      <c r="B267" s="17"/>
      <c r="C267" s="14"/>
      <c r="D267" s="14"/>
      <c r="E267" s="18"/>
      <c r="F267" s="61"/>
      <c r="G267" s="73"/>
      <c r="H267" s="79"/>
      <c r="I267" s="79"/>
      <c r="J267" s="14"/>
      <c r="K267" s="38"/>
      <c r="L267" s="38"/>
      <c r="M267" s="17"/>
    </row>
    <row r="268" spans="2:13" ht="14.45" customHeight="1" x14ac:dyDescent="0.25">
      <c r="B268" s="17"/>
      <c r="C268" s="14"/>
      <c r="D268" s="14"/>
      <c r="E268" s="18"/>
      <c r="F268" s="61"/>
      <c r="G268" s="73"/>
      <c r="H268" s="79"/>
      <c r="I268" s="79"/>
      <c r="J268" s="14"/>
      <c r="K268" s="38"/>
      <c r="L268" s="38"/>
      <c r="M268" s="17"/>
    </row>
    <row r="269" spans="2:13" ht="14.45" customHeight="1" x14ac:dyDescent="0.25">
      <c r="B269" s="17"/>
      <c r="C269" s="14"/>
      <c r="D269" s="14"/>
      <c r="E269" s="18"/>
      <c r="F269" s="61"/>
      <c r="G269" s="73"/>
      <c r="H269" s="79"/>
      <c r="I269" s="79"/>
      <c r="J269" s="14"/>
      <c r="K269" s="38"/>
      <c r="L269" s="38"/>
      <c r="M269" s="17"/>
    </row>
    <row r="270" spans="2:13" ht="14.45" customHeight="1" x14ac:dyDescent="0.25">
      <c r="B270" s="17"/>
      <c r="C270" s="14"/>
      <c r="D270" s="14"/>
      <c r="E270" s="18"/>
      <c r="F270" s="61"/>
      <c r="G270" s="73"/>
      <c r="H270" s="79"/>
      <c r="I270" s="79"/>
      <c r="J270" s="14"/>
      <c r="K270" s="38"/>
      <c r="L270" s="38"/>
      <c r="M270" s="17"/>
    </row>
    <row r="271" spans="2:13" ht="14.45" customHeight="1" x14ac:dyDescent="0.25">
      <c r="B271" s="17"/>
      <c r="C271" s="14"/>
      <c r="D271" s="14"/>
      <c r="E271" s="18"/>
      <c r="F271" s="61"/>
      <c r="G271" s="73"/>
      <c r="H271" s="79"/>
      <c r="I271" s="79"/>
      <c r="J271" s="14"/>
      <c r="K271" s="38"/>
      <c r="L271" s="38"/>
      <c r="M271" s="17"/>
    </row>
    <row r="272" spans="2:13" ht="14.45" customHeight="1" x14ac:dyDescent="0.25">
      <c r="B272" s="17"/>
      <c r="C272" s="14"/>
      <c r="D272" s="14"/>
      <c r="E272" s="18"/>
      <c r="F272" s="61"/>
      <c r="G272" s="73"/>
      <c r="H272" s="79"/>
      <c r="I272" s="79"/>
      <c r="J272" s="14"/>
      <c r="K272" s="38"/>
      <c r="L272" s="38"/>
      <c r="M272" s="17"/>
    </row>
    <row r="273" spans="2:13" ht="14.45" customHeight="1" x14ac:dyDescent="0.25">
      <c r="B273" s="17"/>
      <c r="C273" s="14"/>
      <c r="D273" s="14"/>
      <c r="E273" s="18"/>
      <c r="F273" s="61"/>
      <c r="G273" s="73"/>
      <c r="H273" s="79"/>
      <c r="I273" s="79"/>
      <c r="J273" s="14"/>
      <c r="K273" s="38"/>
      <c r="L273" s="38"/>
      <c r="M273" s="17"/>
    </row>
    <row r="274" spans="2:13" ht="14.45" customHeight="1" x14ac:dyDescent="0.25">
      <c r="B274" s="17"/>
      <c r="C274" s="14"/>
      <c r="D274" s="14"/>
      <c r="E274" s="18"/>
      <c r="F274" s="61"/>
      <c r="G274" s="73"/>
      <c r="H274" s="79"/>
      <c r="I274" s="79"/>
      <c r="J274" s="14"/>
      <c r="K274" s="38"/>
      <c r="L274" s="38"/>
      <c r="M274" s="17"/>
    </row>
    <row r="275" spans="2:13" ht="14.45" customHeight="1" x14ac:dyDescent="0.25">
      <c r="B275" s="17"/>
      <c r="C275" s="14"/>
      <c r="D275" s="14"/>
      <c r="E275" s="18"/>
      <c r="F275" s="61"/>
      <c r="G275" s="73"/>
      <c r="H275" s="79"/>
      <c r="I275" s="79"/>
      <c r="J275" s="14"/>
      <c r="K275" s="38"/>
      <c r="L275" s="38"/>
      <c r="M275" s="17"/>
    </row>
    <row r="276" spans="2:13" ht="14.45" customHeight="1" x14ac:dyDescent="0.25">
      <c r="B276" s="17"/>
      <c r="C276" s="14"/>
      <c r="D276" s="14"/>
      <c r="E276" s="18"/>
      <c r="F276" s="61"/>
      <c r="G276" s="73"/>
      <c r="H276" s="79"/>
      <c r="I276" s="79"/>
      <c r="J276" s="14"/>
      <c r="K276" s="38"/>
      <c r="L276" s="38"/>
      <c r="M276" s="17"/>
    </row>
    <row r="277" spans="2:13" ht="14.45" customHeight="1" x14ac:dyDescent="0.25">
      <c r="B277" s="17"/>
      <c r="C277" s="14"/>
      <c r="D277" s="14"/>
      <c r="E277" s="18"/>
      <c r="F277" s="61"/>
      <c r="G277" s="73"/>
      <c r="H277" s="79"/>
      <c r="I277" s="79"/>
      <c r="J277" s="14"/>
      <c r="K277" s="38"/>
      <c r="L277" s="38"/>
      <c r="M277" s="17"/>
    </row>
    <row r="278" spans="2:13" ht="14.45" customHeight="1" x14ac:dyDescent="0.25">
      <c r="B278" s="17"/>
      <c r="C278" s="14"/>
      <c r="D278" s="14"/>
      <c r="E278" s="18"/>
      <c r="F278" s="61"/>
      <c r="G278" s="73"/>
      <c r="H278" s="79"/>
      <c r="I278" s="79"/>
      <c r="J278" s="14"/>
      <c r="K278" s="38"/>
      <c r="L278" s="38"/>
      <c r="M278" s="17"/>
    </row>
    <row r="279" spans="2:13" ht="14.45" customHeight="1" x14ac:dyDescent="0.25">
      <c r="B279" s="17"/>
      <c r="C279" s="14"/>
      <c r="D279" s="14"/>
      <c r="E279" s="18"/>
      <c r="F279" s="61"/>
      <c r="G279" s="73"/>
      <c r="H279" s="79"/>
      <c r="I279" s="79"/>
      <c r="J279" s="14"/>
      <c r="K279" s="38"/>
      <c r="L279" s="38"/>
      <c r="M279" s="17"/>
    </row>
    <row r="280" spans="2:13" ht="14.45" customHeight="1" x14ac:dyDescent="0.25">
      <c r="B280" s="17"/>
      <c r="C280" s="14"/>
      <c r="D280" s="14"/>
      <c r="E280" s="18"/>
      <c r="F280" s="61"/>
      <c r="G280" s="73"/>
      <c r="H280" s="79"/>
      <c r="I280" s="79"/>
      <c r="J280" s="14"/>
      <c r="K280" s="38"/>
      <c r="L280" s="38"/>
      <c r="M280" s="17"/>
    </row>
    <row r="281" spans="2:13" ht="14.45" customHeight="1" x14ac:dyDescent="0.25">
      <c r="B281" s="17"/>
      <c r="C281" s="14"/>
      <c r="D281" s="14"/>
      <c r="E281" s="18"/>
      <c r="F281" s="61"/>
      <c r="G281" s="73"/>
      <c r="H281" s="79"/>
      <c r="I281" s="79"/>
      <c r="J281" s="14"/>
      <c r="K281" s="38"/>
      <c r="L281" s="38"/>
      <c r="M281" s="17"/>
    </row>
    <row r="282" spans="2:13" ht="14.45" customHeight="1" x14ac:dyDescent="0.25">
      <c r="B282" s="17"/>
      <c r="C282" s="14"/>
      <c r="D282" s="14"/>
      <c r="E282" s="18"/>
      <c r="F282" s="61"/>
      <c r="G282" s="73"/>
      <c r="H282" s="79"/>
      <c r="I282" s="79"/>
      <c r="J282" s="14"/>
      <c r="K282" s="38"/>
      <c r="L282" s="38"/>
      <c r="M282" s="17"/>
    </row>
    <row r="283" spans="2:13" ht="14.45" customHeight="1" x14ac:dyDescent="0.25">
      <c r="B283" s="17"/>
      <c r="C283" s="14"/>
      <c r="D283" s="14"/>
      <c r="E283" s="18"/>
      <c r="F283" s="61"/>
      <c r="G283" s="73"/>
      <c r="H283" s="79"/>
      <c r="I283" s="79"/>
      <c r="J283" s="14"/>
      <c r="K283" s="38"/>
      <c r="L283" s="38"/>
      <c r="M283" s="17"/>
    </row>
    <row r="284" spans="2:13" ht="14.45" customHeight="1" x14ac:dyDescent="0.25">
      <c r="B284" s="17"/>
      <c r="C284" s="14"/>
      <c r="D284" s="14"/>
      <c r="E284" s="18"/>
      <c r="F284" s="61"/>
      <c r="G284" s="73"/>
      <c r="H284" s="79"/>
      <c r="I284" s="79"/>
      <c r="J284" s="14"/>
      <c r="K284" s="38"/>
      <c r="L284" s="38"/>
      <c r="M284" s="17"/>
    </row>
    <row r="285" spans="2:13" ht="14.45" customHeight="1" x14ac:dyDescent="0.25">
      <c r="B285" s="17"/>
      <c r="C285" s="14"/>
      <c r="D285" s="14"/>
      <c r="E285" s="18"/>
      <c r="F285" s="61"/>
      <c r="G285" s="73"/>
      <c r="H285" s="79"/>
      <c r="I285" s="79"/>
      <c r="J285" s="14"/>
      <c r="K285" s="38"/>
      <c r="L285" s="38"/>
      <c r="M285" s="17"/>
    </row>
    <row r="286" spans="2:13" ht="14.45" customHeight="1" x14ac:dyDescent="0.25">
      <c r="B286" s="17"/>
      <c r="C286" s="14"/>
      <c r="D286" s="14"/>
      <c r="E286" s="18"/>
      <c r="F286" s="61"/>
      <c r="G286" s="73"/>
      <c r="H286" s="79"/>
      <c r="I286" s="79"/>
      <c r="J286" s="14"/>
      <c r="K286" s="38"/>
      <c r="L286" s="38"/>
      <c r="M286" s="17"/>
    </row>
    <row r="287" spans="2:13" ht="14.45" customHeight="1" x14ac:dyDescent="0.25">
      <c r="B287" s="17"/>
      <c r="C287" s="14"/>
      <c r="D287" s="14"/>
      <c r="E287" s="18"/>
      <c r="F287" s="61"/>
      <c r="G287" s="73"/>
      <c r="H287" s="79"/>
      <c r="I287" s="79"/>
      <c r="J287" s="14"/>
      <c r="K287" s="38"/>
      <c r="L287" s="38"/>
      <c r="M287" s="17"/>
    </row>
    <row r="288" spans="2:13" ht="14.45" customHeight="1" x14ac:dyDescent="0.25">
      <c r="B288" s="17"/>
      <c r="C288" s="14"/>
      <c r="D288" s="14"/>
      <c r="E288" s="18"/>
      <c r="F288" s="61"/>
      <c r="G288" s="73"/>
      <c r="H288" s="79"/>
      <c r="I288" s="79"/>
      <c r="J288" s="14"/>
      <c r="K288" s="38"/>
      <c r="L288" s="38"/>
      <c r="M288" s="17"/>
    </row>
    <row r="289" spans="2:13" ht="14.45" customHeight="1" x14ac:dyDescent="0.25">
      <c r="B289" s="17"/>
      <c r="C289" s="14"/>
      <c r="D289" s="14"/>
      <c r="E289" s="18"/>
      <c r="F289" s="61"/>
      <c r="G289" s="73"/>
      <c r="H289" s="79"/>
      <c r="I289" s="79"/>
      <c r="J289" s="14"/>
      <c r="K289" s="38"/>
      <c r="L289" s="38"/>
      <c r="M289" s="17"/>
    </row>
    <row r="290" spans="2:13" ht="14.45" customHeight="1" x14ac:dyDescent="0.25">
      <c r="B290" s="17"/>
      <c r="C290" s="14"/>
      <c r="D290" s="14"/>
      <c r="E290" s="18"/>
      <c r="F290" s="61"/>
      <c r="G290" s="73"/>
      <c r="H290" s="79"/>
      <c r="I290" s="79"/>
      <c r="J290" s="14"/>
      <c r="K290" s="38"/>
      <c r="L290" s="38"/>
      <c r="M290" s="17"/>
    </row>
    <row r="291" spans="2:13" ht="14.45" customHeight="1" x14ac:dyDescent="0.25">
      <c r="B291" s="17"/>
      <c r="C291" s="14"/>
      <c r="D291" s="14"/>
      <c r="E291" s="18"/>
      <c r="F291" s="61"/>
      <c r="G291" s="73"/>
      <c r="H291" s="79"/>
      <c r="I291" s="79"/>
      <c r="J291" s="14"/>
      <c r="K291" s="38"/>
      <c r="L291" s="38"/>
      <c r="M291" s="17"/>
    </row>
    <row r="292" spans="2:13" ht="14.45" customHeight="1" x14ac:dyDescent="0.25">
      <c r="B292" s="17"/>
      <c r="C292" s="14"/>
      <c r="D292" s="14"/>
      <c r="E292" s="18"/>
      <c r="F292" s="61"/>
      <c r="G292" s="73"/>
      <c r="H292" s="79"/>
      <c r="I292" s="79"/>
      <c r="J292" s="14"/>
      <c r="K292" s="38"/>
      <c r="L292" s="38"/>
      <c r="M292" s="17"/>
    </row>
    <row r="293" spans="2:13" ht="14.45" customHeight="1" x14ac:dyDescent="0.25">
      <c r="B293" s="17"/>
      <c r="C293" s="14"/>
      <c r="D293" s="14"/>
      <c r="E293" s="18"/>
      <c r="F293" s="61"/>
      <c r="G293" s="73"/>
      <c r="H293" s="79"/>
      <c r="I293" s="79"/>
      <c r="J293" s="14"/>
      <c r="K293" s="38"/>
      <c r="L293" s="38"/>
      <c r="M293" s="17"/>
    </row>
    <row r="294" spans="2:13" ht="14.45" customHeight="1" x14ac:dyDescent="0.25">
      <c r="B294" s="17"/>
      <c r="C294" s="14"/>
      <c r="D294" s="14"/>
      <c r="E294" s="18"/>
      <c r="F294" s="61"/>
      <c r="G294" s="73"/>
      <c r="H294" s="79"/>
      <c r="I294" s="79"/>
      <c r="J294" s="14"/>
      <c r="K294" s="38"/>
      <c r="L294" s="38"/>
      <c r="M294" s="17"/>
    </row>
    <row r="295" spans="2:13" ht="14.45" customHeight="1" x14ac:dyDescent="0.25">
      <c r="B295" s="17"/>
      <c r="C295" s="14"/>
      <c r="D295" s="14"/>
      <c r="E295" s="18"/>
      <c r="F295" s="61"/>
      <c r="G295" s="73"/>
      <c r="H295" s="79"/>
      <c r="I295" s="79"/>
      <c r="J295" s="14"/>
      <c r="K295" s="38"/>
      <c r="L295" s="38"/>
      <c r="M295" s="17"/>
    </row>
    <row r="296" spans="2:13" ht="14.45" customHeight="1" x14ac:dyDescent="0.25">
      <c r="B296" s="17"/>
      <c r="C296" s="14"/>
      <c r="D296" s="14"/>
      <c r="E296" s="18"/>
      <c r="F296" s="61"/>
      <c r="G296" s="73"/>
      <c r="H296" s="79"/>
      <c r="I296" s="79"/>
      <c r="J296" s="14"/>
      <c r="K296" s="38"/>
      <c r="L296" s="38"/>
      <c r="M296" s="17"/>
    </row>
    <row r="297" spans="2:13" ht="14.45" customHeight="1" x14ac:dyDescent="0.25">
      <c r="B297" s="17"/>
      <c r="C297" s="14"/>
      <c r="D297" s="14"/>
      <c r="E297" s="18"/>
      <c r="F297" s="61"/>
      <c r="G297" s="73"/>
      <c r="H297" s="79"/>
      <c r="I297" s="79"/>
      <c r="J297" s="14"/>
      <c r="K297" s="38"/>
      <c r="L297" s="38"/>
      <c r="M297" s="17"/>
    </row>
    <row r="298" spans="2:13" ht="14.45" customHeight="1" x14ac:dyDescent="0.25">
      <c r="B298" s="17"/>
      <c r="C298" s="14"/>
      <c r="D298" s="14"/>
      <c r="E298" s="18"/>
      <c r="F298" s="61"/>
      <c r="G298" s="73"/>
      <c r="H298" s="79"/>
      <c r="I298" s="79"/>
      <c r="J298" s="14"/>
      <c r="K298" s="38"/>
      <c r="L298" s="38"/>
      <c r="M298" s="17"/>
    </row>
    <row r="299" spans="2:13" ht="14.45" customHeight="1" x14ac:dyDescent="0.25">
      <c r="B299" s="17"/>
      <c r="C299" s="14"/>
      <c r="D299" s="14"/>
      <c r="E299" s="18"/>
      <c r="F299" s="61"/>
      <c r="G299" s="73"/>
      <c r="H299" s="79"/>
      <c r="I299" s="79"/>
      <c r="J299" s="14"/>
      <c r="K299" s="38"/>
      <c r="L299" s="38"/>
      <c r="M299" s="17"/>
    </row>
    <row r="300" spans="2:13" ht="14.45" customHeight="1" x14ac:dyDescent="0.25">
      <c r="B300" s="17"/>
      <c r="C300" s="14"/>
      <c r="D300" s="14"/>
      <c r="E300" s="18"/>
      <c r="F300" s="61"/>
      <c r="G300" s="73"/>
      <c r="H300" s="79"/>
      <c r="I300" s="79"/>
      <c r="J300" s="14"/>
      <c r="K300" s="38"/>
      <c r="L300" s="38"/>
      <c r="M300" s="17"/>
    </row>
    <row r="301" spans="2:13" ht="14.45" customHeight="1" x14ac:dyDescent="0.25">
      <c r="B301" s="17"/>
      <c r="C301" s="14"/>
      <c r="D301" s="14"/>
      <c r="E301" s="18"/>
      <c r="F301" s="61"/>
      <c r="G301" s="73"/>
      <c r="H301" s="79"/>
      <c r="I301" s="79"/>
      <c r="J301" s="14"/>
      <c r="K301" s="38"/>
      <c r="L301" s="38"/>
      <c r="M301" s="17"/>
    </row>
    <row r="302" spans="2:13" ht="14.45" customHeight="1" x14ac:dyDescent="0.25">
      <c r="B302" s="17"/>
      <c r="C302" s="14"/>
      <c r="D302" s="14"/>
      <c r="E302" s="18"/>
      <c r="F302" s="61"/>
      <c r="G302" s="73"/>
      <c r="H302" s="79"/>
      <c r="I302" s="79"/>
      <c r="J302" s="14"/>
      <c r="K302" s="38"/>
      <c r="L302" s="38"/>
      <c r="M302" s="17"/>
    </row>
    <row r="303" spans="2:13" ht="14.45" customHeight="1" x14ac:dyDescent="0.25">
      <c r="B303" s="17"/>
      <c r="C303" s="14"/>
      <c r="D303" s="14"/>
      <c r="E303" s="18"/>
      <c r="F303" s="61"/>
      <c r="G303" s="73"/>
      <c r="H303" s="79"/>
      <c r="I303" s="79"/>
      <c r="J303" s="14"/>
      <c r="K303" s="38"/>
      <c r="L303" s="38"/>
      <c r="M303" s="17"/>
    </row>
    <row r="304" spans="2:13" ht="14.45" customHeight="1" x14ac:dyDescent="0.25">
      <c r="B304" s="17"/>
      <c r="C304" s="14"/>
      <c r="D304" s="14"/>
      <c r="E304" s="18"/>
      <c r="F304" s="61"/>
      <c r="G304" s="73"/>
      <c r="H304" s="79"/>
      <c r="I304" s="79"/>
      <c r="J304" s="14"/>
      <c r="K304" s="38"/>
      <c r="L304" s="38"/>
      <c r="M304" s="17"/>
    </row>
    <row r="305" spans="2:13" ht="14.45" customHeight="1" x14ac:dyDescent="0.25">
      <c r="B305" s="17"/>
      <c r="C305" s="14"/>
      <c r="D305" s="14"/>
      <c r="E305" s="18"/>
      <c r="F305" s="61"/>
      <c r="G305" s="73"/>
      <c r="H305" s="79"/>
      <c r="I305" s="79"/>
      <c r="J305" s="14"/>
      <c r="K305" s="38"/>
      <c r="L305" s="38"/>
      <c r="M305" s="17"/>
    </row>
    <row r="306" spans="2:13" ht="14.45" customHeight="1" x14ac:dyDescent="0.25">
      <c r="B306" s="17"/>
      <c r="C306" s="14"/>
      <c r="D306" s="14"/>
      <c r="E306" s="18"/>
      <c r="F306" s="61"/>
      <c r="G306" s="73"/>
      <c r="H306" s="79"/>
      <c r="I306" s="79"/>
      <c r="J306" s="14"/>
      <c r="K306" s="38"/>
      <c r="L306" s="38"/>
      <c r="M306" s="17"/>
    </row>
    <row r="307" spans="2:13" ht="14.45" customHeight="1" x14ac:dyDescent="0.25">
      <c r="B307" s="17"/>
      <c r="C307" s="14"/>
      <c r="D307" s="14"/>
      <c r="E307" s="18"/>
      <c r="F307" s="61"/>
      <c r="G307" s="73"/>
      <c r="H307" s="79"/>
      <c r="I307" s="79"/>
      <c r="J307" s="14"/>
      <c r="K307" s="38"/>
      <c r="L307" s="38"/>
      <c r="M307" s="17"/>
    </row>
    <row r="308" spans="2:13" ht="14.45" customHeight="1" x14ac:dyDescent="0.25">
      <c r="B308" s="17"/>
      <c r="C308" s="14"/>
      <c r="D308" s="14"/>
      <c r="E308" s="18"/>
      <c r="F308" s="61"/>
      <c r="G308" s="73"/>
      <c r="H308" s="79"/>
      <c r="I308" s="79"/>
      <c r="J308" s="14"/>
      <c r="K308" s="38"/>
      <c r="L308" s="38"/>
      <c r="M308" s="17"/>
    </row>
    <row r="309" spans="2:13" ht="14.45" customHeight="1" x14ac:dyDescent="0.25">
      <c r="B309" s="17"/>
      <c r="C309" s="14"/>
      <c r="D309" s="14"/>
      <c r="E309" s="18"/>
      <c r="F309" s="61"/>
      <c r="G309" s="73"/>
      <c r="H309" s="79"/>
      <c r="I309" s="79"/>
      <c r="J309" s="14"/>
      <c r="K309" s="38"/>
      <c r="L309" s="38"/>
      <c r="M309" s="17"/>
    </row>
    <row r="310" spans="2:13" ht="14.45" customHeight="1" x14ac:dyDescent="0.25">
      <c r="B310" s="17"/>
      <c r="C310" s="14"/>
      <c r="D310" s="14"/>
      <c r="E310" s="18"/>
      <c r="F310" s="61"/>
      <c r="G310" s="73"/>
      <c r="H310" s="79"/>
      <c r="I310" s="79"/>
      <c r="J310" s="14"/>
      <c r="K310" s="38"/>
      <c r="L310" s="38"/>
      <c r="M310" s="17"/>
    </row>
    <row r="311" spans="2:13" ht="14.45" customHeight="1" x14ac:dyDescent="0.25">
      <c r="B311" s="17"/>
      <c r="C311" s="14"/>
      <c r="D311" s="14"/>
      <c r="E311" s="18"/>
      <c r="F311" s="61"/>
      <c r="G311" s="73"/>
      <c r="H311" s="79"/>
      <c r="I311" s="79"/>
      <c r="J311" s="14"/>
      <c r="K311" s="38"/>
      <c r="L311" s="38"/>
      <c r="M311" s="17"/>
    </row>
    <row r="312" spans="2:13" ht="14.45" customHeight="1" x14ac:dyDescent="0.25">
      <c r="B312" s="17"/>
      <c r="C312" s="14"/>
      <c r="D312" s="14"/>
      <c r="E312" s="18"/>
      <c r="F312" s="61"/>
      <c r="G312" s="73"/>
      <c r="H312" s="79"/>
      <c r="I312" s="79"/>
      <c r="J312" s="14"/>
      <c r="K312" s="38"/>
      <c r="L312" s="38"/>
      <c r="M312" s="17"/>
    </row>
    <row r="313" spans="2:13" ht="14.45" customHeight="1" x14ac:dyDescent="0.25">
      <c r="B313" s="17"/>
      <c r="C313" s="14"/>
      <c r="D313" s="14"/>
      <c r="E313" s="18"/>
      <c r="F313" s="61"/>
      <c r="G313" s="73"/>
      <c r="H313" s="79"/>
      <c r="I313" s="79"/>
      <c r="J313" s="14"/>
      <c r="K313" s="38"/>
      <c r="L313" s="38"/>
      <c r="M313" s="17"/>
    </row>
    <row r="314" spans="2:13" ht="14.45" customHeight="1" x14ac:dyDescent="0.25">
      <c r="B314" s="17"/>
      <c r="C314" s="14"/>
      <c r="D314" s="14"/>
      <c r="E314" s="18"/>
      <c r="F314" s="61"/>
      <c r="G314" s="73"/>
      <c r="H314" s="79"/>
      <c r="I314" s="79"/>
      <c r="J314" s="14"/>
      <c r="K314" s="38"/>
      <c r="L314" s="38"/>
      <c r="M314" s="17"/>
    </row>
    <row r="315" spans="2:13" ht="14.45" customHeight="1" x14ac:dyDescent="0.25">
      <c r="B315" s="17"/>
      <c r="C315" s="14"/>
      <c r="D315" s="14"/>
      <c r="E315" s="18"/>
      <c r="F315" s="61"/>
      <c r="G315" s="73"/>
      <c r="H315" s="79"/>
      <c r="I315" s="79"/>
      <c r="J315" s="14"/>
      <c r="K315" s="38"/>
      <c r="L315" s="38"/>
      <c r="M315" s="17"/>
    </row>
    <row r="316" spans="2:13" ht="14.45" customHeight="1" x14ac:dyDescent="0.25">
      <c r="B316" s="17"/>
      <c r="C316" s="14"/>
      <c r="D316" s="14"/>
      <c r="E316" s="18"/>
      <c r="F316" s="61"/>
      <c r="G316" s="73"/>
      <c r="H316" s="79"/>
      <c r="I316" s="79"/>
      <c r="J316" s="14"/>
      <c r="K316" s="38"/>
      <c r="L316" s="38"/>
      <c r="M316" s="17"/>
    </row>
    <row r="317" spans="2:13" ht="14.45" customHeight="1" x14ac:dyDescent="0.25">
      <c r="B317" s="17"/>
      <c r="C317" s="14"/>
      <c r="D317" s="14"/>
      <c r="E317" s="18"/>
      <c r="F317" s="61"/>
      <c r="G317" s="73"/>
      <c r="H317" s="79"/>
      <c r="I317" s="79"/>
      <c r="J317" s="14"/>
      <c r="K317" s="38"/>
      <c r="L317" s="38"/>
      <c r="M317" s="17"/>
    </row>
    <row r="318" spans="2:13" ht="14.45" customHeight="1" x14ac:dyDescent="0.25">
      <c r="B318" s="17"/>
      <c r="C318" s="14"/>
      <c r="D318" s="14"/>
      <c r="E318" s="18"/>
      <c r="F318" s="61"/>
      <c r="G318" s="73"/>
      <c r="H318" s="79"/>
      <c r="I318" s="79"/>
      <c r="J318" s="14"/>
      <c r="K318" s="38"/>
      <c r="L318" s="38"/>
      <c r="M318" s="17"/>
    </row>
    <row r="319" spans="2:13" ht="14.45" customHeight="1" x14ac:dyDescent="0.25">
      <c r="B319" s="17"/>
      <c r="C319" s="14"/>
      <c r="D319" s="14"/>
      <c r="E319" s="18"/>
      <c r="F319" s="61"/>
      <c r="G319" s="73"/>
      <c r="H319" s="79"/>
      <c r="I319" s="79"/>
      <c r="J319" s="14"/>
      <c r="K319" s="38"/>
      <c r="L319" s="38"/>
      <c r="M319" s="17"/>
    </row>
    <row r="320" spans="2:13" ht="14.45" customHeight="1" x14ac:dyDescent="0.25">
      <c r="B320" s="17"/>
      <c r="C320" s="14"/>
      <c r="D320" s="14"/>
      <c r="E320" s="18"/>
      <c r="F320" s="61"/>
      <c r="G320" s="73"/>
      <c r="H320" s="79"/>
      <c r="I320" s="79"/>
      <c r="J320" s="14"/>
      <c r="K320" s="38"/>
      <c r="L320" s="38"/>
      <c r="M320" s="17"/>
    </row>
    <row r="321" spans="2:13" ht="14.45" customHeight="1" x14ac:dyDescent="0.25">
      <c r="B321" s="17"/>
      <c r="C321" s="14"/>
      <c r="D321" s="14"/>
      <c r="E321" s="18"/>
      <c r="F321" s="61"/>
      <c r="G321" s="73"/>
      <c r="H321" s="79"/>
      <c r="I321" s="79"/>
      <c r="J321" s="14"/>
      <c r="K321" s="38"/>
      <c r="L321" s="38"/>
      <c r="M321" s="17"/>
    </row>
    <row r="322" spans="2:13" ht="14.45" customHeight="1" x14ac:dyDescent="0.25">
      <c r="B322" s="17"/>
      <c r="C322" s="14"/>
      <c r="D322" s="14"/>
      <c r="E322" s="18"/>
      <c r="F322" s="61"/>
      <c r="G322" s="73"/>
      <c r="H322" s="79"/>
      <c r="I322" s="79"/>
      <c r="J322" s="14"/>
      <c r="K322" s="38"/>
      <c r="L322" s="38"/>
      <c r="M322" s="17"/>
    </row>
    <row r="323" spans="2:13" ht="14.45" customHeight="1" x14ac:dyDescent="0.25">
      <c r="B323" s="17"/>
      <c r="C323" s="14"/>
      <c r="D323" s="14"/>
      <c r="E323" s="18"/>
      <c r="F323" s="61"/>
      <c r="G323" s="73"/>
      <c r="H323" s="79"/>
      <c r="I323" s="79"/>
      <c r="J323" s="14"/>
      <c r="K323" s="38"/>
      <c r="L323" s="38"/>
      <c r="M323" s="17"/>
    </row>
    <row r="324" spans="2:13" ht="14.45" customHeight="1" x14ac:dyDescent="0.25">
      <c r="B324" s="17"/>
      <c r="C324" s="14"/>
      <c r="D324" s="14"/>
      <c r="E324" s="18"/>
      <c r="F324" s="61"/>
      <c r="G324" s="73"/>
      <c r="H324" s="79"/>
      <c r="I324" s="79"/>
      <c r="J324" s="14"/>
      <c r="K324" s="38"/>
      <c r="L324" s="38"/>
      <c r="M324" s="17"/>
    </row>
    <row r="325" spans="2:13" ht="14.45" customHeight="1" x14ac:dyDescent="0.25">
      <c r="B325" s="17"/>
      <c r="C325" s="14"/>
      <c r="D325" s="14"/>
      <c r="E325" s="18"/>
      <c r="F325" s="61"/>
      <c r="G325" s="73"/>
      <c r="H325" s="79"/>
      <c r="I325" s="79"/>
      <c r="J325" s="14"/>
      <c r="K325" s="38"/>
      <c r="L325" s="38"/>
      <c r="M325" s="17"/>
    </row>
    <row r="326" spans="2:13" ht="14.45" customHeight="1" x14ac:dyDescent="0.25">
      <c r="B326" s="17"/>
      <c r="C326" s="14"/>
      <c r="D326" s="14"/>
      <c r="E326" s="18"/>
      <c r="F326" s="61"/>
      <c r="G326" s="73"/>
      <c r="H326" s="79"/>
      <c r="I326" s="79"/>
      <c r="J326" s="14"/>
      <c r="K326" s="38"/>
      <c r="L326" s="38"/>
      <c r="M326" s="17"/>
    </row>
    <row r="327" spans="2:13" ht="14.45" customHeight="1" x14ac:dyDescent="0.25">
      <c r="B327" s="17"/>
      <c r="C327" s="14"/>
      <c r="D327" s="14"/>
      <c r="E327" s="18"/>
      <c r="F327" s="61"/>
      <c r="G327" s="73"/>
      <c r="H327" s="79"/>
      <c r="I327" s="79"/>
      <c r="J327" s="14"/>
      <c r="K327" s="38"/>
      <c r="L327" s="38"/>
      <c r="M327" s="17"/>
    </row>
    <row r="328" spans="2:13" ht="14.45" customHeight="1" x14ac:dyDescent="0.25">
      <c r="B328" s="17"/>
      <c r="C328" s="14"/>
      <c r="D328" s="14"/>
      <c r="E328" s="18"/>
      <c r="F328" s="61"/>
      <c r="G328" s="73"/>
      <c r="H328" s="79"/>
      <c r="I328" s="79"/>
      <c r="J328" s="14"/>
      <c r="K328" s="38"/>
      <c r="L328" s="38"/>
      <c r="M328" s="17"/>
    </row>
    <row r="329" spans="2:13" ht="14.45" customHeight="1" x14ac:dyDescent="0.25">
      <c r="B329" s="17"/>
      <c r="C329" s="14"/>
      <c r="D329" s="14"/>
      <c r="E329" s="18"/>
      <c r="F329" s="61"/>
      <c r="G329" s="73"/>
      <c r="H329" s="79"/>
      <c r="I329" s="79"/>
      <c r="J329" s="14"/>
      <c r="K329" s="38"/>
      <c r="L329" s="38"/>
      <c r="M329" s="17"/>
    </row>
    <row r="330" spans="2:13" ht="14.45" customHeight="1" x14ac:dyDescent="0.25">
      <c r="B330" s="17"/>
      <c r="C330" s="14"/>
      <c r="D330" s="14"/>
      <c r="E330" s="18"/>
      <c r="F330" s="61"/>
      <c r="G330" s="73"/>
      <c r="H330" s="79"/>
      <c r="I330" s="79"/>
      <c r="J330" s="14"/>
      <c r="K330" s="38"/>
      <c r="L330" s="38"/>
      <c r="M330" s="17"/>
    </row>
    <row r="331" spans="2:13" ht="14.45" customHeight="1" x14ac:dyDescent="0.25">
      <c r="B331" s="17"/>
      <c r="C331" s="14"/>
      <c r="D331" s="14"/>
      <c r="E331" s="18"/>
      <c r="F331" s="61"/>
      <c r="G331" s="73"/>
      <c r="H331" s="79"/>
      <c r="I331" s="79"/>
      <c r="J331" s="14"/>
      <c r="K331" s="38"/>
      <c r="L331" s="38"/>
      <c r="M331" s="17"/>
    </row>
    <row r="332" spans="2:13" ht="14.45" customHeight="1" x14ac:dyDescent="0.25">
      <c r="B332" s="17"/>
      <c r="C332" s="14"/>
      <c r="D332" s="14"/>
      <c r="E332" s="18"/>
      <c r="F332" s="61"/>
      <c r="G332" s="73"/>
      <c r="H332" s="79"/>
      <c r="I332" s="79"/>
      <c r="J332" s="14"/>
      <c r="K332" s="38"/>
      <c r="L332" s="38"/>
      <c r="M332" s="17"/>
    </row>
    <row r="333" spans="2:13" ht="14.45" customHeight="1" x14ac:dyDescent="0.25">
      <c r="B333" s="17"/>
      <c r="C333" s="14"/>
      <c r="D333" s="14"/>
      <c r="E333" s="18"/>
      <c r="F333" s="61"/>
      <c r="G333" s="73"/>
      <c r="H333" s="79"/>
      <c r="I333" s="79"/>
      <c r="J333" s="14"/>
      <c r="K333" s="38"/>
      <c r="L333" s="38"/>
      <c r="M333" s="17"/>
    </row>
    <row r="334" spans="2:13" ht="14.45" customHeight="1" x14ac:dyDescent="0.25">
      <c r="B334" s="17"/>
      <c r="C334" s="14"/>
      <c r="D334" s="14"/>
      <c r="E334" s="18"/>
      <c r="F334" s="61"/>
      <c r="G334" s="73"/>
      <c r="H334" s="79"/>
      <c r="I334" s="79"/>
      <c r="J334" s="14"/>
      <c r="K334" s="38"/>
      <c r="L334" s="38"/>
      <c r="M334" s="17"/>
    </row>
    <row r="335" spans="2:13" ht="14.45" customHeight="1" x14ac:dyDescent="0.25">
      <c r="B335" s="17"/>
      <c r="C335" s="14"/>
      <c r="D335" s="14"/>
      <c r="E335" s="18"/>
      <c r="F335" s="61"/>
      <c r="G335" s="73"/>
      <c r="H335" s="79"/>
      <c r="I335" s="79"/>
      <c r="J335" s="14"/>
      <c r="K335" s="38"/>
      <c r="L335" s="38"/>
      <c r="M335" s="17"/>
    </row>
    <row r="336" spans="2:13" ht="14.45" customHeight="1" x14ac:dyDescent="0.25">
      <c r="B336" s="17"/>
      <c r="C336" s="14"/>
      <c r="D336" s="14"/>
      <c r="E336" s="18"/>
      <c r="F336" s="61"/>
      <c r="G336" s="73"/>
      <c r="H336" s="79"/>
      <c r="I336" s="79"/>
      <c r="J336" s="14"/>
      <c r="K336" s="38"/>
      <c r="L336" s="38"/>
      <c r="M336" s="17"/>
    </row>
    <row r="337" spans="2:13" ht="14.45" customHeight="1" x14ac:dyDescent="0.25">
      <c r="B337" s="17"/>
      <c r="C337" s="14"/>
      <c r="D337" s="14"/>
      <c r="E337" s="18"/>
      <c r="F337" s="61"/>
      <c r="G337" s="73"/>
      <c r="H337" s="79"/>
      <c r="I337" s="79"/>
      <c r="J337" s="14"/>
      <c r="K337" s="38"/>
      <c r="L337" s="38"/>
      <c r="M337" s="17"/>
    </row>
    <row r="338" spans="2:13" ht="14.45" customHeight="1" x14ac:dyDescent="0.25">
      <c r="B338" s="17"/>
      <c r="C338" s="14"/>
      <c r="D338" s="14"/>
      <c r="E338" s="18"/>
      <c r="F338" s="61"/>
      <c r="G338" s="73"/>
      <c r="H338" s="79"/>
      <c r="I338" s="79"/>
      <c r="J338" s="14"/>
      <c r="K338" s="38"/>
      <c r="L338" s="38"/>
      <c r="M338" s="17"/>
    </row>
    <row r="339" spans="2:13" ht="14.45" customHeight="1" x14ac:dyDescent="0.25">
      <c r="B339" s="17"/>
      <c r="C339" s="14"/>
      <c r="D339" s="14"/>
      <c r="E339" s="18"/>
      <c r="F339" s="61"/>
      <c r="G339" s="73"/>
      <c r="H339" s="79"/>
      <c r="I339" s="79"/>
      <c r="J339" s="14"/>
      <c r="K339" s="38"/>
      <c r="L339" s="38"/>
      <c r="M339" s="17"/>
    </row>
    <row r="340" spans="2:13" ht="14.45" customHeight="1" x14ac:dyDescent="0.25">
      <c r="B340" s="17"/>
      <c r="C340" s="14"/>
      <c r="D340" s="14"/>
      <c r="E340" s="18"/>
      <c r="F340" s="61"/>
      <c r="G340" s="73"/>
      <c r="H340" s="79"/>
      <c r="I340" s="79"/>
      <c r="J340" s="14"/>
      <c r="K340" s="38"/>
      <c r="L340" s="38"/>
      <c r="M340" s="17"/>
    </row>
    <row r="341" spans="2:13" ht="14.45" customHeight="1" x14ac:dyDescent="0.25">
      <c r="B341" s="17"/>
      <c r="C341" s="14"/>
      <c r="D341" s="14"/>
      <c r="E341" s="18"/>
      <c r="F341" s="61"/>
      <c r="G341" s="73"/>
      <c r="H341" s="79"/>
      <c r="I341" s="79"/>
      <c r="J341" s="14"/>
      <c r="K341" s="38"/>
      <c r="L341" s="38"/>
      <c r="M341" s="17"/>
    </row>
    <row r="342" spans="2:13" ht="14.45" customHeight="1" x14ac:dyDescent="0.25">
      <c r="B342" s="17"/>
      <c r="C342" s="14"/>
      <c r="D342" s="14"/>
      <c r="E342" s="18"/>
      <c r="F342" s="61"/>
      <c r="G342" s="73"/>
      <c r="H342" s="79"/>
      <c r="I342" s="79"/>
      <c r="J342" s="14"/>
      <c r="K342" s="38"/>
      <c r="L342" s="38"/>
      <c r="M342" s="17"/>
    </row>
    <row r="343" spans="2:13" ht="14.45" customHeight="1" x14ac:dyDescent="0.25">
      <c r="B343" s="17"/>
      <c r="C343" s="14"/>
      <c r="D343" s="14"/>
      <c r="E343" s="18"/>
      <c r="F343" s="61"/>
      <c r="G343" s="73"/>
      <c r="H343" s="79"/>
      <c r="I343" s="79"/>
      <c r="J343" s="14"/>
      <c r="K343" s="38"/>
      <c r="L343" s="38"/>
      <c r="M343" s="17"/>
    </row>
    <row r="344" spans="2:13" ht="14.45" customHeight="1" x14ac:dyDescent="0.25">
      <c r="B344" s="17"/>
      <c r="C344" s="14"/>
      <c r="D344" s="14"/>
      <c r="E344" s="18"/>
      <c r="F344" s="61"/>
      <c r="G344" s="73"/>
      <c r="H344" s="79"/>
      <c r="I344" s="79"/>
      <c r="J344" s="14"/>
      <c r="K344" s="38"/>
      <c r="L344" s="38"/>
      <c r="M344" s="17"/>
    </row>
    <row r="345" spans="2:13" ht="14.45" customHeight="1" x14ac:dyDescent="0.25">
      <c r="B345" s="17"/>
      <c r="C345" s="14"/>
      <c r="D345" s="14"/>
      <c r="E345" s="18"/>
      <c r="F345" s="61"/>
      <c r="G345" s="73"/>
      <c r="H345" s="79"/>
      <c r="I345" s="79"/>
      <c r="J345" s="14"/>
      <c r="K345" s="38"/>
      <c r="L345" s="38"/>
      <c r="M345" s="17"/>
    </row>
    <row r="346" spans="2:13" ht="14.45" customHeight="1" x14ac:dyDescent="0.25">
      <c r="B346" s="17"/>
      <c r="C346" s="14"/>
      <c r="D346" s="14"/>
      <c r="E346" s="18"/>
      <c r="F346" s="61"/>
      <c r="G346" s="73"/>
      <c r="H346" s="79"/>
      <c r="I346" s="79"/>
      <c r="J346" s="14"/>
      <c r="K346" s="38"/>
      <c r="L346" s="38"/>
      <c r="M346" s="17"/>
    </row>
    <row r="347" spans="2:13" ht="14.45" customHeight="1" x14ac:dyDescent="0.25">
      <c r="B347" s="17"/>
      <c r="C347" s="14"/>
      <c r="D347" s="14"/>
      <c r="E347" s="18"/>
      <c r="F347" s="61"/>
      <c r="G347" s="73"/>
      <c r="H347" s="79"/>
      <c r="I347" s="79"/>
      <c r="J347" s="14"/>
      <c r="K347" s="38"/>
      <c r="L347" s="38"/>
      <c r="M347" s="17"/>
    </row>
    <row r="348" spans="2:13" ht="14.45" customHeight="1" x14ac:dyDescent="0.25">
      <c r="B348" s="17"/>
      <c r="C348" s="14"/>
      <c r="D348" s="14"/>
      <c r="E348" s="18"/>
      <c r="F348" s="61"/>
      <c r="G348" s="73"/>
      <c r="H348" s="79"/>
      <c r="I348" s="79"/>
      <c r="J348" s="14"/>
      <c r="K348" s="38"/>
      <c r="L348" s="38"/>
      <c r="M348" s="17"/>
    </row>
    <row r="349" spans="2:13" ht="14.45" customHeight="1" x14ac:dyDescent="0.25">
      <c r="B349" s="17"/>
      <c r="C349" s="14"/>
      <c r="D349" s="14"/>
      <c r="E349" s="18"/>
      <c r="F349" s="61"/>
      <c r="G349" s="73"/>
      <c r="H349" s="79"/>
      <c r="I349" s="79"/>
      <c r="J349" s="14"/>
      <c r="K349" s="38"/>
      <c r="L349" s="38"/>
      <c r="M349" s="17"/>
    </row>
    <row r="350" spans="2:13" ht="14.45" customHeight="1" x14ac:dyDescent="0.25">
      <c r="B350" s="17"/>
      <c r="C350" s="14"/>
      <c r="D350" s="14"/>
      <c r="E350" s="18"/>
      <c r="F350" s="61"/>
      <c r="G350" s="73"/>
      <c r="H350" s="79"/>
      <c r="I350" s="79"/>
      <c r="J350" s="14"/>
      <c r="K350" s="38"/>
      <c r="L350" s="38"/>
      <c r="M350" s="17"/>
    </row>
    <row r="351" spans="2:13" ht="14.45" customHeight="1" x14ac:dyDescent="0.25">
      <c r="B351" s="17"/>
      <c r="C351" s="14"/>
      <c r="D351" s="14"/>
      <c r="E351" s="18"/>
      <c r="F351" s="61"/>
      <c r="G351" s="73"/>
      <c r="H351" s="79"/>
      <c r="I351" s="79"/>
      <c r="J351" s="14"/>
      <c r="K351" s="38"/>
      <c r="L351" s="38"/>
      <c r="M351" s="17"/>
    </row>
    <row r="352" spans="2:13" ht="14.45" customHeight="1" x14ac:dyDescent="0.25">
      <c r="B352" s="17"/>
      <c r="C352" s="14"/>
      <c r="D352" s="14"/>
      <c r="E352" s="18"/>
      <c r="F352" s="61"/>
      <c r="G352" s="73"/>
      <c r="H352" s="79"/>
      <c r="I352" s="79"/>
      <c r="J352" s="14"/>
      <c r="K352" s="38"/>
      <c r="L352" s="38"/>
      <c r="M352" s="17"/>
    </row>
    <row r="353" spans="2:13" ht="14.45" customHeight="1" x14ac:dyDescent="0.25">
      <c r="B353" s="17"/>
      <c r="C353" s="14"/>
      <c r="D353" s="14"/>
      <c r="E353" s="18"/>
      <c r="F353" s="61"/>
      <c r="G353" s="73"/>
      <c r="H353" s="79"/>
      <c r="I353" s="79"/>
      <c r="J353" s="14"/>
      <c r="K353" s="38"/>
      <c r="L353" s="38"/>
      <c r="M353" s="17"/>
    </row>
    <row r="354" spans="2:13" ht="14.45" customHeight="1" x14ac:dyDescent="0.25">
      <c r="B354" s="17"/>
      <c r="C354" s="14"/>
      <c r="D354" s="14"/>
      <c r="E354" s="18"/>
      <c r="F354" s="61"/>
      <c r="G354" s="73"/>
      <c r="H354" s="79"/>
      <c r="I354" s="79"/>
      <c r="J354" s="14"/>
      <c r="K354" s="38"/>
      <c r="L354" s="38"/>
      <c r="M354" s="17"/>
    </row>
    <row r="355" spans="2:13" ht="14.45" customHeight="1" x14ac:dyDescent="0.25">
      <c r="B355" s="17"/>
      <c r="C355" s="14"/>
      <c r="D355" s="14"/>
      <c r="E355" s="18"/>
      <c r="F355" s="61"/>
      <c r="G355" s="73"/>
      <c r="H355" s="79"/>
      <c r="I355" s="79"/>
      <c r="J355" s="14"/>
      <c r="K355" s="38"/>
      <c r="L355" s="38"/>
      <c r="M355" s="17"/>
    </row>
    <row r="356" spans="2:13" ht="14.45" customHeight="1" x14ac:dyDescent="0.25">
      <c r="B356" s="17"/>
      <c r="C356" s="14"/>
      <c r="D356" s="14"/>
      <c r="E356" s="18"/>
      <c r="F356" s="61"/>
      <c r="G356" s="73"/>
      <c r="H356" s="79"/>
      <c r="I356" s="79"/>
      <c r="J356" s="14"/>
      <c r="K356" s="38"/>
      <c r="L356" s="38"/>
      <c r="M356" s="17"/>
    </row>
    <row r="357" spans="2:13" ht="14.45" customHeight="1" x14ac:dyDescent="0.25">
      <c r="B357" s="17"/>
      <c r="C357" s="14"/>
      <c r="D357" s="14"/>
      <c r="E357" s="18"/>
      <c r="F357" s="61"/>
      <c r="G357" s="73"/>
      <c r="H357" s="79"/>
      <c r="I357" s="79"/>
      <c r="J357" s="14"/>
      <c r="K357" s="38"/>
      <c r="L357" s="38"/>
      <c r="M357" s="17"/>
    </row>
    <row r="358" spans="2:13" ht="14.45" customHeight="1" x14ac:dyDescent="0.25">
      <c r="B358" s="17"/>
      <c r="C358" s="14"/>
      <c r="D358" s="14"/>
      <c r="E358" s="18"/>
      <c r="F358" s="61"/>
      <c r="G358" s="73"/>
      <c r="H358" s="79"/>
      <c r="I358" s="79"/>
      <c r="J358" s="14"/>
      <c r="K358" s="38"/>
      <c r="L358" s="38"/>
      <c r="M358" s="17"/>
    </row>
    <row r="359" spans="2:13" ht="14.45" customHeight="1" x14ac:dyDescent="0.25">
      <c r="B359" s="17"/>
      <c r="C359" s="14"/>
      <c r="D359" s="14"/>
      <c r="E359" s="18"/>
      <c r="F359" s="61"/>
      <c r="G359" s="73"/>
      <c r="H359" s="79"/>
      <c r="I359" s="79"/>
      <c r="J359" s="14"/>
      <c r="K359" s="38"/>
      <c r="L359" s="38"/>
      <c r="M359" s="17"/>
    </row>
    <row r="360" spans="2:13" ht="14.45" customHeight="1" x14ac:dyDescent="0.25">
      <c r="B360" s="17"/>
      <c r="C360" s="14"/>
      <c r="D360" s="14"/>
      <c r="E360" s="18"/>
      <c r="F360" s="61"/>
      <c r="G360" s="73"/>
      <c r="H360" s="79"/>
      <c r="I360" s="79"/>
      <c r="J360" s="14"/>
      <c r="K360" s="38"/>
      <c r="L360" s="38"/>
      <c r="M360" s="17"/>
    </row>
    <row r="361" spans="2:13" ht="14.45" customHeight="1" x14ac:dyDescent="0.25">
      <c r="B361" s="17"/>
      <c r="C361" s="14"/>
      <c r="D361" s="14"/>
      <c r="E361" s="18"/>
      <c r="F361" s="61"/>
      <c r="G361" s="73"/>
      <c r="H361" s="79"/>
      <c r="I361" s="79"/>
      <c r="J361" s="14"/>
      <c r="K361" s="38"/>
      <c r="L361" s="38"/>
      <c r="M361" s="17"/>
    </row>
    <row r="362" spans="2:13" ht="14.45" customHeight="1" x14ac:dyDescent="0.25">
      <c r="B362" s="17"/>
      <c r="C362" s="14"/>
      <c r="D362" s="14"/>
      <c r="E362" s="18"/>
      <c r="F362" s="61"/>
      <c r="G362" s="73"/>
      <c r="H362" s="79"/>
      <c r="I362" s="79"/>
      <c r="J362" s="14"/>
      <c r="K362" s="38"/>
      <c r="L362" s="38"/>
      <c r="M362" s="17"/>
    </row>
    <row r="363" spans="2:13" ht="14.45" customHeight="1" x14ac:dyDescent="0.25">
      <c r="B363" s="17"/>
      <c r="C363" s="14"/>
      <c r="D363" s="14"/>
      <c r="E363" s="18"/>
      <c r="F363" s="61"/>
      <c r="G363" s="73"/>
      <c r="H363" s="79"/>
      <c r="I363" s="79"/>
      <c r="J363" s="14"/>
      <c r="K363" s="38"/>
      <c r="L363" s="38"/>
      <c r="M363" s="17"/>
    </row>
    <row r="364" spans="2:13" ht="14.45" customHeight="1" x14ac:dyDescent="0.25">
      <c r="B364" s="17"/>
      <c r="C364" s="14"/>
      <c r="D364" s="14"/>
      <c r="E364" s="18"/>
      <c r="F364" s="61"/>
      <c r="G364" s="73"/>
      <c r="H364" s="79"/>
      <c r="I364" s="79"/>
      <c r="J364" s="14"/>
      <c r="K364" s="38"/>
      <c r="L364" s="38"/>
      <c r="M364" s="17"/>
    </row>
    <row r="365" spans="2:13" ht="14.45" customHeight="1" x14ac:dyDescent="0.25">
      <c r="B365" s="17"/>
      <c r="C365" s="14"/>
      <c r="D365" s="14"/>
      <c r="E365" s="18"/>
      <c r="F365" s="61"/>
      <c r="G365" s="73"/>
      <c r="H365" s="79"/>
      <c r="I365" s="79"/>
      <c r="J365" s="14"/>
      <c r="K365" s="38"/>
      <c r="L365" s="38"/>
      <c r="M365" s="17"/>
    </row>
    <row r="366" spans="2:13" ht="14.45" customHeight="1" x14ac:dyDescent="0.25">
      <c r="B366" s="17"/>
      <c r="C366" s="14"/>
      <c r="D366" s="14"/>
      <c r="E366" s="18"/>
      <c r="F366" s="61"/>
      <c r="G366" s="73"/>
      <c r="H366" s="79"/>
      <c r="I366" s="79"/>
      <c r="J366" s="14"/>
      <c r="K366" s="38"/>
      <c r="L366" s="38"/>
      <c r="M366" s="17"/>
    </row>
    <row r="367" spans="2:13" ht="14.45" customHeight="1" x14ac:dyDescent="0.25">
      <c r="B367" s="17"/>
      <c r="C367" s="14"/>
      <c r="D367" s="14"/>
      <c r="E367" s="18"/>
      <c r="F367" s="61"/>
      <c r="G367" s="73"/>
      <c r="H367" s="79"/>
      <c r="I367" s="79"/>
      <c r="J367" s="14"/>
      <c r="K367" s="38"/>
      <c r="L367" s="38"/>
      <c r="M367" s="17"/>
    </row>
    <row r="368" spans="2:13" ht="14.45" customHeight="1" x14ac:dyDescent="0.25">
      <c r="B368" s="17"/>
      <c r="C368" s="14"/>
      <c r="D368" s="14"/>
      <c r="E368" s="18"/>
      <c r="F368" s="61"/>
      <c r="G368" s="73"/>
      <c r="H368" s="79"/>
      <c r="I368" s="79"/>
      <c r="J368" s="14"/>
      <c r="K368" s="38"/>
      <c r="L368" s="38"/>
      <c r="M368" s="17"/>
    </row>
    <row r="369" spans="2:13" ht="14.45" customHeight="1" x14ac:dyDescent="0.25">
      <c r="B369" s="17"/>
      <c r="C369" s="14"/>
      <c r="D369" s="14"/>
      <c r="E369" s="18"/>
      <c r="F369" s="61"/>
      <c r="G369" s="73"/>
      <c r="H369" s="79"/>
      <c r="I369" s="79"/>
      <c r="J369" s="14"/>
      <c r="K369" s="38"/>
      <c r="L369" s="38"/>
      <c r="M369" s="17"/>
    </row>
    <row r="370" spans="2:13" ht="14.45" customHeight="1" x14ac:dyDescent="0.25">
      <c r="B370" s="17"/>
      <c r="C370" s="14"/>
      <c r="D370" s="14"/>
      <c r="E370" s="18"/>
      <c r="F370" s="61"/>
      <c r="G370" s="73"/>
      <c r="H370" s="79"/>
      <c r="I370" s="79"/>
      <c r="J370" s="14"/>
      <c r="K370" s="38"/>
      <c r="L370" s="38"/>
      <c r="M370" s="17"/>
    </row>
    <row r="371" spans="2:13" ht="14.45" customHeight="1" x14ac:dyDescent="0.25">
      <c r="B371" s="17"/>
      <c r="C371" s="14"/>
      <c r="D371" s="14"/>
      <c r="E371" s="18"/>
      <c r="F371" s="61"/>
      <c r="G371" s="73"/>
      <c r="H371" s="79"/>
      <c r="I371" s="79"/>
      <c r="J371" s="14"/>
      <c r="K371" s="38"/>
      <c r="L371" s="38"/>
      <c r="M371" s="17"/>
    </row>
    <row r="372" spans="2:13" ht="14.45" customHeight="1" x14ac:dyDescent="0.25">
      <c r="B372" s="17"/>
      <c r="C372" s="14"/>
      <c r="D372" s="14"/>
      <c r="E372" s="18"/>
      <c r="F372" s="61"/>
      <c r="G372" s="73"/>
      <c r="H372" s="79"/>
      <c r="I372" s="79"/>
      <c r="J372" s="14"/>
      <c r="K372" s="38"/>
      <c r="L372" s="38"/>
      <c r="M372" s="17"/>
    </row>
    <row r="373" spans="2:13" ht="14.45" customHeight="1" x14ac:dyDescent="0.25">
      <c r="B373" s="17"/>
      <c r="C373" s="14"/>
      <c r="D373" s="14"/>
      <c r="E373" s="18"/>
      <c r="F373" s="61"/>
      <c r="G373" s="73"/>
      <c r="H373" s="79"/>
      <c r="I373" s="79"/>
      <c r="J373" s="14"/>
      <c r="K373" s="38"/>
      <c r="L373" s="38"/>
      <c r="M373" s="17"/>
    </row>
    <row r="374" spans="2:13" ht="14.45" customHeight="1" x14ac:dyDescent="0.25">
      <c r="B374" s="17"/>
      <c r="C374" s="14"/>
      <c r="D374" s="14"/>
      <c r="E374" s="18"/>
      <c r="F374" s="61"/>
      <c r="G374" s="73"/>
      <c r="H374" s="79"/>
      <c r="I374" s="79"/>
      <c r="J374" s="14"/>
      <c r="K374" s="38"/>
      <c r="L374" s="38"/>
      <c r="M374" s="17"/>
    </row>
    <row r="375" spans="2:13" ht="14.45" customHeight="1" x14ac:dyDescent="0.25">
      <c r="B375" s="17"/>
      <c r="C375" s="14"/>
      <c r="D375" s="14"/>
      <c r="E375" s="18"/>
      <c r="F375" s="61"/>
      <c r="G375" s="73"/>
      <c r="H375" s="79"/>
      <c r="I375" s="79"/>
      <c r="J375" s="14"/>
      <c r="K375" s="38"/>
      <c r="L375" s="38"/>
      <c r="M375" s="17"/>
    </row>
    <row r="376" spans="2:13" ht="14.45" customHeight="1" x14ac:dyDescent="0.25">
      <c r="B376" s="17"/>
      <c r="C376" s="14"/>
      <c r="D376" s="14"/>
      <c r="E376" s="18"/>
      <c r="F376" s="61"/>
      <c r="G376" s="73"/>
      <c r="H376" s="79"/>
      <c r="I376" s="79"/>
      <c r="J376" s="14"/>
      <c r="K376" s="38"/>
      <c r="L376" s="38"/>
      <c r="M376" s="17"/>
    </row>
    <row r="377" spans="2:13" ht="14.45" customHeight="1" x14ac:dyDescent="0.25">
      <c r="B377" s="17"/>
      <c r="C377" s="14"/>
      <c r="D377" s="14"/>
      <c r="E377" s="18"/>
      <c r="F377" s="61"/>
      <c r="G377" s="73"/>
      <c r="H377" s="79"/>
      <c r="I377" s="79"/>
      <c r="J377" s="14"/>
      <c r="K377" s="38"/>
      <c r="L377" s="38"/>
      <c r="M377" s="17"/>
    </row>
    <row r="378" spans="2:13" ht="14.45" customHeight="1" x14ac:dyDescent="0.25">
      <c r="B378" s="17"/>
      <c r="C378" s="14"/>
      <c r="D378" s="14"/>
      <c r="E378" s="18"/>
      <c r="F378" s="61"/>
      <c r="G378" s="73"/>
      <c r="H378" s="79"/>
      <c r="I378" s="79"/>
      <c r="J378" s="14"/>
      <c r="K378" s="38"/>
      <c r="L378" s="38"/>
      <c r="M378" s="17"/>
    </row>
    <row r="379" spans="2:13" ht="14.45" customHeight="1" x14ac:dyDescent="0.25">
      <c r="B379" s="17"/>
      <c r="C379" s="14"/>
      <c r="D379" s="14"/>
      <c r="E379" s="18"/>
      <c r="F379" s="61"/>
      <c r="G379" s="73"/>
      <c r="H379" s="79"/>
      <c r="I379" s="79"/>
      <c r="J379" s="14"/>
      <c r="K379" s="38"/>
      <c r="L379" s="38"/>
      <c r="M379" s="17"/>
    </row>
    <row r="380" spans="2:13" ht="14.45" customHeight="1" x14ac:dyDescent="0.25">
      <c r="B380" s="17"/>
      <c r="C380" s="14"/>
      <c r="D380" s="14"/>
      <c r="E380" s="18"/>
      <c r="F380" s="61"/>
      <c r="G380" s="73"/>
      <c r="H380" s="79"/>
      <c r="I380" s="79"/>
      <c r="J380" s="14"/>
      <c r="K380" s="38"/>
      <c r="L380" s="38"/>
      <c r="M380" s="17"/>
    </row>
    <row r="381" spans="2:13" ht="14.45" customHeight="1" x14ac:dyDescent="0.25">
      <c r="B381" s="17"/>
      <c r="C381" s="14"/>
      <c r="D381" s="14"/>
      <c r="E381" s="18"/>
      <c r="F381" s="61"/>
      <c r="G381" s="73"/>
      <c r="H381" s="79"/>
      <c r="I381" s="79"/>
      <c r="J381" s="14"/>
      <c r="K381" s="38"/>
      <c r="L381" s="38"/>
      <c r="M381" s="17"/>
    </row>
    <row r="382" spans="2:13" ht="14.45" customHeight="1" x14ac:dyDescent="0.25">
      <c r="B382" s="17"/>
      <c r="C382" s="14"/>
      <c r="D382" s="14"/>
      <c r="E382" s="18"/>
      <c r="F382" s="61"/>
      <c r="G382" s="73"/>
      <c r="H382" s="79"/>
      <c r="I382" s="79"/>
      <c r="J382" s="14"/>
      <c r="K382" s="38"/>
      <c r="L382" s="38"/>
      <c r="M382" s="17"/>
    </row>
    <row r="383" spans="2:13" ht="14.45" customHeight="1" x14ac:dyDescent="0.25">
      <c r="B383" s="17"/>
      <c r="C383" s="14"/>
      <c r="D383" s="14"/>
      <c r="E383" s="18"/>
      <c r="F383" s="61"/>
      <c r="G383" s="73"/>
      <c r="H383" s="79"/>
      <c r="I383" s="79"/>
      <c r="J383" s="14"/>
      <c r="K383" s="38"/>
      <c r="L383" s="38"/>
      <c r="M383" s="17"/>
    </row>
    <row r="384" spans="2:13" ht="14.45" customHeight="1" x14ac:dyDescent="0.25">
      <c r="B384" s="17"/>
      <c r="C384" s="14"/>
      <c r="D384" s="14"/>
      <c r="E384" s="18"/>
      <c r="F384" s="61"/>
      <c r="G384" s="73"/>
      <c r="H384" s="79"/>
      <c r="I384" s="79"/>
      <c r="J384" s="14"/>
      <c r="K384" s="38"/>
      <c r="L384" s="38"/>
      <c r="M384" s="17"/>
    </row>
    <row r="385" spans="2:13" ht="14.45" customHeight="1" x14ac:dyDescent="0.25">
      <c r="B385" s="17"/>
      <c r="C385" s="14"/>
      <c r="D385" s="14"/>
      <c r="E385" s="18"/>
      <c r="F385" s="61"/>
      <c r="G385" s="73"/>
      <c r="H385" s="79"/>
      <c r="I385" s="79"/>
      <c r="J385" s="14"/>
      <c r="K385" s="38"/>
      <c r="L385" s="38"/>
      <c r="M385" s="17"/>
    </row>
    <row r="386" spans="2:13" ht="14.45" customHeight="1" x14ac:dyDescent="0.25">
      <c r="B386" s="17"/>
      <c r="C386" s="14"/>
      <c r="D386" s="14"/>
      <c r="E386" s="18"/>
      <c r="F386" s="61"/>
      <c r="G386" s="73"/>
      <c r="H386" s="79"/>
      <c r="I386" s="79"/>
      <c r="J386" s="14"/>
      <c r="K386" s="38"/>
      <c r="L386" s="38"/>
      <c r="M386" s="17"/>
    </row>
    <row r="387" spans="2:13" ht="14.45" customHeight="1" x14ac:dyDescent="0.25">
      <c r="B387" s="17"/>
      <c r="C387" s="14"/>
      <c r="D387" s="14"/>
      <c r="E387" s="18"/>
      <c r="F387" s="61"/>
      <c r="G387" s="73"/>
      <c r="H387" s="79"/>
      <c r="I387" s="79"/>
      <c r="J387" s="14"/>
      <c r="K387" s="38"/>
      <c r="L387" s="38"/>
      <c r="M387" s="17"/>
    </row>
    <row r="388" spans="2:13" ht="14.45" customHeight="1" x14ac:dyDescent="0.25">
      <c r="B388" s="17"/>
      <c r="C388" s="14"/>
      <c r="D388" s="14"/>
      <c r="E388" s="18"/>
      <c r="F388" s="61"/>
      <c r="G388" s="73"/>
      <c r="H388" s="79"/>
      <c r="I388" s="79"/>
      <c r="J388" s="14"/>
      <c r="K388" s="38"/>
      <c r="L388" s="38"/>
      <c r="M388" s="17"/>
    </row>
    <row r="389" spans="2:13" ht="14.45" customHeight="1" x14ac:dyDescent="0.25">
      <c r="B389" s="17"/>
      <c r="C389" s="14"/>
      <c r="D389" s="14"/>
      <c r="E389" s="18"/>
      <c r="F389" s="61"/>
      <c r="G389" s="73"/>
      <c r="H389" s="79"/>
      <c r="I389" s="79"/>
      <c r="J389" s="14"/>
      <c r="K389" s="38"/>
      <c r="L389" s="38"/>
      <c r="M389" s="17"/>
    </row>
    <row r="390" spans="2:13" ht="14.45" customHeight="1" x14ac:dyDescent="0.25">
      <c r="B390" s="17"/>
      <c r="C390" s="14"/>
      <c r="D390" s="14"/>
      <c r="E390" s="18"/>
      <c r="F390" s="61"/>
      <c r="G390" s="73"/>
      <c r="H390" s="79"/>
      <c r="I390" s="79"/>
      <c r="J390" s="14"/>
      <c r="K390" s="38"/>
      <c r="L390" s="38"/>
      <c r="M390" s="17"/>
    </row>
    <row r="391" spans="2:13" ht="14.45" customHeight="1" x14ac:dyDescent="0.25">
      <c r="B391" s="17"/>
      <c r="C391" s="14"/>
      <c r="D391" s="14"/>
      <c r="E391" s="18"/>
      <c r="F391" s="61"/>
      <c r="G391" s="73"/>
      <c r="H391" s="79"/>
      <c r="I391" s="79"/>
      <c r="J391" s="14"/>
      <c r="K391" s="38"/>
      <c r="L391" s="38"/>
      <c r="M391" s="17"/>
    </row>
    <row r="392" spans="2:13" ht="14.45" customHeight="1" x14ac:dyDescent="0.25">
      <c r="B392" s="17"/>
      <c r="C392" s="14"/>
      <c r="D392" s="14"/>
      <c r="E392" s="18"/>
      <c r="F392" s="61"/>
      <c r="G392" s="73"/>
      <c r="H392" s="79"/>
      <c r="I392" s="79"/>
      <c r="J392" s="14"/>
      <c r="K392" s="38"/>
      <c r="L392" s="38"/>
      <c r="M392" s="17"/>
    </row>
    <row r="393" spans="2:13" ht="14.45" customHeight="1" x14ac:dyDescent="0.25">
      <c r="B393" s="17"/>
      <c r="C393" s="14"/>
      <c r="D393" s="14"/>
      <c r="E393" s="18"/>
      <c r="F393" s="61"/>
      <c r="G393" s="73"/>
      <c r="H393" s="79"/>
      <c r="I393" s="79"/>
      <c r="J393" s="14"/>
      <c r="K393" s="38"/>
      <c r="L393" s="38"/>
      <c r="M393" s="17"/>
    </row>
    <row r="394" spans="2:13" ht="14.45" customHeight="1" x14ac:dyDescent="0.25">
      <c r="B394" s="17"/>
      <c r="C394" s="14"/>
      <c r="D394" s="14"/>
      <c r="E394" s="18"/>
      <c r="F394" s="61"/>
      <c r="G394" s="73"/>
      <c r="H394" s="79"/>
      <c r="I394" s="79"/>
      <c r="J394" s="14"/>
      <c r="K394" s="38"/>
      <c r="L394" s="38"/>
      <c r="M394" s="17"/>
    </row>
    <row r="395" spans="2:13" ht="14.45" customHeight="1" x14ac:dyDescent="0.25">
      <c r="B395" s="17"/>
      <c r="C395" s="14"/>
      <c r="D395" s="14"/>
      <c r="E395" s="18"/>
      <c r="F395" s="61"/>
      <c r="G395" s="73"/>
      <c r="H395" s="79"/>
      <c r="I395" s="79"/>
      <c r="J395" s="14"/>
      <c r="K395" s="38"/>
      <c r="L395" s="38"/>
      <c r="M395" s="17"/>
    </row>
    <row r="396" spans="2:13" ht="14.45" customHeight="1" x14ac:dyDescent="0.25">
      <c r="B396" s="17"/>
      <c r="C396" s="14"/>
      <c r="D396" s="14"/>
      <c r="E396" s="18"/>
      <c r="F396" s="61"/>
      <c r="G396" s="73"/>
      <c r="H396" s="79"/>
      <c r="I396" s="79"/>
      <c r="J396" s="14"/>
      <c r="K396" s="38"/>
      <c r="L396" s="38"/>
      <c r="M396" s="17"/>
    </row>
    <row r="397" spans="2:13" ht="14.45" customHeight="1" x14ac:dyDescent="0.25">
      <c r="B397" s="17"/>
      <c r="C397" s="14"/>
      <c r="D397" s="14"/>
      <c r="E397" s="18"/>
      <c r="F397" s="61"/>
      <c r="G397" s="73"/>
      <c r="H397" s="79"/>
      <c r="I397" s="79"/>
      <c r="J397" s="14"/>
      <c r="K397" s="38"/>
      <c r="L397" s="38"/>
      <c r="M397" s="17"/>
    </row>
    <row r="398" spans="2:13" ht="14.45" customHeight="1" x14ac:dyDescent="0.25">
      <c r="B398" s="17"/>
      <c r="C398" s="14"/>
      <c r="D398" s="14"/>
      <c r="E398" s="18"/>
      <c r="F398" s="61"/>
      <c r="G398" s="73"/>
      <c r="H398" s="79"/>
      <c r="I398" s="79"/>
      <c r="J398" s="14"/>
      <c r="K398" s="38"/>
      <c r="L398" s="38"/>
      <c r="M398" s="17"/>
    </row>
    <row r="399" spans="2:13" ht="14.45" customHeight="1" x14ac:dyDescent="0.25">
      <c r="B399" s="17"/>
      <c r="C399" s="14"/>
      <c r="D399" s="14"/>
      <c r="E399" s="18"/>
      <c r="F399" s="61"/>
      <c r="G399" s="73"/>
      <c r="H399" s="79"/>
      <c r="I399" s="79"/>
      <c r="J399" s="14"/>
      <c r="K399" s="38"/>
      <c r="L399" s="38"/>
      <c r="M399" s="17"/>
    </row>
    <row r="400" spans="2:13" ht="14.45" customHeight="1" x14ac:dyDescent="0.25">
      <c r="B400" s="17"/>
      <c r="C400" s="14"/>
      <c r="D400" s="14"/>
      <c r="E400" s="18"/>
      <c r="F400" s="61"/>
      <c r="G400" s="73"/>
      <c r="H400" s="79"/>
      <c r="I400" s="79"/>
      <c r="J400" s="14"/>
      <c r="K400" s="38"/>
      <c r="L400" s="38"/>
      <c r="M400" s="17"/>
    </row>
    <row r="401" spans="2:13" ht="14.45" customHeight="1" x14ac:dyDescent="0.25">
      <c r="B401" s="17"/>
      <c r="C401" s="14"/>
      <c r="D401" s="14"/>
      <c r="E401" s="18"/>
      <c r="F401" s="61"/>
      <c r="G401" s="73"/>
      <c r="H401" s="79"/>
      <c r="I401" s="79"/>
      <c r="J401" s="14"/>
      <c r="K401" s="38"/>
      <c r="L401" s="38"/>
      <c r="M401" s="17"/>
    </row>
    <row r="402" spans="2:13" ht="14.45" customHeight="1" x14ac:dyDescent="0.25">
      <c r="B402" s="17"/>
      <c r="C402" s="14"/>
      <c r="D402" s="14"/>
      <c r="E402" s="18"/>
      <c r="F402" s="61"/>
      <c r="G402" s="73"/>
      <c r="H402" s="79"/>
      <c r="I402" s="79"/>
      <c r="J402" s="14"/>
      <c r="K402" s="38"/>
      <c r="L402" s="38"/>
      <c r="M402" s="17"/>
    </row>
    <row r="403" spans="2:13" ht="14.45" customHeight="1" x14ac:dyDescent="0.25">
      <c r="B403" s="17"/>
      <c r="C403" s="14"/>
      <c r="D403" s="14"/>
      <c r="E403" s="18"/>
      <c r="F403" s="61"/>
      <c r="G403" s="73"/>
      <c r="H403" s="79"/>
      <c r="I403" s="79"/>
      <c r="J403" s="14"/>
      <c r="K403" s="38"/>
      <c r="L403" s="38"/>
      <c r="M403" s="17"/>
    </row>
    <row r="404" spans="2:13" ht="14.45" customHeight="1" x14ac:dyDescent="0.25">
      <c r="B404" s="17"/>
      <c r="C404" s="14"/>
      <c r="D404" s="14"/>
      <c r="E404" s="18"/>
      <c r="F404" s="61"/>
      <c r="G404" s="73"/>
      <c r="H404" s="79"/>
      <c r="I404" s="79"/>
      <c r="J404" s="14"/>
      <c r="K404" s="38"/>
      <c r="L404" s="38"/>
      <c r="M404" s="17"/>
    </row>
    <row r="405" spans="2:13" ht="14.45" customHeight="1" x14ac:dyDescent="0.25">
      <c r="B405" s="17"/>
      <c r="C405" s="14"/>
      <c r="D405" s="14"/>
      <c r="E405" s="18"/>
      <c r="F405" s="61"/>
      <c r="G405" s="73"/>
      <c r="H405" s="79"/>
      <c r="I405" s="79"/>
      <c r="J405" s="14"/>
      <c r="K405" s="38"/>
      <c r="L405" s="38"/>
      <c r="M405" s="17"/>
    </row>
    <row r="406" spans="2:13" ht="14.45" customHeight="1" x14ac:dyDescent="0.25">
      <c r="B406" s="17"/>
      <c r="C406" s="14"/>
      <c r="D406" s="14"/>
      <c r="E406" s="18"/>
      <c r="F406" s="61"/>
      <c r="G406" s="73"/>
      <c r="H406" s="79"/>
      <c r="I406" s="79"/>
      <c r="J406" s="14"/>
      <c r="K406" s="38"/>
      <c r="L406" s="38"/>
      <c r="M406" s="17"/>
    </row>
    <row r="407" spans="2:13" ht="14.45" customHeight="1" x14ac:dyDescent="0.25">
      <c r="B407" s="17"/>
      <c r="C407" s="14"/>
      <c r="D407" s="14"/>
      <c r="E407" s="18"/>
      <c r="F407" s="61"/>
      <c r="G407" s="73"/>
      <c r="H407" s="79"/>
      <c r="I407" s="79"/>
      <c r="J407" s="14"/>
      <c r="K407" s="38"/>
      <c r="L407" s="38"/>
      <c r="M407" s="17"/>
    </row>
    <row r="408" spans="2:13" ht="14.45" customHeight="1" x14ac:dyDescent="0.25">
      <c r="B408" s="17"/>
      <c r="C408" s="14"/>
      <c r="D408" s="14"/>
      <c r="E408" s="18"/>
      <c r="F408" s="61"/>
      <c r="G408" s="73"/>
      <c r="H408" s="79"/>
      <c r="I408" s="79"/>
      <c r="J408" s="14"/>
      <c r="K408" s="38"/>
      <c r="L408" s="38"/>
      <c r="M408" s="17"/>
    </row>
    <row r="409" spans="2:13" ht="14.45" customHeight="1" x14ac:dyDescent="0.25">
      <c r="B409" s="17"/>
      <c r="C409" s="14"/>
      <c r="D409" s="14"/>
      <c r="E409" s="18"/>
      <c r="F409" s="61"/>
      <c r="G409" s="73"/>
      <c r="H409" s="79"/>
      <c r="I409" s="79"/>
      <c r="J409" s="14"/>
      <c r="K409" s="38"/>
      <c r="L409" s="38"/>
      <c r="M409" s="17"/>
    </row>
    <row r="410" spans="2:13" ht="14.45" customHeight="1" x14ac:dyDescent="0.25">
      <c r="B410" s="17"/>
      <c r="C410" s="14"/>
      <c r="D410" s="14"/>
      <c r="E410" s="18"/>
      <c r="F410" s="61"/>
      <c r="G410" s="73"/>
      <c r="H410" s="79"/>
      <c r="I410" s="79"/>
      <c r="J410" s="14"/>
      <c r="K410" s="38"/>
      <c r="L410" s="38"/>
      <c r="M410" s="17"/>
    </row>
    <row r="411" spans="2:13" ht="14.45" customHeight="1" x14ac:dyDescent="0.25">
      <c r="B411" s="17"/>
      <c r="C411" s="14"/>
      <c r="D411" s="14"/>
      <c r="E411" s="18"/>
      <c r="F411" s="61"/>
      <c r="G411" s="73"/>
      <c r="H411" s="79"/>
      <c r="I411" s="79"/>
      <c r="J411" s="14"/>
      <c r="K411" s="38"/>
      <c r="L411" s="38"/>
      <c r="M411" s="17"/>
    </row>
    <row r="412" spans="2:13" ht="14.45" customHeight="1" x14ac:dyDescent="0.25">
      <c r="B412" s="17"/>
      <c r="C412" s="14"/>
      <c r="D412" s="14"/>
      <c r="E412" s="18"/>
      <c r="F412" s="61"/>
      <c r="G412" s="73"/>
      <c r="H412" s="79"/>
      <c r="I412" s="79"/>
      <c r="J412" s="14"/>
      <c r="K412" s="38"/>
      <c r="L412" s="38"/>
      <c r="M412" s="17"/>
    </row>
    <row r="413" spans="2:13" ht="14.45" customHeight="1" x14ac:dyDescent="0.25">
      <c r="B413" s="17"/>
      <c r="C413" s="14"/>
      <c r="D413" s="14"/>
      <c r="E413" s="18"/>
      <c r="F413" s="61"/>
      <c r="G413" s="73"/>
      <c r="H413" s="79"/>
      <c r="I413" s="79"/>
      <c r="J413" s="14"/>
      <c r="K413" s="38"/>
      <c r="L413" s="38"/>
      <c r="M413" s="17"/>
    </row>
    <row r="414" spans="2:13" ht="14.45" customHeight="1" x14ac:dyDescent="0.25">
      <c r="B414" s="17"/>
      <c r="C414" s="14"/>
      <c r="D414" s="14"/>
      <c r="E414" s="18"/>
      <c r="F414" s="61"/>
      <c r="G414" s="73"/>
      <c r="H414" s="79"/>
      <c r="I414" s="79"/>
      <c r="J414" s="14"/>
      <c r="K414" s="38"/>
      <c r="L414" s="38"/>
      <c r="M414" s="17"/>
    </row>
    <row r="415" spans="2:13" ht="14.45" customHeight="1" x14ac:dyDescent="0.25">
      <c r="B415" s="17"/>
      <c r="C415" s="14"/>
      <c r="D415" s="14"/>
      <c r="E415" s="18"/>
      <c r="F415" s="61"/>
      <c r="G415" s="73"/>
      <c r="H415" s="79"/>
      <c r="I415" s="79"/>
      <c r="J415" s="14"/>
      <c r="K415" s="38"/>
      <c r="L415" s="38"/>
      <c r="M415" s="17"/>
    </row>
    <row r="416" spans="2:13" ht="14.45" customHeight="1" x14ac:dyDescent="0.25">
      <c r="B416" s="17"/>
      <c r="C416" s="14"/>
      <c r="D416" s="14"/>
      <c r="E416" s="18"/>
      <c r="F416" s="61"/>
      <c r="G416" s="73"/>
      <c r="H416" s="79"/>
      <c r="I416" s="79"/>
      <c r="J416" s="14"/>
      <c r="K416" s="38"/>
      <c r="L416" s="38"/>
      <c r="M416" s="17"/>
    </row>
    <row r="417" spans="2:13" ht="14.45" customHeight="1" x14ac:dyDescent="0.25">
      <c r="B417" s="17"/>
      <c r="C417" s="14"/>
      <c r="D417" s="14"/>
      <c r="E417" s="18"/>
      <c r="F417" s="61"/>
      <c r="G417" s="73"/>
      <c r="H417" s="79"/>
      <c r="I417" s="79"/>
      <c r="J417" s="14"/>
      <c r="K417" s="38"/>
      <c r="L417" s="38"/>
      <c r="M417" s="17"/>
    </row>
    <row r="418" spans="2:13" ht="14.45" customHeight="1" x14ac:dyDescent="0.25">
      <c r="B418" s="17"/>
      <c r="C418" s="14"/>
      <c r="D418" s="14"/>
      <c r="E418" s="18"/>
      <c r="F418" s="61"/>
      <c r="G418" s="73"/>
      <c r="H418" s="79"/>
      <c r="I418" s="79"/>
      <c r="J418" s="14"/>
      <c r="K418" s="38"/>
      <c r="L418" s="38"/>
      <c r="M418" s="17"/>
    </row>
    <row r="419" spans="2:13" ht="14.45" customHeight="1" x14ac:dyDescent="0.25">
      <c r="B419" s="17"/>
      <c r="C419" s="14"/>
      <c r="D419" s="14"/>
      <c r="E419" s="18"/>
      <c r="F419" s="61"/>
      <c r="G419" s="73"/>
      <c r="H419" s="79"/>
      <c r="I419" s="79"/>
      <c r="J419" s="14"/>
      <c r="K419" s="38"/>
      <c r="L419" s="38"/>
      <c r="M419" s="17"/>
    </row>
    <row r="420" spans="2:13" ht="14.45" customHeight="1" x14ac:dyDescent="0.25">
      <c r="B420" s="17"/>
      <c r="C420" s="14"/>
      <c r="D420" s="14"/>
      <c r="E420" s="18"/>
      <c r="F420" s="61"/>
      <c r="G420" s="73"/>
      <c r="H420" s="79"/>
      <c r="I420" s="79"/>
      <c r="J420" s="14"/>
      <c r="K420" s="38"/>
      <c r="L420" s="38"/>
      <c r="M420" s="17"/>
    </row>
    <row r="421" spans="2:13" ht="14.45" customHeight="1" x14ac:dyDescent="0.25">
      <c r="B421" s="17"/>
      <c r="C421" s="14"/>
      <c r="D421" s="14"/>
      <c r="E421" s="18"/>
      <c r="F421" s="61"/>
      <c r="G421" s="73"/>
      <c r="H421" s="79"/>
      <c r="I421" s="79"/>
      <c r="J421" s="14"/>
      <c r="K421" s="38"/>
      <c r="L421" s="38"/>
      <c r="M421" s="17"/>
    </row>
    <row r="422" spans="2:13" ht="14.45" customHeight="1" x14ac:dyDescent="0.25">
      <c r="B422" s="17"/>
      <c r="C422" s="14"/>
      <c r="D422" s="14"/>
      <c r="E422" s="18"/>
      <c r="F422" s="61"/>
      <c r="G422" s="73"/>
      <c r="H422" s="79"/>
      <c r="I422" s="79"/>
      <c r="J422" s="14"/>
      <c r="K422" s="38"/>
      <c r="L422" s="38"/>
      <c r="M422" s="17"/>
    </row>
    <row r="423" spans="2:13" ht="14.45" customHeight="1" x14ac:dyDescent="0.25">
      <c r="B423" s="17"/>
      <c r="C423" s="14"/>
      <c r="D423" s="14"/>
      <c r="E423" s="18"/>
      <c r="F423" s="61"/>
      <c r="G423" s="73"/>
      <c r="H423" s="79"/>
      <c r="I423" s="79"/>
      <c r="J423" s="14"/>
      <c r="K423" s="38"/>
      <c r="L423" s="38"/>
      <c r="M423" s="17"/>
    </row>
    <row r="424" spans="2:13" ht="14.45" customHeight="1" x14ac:dyDescent="0.25">
      <c r="B424" s="17"/>
      <c r="C424" s="14"/>
      <c r="D424" s="14"/>
      <c r="E424" s="18"/>
      <c r="F424" s="61"/>
      <c r="G424" s="73"/>
      <c r="H424" s="79"/>
      <c r="I424" s="79"/>
      <c r="J424" s="14"/>
      <c r="K424" s="38"/>
      <c r="L424" s="38"/>
      <c r="M424" s="17"/>
    </row>
    <row r="425" spans="2:13" ht="14.45" customHeight="1" x14ac:dyDescent="0.25">
      <c r="B425" s="17"/>
      <c r="C425" s="14"/>
      <c r="D425" s="14"/>
      <c r="E425" s="18"/>
      <c r="F425" s="61"/>
      <c r="G425" s="73"/>
      <c r="H425" s="79"/>
      <c r="I425" s="79"/>
      <c r="J425" s="14"/>
      <c r="K425" s="38"/>
      <c r="L425" s="38"/>
      <c r="M425" s="17"/>
    </row>
    <row r="426" spans="2:13" ht="14.45" customHeight="1" x14ac:dyDescent="0.25">
      <c r="B426" s="17"/>
      <c r="C426" s="14"/>
      <c r="D426" s="14"/>
      <c r="E426" s="18"/>
      <c r="F426" s="61"/>
      <c r="G426" s="73"/>
      <c r="H426" s="79"/>
      <c r="I426" s="79"/>
      <c r="J426" s="14"/>
      <c r="K426" s="38"/>
      <c r="L426" s="38"/>
      <c r="M426" s="17"/>
    </row>
    <row r="427" spans="2:13" ht="14.45" customHeight="1" x14ac:dyDescent="0.25">
      <c r="B427" s="17"/>
      <c r="C427" s="14"/>
      <c r="D427" s="14"/>
      <c r="E427" s="18"/>
      <c r="F427" s="61"/>
      <c r="G427" s="73"/>
      <c r="H427" s="79"/>
      <c r="I427" s="79"/>
      <c r="J427" s="14"/>
      <c r="K427" s="38"/>
      <c r="L427" s="38"/>
      <c r="M427" s="17"/>
    </row>
    <row r="428" spans="2:13" ht="14.45" customHeight="1" x14ac:dyDescent="0.25">
      <c r="B428" s="17"/>
      <c r="C428" s="14"/>
      <c r="D428" s="14"/>
      <c r="E428" s="18"/>
      <c r="F428" s="61"/>
      <c r="G428" s="73"/>
      <c r="H428" s="79"/>
      <c r="I428" s="79"/>
      <c r="J428" s="14"/>
      <c r="K428" s="38"/>
      <c r="L428" s="38"/>
      <c r="M428" s="17"/>
    </row>
    <row r="429" spans="2:13" ht="14.45" customHeight="1" x14ac:dyDescent="0.25">
      <c r="B429" s="17"/>
      <c r="C429" s="14"/>
      <c r="D429" s="14"/>
      <c r="E429" s="18"/>
      <c r="F429" s="61"/>
      <c r="G429" s="73"/>
      <c r="H429" s="79"/>
      <c r="I429" s="79"/>
      <c r="J429" s="14"/>
      <c r="K429" s="38"/>
      <c r="L429" s="38"/>
      <c r="M429" s="17"/>
    </row>
    <row r="430" spans="2:13" ht="14.45" customHeight="1" x14ac:dyDescent="0.25">
      <c r="B430" s="17"/>
      <c r="C430" s="14"/>
      <c r="D430" s="14"/>
      <c r="E430" s="18"/>
      <c r="F430" s="61"/>
      <c r="G430" s="73"/>
      <c r="H430" s="79"/>
      <c r="I430" s="79"/>
      <c r="J430" s="14"/>
      <c r="K430" s="38"/>
      <c r="L430" s="38"/>
      <c r="M430" s="17"/>
    </row>
    <row r="431" spans="2:13" ht="14.45" customHeight="1" x14ac:dyDescent="0.25">
      <c r="B431" s="17"/>
      <c r="C431" s="14"/>
      <c r="D431" s="14"/>
      <c r="E431" s="18"/>
      <c r="F431" s="61"/>
      <c r="G431" s="73"/>
      <c r="H431" s="79"/>
      <c r="I431" s="79"/>
      <c r="J431" s="14"/>
      <c r="K431" s="38"/>
      <c r="L431" s="38"/>
      <c r="M431" s="17"/>
    </row>
    <row r="432" spans="2:13" ht="14.45" customHeight="1" x14ac:dyDescent="0.25">
      <c r="B432" s="17"/>
      <c r="C432" s="14"/>
      <c r="D432" s="14"/>
      <c r="E432" s="18"/>
      <c r="F432" s="61"/>
      <c r="G432" s="73"/>
      <c r="H432" s="79"/>
      <c r="I432" s="79"/>
      <c r="J432" s="14"/>
      <c r="K432" s="38"/>
      <c r="L432" s="38"/>
      <c r="M432" s="17"/>
    </row>
    <row r="433" spans="2:13" ht="14.45" customHeight="1" x14ac:dyDescent="0.25">
      <c r="B433" s="17"/>
      <c r="C433" s="14"/>
      <c r="D433" s="14"/>
      <c r="E433" s="18"/>
      <c r="F433" s="61"/>
      <c r="G433" s="73"/>
      <c r="H433" s="79"/>
      <c r="I433" s="79"/>
      <c r="J433" s="14"/>
      <c r="K433" s="38"/>
      <c r="L433" s="38"/>
      <c r="M433" s="17"/>
    </row>
    <row r="434" spans="2:13" ht="14.45" customHeight="1" x14ac:dyDescent="0.25">
      <c r="B434" s="17"/>
      <c r="C434" s="14"/>
      <c r="D434" s="14"/>
      <c r="E434" s="18"/>
      <c r="F434" s="61"/>
      <c r="G434" s="73"/>
      <c r="H434" s="79"/>
      <c r="I434" s="79"/>
      <c r="J434" s="14"/>
      <c r="K434" s="38"/>
      <c r="L434" s="38"/>
      <c r="M434" s="17"/>
    </row>
    <row r="435" spans="2:13" ht="14.45" customHeight="1" x14ac:dyDescent="0.25">
      <c r="B435" s="17"/>
      <c r="C435" s="14"/>
      <c r="D435" s="14"/>
      <c r="E435" s="18"/>
      <c r="F435" s="61"/>
      <c r="G435" s="73"/>
      <c r="H435" s="79"/>
      <c r="I435" s="79"/>
      <c r="J435" s="14"/>
      <c r="K435" s="38"/>
      <c r="L435" s="38"/>
      <c r="M435" s="17"/>
    </row>
    <row r="436" spans="2:13" ht="14.45" customHeight="1" x14ac:dyDescent="0.25">
      <c r="B436" s="17"/>
      <c r="C436" s="14"/>
      <c r="D436" s="14"/>
      <c r="E436" s="18"/>
      <c r="F436" s="61"/>
      <c r="G436" s="73"/>
      <c r="H436" s="79"/>
      <c r="I436" s="79"/>
      <c r="J436" s="14"/>
      <c r="K436" s="38"/>
      <c r="L436" s="38"/>
      <c r="M436" s="17"/>
    </row>
    <row r="437" spans="2:13" ht="14.45" customHeight="1" x14ac:dyDescent="0.25">
      <c r="B437" s="17"/>
      <c r="C437" s="14"/>
      <c r="D437" s="14"/>
      <c r="E437" s="18"/>
      <c r="F437" s="61"/>
      <c r="G437" s="73"/>
      <c r="H437" s="79"/>
      <c r="I437" s="79"/>
      <c r="J437" s="14"/>
      <c r="K437" s="38"/>
      <c r="L437" s="38"/>
      <c r="M437" s="17"/>
    </row>
    <row r="438" spans="2:13" ht="14.45" customHeight="1" x14ac:dyDescent="0.25">
      <c r="B438" s="17"/>
      <c r="C438" s="14"/>
      <c r="D438" s="14"/>
      <c r="E438" s="18"/>
      <c r="F438" s="61"/>
      <c r="G438" s="73"/>
      <c r="H438" s="79"/>
      <c r="I438" s="79"/>
      <c r="J438" s="14"/>
      <c r="K438" s="38"/>
      <c r="L438" s="38"/>
      <c r="M438" s="17"/>
    </row>
    <row r="439" spans="2:13" ht="14.45" customHeight="1" x14ac:dyDescent="0.25">
      <c r="B439" s="17"/>
      <c r="C439" s="14"/>
      <c r="D439" s="14"/>
      <c r="E439" s="18"/>
      <c r="F439" s="61"/>
      <c r="G439" s="73"/>
      <c r="H439" s="79"/>
      <c r="I439" s="79"/>
      <c r="J439" s="14"/>
      <c r="K439" s="38"/>
      <c r="L439" s="38"/>
      <c r="M439" s="17"/>
    </row>
    <row r="440" spans="2:13" ht="14.45" customHeight="1" x14ac:dyDescent="0.25">
      <c r="B440" s="17"/>
      <c r="C440" s="14"/>
      <c r="D440" s="14"/>
      <c r="E440" s="18"/>
      <c r="F440" s="61"/>
      <c r="G440" s="73"/>
      <c r="H440" s="79"/>
      <c r="I440" s="79"/>
      <c r="J440" s="14"/>
      <c r="K440" s="38"/>
      <c r="L440" s="38"/>
      <c r="M440" s="17"/>
    </row>
    <row r="441" spans="2:13" ht="14.45" customHeight="1" x14ac:dyDescent="0.25">
      <c r="B441" s="17"/>
      <c r="C441" s="14"/>
      <c r="D441" s="14"/>
      <c r="E441" s="18"/>
      <c r="F441" s="61"/>
      <c r="G441" s="73"/>
      <c r="H441" s="79"/>
      <c r="I441" s="79"/>
      <c r="J441" s="14"/>
      <c r="K441" s="38"/>
      <c r="L441" s="38"/>
      <c r="M441" s="17"/>
    </row>
    <row r="442" spans="2:13" ht="14.45" customHeight="1" x14ac:dyDescent="0.25">
      <c r="B442" s="17"/>
      <c r="C442" s="14"/>
      <c r="D442" s="14"/>
      <c r="E442" s="18"/>
      <c r="F442" s="61"/>
      <c r="G442" s="73"/>
      <c r="H442" s="79"/>
      <c r="I442" s="79"/>
      <c r="J442" s="14"/>
      <c r="K442" s="38"/>
      <c r="L442" s="38"/>
      <c r="M442" s="17"/>
    </row>
    <row r="443" spans="2:13" ht="14.45" customHeight="1" x14ac:dyDescent="0.25">
      <c r="B443" s="17"/>
      <c r="C443" s="14"/>
      <c r="D443" s="14"/>
      <c r="E443" s="18"/>
      <c r="F443" s="61"/>
      <c r="G443" s="73"/>
      <c r="H443" s="79"/>
      <c r="I443" s="79"/>
      <c r="J443" s="14"/>
      <c r="K443" s="38"/>
      <c r="L443" s="38"/>
      <c r="M443" s="17"/>
    </row>
    <row r="444" spans="2:13" ht="14.45" customHeight="1" x14ac:dyDescent="0.25">
      <c r="B444" s="17"/>
      <c r="C444" s="14"/>
      <c r="D444" s="14"/>
      <c r="E444" s="18"/>
      <c r="F444" s="61"/>
      <c r="G444" s="73"/>
      <c r="H444" s="79"/>
      <c r="I444" s="79"/>
      <c r="J444" s="14"/>
      <c r="K444" s="38"/>
      <c r="L444" s="38"/>
      <c r="M444" s="17"/>
    </row>
    <row r="445" spans="2:13" ht="14.45" customHeight="1" x14ac:dyDescent="0.25">
      <c r="B445" s="17"/>
      <c r="C445" s="14"/>
      <c r="D445" s="14"/>
      <c r="E445" s="18"/>
      <c r="F445" s="61"/>
      <c r="G445" s="73"/>
      <c r="H445" s="79"/>
      <c r="I445" s="79"/>
      <c r="J445" s="14"/>
      <c r="K445" s="38"/>
      <c r="L445" s="38"/>
      <c r="M445" s="17"/>
    </row>
    <row r="446" spans="2:13" ht="14.45" customHeight="1" x14ac:dyDescent="0.25">
      <c r="B446" s="17"/>
      <c r="C446" s="14"/>
      <c r="D446" s="14"/>
      <c r="E446" s="18"/>
      <c r="F446" s="61"/>
      <c r="G446" s="73"/>
      <c r="H446" s="79"/>
      <c r="I446" s="79"/>
      <c r="J446" s="14"/>
      <c r="K446" s="38"/>
      <c r="L446" s="38"/>
      <c r="M446" s="17"/>
    </row>
    <row r="447" spans="2:13" ht="14.45" customHeight="1" x14ac:dyDescent="0.25">
      <c r="B447" s="17"/>
      <c r="C447" s="14"/>
      <c r="D447" s="14"/>
      <c r="E447" s="18"/>
      <c r="F447" s="61"/>
      <c r="G447" s="73"/>
      <c r="H447" s="79"/>
      <c r="I447" s="79"/>
      <c r="J447" s="14"/>
      <c r="K447" s="38"/>
      <c r="L447" s="38"/>
      <c r="M447" s="17"/>
    </row>
    <row r="448" spans="2:13" ht="14.45" customHeight="1" x14ac:dyDescent="0.25">
      <c r="B448" s="17"/>
      <c r="C448" s="14"/>
      <c r="D448" s="14"/>
      <c r="E448" s="18"/>
      <c r="F448" s="61"/>
      <c r="G448" s="73"/>
      <c r="H448" s="79"/>
      <c r="I448" s="79"/>
      <c r="J448" s="14"/>
      <c r="K448" s="38"/>
      <c r="L448" s="38"/>
      <c r="M448" s="17"/>
    </row>
    <row r="449" spans="2:13" ht="14.45" customHeight="1" x14ac:dyDescent="0.25">
      <c r="B449" s="17"/>
      <c r="C449" s="14"/>
      <c r="D449" s="14"/>
      <c r="E449" s="18"/>
      <c r="F449" s="61"/>
      <c r="G449" s="73"/>
      <c r="H449" s="79"/>
      <c r="I449" s="79"/>
      <c r="J449" s="14"/>
      <c r="K449" s="38"/>
      <c r="L449" s="38"/>
      <c r="M449" s="17"/>
    </row>
    <row r="450" spans="2:13" ht="14.45" customHeight="1" x14ac:dyDescent="0.25">
      <c r="B450" s="17"/>
      <c r="C450" s="14"/>
      <c r="D450" s="14"/>
      <c r="E450" s="18"/>
      <c r="F450" s="61"/>
      <c r="G450" s="73"/>
      <c r="H450" s="79"/>
      <c r="I450" s="79"/>
      <c r="J450" s="14"/>
      <c r="K450" s="38"/>
      <c r="L450" s="38"/>
      <c r="M450" s="17"/>
    </row>
    <row r="451" spans="2:13" ht="14.45" customHeight="1" x14ac:dyDescent="0.25">
      <c r="B451" s="17"/>
      <c r="C451" s="14"/>
      <c r="D451" s="14"/>
      <c r="E451" s="18"/>
      <c r="F451" s="61"/>
      <c r="G451" s="73"/>
      <c r="H451" s="79"/>
      <c r="I451" s="79"/>
      <c r="J451" s="14"/>
      <c r="K451" s="38"/>
      <c r="L451" s="38"/>
      <c r="M451" s="17"/>
    </row>
    <row r="452" spans="2:13" ht="14.45" customHeight="1" x14ac:dyDescent="0.25">
      <c r="B452" s="17"/>
      <c r="C452" s="14"/>
      <c r="D452" s="14"/>
      <c r="E452" s="18"/>
      <c r="F452" s="61"/>
      <c r="G452" s="73"/>
      <c r="H452" s="79"/>
      <c r="I452" s="79"/>
      <c r="J452" s="14"/>
      <c r="K452" s="38"/>
      <c r="L452" s="38"/>
      <c r="M452" s="17"/>
    </row>
    <row r="453" spans="2:13" ht="14.45" customHeight="1" x14ac:dyDescent="0.25">
      <c r="B453" s="17"/>
      <c r="C453" s="14"/>
      <c r="D453" s="14"/>
      <c r="E453" s="18"/>
      <c r="F453" s="61"/>
      <c r="G453" s="73"/>
      <c r="H453" s="79"/>
      <c r="I453" s="79"/>
      <c r="J453" s="14"/>
      <c r="K453" s="38"/>
      <c r="L453" s="38"/>
      <c r="M453" s="17"/>
    </row>
    <row r="454" spans="2:13" ht="14.45" customHeight="1" x14ac:dyDescent="0.25">
      <c r="B454" s="17"/>
      <c r="C454" s="14"/>
      <c r="D454" s="14"/>
      <c r="E454" s="18"/>
      <c r="F454" s="61"/>
      <c r="G454" s="73"/>
      <c r="H454" s="79"/>
      <c r="I454" s="79"/>
      <c r="J454" s="14"/>
      <c r="K454" s="38"/>
      <c r="L454" s="38"/>
      <c r="M454" s="17"/>
    </row>
    <row r="455" spans="2:13" ht="14.45" customHeight="1" x14ac:dyDescent="0.25">
      <c r="B455" s="17"/>
      <c r="C455" s="14"/>
      <c r="D455" s="14"/>
      <c r="E455" s="18"/>
      <c r="F455" s="61"/>
      <c r="G455" s="73"/>
      <c r="H455" s="79"/>
      <c r="I455" s="79"/>
      <c r="J455" s="14"/>
      <c r="K455" s="38"/>
      <c r="L455" s="38"/>
      <c r="M455" s="17"/>
    </row>
    <row r="456" spans="2:13" ht="14.45" customHeight="1" x14ac:dyDescent="0.25">
      <c r="B456" s="17"/>
      <c r="C456" s="14"/>
      <c r="D456" s="14"/>
      <c r="E456" s="18"/>
      <c r="F456" s="61"/>
      <c r="G456" s="73"/>
      <c r="H456" s="79"/>
      <c r="I456" s="79"/>
      <c r="J456" s="14"/>
      <c r="K456" s="38"/>
      <c r="L456" s="38"/>
      <c r="M456" s="17"/>
    </row>
    <row r="457" spans="2:13" ht="14.45" customHeight="1" x14ac:dyDescent="0.25">
      <c r="B457" s="17"/>
      <c r="C457" s="14"/>
      <c r="D457" s="14"/>
      <c r="E457" s="18"/>
      <c r="F457" s="61"/>
      <c r="G457" s="73"/>
      <c r="H457" s="79"/>
      <c r="I457" s="79"/>
      <c r="J457" s="14"/>
      <c r="K457" s="38"/>
      <c r="L457" s="38"/>
      <c r="M457" s="17"/>
    </row>
    <row r="458" spans="2:13" ht="14.45" customHeight="1" x14ac:dyDescent="0.25">
      <c r="B458" s="17"/>
      <c r="C458" s="14"/>
      <c r="D458" s="14"/>
      <c r="E458" s="18"/>
      <c r="F458" s="61"/>
      <c r="G458" s="73"/>
      <c r="H458" s="79"/>
      <c r="I458" s="79"/>
      <c r="J458" s="14"/>
      <c r="K458" s="38"/>
      <c r="L458" s="38"/>
      <c r="M458" s="17"/>
    </row>
    <row r="459" spans="2:13" ht="14.45" customHeight="1" x14ac:dyDescent="0.25">
      <c r="B459" s="17"/>
      <c r="C459" s="14"/>
      <c r="D459" s="14"/>
      <c r="E459" s="18"/>
      <c r="F459" s="61"/>
      <c r="G459" s="73"/>
      <c r="H459" s="79"/>
      <c r="I459" s="79"/>
      <c r="J459" s="14"/>
      <c r="K459" s="38"/>
      <c r="L459" s="38"/>
      <c r="M459" s="17"/>
    </row>
    <row r="460" spans="2:13" ht="14.45" customHeight="1" x14ac:dyDescent="0.25">
      <c r="B460" s="17"/>
      <c r="C460" s="14"/>
      <c r="D460" s="14"/>
      <c r="E460" s="18"/>
      <c r="F460" s="61"/>
      <c r="G460" s="73"/>
      <c r="H460" s="79"/>
      <c r="I460" s="79"/>
      <c r="J460" s="14"/>
      <c r="K460" s="38"/>
      <c r="L460" s="38"/>
      <c r="M460" s="17"/>
    </row>
    <row r="461" spans="2:13" ht="14.45" customHeight="1" x14ac:dyDescent="0.25">
      <c r="B461" s="17"/>
      <c r="C461" s="14"/>
      <c r="D461" s="14"/>
      <c r="E461" s="18"/>
      <c r="F461" s="61"/>
      <c r="G461" s="73"/>
      <c r="H461" s="79"/>
      <c r="I461" s="79"/>
      <c r="J461" s="14"/>
      <c r="K461" s="38"/>
      <c r="L461" s="38"/>
      <c r="M461" s="17"/>
    </row>
    <row r="462" spans="2:13" ht="14.45" customHeight="1" x14ac:dyDescent="0.25">
      <c r="B462" s="17"/>
      <c r="C462" s="14"/>
      <c r="D462" s="14"/>
      <c r="E462" s="18"/>
      <c r="F462" s="61"/>
      <c r="G462" s="73"/>
      <c r="H462" s="79"/>
      <c r="I462" s="79"/>
      <c r="J462" s="14"/>
      <c r="K462" s="38"/>
      <c r="L462" s="38"/>
      <c r="M462" s="17"/>
    </row>
    <row r="463" spans="2:13" ht="14.45" customHeight="1" x14ac:dyDescent="0.25">
      <c r="B463" s="17"/>
      <c r="C463" s="14"/>
      <c r="D463" s="14"/>
      <c r="E463" s="18"/>
      <c r="F463" s="61"/>
      <c r="G463" s="73"/>
      <c r="H463" s="79"/>
      <c r="I463" s="79"/>
      <c r="J463" s="14"/>
      <c r="K463" s="38"/>
      <c r="L463" s="38"/>
      <c r="M463" s="17"/>
    </row>
    <row r="464" spans="2:13" ht="14.45" customHeight="1" x14ac:dyDescent="0.25">
      <c r="B464" s="17"/>
      <c r="C464" s="14"/>
      <c r="D464" s="14"/>
      <c r="E464" s="18"/>
      <c r="F464" s="61"/>
      <c r="G464" s="73"/>
      <c r="H464" s="79"/>
      <c r="I464" s="79"/>
      <c r="J464" s="14"/>
      <c r="K464" s="38"/>
      <c r="L464" s="38"/>
      <c r="M464" s="17"/>
    </row>
    <row r="465" spans="2:13" ht="14.45" customHeight="1" x14ac:dyDescent="0.25">
      <c r="B465" s="17"/>
      <c r="C465" s="14"/>
      <c r="D465" s="14"/>
      <c r="E465" s="18"/>
      <c r="F465" s="61"/>
      <c r="G465" s="73"/>
      <c r="H465" s="79"/>
      <c r="I465" s="79"/>
      <c r="J465" s="14"/>
      <c r="K465" s="38"/>
      <c r="L465" s="38"/>
      <c r="M465" s="17"/>
    </row>
    <row r="466" spans="2:13" ht="14.45" customHeight="1" x14ac:dyDescent="0.25">
      <c r="B466" s="17"/>
      <c r="C466" s="14"/>
      <c r="D466" s="14"/>
      <c r="E466" s="18"/>
      <c r="F466" s="61"/>
      <c r="G466" s="73"/>
      <c r="H466" s="79"/>
      <c r="I466" s="79"/>
      <c r="J466" s="14"/>
      <c r="K466" s="38"/>
      <c r="L466" s="38"/>
      <c r="M466" s="17"/>
    </row>
    <row r="467" spans="2:13" ht="14.45" customHeight="1" x14ac:dyDescent="0.25">
      <c r="B467" s="17"/>
      <c r="C467" s="14"/>
      <c r="D467" s="14"/>
      <c r="E467" s="18"/>
      <c r="F467" s="61"/>
      <c r="G467" s="73"/>
      <c r="H467" s="79"/>
      <c r="I467" s="79"/>
      <c r="J467" s="14"/>
      <c r="K467" s="38"/>
      <c r="L467" s="38"/>
      <c r="M467" s="17"/>
    </row>
    <row r="468" spans="2:13" ht="14.45" customHeight="1" x14ac:dyDescent="0.25">
      <c r="B468" s="17"/>
      <c r="C468" s="14"/>
      <c r="D468" s="14"/>
      <c r="E468" s="18"/>
      <c r="F468" s="61"/>
      <c r="G468" s="73"/>
      <c r="H468" s="79"/>
      <c r="I468" s="79"/>
      <c r="J468" s="14"/>
      <c r="K468" s="38"/>
      <c r="L468" s="38"/>
      <c r="M468" s="17"/>
    </row>
    <row r="469" spans="2:13" ht="14.45" customHeight="1" x14ac:dyDescent="0.25">
      <c r="B469" s="17"/>
      <c r="C469" s="14"/>
      <c r="D469" s="14"/>
      <c r="E469" s="18"/>
      <c r="F469" s="61"/>
      <c r="G469" s="73"/>
      <c r="H469" s="79"/>
      <c r="I469" s="79"/>
      <c r="J469" s="14"/>
      <c r="K469" s="38"/>
      <c r="L469" s="38"/>
      <c r="M469" s="17"/>
    </row>
    <row r="470" spans="2:13" ht="14.45" customHeight="1" x14ac:dyDescent="0.25">
      <c r="B470" s="17"/>
      <c r="C470" s="14"/>
      <c r="D470" s="14"/>
      <c r="E470" s="18"/>
      <c r="F470" s="61"/>
      <c r="G470" s="73"/>
      <c r="H470" s="79"/>
      <c r="I470" s="79"/>
      <c r="J470" s="14"/>
      <c r="K470" s="38"/>
      <c r="L470" s="38"/>
      <c r="M470" s="17"/>
    </row>
    <row r="471" spans="2:13" ht="14.45" customHeight="1" x14ac:dyDescent="0.25">
      <c r="B471" s="17"/>
      <c r="C471" s="14"/>
      <c r="D471" s="14"/>
      <c r="E471" s="18"/>
      <c r="F471" s="61"/>
      <c r="G471" s="73"/>
      <c r="H471" s="79"/>
      <c r="I471" s="79"/>
      <c r="J471" s="14"/>
      <c r="K471" s="38"/>
      <c r="L471" s="38"/>
      <c r="M471" s="17"/>
    </row>
    <row r="472" spans="2:13" ht="14.45" customHeight="1" x14ac:dyDescent="0.25">
      <c r="B472" s="17"/>
      <c r="C472" s="14"/>
      <c r="D472" s="14"/>
      <c r="E472" s="18"/>
      <c r="F472" s="61"/>
      <c r="G472" s="73"/>
      <c r="H472" s="79"/>
      <c r="I472" s="79"/>
      <c r="J472" s="14"/>
      <c r="K472" s="38"/>
      <c r="L472" s="38"/>
      <c r="M472" s="17"/>
    </row>
    <row r="473" spans="2:13" ht="14.45" customHeight="1" x14ac:dyDescent="0.25">
      <c r="B473" s="17"/>
      <c r="C473" s="14"/>
      <c r="D473" s="14"/>
      <c r="E473" s="18"/>
      <c r="F473" s="61"/>
      <c r="G473" s="73"/>
      <c r="H473" s="79"/>
      <c r="I473" s="79"/>
      <c r="J473" s="14"/>
      <c r="K473" s="38"/>
      <c r="L473" s="38"/>
      <c r="M473" s="17"/>
    </row>
    <row r="474" spans="2:13" ht="14.45" customHeight="1" x14ac:dyDescent="0.25">
      <c r="B474" s="17"/>
      <c r="C474" s="14"/>
      <c r="D474" s="14"/>
      <c r="E474" s="18"/>
      <c r="F474" s="61"/>
      <c r="G474" s="73"/>
      <c r="H474" s="79"/>
      <c r="I474" s="79"/>
      <c r="J474" s="14"/>
      <c r="K474" s="38"/>
      <c r="L474" s="38"/>
      <c r="M474" s="17"/>
    </row>
    <row r="475" spans="2:13" ht="14.45" customHeight="1" x14ac:dyDescent="0.25">
      <c r="B475" s="17"/>
      <c r="C475" s="14"/>
      <c r="D475" s="14"/>
      <c r="E475" s="18"/>
      <c r="F475" s="61"/>
      <c r="G475" s="73"/>
      <c r="H475" s="79"/>
      <c r="I475" s="79"/>
      <c r="J475" s="14"/>
      <c r="K475" s="38"/>
      <c r="L475" s="38"/>
      <c r="M475" s="17"/>
    </row>
    <row r="476" spans="2:13" ht="14.45" customHeight="1" x14ac:dyDescent="0.25">
      <c r="B476" s="17"/>
      <c r="C476" s="14"/>
      <c r="D476" s="14"/>
      <c r="E476" s="18"/>
      <c r="F476" s="61"/>
      <c r="G476" s="73"/>
      <c r="H476" s="79"/>
      <c r="I476" s="79"/>
      <c r="J476" s="14"/>
      <c r="K476" s="38"/>
      <c r="L476" s="38"/>
      <c r="M476" s="17"/>
    </row>
    <row r="477" spans="2:13" ht="14.45" customHeight="1" x14ac:dyDescent="0.25">
      <c r="B477" s="17"/>
      <c r="C477" s="14"/>
      <c r="D477" s="14"/>
      <c r="E477" s="18"/>
      <c r="F477" s="61"/>
      <c r="G477" s="73"/>
      <c r="H477" s="79"/>
      <c r="I477" s="79"/>
      <c r="J477" s="14"/>
      <c r="K477" s="38"/>
      <c r="L477" s="38"/>
      <c r="M477" s="17"/>
    </row>
    <row r="478" spans="2:13" ht="14.45" customHeight="1" x14ac:dyDescent="0.25">
      <c r="B478" s="17"/>
      <c r="C478" s="14"/>
      <c r="D478" s="14"/>
      <c r="E478" s="18"/>
      <c r="F478" s="61"/>
      <c r="G478" s="73"/>
      <c r="H478" s="79"/>
      <c r="I478" s="79"/>
      <c r="J478" s="14"/>
      <c r="K478" s="38"/>
      <c r="L478" s="38"/>
      <c r="M478" s="17"/>
    </row>
    <row r="479" spans="2:13" ht="14.45" customHeight="1" x14ac:dyDescent="0.25">
      <c r="B479" s="17"/>
      <c r="C479" s="14"/>
      <c r="D479" s="14"/>
      <c r="E479" s="18"/>
      <c r="F479" s="61"/>
      <c r="G479" s="73"/>
      <c r="H479" s="79"/>
      <c r="I479" s="79"/>
      <c r="J479" s="14"/>
      <c r="K479" s="38"/>
      <c r="L479" s="38"/>
      <c r="M479" s="17"/>
    </row>
    <row r="480" spans="2:13" ht="14.45" customHeight="1" x14ac:dyDescent="0.25">
      <c r="B480" s="17"/>
      <c r="C480" s="14"/>
      <c r="D480" s="14"/>
      <c r="E480" s="18"/>
      <c r="F480" s="61"/>
      <c r="G480" s="73"/>
      <c r="H480" s="79"/>
      <c r="I480" s="79"/>
      <c r="J480" s="14"/>
      <c r="K480" s="38"/>
      <c r="L480" s="38"/>
      <c r="M480" s="17"/>
    </row>
    <row r="481" spans="2:13" ht="14.45" customHeight="1" x14ac:dyDescent="0.25">
      <c r="B481" s="17"/>
      <c r="C481" s="14"/>
      <c r="D481" s="14"/>
      <c r="E481" s="18"/>
      <c r="F481" s="61"/>
      <c r="G481" s="73"/>
      <c r="H481" s="79"/>
      <c r="I481" s="79"/>
      <c r="J481" s="14"/>
      <c r="K481" s="38"/>
      <c r="L481" s="38"/>
      <c r="M481" s="17"/>
    </row>
    <row r="482" spans="2:13" ht="14.45" customHeight="1" x14ac:dyDescent="0.25">
      <c r="B482" s="17"/>
      <c r="C482" s="14"/>
      <c r="D482" s="14"/>
      <c r="E482" s="18"/>
      <c r="F482" s="61"/>
      <c r="G482" s="73"/>
      <c r="H482" s="79"/>
      <c r="I482" s="79"/>
      <c r="J482" s="14"/>
      <c r="K482" s="38"/>
      <c r="L482" s="38"/>
      <c r="M482" s="17"/>
    </row>
    <row r="483" spans="2:13" ht="14.45" customHeight="1" x14ac:dyDescent="0.25">
      <c r="B483" s="17"/>
      <c r="C483" s="14"/>
      <c r="D483" s="14"/>
      <c r="E483" s="18"/>
      <c r="F483" s="61"/>
      <c r="G483" s="73"/>
      <c r="H483" s="79"/>
      <c r="I483" s="79"/>
      <c r="J483" s="14"/>
      <c r="K483" s="38"/>
      <c r="L483" s="38"/>
      <c r="M483" s="17"/>
    </row>
    <row r="484" spans="2:13" ht="14.45" customHeight="1" x14ac:dyDescent="0.25">
      <c r="B484" s="17"/>
      <c r="C484" s="14"/>
      <c r="D484" s="14"/>
      <c r="E484" s="18"/>
      <c r="F484" s="61"/>
      <c r="G484" s="73"/>
      <c r="H484" s="79"/>
      <c r="I484" s="79"/>
      <c r="J484" s="14"/>
      <c r="K484" s="38"/>
      <c r="L484" s="38"/>
      <c r="M484" s="17"/>
    </row>
    <row r="485" spans="2:13" ht="14.45" customHeight="1" x14ac:dyDescent="0.25">
      <c r="B485" s="17"/>
      <c r="C485" s="14"/>
      <c r="D485" s="14"/>
      <c r="E485" s="18"/>
      <c r="F485" s="61"/>
      <c r="G485" s="73"/>
      <c r="H485" s="79"/>
      <c r="I485" s="79"/>
      <c r="J485" s="14"/>
      <c r="K485" s="38"/>
      <c r="L485" s="38"/>
      <c r="M485" s="17"/>
    </row>
    <row r="486" spans="2:13" ht="14.45" customHeight="1" x14ac:dyDescent="0.25">
      <c r="B486" s="17"/>
      <c r="C486" s="14"/>
      <c r="D486" s="14"/>
      <c r="E486" s="18"/>
      <c r="F486" s="61"/>
      <c r="G486" s="73"/>
      <c r="H486" s="79"/>
      <c r="I486" s="79"/>
      <c r="J486" s="14"/>
      <c r="K486" s="38"/>
      <c r="L486" s="38"/>
      <c r="M486" s="17"/>
    </row>
    <row r="487" spans="2:13" ht="14.45" customHeight="1" x14ac:dyDescent="0.25">
      <c r="B487" s="17"/>
      <c r="C487" s="14"/>
      <c r="D487" s="14"/>
      <c r="E487" s="18"/>
      <c r="F487" s="61"/>
      <c r="G487" s="73"/>
      <c r="H487" s="79"/>
      <c r="I487" s="79"/>
      <c r="J487" s="14"/>
      <c r="K487" s="38"/>
      <c r="L487" s="38"/>
      <c r="M487" s="17"/>
    </row>
    <row r="488" spans="2:13" ht="14.45" customHeight="1" x14ac:dyDescent="0.25">
      <c r="B488" s="17"/>
      <c r="C488" s="14"/>
      <c r="D488" s="14"/>
      <c r="E488" s="18"/>
      <c r="F488" s="61"/>
      <c r="G488" s="73"/>
      <c r="H488" s="79"/>
      <c r="I488" s="79"/>
      <c r="J488" s="14"/>
      <c r="K488" s="38"/>
      <c r="L488" s="38"/>
      <c r="M488" s="17"/>
    </row>
    <row r="489" spans="2:13" ht="14.45" customHeight="1" x14ac:dyDescent="0.25">
      <c r="B489" s="17"/>
      <c r="C489" s="14"/>
      <c r="D489" s="14"/>
      <c r="E489" s="18"/>
      <c r="F489" s="61"/>
      <c r="G489" s="73"/>
      <c r="H489" s="79"/>
      <c r="I489" s="79"/>
      <c r="J489" s="14"/>
      <c r="K489" s="38"/>
      <c r="L489" s="38"/>
      <c r="M489" s="17"/>
    </row>
    <row r="490" spans="2:13" ht="14.45" customHeight="1" x14ac:dyDescent="0.25">
      <c r="B490" s="17"/>
      <c r="C490" s="14"/>
      <c r="D490" s="14"/>
      <c r="E490" s="18"/>
      <c r="F490" s="61"/>
      <c r="G490" s="73"/>
      <c r="H490" s="79"/>
      <c r="I490" s="79"/>
      <c r="J490" s="14"/>
      <c r="K490" s="38"/>
      <c r="L490" s="38"/>
      <c r="M490" s="17"/>
    </row>
    <row r="491" spans="2:13" ht="14.45" customHeight="1" x14ac:dyDescent="0.25">
      <c r="B491" s="17"/>
      <c r="C491" s="14"/>
      <c r="D491" s="14"/>
      <c r="E491" s="18"/>
      <c r="F491" s="61"/>
      <c r="G491" s="73"/>
      <c r="H491" s="79"/>
      <c r="I491" s="79"/>
      <c r="J491" s="14"/>
      <c r="K491" s="38"/>
      <c r="L491" s="38"/>
      <c r="M491" s="17"/>
    </row>
    <row r="492" spans="2:13" ht="14.45" customHeight="1" x14ac:dyDescent="0.25">
      <c r="B492" s="17"/>
      <c r="C492" s="14"/>
      <c r="D492" s="14"/>
      <c r="E492" s="18"/>
      <c r="F492" s="61"/>
      <c r="G492" s="73"/>
      <c r="H492" s="79"/>
      <c r="I492" s="79"/>
      <c r="J492" s="14"/>
      <c r="K492" s="38"/>
      <c r="L492" s="38"/>
      <c r="M492" s="17"/>
    </row>
    <row r="493" spans="2:13" ht="14.45" customHeight="1" x14ac:dyDescent="0.25">
      <c r="B493" s="17"/>
      <c r="C493" s="14"/>
      <c r="D493" s="14"/>
      <c r="E493" s="18"/>
      <c r="F493" s="61"/>
      <c r="G493" s="73"/>
      <c r="H493" s="79"/>
      <c r="I493" s="79"/>
      <c r="J493" s="14"/>
      <c r="K493" s="38"/>
      <c r="L493" s="38"/>
      <c r="M493" s="17"/>
    </row>
    <row r="494" spans="2:13" ht="14.45" customHeight="1" x14ac:dyDescent="0.25">
      <c r="B494" s="17"/>
      <c r="C494" s="14"/>
      <c r="D494" s="14"/>
      <c r="E494" s="18"/>
      <c r="F494" s="61"/>
      <c r="G494" s="73"/>
      <c r="H494" s="79"/>
      <c r="I494" s="79"/>
      <c r="J494" s="14"/>
      <c r="K494" s="38"/>
      <c r="L494" s="38"/>
      <c r="M494" s="17"/>
    </row>
    <row r="495" spans="2:13" ht="14.45" customHeight="1" x14ac:dyDescent="0.25">
      <c r="B495" s="17"/>
      <c r="C495" s="14"/>
      <c r="D495" s="14"/>
      <c r="E495" s="18"/>
      <c r="F495" s="61"/>
      <c r="G495" s="73"/>
      <c r="H495" s="79"/>
      <c r="I495" s="79"/>
      <c r="J495" s="14"/>
      <c r="K495" s="38"/>
      <c r="L495" s="38"/>
      <c r="M495" s="17"/>
    </row>
    <row r="496" spans="2:13" ht="14.45" customHeight="1" x14ac:dyDescent="0.25">
      <c r="B496" s="17"/>
      <c r="C496" s="14"/>
      <c r="D496" s="14"/>
      <c r="E496" s="18"/>
      <c r="F496" s="61"/>
      <c r="G496" s="73"/>
      <c r="H496" s="79"/>
      <c r="I496" s="79"/>
      <c r="J496" s="14"/>
      <c r="K496" s="38"/>
      <c r="L496" s="38"/>
      <c r="M496" s="17"/>
    </row>
    <row r="497" spans="2:13" ht="14.45" customHeight="1" x14ac:dyDescent="0.25">
      <c r="B497" s="17"/>
      <c r="C497" s="14"/>
      <c r="D497" s="14"/>
      <c r="E497" s="18"/>
      <c r="F497" s="61"/>
      <c r="G497" s="73"/>
      <c r="H497" s="79"/>
      <c r="I497" s="79"/>
      <c r="J497" s="14"/>
      <c r="K497" s="38"/>
      <c r="L497" s="38"/>
      <c r="M497" s="17"/>
    </row>
    <row r="498" spans="2:13" ht="14.45" customHeight="1" x14ac:dyDescent="0.25">
      <c r="B498" s="17"/>
      <c r="C498" s="14"/>
      <c r="D498" s="14"/>
      <c r="E498" s="18"/>
      <c r="F498" s="61"/>
      <c r="G498" s="73"/>
      <c r="H498" s="79"/>
      <c r="I498" s="79"/>
      <c r="J498" s="14"/>
      <c r="K498" s="38"/>
      <c r="L498" s="38"/>
      <c r="M498" s="17"/>
    </row>
    <row r="499" spans="2:13" ht="14.45" customHeight="1" x14ac:dyDescent="0.25">
      <c r="B499" s="17"/>
      <c r="C499" s="14"/>
      <c r="D499" s="14"/>
      <c r="E499" s="18"/>
      <c r="F499" s="61"/>
      <c r="G499" s="73"/>
      <c r="H499" s="79"/>
      <c r="I499" s="79"/>
      <c r="J499" s="14"/>
      <c r="K499" s="38"/>
      <c r="L499" s="38"/>
      <c r="M499" s="17"/>
    </row>
    <row r="500" spans="2:13" ht="14.45" customHeight="1" x14ac:dyDescent="0.25">
      <c r="B500" s="17"/>
      <c r="C500" s="14"/>
      <c r="D500" s="14"/>
      <c r="E500" s="18"/>
      <c r="F500" s="61"/>
      <c r="G500" s="73"/>
      <c r="H500" s="79"/>
      <c r="I500" s="79"/>
      <c r="J500" s="14"/>
      <c r="K500" s="38"/>
      <c r="L500" s="38"/>
      <c r="M500" s="17"/>
    </row>
    <row r="501" spans="2:13" ht="14.45" customHeight="1" x14ac:dyDescent="0.25">
      <c r="B501" s="17"/>
      <c r="C501" s="14"/>
      <c r="D501" s="14"/>
      <c r="E501" s="18"/>
      <c r="F501" s="61"/>
      <c r="G501" s="73"/>
      <c r="H501" s="79"/>
      <c r="I501" s="79"/>
      <c r="J501" s="14"/>
      <c r="K501" s="38"/>
      <c r="L501" s="38"/>
      <c r="M501" s="17"/>
    </row>
    <row r="502" spans="2:13" ht="14.45" customHeight="1" x14ac:dyDescent="0.25">
      <c r="B502" s="17"/>
      <c r="C502" s="14"/>
      <c r="D502" s="14"/>
      <c r="E502" s="18"/>
      <c r="F502" s="61"/>
      <c r="G502" s="73"/>
      <c r="H502" s="79"/>
      <c r="I502" s="79"/>
      <c r="J502" s="14"/>
      <c r="K502" s="38"/>
      <c r="L502" s="38"/>
      <c r="M502" s="17"/>
    </row>
    <row r="503" spans="2:13" ht="14.45" customHeight="1" x14ac:dyDescent="0.25">
      <c r="B503" s="17"/>
      <c r="C503" s="14"/>
      <c r="D503" s="14"/>
      <c r="E503" s="18"/>
      <c r="F503" s="61"/>
      <c r="G503" s="73"/>
      <c r="H503" s="79"/>
      <c r="I503" s="79"/>
      <c r="J503" s="14"/>
      <c r="K503" s="38"/>
      <c r="L503" s="38"/>
      <c r="M503" s="17"/>
    </row>
    <row r="504" spans="2:13" ht="14.45" customHeight="1" x14ac:dyDescent="0.25">
      <c r="B504" s="17"/>
      <c r="C504" s="14"/>
      <c r="D504" s="14"/>
      <c r="E504" s="18"/>
      <c r="F504" s="61"/>
      <c r="G504" s="73"/>
      <c r="H504" s="79"/>
      <c r="I504" s="79"/>
      <c r="J504" s="14"/>
      <c r="K504" s="38"/>
      <c r="L504" s="38"/>
      <c r="M504" s="17"/>
    </row>
    <row r="505" spans="2:13" ht="14.45" customHeight="1" x14ac:dyDescent="0.25">
      <c r="B505" s="17"/>
      <c r="C505" s="14"/>
      <c r="D505" s="14"/>
      <c r="E505" s="18"/>
      <c r="F505" s="61"/>
      <c r="G505" s="73"/>
      <c r="H505" s="79"/>
      <c r="I505" s="79"/>
      <c r="J505" s="14"/>
      <c r="K505" s="38"/>
      <c r="L505" s="38"/>
      <c r="M505" s="17"/>
    </row>
    <row r="506" spans="2:13" ht="14.45" customHeight="1" x14ac:dyDescent="0.25">
      <c r="B506" s="17"/>
      <c r="C506" s="14"/>
      <c r="D506" s="14"/>
      <c r="E506" s="18"/>
      <c r="F506" s="61"/>
      <c r="G506" s="73"/>
      <c r="H506" s="79"/>
      <c r="I506" s="79"/>
      <c r="J506" s="14"/>
      <c r="K506" s="38"/>
      <c r="L506" s="38"/>
      <c r="M506" s="17"/>
    </row>
    <row r="507" spans="2:13" ht="14.45" customHeight="1" x14ac:dyDescent="0.25">
      <c r="B507" s="17"/>
      <c r="C507" s="14"/>
      <c r="D507" s="14"/>
      <c r="E507" s="18"/>
      <c r="F507" s="61"/>
      <c r="G507" s="73"/>
      <c r="H507" s="79"/>
      <c r="I507" s="79"/>
      <c r="J507" s="14"/>
      <c r="K507" s="38"/>
      <c r="L507" s="38"/>
      <c r="M507" s="17"/>
    </row>
    <row r="508" spans="2:13" ht="14.45" customHeight="1" x14ac:dyDescent="0.25">
      <c r="B508" s="17"/>
      <c r="C508" s="14"/>
      <c r="D508" s="14"/>
      <c r="E508" s="18"/>
      <c r="F508" s="61"/>
      <c r="G508" s="73"/>
      <c r="H508" s="79"/>
      <c r="I508" s="79"/>
      <c r="J508" s="14"/>
      <c r="K508" s="38"/>
      <c r="L508" s="38"/>
      <c r="M508" s="17"/>
    </row>
    <row r="509" spans="2:13" ht="14.45" customHeight="1" x14ac:dyDescent="0.25">
      <c r="B509" s="17"/>
      <c r="C509" s="14"/>
      <c r="D509" s="14"/>
      <c r="E509" s="18"/>
      <c r="F509" s="61"/>
      <c r="G509" s="73"/>
      <c r="H509" s="79"/>
      <c r="I509" s="79"/>
      <c r="J509" s="14"/>
      <c r="K509" s="38"/>
      <c r="L509" s="38"/>
      <c r="M509" s="17"/>
    </row>
    <row r="510" spans="2:13" ht="14.45" customHeight="1" x14ac:dyDescent="0.25">
      <c r="B510" s="17"/>
      <c r="C510" s="14"/>
      <c r="D510" s="14"/>
      <c r="E510" s="18"/>
      <c r="F510" s="61"/>
      <c r="G510" s="73"/>
      <c r="H510" s="79"/>
      <c r="I510" s="79"/>
      <c r="J510" s="14"/>
      <c r="K510" s="38"/>
      <c r="L510" s="38"/>
      <c r="M510" s="17"/>
    </row>
    <row r="511" spans="2:13" ht="14.45" customHeight="1" x14ac:dyDescent="0.25">
      <c r="B511" s="17"/>
      <c r="C511" s="14"/>
      <c r="D511" s="14"/>
      <c r="E511" s="18"/>
      <c r="F511" s="61"/>
      <c r="G511" s="73"/>
      <c r="H511" s="79"/>
      <c r="I511" s="79"/>
      <c r="J511" s="14"/>
      <c r="K511" s="38"/>
      <c r="L511" s="38"/>
      <c r="M511" s="17"/>
    </row>
    <row r="512" spans="2:13" ht="14.45" customHeight="1" x14ac:dyDescent="0.25">
      <c r="B512" s="17"/>
      <c r="C512" s="14"/>
      <c r="D512" s="14"/>
      <c r="E512" s="18"/>
      <c r="F512" s="61"/>
      <c r="G512" s="73"/>
      <c r="H512" s="79"/>
      <c r="I512" s="79"/>
      <c r="J512" s="14"/>
      <c r="K512" s="38"/>
      <c r="L512" s="38"/>
      <c r="M512" s="17"/>
    </row>
    <row r="513" spans="2:13" ht="14.45" customHeight="1" x14ac:dyDescent="0.25">
      <c r="B513" s="17"/>
      <c r="C513" s="14"/>
      <c r="D513" s="14"/>
      <c r="E513" s="18"/>
      <c r="F513" s="61"/>
      <c r="G513" s="73"/>
      <c r="H513" s="79"/>
      <c r="I513" s="79"/>
      <c r="J513" s="14"/>
      <c r="K513" s="38"/>
      <c r="L513" s="38"/>
      <c r="M513" s="17"/>
    </row>
    <row r="514" spans="2:13" ht="14.45" customHeight="1" x14ac:dyDescent="0.25">
      <c r="B514" s="17"/>
      <c r="C514" s="14"/>
      <c r="D514" s="14"/>
      <c r="E514" s="18"/>
      <c r="F514" s="61"/>
      <c r="G514" s="73"/>
      <c r="H514" s="79"/>
      <c r="I514" s="79"/>
      <c r="J514" s="14"/>
      <c r="K514" s="38"/>
      <c r="L514" s="38"/>
      <c r="M514" s="17"/>
    </row>
    <row r="515" spans="2:13" ht="14.45" customHeight="1" x14ac:dyDescent="0.25">
      <c r="B515" s="17"/>
      <c r="C515" s="14"/>
      <c r="D515" s="14"/>
      <c r="E515" s="18"/>
      <c r="F515" s="61"/>
      <c r="G515" s="73"/>
      <c r="H515" s="79"/>
      <c r="I515" s="79"/>
      <c r="J515" s="14"/>
      <c r="K515" s="38"/>
      <c r="L515" s="38"/>
      <c r="M515" s="17"/>
    </row>
    <row r="516" spans="2:13" ht="14.45" customHeight="1" x14ac:dyDescent="0.25">
      <c r="B516" s="17"/>
      <c r="C516" s="14"/>
      <c r="D516" s="14"/>
      <c r="E516" s="18"/>
      <c r="F516" s="61"/>
      <c r="G516" s="73"/>
      <c r="H516" s="79"/>
      <c r="I516" s="79"/>
      <c r="J516" s="14"/>
      <c r="K516" s="38"/>
      <c r="L516" s="38"/>
      <c r="M516" s="17"/>
    </row>
    <row r="517" spans="2:13" ht="14.45" customHeight="1" x14ac:dyDescent="0.25">
      <c r="B517" s="17"/>
      <c r="C517" s="14"/>
      <c r="D517" s="14"/>
      <c r="E517" s="18"/>
      <c r="F517" s="61"/>
      <c r="G517" s="73"/>
      <c r="H517" s="79"/>
      <c r="I517" s="79"/>
      <c r="J517" s="14"/>
      <c r="K517" s="38"/>
      <c r="L517" s="38"/>
      <c r="M517" s="17"/>
    </row>
    <row r="518" spans="2:13" ht="14.45" customHeight="1" x14ac:dyDescent="0.25">
      <c r="B518" s="17"/>
      <c r="C518" s="14"/>
      <c r="D518" s="14"/>
      <c r="E518" s="18"/>
      <c r="F518" s="61"/>
      <c r="G518" s="73"/>
      <c r="H518" s="79"/>
      <c r="I518" s="79"/>
      <c r="J518" s="14"/>
      <c r="K518" s="38"/>
      <c r="L518" s="38"/>
      <c r="M518" s="17"/>
    </row>
    <row r="519" spans="2:13" ht="14.45" customHeight="1" x14ac:dyDescent="0.25">
      <c r="B519" s="17"/>
      <c r="C519" s="14"/>
      <c r="D519" s="14"/>
      <c r="E519" s="18"/>
      <c r="F519" s="61"/>
      <c r="G519" s="73"/>
      <c r="H519" s="79"/>
      <c r="I519" s="79"/>
      <c r="J519" s="14"/>
      <c r="K519" s="38"/>
      <c r="L519" s="38"/>
      <c r="M519" s="17"/>
    </row>
    <row r="520" spans="2:13" ht="14.45" customHeight="1" x14ac:dyDescent="0.25">
      <c r="B520" s="17"/>
      <c r="C520" s="14"/>
      <c r="D520" s="14"/>
      <c r="E520" s="18"/>
      <c r="F520" s="61"/>
      <c r="G520" s="73"/>
      <c r="H520" s="79"/>
      <c r="I520" s="79"/>
      <c r="J520" s="14"/>
      <c r="K520" s="38"/>
      <c r="L520" s="38"/>
      <c r="M520" s="17"/>
    </row>
    <row r="521" spans="2:13" ht="14.45" customHeight="1" x14ac:dyDescent="0.25">
      <c r="B521" s="17"/>
      <c r="C521" s="14"/>
      <c r="D521" s="14"/>
      <c r="E521" s="18"/>
      <c r="F521" s="61"/>
      <c r="G521" s="73"/>
      <c r="H521" s="79"/>
      <c r="I521" s="79"/>
      <c r="J521" s="14"/>
      <c r="K521" s="38"/>
      <c r="L521" s="38"/>
      <c r="M521" s="17"/>
    </row>
    <row r="522" spans="2:13" ht="14.45" customHeight="1" x14ac:dyDescent="0.25">
      <c r="B522" s="17"/>
      <c r="C522" s="14"/>
      <c r="D522" s="14"/>
      <c r="E522" s="18"/>
      <c r="F522" s="61"/>
      <c r="G522" s="73"/>
      <c r="H522" s="79"/>
      <c r="I522" s="79"/>
      <c r="J522" s="14"/>
      <c r="K522" s="38"/>
      <c r="L522" s="38"/>
      <c r="M522" s="17"/>
    </row>
    <row r="523" spans="2:13" ht="14.45" customHeight="1" x14ac:dyDescent="0.25">
      <c r="B523" s="17"/>
      <c r="C523" s="14"/>
      <c r="D523" s="14"/>
      <c r="E523" s="18"/>
      <c r="F523" s="61"/>
      <c r="G523" s="73"/>
      <c r="H523" s="79"/>
      <c r="I523" s="79"/>
      <c r="J523" s="14"/>
      <c r="K523" s="38"/>
      <c r="L523" s="38"/>
      <c r="M523" s="17"/>
    </row>
    <row r="524" spans="2:13" ht="14.45" customHeight="1" x14ac:dyDescent="0.25">
      <c r="B524" s="17"/>
      <c r="C524" s="14"/>
      <c r="D524" s="14"/>
      <c r="E524" s="18"/>
      <c r="F524" s="61"/>
      <c r="G524" s="73"/>
      <c r="H524" s="79"/>
      <c r="I524" s="79"/>
      <c r="J524" s="14"/>
      <c r="K524" s="38"/>
      <c r="L524" s="38"/>
      <c r="M524" s="17"/>
    </row>
    <row r="525" spans="2:13" ht="14.45" customHeight="1" x14ac:dyDescent="0.25">
      <c r="B525" s="17"/>
      <c r="C525" s="14"/>
      <c r="D525" s="14"/>
      <c r="E525" s="18"/>
      <c r="F525" s="61"/>
      <c r="G525" s="73"/>
      <c r="H525" s="79"/>
      <c r="I525" s="79"/>
      <c r="J525" s="14"/>
      <c r="K525" s="38"/>
      <c r="L525" s="38"/>
      <c r="M525" s="17"/>
    </row>
    <row r="526" spans="2:13" ht="14.45" customHeight="1" x14ac:dyDescent="0.25">
      <c r="B526" s="17"/>
      <c r="C526" s="14"/>
      <c r="D526" s="14"/>
      <c r="E526" s="18"/>
      <c r="F526" s="61"/>
      <c r="G526" s="73"/>
      <c r="H526" s="79"/>
      <c r="I526" s="79"/>
      <c r="J526" s="14"/>
      <c r="K526" s="38"/>
      <c r="L526" s="38"/>
      <c r="M526" s="17"/>
    </row>
    <row r="527" spans="2:13" ht="14.45" customHeight="1" x14ac:dyDescent="0.25">
      <c r="B527" s="17"/>
      <c r="C527" s="14"/>
      <c r="D527" s="14"/>
      <c r="E527" s="18"/>
      <c r="F527" s="61"/>
      <c r="G527" s="73"/>
      <c r="H527" s="79"/>
      <c r="I527" s="79"/>
      <c r="J527" s="14"/>
      <c r="K527" s="38"/>
      <c r="L527" s="38"/>
      <c r="M527" s="17"/>
    </row>
    <row r="528" spans="2:13" ht="14.45" customHeight="1" x14ac:dyDescent="0.25">
      <c r="B528" s="17"/>
      <c r="C528" s="14"/>
      <c r="D528" s="14"/>
      <c r="E528" s="18"/>
      <c r="F528" s="61"/>
      <c r="G528" s="73"/>
      <c r="H528" s="79"/>
      <c r="I528" s="79"/>
      <c r="J528" s="14"/>
      <c r="K528" s="38"/>
      <c r="L528" s="38"/>
      <c r="M528" s="17"/>
    </row>
    <row r="529" spans="2:13" ht="14.45" customHeight="1" x14ac:dyDescent="0.25">
      <c r="B529" s="17"/>
      <c r="C529" s="14"/>
      <c r="D529" s="14"/>
      <c r="E529" s="18"/>
      <c r="F529" s="61"/>
      <c r="G529" s="73"/>
      <c r="H529" s="79"/>
      <c r="I529" s="79"/>
      <c r="J529" s="14"/>
      <c r="K529" s="38"/>
      <c r="L529" s="38"/>
      <c r="M529" s="17"/>
    </row>
    <row r="530" spans="2:13" ht="14.45" customHeight="1" x14ac:dyDescent="0.25">
      <c r="B530" s="17"/>
      <c r="C530" s="14"/>
      <c r="D530" s="14"/>
      <c r="E530" s="18"/>
      <c r="F530" s="61"/>
      <c r="G530" s="73"/>
      <c r="H530" s="79"/>
      <c r="I530" s="79"/>
      <c r="J530" s="14"/>
      <c r="K530" s="38"/>
      <c r="L530" s="38"/>
      <c r="M530" s="17"/>
    </row>
    <row r="531" spans="2:13" ht="14.45" customHeight="1" x14ac:dyDescent="0.25">
      <c r="B531" s="17"/>
      <c r="C531" s="14"/>
      <c r="D531" s="14"/>
      <c r="E531" s="18"/>
      <c r="F531" s="61"/>
      <c r="G531" s="73"/>
      <c r="H531" s="79"/>
      <c r="I531" s="79"/>
      <c r="J531" s="14"/>
      <c r="K531" s="38"/>
      <c r="L531" s="38"/>
      <c r="M531" s="17"/>
    </row>
    <row r="532" spans="2:13" ht="14.45" customHeight="1" x14ac:dyDescent="0.25">
      <c r="B532" s="17"/>
      <c r="C532" s="14"/>
      <c r="D532" s="14"/>
      <c r="E532" s="18"/>
      <c r="F532" s="61"/>
      <c r="G532" s="73"/>
      <c r="H532" s="79"/>
      <c r="I532" s="79"/>
      <c r="J532" s="14"/>
      <c r="K532" s="38"/>
      <c r="L532" s="38"/>
      <c r="M532" s="17"/>
    </row>
    <row r="533" spans="2:13" ht="14.45" customHeight="1" x14ac:dyDescent="0.25">
      <c r="B533" s="17"/>
      <c r="C533" s="14"/>
      <c r="D533" s="14"/>
      <c r="E533" s="18"/>
      <c r="F533" s="61"/>
      <c r="G533" s="73"/>
      <c r="H533" s="79"/>
      <c r="I533" s="79"/>
      <c r="J533" s="14"/>
      <c r="K533" s="38"/>
      <c r="L533" s="38"/>
      <c r="M533" s="17"/>
    </row>
    <row r="534" spans="2:13" ht="14.45" customHeight="1" x14ac:dyDescent="0.25">
      <c r="B534" s="17"/>
      <c r="C534" s="14"/>
      <c r="D534" s="14"/>
      <c r="E534" s="18"/>
      <c r="F534" s="61"/>
      <c r="G534" s="73"/>
      <c r="H534" s="79"/>
      <c r="I534" s="79"/>
      <c r="J534" s="14"/>
      <c r="K534" s="38"/>
      <c r="L534" s="38"/>
      <c r="M534" s="17"/>
    </row>
    <row r="535" spans="2:13" ht="14.45" customHeight="1" x14ac:dyDescent="0.25">
      <c r="B535" s="17"/>
      <c r="C535" s="14"/>
      <c r="D535" s="14"/>
      <c r="E535" s="18"/>
      <c r="F535" s="61"/>
      <c r="G535" s="73"/>
      <c r="H535" s="79"/>
      <c r="I535" s="79"/>
      <c r="J535" s="14"/>
      <c r="K535" s="38"/>
      <c r="L535" s="38"/>
      <c r="M535" s="17"/>
    </row>
    <row r="536" spans="2:13" ht="14.45" customHeight="1" x14ac:dyDescent="0.25">
      <c r="B536" s="17"/>
      <c r="C536" s="14"/>
      <c r="D536" s="14"/>
      <c r="E536" s="18"/>
      <c r="F536" s="61"/>
      <c r="G536" s="73"/>
      <c r="H536" s="79"/>
      <c r="I536" s="79"/>
      <c r="J536" s="14"/>
      <c r="K536" s="38"/>
      <c r="L536" s="38"/>
      <c r="M536" s="17"/>
    </row>
    <row r="537" spans="2:13" ht="14.45" customHeight="1" x14ac:dyDescent="0.25">
      <c r="B537" s="17"/>
      <c r="C537" s="14"/>
      <c r="D537" s="14"/>
      <c r="E537" s="18"/>
      <c r="F537" s="61"/>
      <c r="G537" s="73"/>
      <c r="H537" s="79"/>
      <c r="I537" s="79"/>
      <c r="J537" s="14"/>
      <c r="K537" s="38"/>
      <c r="L537" s="38"/>
      <c r="M537" s="17"/>
    </row>
    <row r="538" spans="2:13" ht="14.45" customHeight="1" x14ac:dyDescent="0.25">
      <c r="B538" s="17"/>
      <c r="C538" s="14"/>
      <c r="D538" s="14"/>
      <c r="E538" s="18"/>
      <c r="F538" s="61"/>
      <c r="G538" s="73"/>
      <c r="H538" s="79"/>
      <c r="I538" s="79"/>
      <c r="J538" s="14"/>
      <c r="K538" s="38"/>
      <c r="L538" s="38"/>
      <c r="M538" s="17"/>
    </row>
    <row r="539" spans="2:13" ht="14.45" customHeight="1" x14ac:dyDescent="0.25">
      <c r="B539" s="17"/>
      <c r="C539" s="14"/>
      <c r="D539" s="14"/>
      <c r="E539" s="18"/>
      <c r="F539" s="61"/>
      <c r="G539" s="73"/>
      <c r="H539" s="79"/>
      <c r="I539" s="79"/>
      <c r="J539" s="14"/>
      <c r="K539" s="38"/>
      <c r="L539" s="38"/>
      <c r="M539" s="17"/>
    </row>
    <row r="540" spans="2:13" ht="14.45" customHeight="1" x14ac:dyDescent="0.25">
      <c r="B540" s="17"/>
      <c r="C540" s="14"/>
      <c r="D540" s="14"/>
      <c r="E540" s="18"/>
      <c r="F540" s="61"/>
      <c r="G540" s="73"/>
      <c r="H540" s="79"/>
      <c r="I540" s="79"/>
      <c r="J540" s="14"/>
      <c r="K540" s="38"/>
      <c r="L540" s="38"/>
      <c r="M540" s="17"/>
    </row>
    <row r="541" spans="2:13" ht="14.45" customHeight="1" x14ac:dyDescent="0.25">
      <c r="B541" s="17"/>
      <c r="C541" s="14"/>
      <c r="D541" s="14"/>
      <c r="E541" s="18"/>
      <c r="F541" s="61"/>
      <c r="G541" s="73"/>
      <c r="H541" s="79"/>
      <c r="I541" s="79"/>
      <c r="J541" s="14"/>
      <c r="K541" s="38"/>
      <c r="L541" s="38"/>
      <c r="M541" s="17"/>
    </row>
    <row r="542" spans="2:13" ht="14.45" customHeight="1" x14ac:dyDescent="0.25">
      <c r="B542" s="17"/>
      <c r="C542" s="14"/>
      <c r="D542" s="14"/>
      <c r="E542" s="18"/>
      <c r="F542" s="61"/>
      <c r="G542" s="73"/>
      <c r="H542" s="79"/>
      <c r="I542" s="79"/>
      <c r="J542" s="14"/>
      <c r="K542" s="38"/>
      <c r="L542" s="38"/>
      <c r="M542" s="17"/>
    </row>
    <row r="543" spans="2:13" ht="14.45" customHeight="1" x14ac:dyDescent="0.25">
      <c r="B543" s="17"/>
      <c r="C543" s="14"/>
      <c r="D543" s="14"/>
      <c r="E543" s="18"/>
      <c r="F543" s="61"/>
      <c r="G543" s="73"/>
      <c r="H543" s="79"/>
      <c r="I543" s="79"/>
      <c r="J543" s="14"/>
      <c r="K543" s="38"/>
      <c r="L543" s="38"/>
      <c r="M543" s="17"/>
    </row>
    <row r="544" spans="2:13" ht="14.45" customHeight="1" x14ac:dyDescent="0.25">
      <c r="B544" s="17"/>
      <c r="C544" s="14"/>
      <c r="D544" s="14"/>
      <c r="E544" s="18"/>
      <c r="F544" s="61"/>
      <c r="G544" s="73"/>
      <c r="H544" s="79"/>
      <c r="I544" s="79"/>
      <c r="J544" s="14"/>
      <c r="K544" s="38"/>
      <c r="L544" s="38"/>
      <c r="M544" s="17"/>
    </row>
    <row r="545" spans="2:13" ht="14.45" customHeight="1" x14ac:dyDescent="0.25">
      <c r="B545" s="17"/>
      <c r="C545" s="14"/>
      <c r="D545" s="14"/>
      <c r="E545" s="18"/>
      <c r="F545" s="61"/>
      <c r="G545" s="73"/>
      <c r="H545" s="79"/>
      <c r="I545" s="79"/>
      <c r="J545" s="14"/>
      <c r="K545" s="38"/>
      <c r="L545" s="38"/>
      <c r="M545" s="17"/>
    </row>
    <row r="546" spans="2:13" ht="14.45" customHeight="1" x14ac:dyDescent="0.25">
      <c r="B546" s="17"/>
      <c r="C546" s="14"/>
      <c r="D546" s="14"/>
      <c r="E546" s="18"/>
      <c r="F546" s="61"/>
      <c r="G546" s="73"/>
      <c r="H546" s="79"/>
      <c r="I546" s="79"/>
      <c r="J546" s="14"/>
      <c r="K546" s="38"/>
      <c r="L546" s="38"/>
      <c r="M546" s="17"/>
    </row>
    <row r="547" spans="2:13" ht="14.45" customHeight="1" x14ac:dyDescent="0.25">
      <c r="B547" s="17"/>
      <c r="C547" s="14"/>
      <c r="D547" s="14"/>
      <c r="E547" s="18"/>
      <c r="F547" s="61"/>
      <c r="G547" s="73"/>
      <c r="H547" s="79"/>
      <c r="I547" s="79"/>
      <c r="J547" s="14"/>
      <c r="K547" s="38"/>
      <c r="L547" s="38"/>
      <c r="M547" s="17"/>
    </row>
    <row r="548" spans="2:13" ht="14.45" customHeight="1" x14ac:dyDescent="0.25">
      <c r="B548" s="17"/>
      <c r="C548" s="14"/>
      <c r="D548" s="14"/>
      <c r="E548" s="18"/>
      <c r="F548" s="61"/>
      <c r="G548" s="73"/>
      <c r="H548" s="79"/>
      <c r="I548" s="79"/>
      <c r="J548" s="14"/>
      <c r="K548" s="38"/>
      <c r="L548" s="38"/>
      <c r="M548" s="17"/>
    </row>
    <row r="549" spans="2:13" ht="14.45" customHeight="1" x14ac:dyDescent="0.25">
      <c r="B549" s="17"/>
      <c r="C549" s="14"/>
      <c r="D549" s="14"/>
      <c r="E549" s="18"/>
      <c r="F549" s="61"/>
      <c r="G549" s="73"/>
      <c r="H549" s="79"/>
      <c r="I549" s="79"/>
      <c r="J549" s="14"/>
      <c r="K549" s="38"/>
      <c r="L549" s="38"/>
      <c r="M549" s="17"/>
    </row>
    <row r="550" spans="2:13" ht="14.45" customHeight="1" x14ac:dyDescent="0.25">
      <c r="B550" s="17"/>
      <c r="C550" s="14"/>
      <c r="D550" s="14"/>
      <c r="E550" s="18"/>
      <c r="F550" s="61"/>
      <c r="G550" s="73"/>
      <c r="H550" s="79"/>
      <c r="I550" s="79"/>
      <c r="J550" s="14"/>
      <c r="K550" s="38"/>
      <c r="L550" s="38"/>
      <c r="M550" s="17"/>
    </row>
    <row r="551" spans="2:13" ht="14.45" customHeight="1" x14ac:dyDescent="0.25">
      <c r="B551" s="17"/>
      <c r="C551" s="14"/>
      <c r="D551" s="14"/>
      <c r="E551" s="18"/>
      <c r="F551" s="61"/>
      <c r="G551" s="73"/>
      <c r="H551" s="79"/>
      <c r="I551" s="79"/>
      <c r="J551" s="14"/>
      <c r="K551" s="38"/>
      <c r="L551" s="38"/>
      <c r="M551" s="17"/>
    </row>
    <row r="552" spans="2:13" ht="14.45" customHeight="1" x14ac:dyDescent="0.25">
      <c r="B552" s="17"/>
      <c r="C552" s="14"/>
      <c r="D552" s="14"/>
      <c r="E552" s="18"/>
      <c r="F552" s="61"/>
      <c r="G552" s="73"/>
      <c r="H552" s="79"/>
      <c r="I552" s="79"/>
      <c r="J552" s="14"/>
      <c r="K552" s="38"/>
      <c r="L552" s="38"/>
      <c r="M552" s="17"/>
    </row>
    <row r="553" spans="2:13" ht="14.45" customHeight="1" x14ac:dyDescent="0.25">
      <c r="B553" s="17"/>
      <c r="C553" s="14"/>
      <c r="D553" s="14"/>
      <c r="E553" s="18"/>
      <c r="F553" s="61"/>
      <c r="G553" s="73"/>
      <c r="H553" s="79"/>
      <c r="I553" s="79"/>
      <c r="J553" s="14"/>
      <c r="K553" s="38"/>
      <c r="L553" s="38"/>
      <c r="M553" s="17"/>
    </row>
    <row r="554" spans="2:13" ht="14.45" customHeight="1" x14ac:dyDescent="0.25">
      <c r="B554" s="17"/>
      <c r="C554" s="14"/>
      <c r="D554" s="14"/>
      <c r="E554" s="18"/>
      <c r="F554" s="61"/>
      <c r="G554" s="73"/>
      <c r="H554" s="79"/>
      <c r="I554" s="79"/>
      <c r="J554" s="14"/>
      <c r="K554" s="38"/>
      <c r="L554" s="38"/>
      <c r="M554" s="17"/>
    </row>
    <row r="555" spans="2:13" ht="14.45" customHeight="1" x14ac:dyDescent="0.25">
      <c r="B555" s="17"/>
      <c r="C555" s="14"/>
      <c r="D555" s="14"/>
      <c r="E555" s="18"/>
      <c r="F555" s="61"/>
      <c r="G555" s="73"/>
      <c r="H555" s="79"/>
      <c r="I555" s="79"/>
      <c r="J555" s="14"/>
      <c r="K555" s="38"/>
      <c r="L555" s="38"/>
      <c r="M555" s="17"/>
    </row>
    <row r="556" spans="2:13" ht="14.45" customHeight="1" x14ac:dyDescent="0.25">
      <c r="B556" s="17"/>
      <c r="C556" s="14"/>
      <c r="D556" s="14"/>
      <c r="E556" s="18"/>
      <c r="F556" s="61"/>
      <c r="G556" s="73"/>
      <c r="H556" s="79"/>
      <c r="I556" s="79"/>
      <c r="J556" s="14"/>
      <c r="K556" s="38"/>
      <c r="L556" s="38"/>
      <c r="M556" s="17"/>
    </row>
    <row r="557" spans="2:13" ht="14.45" customHeight="1" x14ac:dyDescent="0.25">
      <c r="B557" s="17"/>
      <c r="C557" s="14"/>
      <c r="D557" s="14"/>
      <c r="E557" s="18"/>
      <c r="F557" s="61"/>
      <c r="G557" s="73"/>
      <c r="H557" s="79"/>
      <c r="I557" s="79"/>
      <c r="J557" s="14"/>
      <c r="K557" s="38"/>
      <c r="L557" s="38"/>
      <c r="M557" s="17"/>
    </row>
    <row r="558" spans="2:13" ht="14.45" customHeight="1" x14ac:dyDescent="0.25">
      <c r="B558" s="17"/>
      <c r="C558" s="14"/>
      <c r="D558" s="14"/>
      <c r="E558" s="18"/>
      <c r="F558" s="61"/>
      <c r="G558" s="73"/>
      <c r="H558" s="79"/>
      <c r="I558" s="79"/>
      <c r="J558" s="14"/>
      <c r="K558" s="38"/>
      <c r="L558" s="38"/>
      <c r="M558" s="17"/>
    </row>
    <row r="559" spans="2:13" ht="14.45" customHeight="1" x14ac:dyDescent="0.25">
      <c r="B559" s="17"/>
      <c r="C559" s="14"/>
      <c r="D559" s="14"/>
      <c r="E559" s="18"/>
      <c r="F559" s="61"/>
      <c r="G559" s="73"/>
      <c r="H559" s="79"/>
      <c r="I559" s="79"/>
      <c r="J559" s="14"/>
      <c r="K559" s="38"/>
      <c r="L559" s="38"/>
      <c r="M559" s="17"/>
    </row>
    <row r="560" spans="2:13" ht="14.45" customHeight="1" x14ac:dyDescent="0.25">
      <c r="B560" s="17"/>
      <c r="C560" s="14"/>
      <c r="D560" s="14"/>
      <c r="E560" s="18"/>
      <c r="F560" s="61"/>
      <c r="G560" s="73"/>
      <c r="H560" s="79"/>
      <c r="I560" s="79"/>
      <c r="J560" s="14"/>
      <c r="K560" s="38"/>
      <c r="L560" s="38"/>
      <c r="M560" s="17"/>
    </row>
    <row r="561" spans="2:13" ht="14.45" customHeight="1" x14ac:dyDescent="0.25">
      <c r="B561" s="17"/>
      <c r="C561" s="14"/>
      <c r="D561" s="14"/>
      <c r="E561" s="18"/>
      <c r="F561" s="61"/>
      <c r="G561" s="73"/>
      <c r="H561" s="79"/>
      <c r="I561" s="79"/>
      <c r="J561" s="14"/>
      <c r="K561" s="38"/>
      <c r="L561" s="38"/>
      <c r="M561" s="17"/>
    </row>
    <row r="562" spans="2:13" ht="14.45" customHeight="1" x14ac:dyDescent="0.25">
      <c r="B562" s="17"/>
      <c r="C562" s="14"/>
      <c r="D562" s="14"/>
      <c r="E562" s="18"/>
      <c r="F562" s="61"/>
      <c r="G562" s="73"/>
      <c r="H562" s="79"/>
      <c r="I562" s="79"/>
      <c r="J562" s="14"/>
      <c r="K562" s="38"/>
      <c r="L562" s="38"/>
      <c r="M562" s="17"/>
    </row>
    <row r="563" spans="2:13" ht="14.45" customHeight="1" x14ac:dyDescent="0.25">
      <c r="B563" s="17"/>
      <c r="C563" s="14"/>
      <c r="D563" s="14"/>
      <c r="E563" s="18"/>
      <c r="F563" s="61"/>
      <c r="G563" s="73"/>
      <c r="H563" s="79"/>
      <c r="I563" s="79"/>
      <c r="J563" s="14"/>
      <c r="K563" s="38"/>
      <c r="L563" s="38"/>
      <c r="M563" s="17"/>
    </row>
    <row r="564" spans="2:13" ht="14.45" customHeight="1" x14ac:dyDescent="0.25">
      <c r="B564" s="17"/>
      <c r="C564" s="14"/>
      <c r="D564" s="14"/>
      <c r="E564" s="18"/>
      <c r="F564" s="61"/>
      <c r="G564" s="73"/>
      <c r="H564" s="79"/>
      <c r="I564" s="79"/>
      <c r="J564" s="14"/>
      <c r="K564" s="38"/>
      <c r="L564" s="38"/>
      <c r="M564" s="17"/>
    </row>
    <row r="565" spans="2:13" ht="14.45" customHeight="1" x14ac:dyDescent="0.25">
      <c r="B565" s="17"/>
      <c r="C565" s="14"/>
      <c r="D565" s="14"/>
      <c r="E565" s="18"/>
      <c r="F565" s="61"/>
      <c r="G565" s="73"/>
      <c r="H565" s="79"/>
      <c r="I565" s="79"/>
      <c r="J565" s="14"/>
      <c r="K565" s="38"/>
      <c r="L565" s="38"/>
      <c r="M565" s="17"/>
    </row>
    <row r="566" spans="2:13" ht="14.45" customHeight="1" x14ac:dyDescent="0.25">
      <c r="B566" s="17"/>
      <c r="C566" s="14"/>
      <c r="D566" s="14"/>
      <c r="E566" s="18"/>
      <c r="F566" s="61"/>
      <c r="G566" s="73"/>
      <c r="H566" s="79"/>
      <c r="I566" s="79"/>
      <c r="J566" s="14"/>
      <c r="K566" s="38"/>
      <c r="L566" s="38"/>
      <c r="M566" s="17"/>
    </row>
    <row r="567" spans="2:13" ht="14.45" customHeight="1" x14ac:dyDescent="0.25">
      <c r="B567" s="17"/>
      <c r="C567" s="14"/>
      <c r="D567" s="14"/>
      <c r="E567" s="18"/>
      <c r="F567" s="61"/>
      <c r="G567" s="73"/>
      <c r="H567" s="79"/>
      <c r="I567" s="79"/>
      <c r="J567" s="14"/>
      <c r="K567" s="38"/>
      <c r="L567" s="38"/>
      <c r="M567" s="17"/>
    </row>
    <row r="568" spans="2:13" ht="14.45" customHeight="1" x14ac:dyDescent="0.25">
      <c r="B568" s="17"/>
      <c r="C568" s="14"/>
      <c r="D568" s="14"/>
      <c r="E568" s="18"/>
      <c r="F568" s="61"/>
      <c r="G568" s="73"/>
      <c r="H568" s="79"/>
      <c r="I568" s="79"/>
      <c r="J568" s="14"/>
      <c r="K568" s="38"/>
      <c r="L568" s="38"/>
      <c r="M568" s="17"/>
    </row>
    <row r="569" spans="2:13" ht="14.45" customHeight="1" x14ac:dyDescent="0.25">
      <c r="B569" s="17"/>
      <c r="C569" s="14"/>
      <c r="D569" s="14"/>
      <c r="E569" s="18"/>
      <c r="F569" s="61"/>
      <c r="G569" s="73"/>
      <c r="H569" s="79"/>
      <c r="I569" s="79"/>
      <c r="J569" s="14"/>
      <c r="K569" s="38"/>
      <c r="L569" s="38"/>
      <c r="M569" s="17"/>
    </row>
    <row r="570" spans="2:13" ht="14.45" customHeight="1" x14ac:dyDescent="0.25">
      <c r="B570" s="17"/>
      <c r="C570" s="14"/>
      <c r="D570" s="14"/>
      <c r="E570" s="18"/>
      <c r="F570" s="61"/>
      <c r="G570" s="73"/>
      <c r="H570" s="79"/>
      <c r="I570" s="79"/>
      <c r="J570" s="14"/>
      <c r="K570" s="38"/>
      <c r="L570" s="38"/>
      <c r="M570" s="17"/>
    </row>
    <row r="571" spans="2:13" ht="14.45" customHeight="1" x14ac:dyDescent="0.25">
      <c r="B571" s="17"/>
      <c r="C571" s="14"/>
      <c r="D571" s="14"/>
      <c r="E571" s="18"/>
      <c r="F571" s="61"/>
      <c r="G571" s="73"/>
      <c r="H571" s="79"/>
      <c r="I571" s="79"/>
      <c r="J571" s="14"/>
      <c r="K571" s="38"/>
      <c r="L571" s="38"/>
      <c r="M571" s="17"/>
    </row>
    <row r="572" spans="2:13" ht="14.45" customHeight="1" x14ac:dyDescent="0.25">
      <c r="B572" s="17"/>
      <c r="C572" s="14"/>
      <c r="D572" s="14"/>
      <c r="E572" s="18"/>
      <c r="F572" s="61"/>
      <c r="G572" s="73"/>
      <c r="H572" s="79"/>
      <c r="I572" s="79"/>
      <c r="J572" s="14"/>
      <c r="K572" s="38"/>
      <c r="L572" s="38"/>
      <c r="M572" s="17"/>
    </row>
    <row r="573" spans="2:13" ht="14.45" customHeight="1" x14ac:dyDescent="0.25">
      <c r="B573" s="17"/>
      <c r="C573" s="14"/>
      <c r="D573" s="14"/>
      <c r="E573" s="18"/>
      <c r="F573" s="61"/>
      <c r="G573" s="73"/>
      <c r="H573" s="79"/>
      <c r="I573" s="79"/>
      <c r="J573" s="14"/>
      <c r="K573" s="38"/>
      <c r="L573" s="38"/>
      <c r="M573" s="17"/>
    </row>
    <row r="574" spans="2:13" ht="14.45" customHeight="1" x14ac:dyDescent="0.25">
      <c r="B574" s="17"/>
      <c r="C574" s="14"/>
      <c r="D574" s="14"/>
      <c r="E574" s="18"/>
      <c r="F574" s="61"/>
      <c r="G574" s="73"/>
      <c r="H574" s="79"/>
      <c r="I574" s="79"/>
      <c r="J574" s="14"/>
      <c r="K574" s="38"/>
      <c r="L574" s="38"/>
      <c r="M574" s="17"/>
    </row>
    <row r="575" spans="2:13" ht="14.45" customHeight="1" x14ac:dyDescent="0.25">
      <c r="B575" s="17"/>
      <c r="C575" s="14"/>
      <c r="D575" s="14"/>
      <c r="E575" s="18"/>
      <c r="F575" s="61"/>
      <c r="G575" s="73"/>
      <c r="H575" s="79"/>
      <c r="I575" s="79"/>
      <c r="J575" s="14"/>
      <c r="K575" s="38"/>
      <c r="L575" s="38"/>
      <c r="M575" s="17"/>
    </row>
    <row r="576" spans="2:13" ht="14.45" customHeight="1" x14ac:dyDescent="0.25">
      <c r="B576" s="17"/>
      <c r="C576" s="14"/>
      <c r="D576" s="14"/>
      <c r="E576" s="18"/>
      <c r="F576" s="61"/>
      <c r="G576" s="73"/>
      <c r="H576" s="79"/>
      <c r="I576" s="79"/>
      <c r="J576" s="14"/>
      <c r="K576" s="38"/>
      <c r="L576" s="38"/>
      <c r="M576" s="17"/>
    </row>
    <row r="577" spans="2:13" ht="14.45" customHeight="1" x14ac:dyDescent="0.25">
      <c r="B577" s="17"/>
      <c r="C577" s="14"/>
      <c r="D577" s="14"/>
      <c r="E577" s="18"/>
      <c r="F577" s="61"/>
      <c r="G577" s="73"/>
      <c r="H577" s="79"/>
      <c r="I577" s="79"/>
      <c r="J577" s="14"/>
      <c r="K577" s="38"/>
      <c r="L577" s="38"/>
      <c r="M577" s="17"/>
    </row>
    <row r="578" spans="2:13" ht="14.45" customHeight="1" x14ac:dyDescent="0.25">
      <c r="B578" s="17"/>
      <c r="C578" s="14"/>
      <c r="D578" s="14"/>
      <c r="E578" s="18"/>
      <c r="F578" s="61"/>
      <c r="G578" s="73"/>
      <c r="H578" s="79"/>
      <c r="I578" s="79"/>
      <c r="J578" s="14"/>
      <c r="K578" s="38"/>
      <c r="L578" s="38"/>
      <c r="M578" s="17"/>
    </row>
    <row r="579" spans="2:13" ht="14.45" customHeight="1" x14ac:dyDescent="0.25">
      <c r="B579" s="17"/>
      <c r="C579" s="14"/>
      <c r="D579" s="14"/>
      <c r="E579" s="18"/>
      <c r="F579" s="61"/>
      <c r="G579" s="73"/>
      <c r="H579" s="79"/>
      <c r="I579" s="79"/>
      <c r="J579" s="14"/>
      <c r="K579" s="38"/>
      <c r="L579" s="38"/>
      <c r="M579" s="17"/>
    </row>
    <row r="580" spans="2:13" ht="14.45" customHeight="1" x14ac:dyDescent="0.25">
      <c r="B580" s="17"/>
      <c r="C580" s="14"/>
      <c r="D580" s="14"/>
      <c r="E580" s="18"/>
      <c r="F580" s="61"/>
      <c r="G580" s="73"/>
      <c r="H580" s="79"/>
      <c r="I580" s="79"/>
      <c r="J580" s="14"/>
      <c r="K580" s="38"/>
      <c r="L580" s="38"/>
      <c r="M580" s="17"/>
    </row>
    <row r="581" spans="2:13" ht="14.45" customHeight="1" x14ac:dyDescent="0.25">
      <c r="B581" s="17"/>
      <c r="C581" s="14"/>
      <c r="D581" s="14"/>
      <c r="E581" s="18"/>
      <c r="F581" s="61"/>
      <c r="G581" s="73"/>
      <c r="H581" s="79"/>
      <c r="I581" s="79"/>
      <c r="J581" s="14"/>
      <c r="K581" s="38"/>
      <c r="L581" s="38"/>
      <c r="M581" s="17"/>
    </row>
    <row r="582" spans="2:13" ht="14.45" customHeight="1" x14ac:dyDescent="0.25">
      <c r="B582" s="17"/>
      <c r="C582" s="14"/>
      <c r="D582" s="14"/>
      <c r="E582" s="18"/>
      <c r="F582" s="61"/>
      <c r="G582" s="73"/>
      <c r="H582" s="79"/>
      <c r="I582" s="79"/>
      <c r="J582" s="14"/>
      <c r="K582" s="38"/>
      <c r="L582" s="38"/>
      <c r="M582" s="17"/>
    </row>
    <row r="583" spans="2:13" ht="14.45" customHeight="1" x14ac:dyDescent="0.25">
      <c r="B583" s="17"/>
      <c r="C583" s="14"/>
      <c r="D583" s="14"/>
      <c r="E583" s="18"/>
      <c r="F583" s="61"/>
      <c r="G583" s="73"/>
      <c r="H583" s="79"/>
      <c r="I583" s="79"/>
      <c r="J583" s="14"/>
      <c r="K583" s="38"/>
      <c r="L583" s="38"/>
      <c r="M583" s="17"/>
    </row>
    <row r="584" spans="2:13" ht="14.45" customHeight="1" x14ac:dyDescent="0.25">
      <c r="B584" s="17"/>
      <c r="C584" s="14"/>
      <c r="D584" s="14"/>
      <c r="E584" s="18"/>
      <c r="F584" s="61"/>
      <c r="G584" s="73"/>
      <c r="H584" s="79"/>
      <c r="I584" s="79"/>
      <c r="J584" s="14"/>
      <c r="K584" s="38"/>
      <c r="L584" s="38"/>
      <c r="M584" s="17"/>
    </row>
    <row r="585" spans="2:13" ht="14.45" customHeight="1" x14ac:dyDescent="0.25">
      <c r="B585" s="17"/>
      <c r="C585" s="14"/>
      <c r="D585" s="14"/>
      <c r="E585" s="18"/>
      <c r="F585" s="61"/>
      <c r="G585" s="73"/>
      <c r="H585" s="79"/>
      <c r="I585" s="79"/>
      <c r="J585" s="14"/>
      <c r="K585" s="38"/>
      <c r="L585" s="38"/>
      <c r="M585" s="17"/>
    </row>
    <row r="586" spans="2:13" ht="14.45" customHeight="1" x14ac:dyDescent="0.25">
      <c r="B586" s="17"/>
      <c r="C586" s="14"/>
      <c r="D586" s="14"/>
      <c r="E586" s="18"/>
      <c r="F586" s="61"/>
      <c r="G586" s="73"/>
      <c r="H586" s="79"/>
      <c r="I586" s="79"/>
      <c r="J586" s="14"/>
      <c r="K586" s="38"/>
      <c r="L586" s="38"/>
      <c r="M586" s="17"/>
    </row>
    <row r="587" spans="2:13" ht="14.45" customHeight="1" x14ac:dyDescent="0.25">
      <c r="B587" s="17"/>
      <c r="C587" s="14"/>
      <c r="D587" s="14"/>
      <c r="E587" s="18"/>
      <c r="F587" s="61"/>
      <c r="G587" s="73"/>
      <c r="H587" s="79"/>
      <c r="I587" s="79"/>
      <c r="J587" s="14"/>
      <c r="K587" s="38"/>
      <c r="L587" s="38"/>
      <c r="M587" s="17"/>
    </row>
    <row r="588" spans="2:13" ht="14.45" customHeight="1" x14ac:dyDescent="0.25">
      <c r="B588" s="17"/>
      <c r="C588" s="14"/>
      <c r="D588" s="14"/>
      <c r="E588" s="18"/>
      <c r="F588" s="61"/>
      <c r="G588" s="73"/>
      <c r="H588" s="79"/>
      <c r="I588" s="79"/>
      <c r="J588" s="14"/>
      <c r="K588" s="38"/>
      <c r="L588" s="38"/>
      <c r="M588" s="17"/>
    </row>
    <row r="589" spans="2:13" ht="14.45" customHeight="1" x14ac:dyDescent="0.25">
      <c r="B589" s="17"/>
      <c r="C589" s="14"/>
      <c r="D589" s="14"/>
      <c r="E589" s="18"/>
      <c r="F589" s="61"/>
      <c r="G589" s="73"/>
      <c r="H589" s="79"/>
      <c r="I589" s="79"/>
      <c r="J589" s="14"/>
      <c r="K589" s="38"/>
      <c r="L589" s="38"/>
      <c r="M589" s="17"/>
    </row>
    <row r="590" spans="2:13" ht="14.45" customHeight="1" x14ac:dyDescent="0.25">
      <c r="B590" s="17"/>
      <c r="C590" s="14"/>
      <c r="D590" s="14"/>
      <c r="E590" s="18"/>
      <c r="F590" s="61"/>
      <c r="G590" s="73"/>
      <c r="H590" s="79"/>
      <c r="I590" s="79"/>
      <c r="J590" s="14"/>
      <c r="K590" s="38"/>
      <c r="L590" s="38"/>
      <c r="M590" s="17"/>
    </row>
    <row r="591" spans="2:13" ht="14.45" customHeight="1" x14ac:dyDescent="0.25">
      <c r="B591" s="17"/>
      <c r="C591" s="14"/>
      <c r="D591" s="14"/>
      <c r="E591" s="18"/>
      <c r="F591" s="61"/>
      <c r="G591" s="73"/>
      <c r="H591" s="79"/>
      <c r="I591" s="79"/>
      <c r="J591" s="14"/>
      <c r="K591" s="38"/>
      <c r="L591" s="38"/>
      <c r="M591" s="17"/>
    </row>
    <row r="592" spans="2:13" ht="14.45" customHeight="1" x14ac:dyDescent="0.25">
      <c r="B592" s="17"/>
      <c r="C592" s="14"/>
      <c r="D592" s="14"/>
      <c r="E592" s="18"/>
      <c r="F592" s="61"/>
      <c r="G592" s="73"/>
      <c r="H592" s="79"/>
      <c r="I592" s="79"/>
      <c r="J592" s="14"/>
      <c r="K592" s="38"/>
      <c r="L592" s="38"/>
      <c r="M592" s="17"/>
    </row>
    <row r="593" spans="2:13" ht="14.45" customHeight="1" x14ac:dyDescent="0.25">
      <c r="B593" s="17"/>
      <c r="C593" s="14"/>
      <c r="D593" s="14"/>
      <c r="E593" s="18"/>
      <c r="F593" s="61"/>
      <c r="G593" s="73"/>
      <c r="H593" s="79"/>
      <c r="I593" s="79"/>
      <c r="J593" s="14"/>
      <c r="K593" s="38"/>
      <c r="L593" s="38"/>
      <c r="M593" s="17"/>
    </row>
    <row r="594" spans="2:13" ht="14.45" customHeight="1" x14ac:dyDescent="0.25">
      <c r="B594" s="17"/>
      <c r="C594" s="14"/>
      <c r="D594" s="14"/>
      <c r="E594" s="18"/>
      <c r="F594" s="61"/>
      <c r="G594" s="73"/>
      <c r="H594" s="79"/>
      <c r="I594" s="79"/>
      <c r="J594" s="14"/>
      <c r="K594" s="38"/>
      <c r="L594" s="38"/>
      <c r="M594" s="17"/>
    </row>
    <row r="595" spans="2:13" ht="14.45" customHeight="1" x14ac:dyDescent="0.25">
      <c r="B595" s="17"/>
      <c r="C595" s="14"/>
      <c r="D595" s="14"/>
      <c r="E595" s="18"/>
      <c r="F595" s="61"/>
      <c r="G595" s="73"/>
      <c r="H595" s="79"/>
      <c r="I595" s="79"/>
      <c r="J595" s="14"/>
      <c r="K595" s="38"/>
      <c r="L595" s="38"/>
      <c r="M595" s="17"/>
    </row>
    <row r="596" spans="2:13" ht="14.45" customHeight="1" x14ac:dyDescent="0.25">
      <c r="B596" s="17"/>
      <c r="C596" s="14"/>
      <c r="D596" s="14"/>
      <c r="E596" s="18"/>
      <c r="F596" s="61"/>
      <c r="G596" s="73"/>
      <c r="H596" s="79"/>
      <c r="I596" s="79"/>
      <c r="J596" s="14"/>
      <c r="K596" s="38"/>
      <c r="L596" s="38"/>
      <c r="M596" s="17"/>
    </row>
    <row r="597" spans="2:13" ht="14.45" customHeight="1" x14ac:dyDescent="0.25">
      <c r="B597" s="17"/>
      <c r="C597" s="14"/>
      <c r="D597" s="14"/>
      <c r="E597" s="18"/>
      <c r="F597" s="61"/>
      <c r="G597" s="73"/>
      <c r="H597" s="79"/>
      <c r="I597" s="79"/>
      <c r="J597" s="14"/>
      <c r="K597" s="38"/>
      <c r="L597" s="38"/>
      <c r="M597" s="17"/>
    </row>
    <row r="598" spans="2:13" ht="14.45" customHeight="1" x14ac:dyDescent="0.25">
      <c r="B598" s="17"/>
      <c r="C598" s="14"/>
      <c r="D598" s="14"/>
      <c r="E598" s="18"/>
      <c r="F598" s="61"/>
      <c r="G598" s="73"/>
      <c r="H598" s="79"/>
      <c r="I598" s="79"/>
      <c r="J598" s="14"/>
      <c r="K598" s="38"/>
      <c r="L598" s="38"/>
      <c r="M598" s="17"/>
    </row>
    <row r="599" spans="2:13" ht="14.45" customHeight="1" x14ac:dyDescent="0.25">
      <c r="B599" s="17"/>
      <c r="C599" s="14"/>
      <c r="D599" s="14"/>
      <c r="E599" s="18"/>
      <c r="F599" s="61"/>
      <c r="G599" s="73"/>
      <c r="H599" s="79"/>
      <c r="I599" s="79"/>
      <c r="J599" s="14"/>
      <c r="K599" s="38"/>
      <c r="L599" s="38"/>
      <c r="M599" s="17"/>
    </row>
    <row r="600" spans="2:13" ht="14.45" customHeight="1" x14ac:dyDescent="0.25">
      <c r="B600" s="17"/>
      <c r="C600" s="14"/>
      <c r="D600" s="14"/>
      <c r="E600" s="18"/>
      <c r="F600" s="61"/>
      <c r="G600" s="73"/>
      <c r="H600" s="79"/>
      <c r="I600" s="79"/>
      <c r="J600" s="14"/>
      <c r="K600" s="38"/>
      <c r="L600" s="38"/>
      <c r="M600" s="17"/>
    </row>
    <row r="601" spans="2:13" ht="14.45" customHeight="1" x14ac:dyDescent="0.25">
      <c r="B601" s="17"/>
      <c r="C601" s="14"/>
      <c r="D601" s="14"/>
      <c r="E601" s="18"/>
      <c r="F601" s="61"/>
      <c r="G601" s="73"/>
      <c r="H601" s="79"/>
      <c r="I601" s="79"/>
      <c r="J601" s="14"/>
      <c r="K601" s="38"/>
      <c r="L601" s="38"/>
      <c r="M601" s="17"/>
    </row>
    <row r="602" spans="2:13" ht="14.45" customHeight="1" x14ac:dyDescent="0.25">
      <c r="B602" s="17"/>
      <c r="C602" s="14"/>
      <c r="D602" s="14"/>
      <c r="E602" s="18"/>
      <c r="F602" s="61"/>
      <c r="G602" s="73"/>
      <c r="H602" s="79"/>
      <c r="I602" s="79"/>
      <c r="J602" s="14"/>
      <c r="K602" s="38"/>
      <c r="L602" s="38"/>
      <c r="M602" s="17"/>
    </row>
    <row r="603" spans="2:13" ht="14.45" customHeight="1" x14ac:dyDescent="0.25">
      <c r="B603" s="17"/>
      <c r="C603" s="14"/>
      <c r="D603" s="14"/>
      <c r="E603" s="18"/>
      <c r="F603" s="61"/>
      <c r="G603" s="73"/>
      <c r="H603" s="79"/>
      <c r="I603" s="79"/>
      <c r="J603" s="14"/>
      <c r="K603" s="38"/>
      <c r="L603" s="38"/>
      <c r="M603" s="17"/>
    </row>
    <row r="604" spans="2:13" ht="14.45" customHeight="1" x14ac:dyDescent="0.25">
      <c r="B604" s="17"/>
      <c r="C604" s="14"/>
      <c r="D604" s="14"/>
      <c r="E604" s="18"/>
      <c r="F604" s="61"/>
      <c r="G604" s="73"/>
      <c r="H604" s="79"/>
      <c r="I604" s="79"/>
      <c r="J604" s="14"/>
      <c r="K604" s="38"/>
      <c r="L604" s="38"/>
      <c r="M604" s="17"/>
    </row>
    <row r="605" spans="2:13" ht="14.45" customHeight="1" x14ac:dyDescent="0.25">
      <c r="B605" s="17"/>
      <c r="C605" s="14"/>
      <c r="D605" s="14"/>
      <c r="E605" s="18"/>
      <c r="F605" s="61"/>
      <c r="G605" s="73"/>
      <c r="H605" s="79"/>
      <c r="I605" s="79"/>
      <c r="J605" s="14"/>
      <c r="K605" s="38"/>
      <c r="L605" s="38"/>
      <c r="M605" s="17"/>
    </row>
    <row r="606" spans="2:13" ht="14.45" customHeight="1" x14ac:dyDescent="0.25">
      <c r="B606" s="17"/>
      <c r="C606" s="14"/>
      <c r="D606" s="14"/>
      <c r="E606" s="18"/>
      <c r="F606" s="61"/>
      <c r="G606" s="73"/>
      <c r="H606" s="79"/>
      <c r="I606" s="79"/>
      <c r="J606" s="14"/>
      <c r="K606" s="38"/>
      <c r="L606" s="38"/>
      <c r="M606" s="17"/>
    </row>
    <row r="607" spans="2:13" ht="14.45" customHeight="1" x14ac:dyDescent="0.25">
      <c r="B607" s="17"/>
      <c r="C607" s="14"/>
      <c r="D607" s="14"/>
      <c r="E607" s="18"/>
      <c r="F607" s="61"/>
      <c r="G607" s="73"/>
      <c r="H607" s="79"/>
      <c r="I607" s="79"/>
      <c r="J607" s="14"/>
      <c r="K607" s="38"/>
      <c r="L607" s="38"/>
      <c r="M607" s="17"/>
    </row>
    <row r="608" spans="2:13" ht="14.45" customHeight="1" x14ac:dyDescent="0.25">
      <c r="B608" s="17"/>
      <c r="C608" s="14"/>
      <c r="D608" s="14"/>
      <c r="E608" s="18"/>
      <c r="F608" s="61"/>
      <c r="G608" s="73"/>
      <c r="H608" s="79"/>
      <c r="I608" s="79"/>
      <c r="J608" s="14"/>
      <c r="K608" s="38"/>
      <c r="L608" s="38"/>
      <c r="M608" s="17"/>
    </row>
    <row r="609" spans="2:13" ht="14.45" customHeight="1" x14ac:dyDescent="0.25">
      <c r="B609" s="17"/>
      <c r="C609" s="14"/>
      <c r="D609" s="14"/>
      <c r="E609" s="18"/>
      <c r="F609" s="61"/>
      <c r="G609" s="73"/>
      <c r="H609" s="79"/>
      <c r="I609" s="79"/>
      <c r="J609" s="14"/>
      <c r="K609" s="38"/>
      <c r="L609" s="38"/>
      <c r="M609" s="17"/>
    </row>
    <row r="610" spans="2:13" ht="14.45" customHeight="1" x14ac:dyDescent="0.25">
      <c r="B610" s="17"/>
      <c r="C610" s="14"/>
      <c r="D610" s="14"/>
      <c r="E610" s="18"/>
      <c r="F610" s="61"/>
      <c r="G610" s="73"/>
      <c r="H610" s="79"/>
      <c r="I610" s="79"/>
      <c r="J610" s="14"/>
      <c r="K610" s="38"/>
      <c r="L610" s="38"/>
      <c r="M610" s="17"/>
    </row>
    <row r="611" spans="2:13" ht="14.45" customHeight="1" x14ac:dyDescent="0.25">
      <c r="B611" s="17"/>
      <c r="C611" s="14"/>
      <c r="D611" s="14"/>
      <c r="E611" s="18"/>
      <c r="F611" s="61"/>
      <c r="G611" s="73"/>
      <c r="H611" s="79"/>
      <c r="I611" s="79"/>
      <c r="J611" s="14"/>
      <c r="K611" s="38"/>
      <c r="L611" s="38"/>
      <c r="M611" s="17"/>
    </row>
    <row r="612" spans="2:13" ht="14.45" customHeight="1" x14ac:dyDescent="0.25">
      <c r="B612" s="17"/>
      <c r="C612" s="14"/>
      <c r="D612" s="14"/>
      <c r="E612" s="18"/>
      <c r="F612" s="61"/>
      <c r="G612" s="73"/>
      <c r="H612" s="79"/>
      <c r="I612" s="79"/>
      <c r="J612" s="14"/>
      <c r="K612" s="38"/>
      <c r="L612" s="38"/>
      <c r="M612" s="17"/>
    </row>
    <row r="613" spans="2:13" ht="14.45" customHeight="1" x14ac:dyDescent="0.25">
      <c r="B613" s="17"/>
      <c r="C613" s="14"/>
      <c r="D613" s="14"/>
      <c r="E613" s="18"/>
      <c r="F613" s="61"/>
      <c r="G613" s="73"/>
      <c r="H613" s="79"/>
      <c r="I613" s="79"/>
      <c r="J613" s="14"/>
      <c r="K613" s="38"/>
      <c r="L613" s="38"/>
      <c r="M613" s="17"/>
    </row>
    <row r="614" spans="2:13" ht="14.45" customHeight="1" x14ac:dyDescent="0.25">
      <c r="B614" s="17"/>
      <c r="C614" s="14"/>
      <c r="D614" s="14"/>
      <c r="E614" s="18"/>
      <c r="F614" s="61"/>
      <c r="G614" s="73"/>
      <c r="H614" s="79"/>
      <c r="I614" s="79"/>
      <c r="J614" s="14"/>
      <c r="K614" s="38"/>
      <c r="L614" s="38"/>
      <c r="M614" s="17"/>
    </row>
    <row r="615" spans="2:13" ht="14.45" customHeight="1" x14ac:dyDescent="0.25">
      <c r="B615" s="17"/>
      <c r="C615" s="14"/>
      <c r="D615" s="14"/>
      <c r="E615" s="18"/>
      <c r="F615" s="61"/>
      <c r="G615" s="73"/>
      <c r="H615" s="79"/>
      <c r="I615" s="79"/>
      <c r="J615" s="14"/>
      <c r="K615" s="38"/>
      <c r="L615" s="38"/>
      <c r="M615" s="17"/>
    </row>
    <row r="616" spans="2:13" ht="14.45" customHeight="1" x14ac:dyDescent="0.25">
      <c r="B616" s="17"/>
      <c r="C616" s="14"/>
      <c r="D616" s="14"/>
      <c r="E616" s="18"/>
      <c r="F616" s="61"/>
      <c r="G616" s="73"/>
      <c r="H616" s="79"/>
      <c r="I616" s="79"/>
      <c r="J616" s="14"/>
      <c r="K616" s="38"/>
      <c r="L616" s="38"/>
      <c r="M616" s="17"/>
    </row>
    <row r="617" spans="2:13" ht="14.45" customHeight="1" x14ac:dyDescent="0.25">
      <c r="B617" s="17"/>
      <c r="C617" s="14"/>
      <c r="D617" s="14"/>
      <c r="E617" s="18"/>
      <c r="F617" s="61"/>
      <c r="G617" s="73"/>
      <c r="H617" s="79"/>
      <c r="I617" s="79"/>
      <c r="J617" s="14"/>
      <c r="K617" s="38"/>
      <c r="L617" s="38"/>
      <c r="M617" s="17"/>
    </row>
    <row r="618" spans="2:13" ht="14.45" customHeight="1" x14ac:dyDescent="0.25">
      <c r="B618" s="17"/>
      <c r="C618" s="14"/>
      <c r="D618" s="14"/>
      <c r="E618" s="18"/>
      <c r="F618" s="61"/>
      <c r="G618" s="73"/>
      <c r="H618" s="79"/>
      <c r="I618" s="79"/>
      <c r="J618" s="14"/>
      <c r="K618" s="38"/>
      <c r="L618" s="38"/>
      <c r="M618" s="17"/>
    </row>
    <row r="619" spans="2:13" ht="14.45" customHeight="1" x14ac:dyDescent="0.25">
      <c r="B619" s="17"/>
      <c r="C619" s="14"/>
      <c r="D619" s="14"/>
      <c r="E619" s="18"/>
      <c r="F619" s="61"/>
      <c r="G619" s="73"/>
      <c r="H619" s="79"/>
      <c r="I619" s="79"/>
      <c r="J619" s="14"/>
      <c r="K619" s="38"/>
      <c r="L619" s="38"/>
      <c r="M619" s="17"/>
    </row>
    <row r="620" spans="2:13" ht="14.45" customHeight="1" x14ac:dyDescent="0.25">
      <c r="B620" s="17"/>
      <c r="C620" s="14"/>
      <c r="D620" s="14"/>
      <c r="E620" s="18"/>
      <c r="F620" s="61"/>
      <c r="G620" s="73"/>
      <c r="H620" s="79"/>
      <c r="I620" s="79"/>
      <c r="J620" s="14"/>
      <c r="K620" s="38"/>
      <c r="L620" s="38"/>
      <c r="M620" s="17"/>
    </row>
    <row r="621" spans="2:13" ht="14.45" customHeight="1" x14ac:dyDescent="0.25">
      <c r="B621" s="17"/>
      <c r="C621" s="14"/>
      <c r="D621" s="14"/>
      <c r="E621" s="18"/>
      <c r="F621" s="61"/>
      <c r="G621" s="73"/>
      <c r="H621" s="79"/>
      <c r="I621" s="79"/>
      <c r="J621" s="14"/>
      <c r="K621" s="38"/>
      <c r="L621" s="38"/>
      <c r="M621" s="17"/>
    </row>
    <row r="622" spans="2:13" ht="14.45" customHeight="1" x14ac:dyDescent="0.25">
      <c r="B622" s="17"/>
      <c r="C622" s="14"/>
      <c r="D622" s="14"/>
      <c r="E622" s="18"/>
      <c r="F622" s="61"/>
      <c r="G622" s="73"/>
      <c r="H622" s="79"/>
      <c r="I622" s="79"/>
      <c r="J622" s="14"/>
      <c r="K622" s="38"/>
      <c r="L622" s="38"/>
      <c r="M622" s="17"/>
    </row>
    <row r="623" spans="2:13" ht="14.45" customHeight="1" x14ac:dyDescent="0.25">
      <c r="B623" s="17"/>
      <c r="C623" s="14"/>
      <c r="D623" s="14"/>
      <c r="E623" s="18"/>
      <c r="F623" s="61"/>
      <c r="G623" s="73"/>
      <c r="H623" s="79"/>
      <c r="I623" s="79"/>
      <c r="J623" s="14"/>
      <c r="K623" s="38"/>
      <c r="L623" s="38"/>
      <c r="M623" s="17"/>
    </row>
    <row r="624" spans="2:13" ht="14.45" customHeight="1" x14ac:dyDescent="0.25">
      <c r="B624" s="17"/>
      <c r="C624" s="14"/>
      <c r="D624" s="14"/>
      <c r="E624" s="18"/>
      <c r="F624" s="61"/>
      <c r="G624" s="73"/>
      <c r="H624" s="79"/>
      <c r="I624" s="79"/>
      <c r="J624" s="14"/>
      <c r="K624" s="38"/>
      <c r="L624" s="38"/>
      <c r="M624" s="17"/>
    </row>
    <row r="625" spans="2:13" ht="14.45" customHeight="1" x14ac:dyDescent="0.25">
      <c r="B625" s="17"/>
      <c r="C625" s="14"/>
      <c r="D625" s="14"/>
      <c r="E625" s="18"/>
      <c r="F625" s="61"/>
      <c r="G625" s="73"/>
      <c r="H625" s="79"/>
      <c r="I625" s="79"/>
      <c r="J625" s="14"/>
      <c r="K625" s="38"/>
      <c r="L625" s="38"/>
      <c r="M625" s="17"/>
    </row>
    <row r="626" spans="2:13" ht="14.45" customHeight="1" x14ac:dyDescent="0.25">
      <c r="B626" s="17"/>
      <c r="C626" s="14"/>
      <c r="D626" s="14"/>
      <c r="E626" s="18"/>
      <c r="F626" s="61"/>
      <c r="G626" s="73"/>
      <c r="H626" s="79"/>
      <c r="I626" s="79"/>
      <c r="J626" s="14"/>
      <c r="K626" s="38"/>
      <c r="L626" s="38"/>
      <c r="M626" s="17"/>
    </row>
    <row r="627" spans="2:13" ht="14.45" customHeight="1" x14ac:dyDescent="0.25">
      <c r="B627" s="17"/>
      <c r="C627" s="14"/>
      <c r="D627" s="14"/>
      <c r="E627" s="18"/>
      <c r="F627" s="61"/>
      <c r="G627" s="73"/>
      <c r="H627" s="79"/>
      <c r="I627" s="79"/>
      <c r="J627" s="14"/>
      <c r="K627" s="38"/>
      <c r="L627" s="38"/>
      <c r="M627" s="17"/>
    </row>
    <row r="628" spans="2:13" ht="14.45" customHeight="1" x14ac:dyDescent="0.25">
      <c r="B628" s="17"/>
      <c r="C628" s="14"/>
      <c r="D628" s="14"/>
      <c r="E628" s="18"/>
      <c r="F628" s="61"/>
      <c r="G628" s="73"/>
      <c r="H628" s="79"/>
      <c r="I628" s="79"/>
      <c r="J628" s="14"/>
      <c r="K628" s="38"/>
      <c r="L628" s="38"/>
      <c r="M628" s="17"/>
    </row>
    <row r="629" spans="2:13" ht="14.45" customHeight="1" x14ac:dyDescent="0.25">
      <c r="B629" s="17"/>
      <c r="C629" s="14"/>
      <c r="D629" s="14"/>
      <c r="E629" s="18"/>
      <c r="F629" s="61"/>
      <c r="G629" s="73"/>
      <c r="H629" s="79"/>
      <c r="I629" s="79"/>
      <c r="J629" s="14"/>
      <c r="K629" s="38"/>
      <c r="L629" s="38"/>
      <c r="M629" s="17"/>
    </row>
    <row r="630" spans="2:13" ht="14.45" customHeight="1" x14ac:dyDescent="0.25">
      <c r="B630" s="17"/>
      <c r="C630" s="14"/>
      <c r="D630" s="14"/>
      <c r="E630" s="18"/>
      <c r="F630" s="61"/>
      <c r="G630" s="73"/>
      <c r="H630" s="79"/>
      <c r="I630" s="79"/>
      <c r="J630" s="14"/>
      <c r="K630" s="38"/>
      <c r="L630" s="38"/>
      <c r="M630" s="17"/>
    </row>
    <row r="631" spans="2:13" ht="14.45" customHeight="1" x14ac:dyDescent="0.25">
      <c r="B631" s="17"/>
      <c r="C631" s="14"/>
      <c r="D631" s="14"/>
      <c r="E631" s="18"/>
      <c r="F631" s="61"/>
      <c r="G631" s="73"/>
      <c r="H631" s="79"/>
      <c r="I631" s="79"/>
      <c r="J631" s="14"/>
      <c r="K631" s="38"/>
      <c r="L631" s="38"/>
      <c r="M631" s="17"/>
    </row>
    <row r="632" spans="2:13" ht="14.45" customHeight="1" x14ac:dyDescent="0.25">
      <c r="B632" s="17"/>
      <c r="C632" s="14"/>
      <c r="D632" s="14"/>
      <c r="E632" s="18"/>
      <c r="F632" s="61"/>
      <c r="G632" s="73"/>
      <c r="H632" s="79"/>
      <c r="I632" s="79"/>
      <c r="J632" s="14"/>
      <c r="K632" s="38"/>
      <c r="L632" s="38"/>
      <c r="M632" s="17"/>
    </row>
    <row r="633" spans="2:13" ht="14.45" customHeight="1" x14ac:dyDescent="0.25">
      <c r="B633" s="17"/>
      <c r="C633" s="14"/>
      <c r="D633" s="14"/>
      <c r="E633" s="18"/>
      <c r="F633" s="61"/>
      <c r="G633" s="73"/>
      <c r="H633" s="79"/>
      <c r="I633" s="79"/>
      <c r="J633" s="14"/>
      <c r="K633" s="38"/>
      <c r="L633" s="38"/>
      <c r="M633" s="17"/>
    </row>
    <row r="634" spans="2:13" ht="14.45" customHeight="1" x14ac:dyDescent="0.25">
      <c r="B634" s="17"/>
      <c r="C634" s="14"/>
      <c r="D634" s="14"/>
      <c r="E634" s="18"/>
      <c r="F634" s="61"/>
      <c r="G634" s="73"/>
      <c r="H634" s="79"/>
      <c r="I634" s="79"/>
      <c r="J634" s="14"/>
      <c r="K634" s="38"/>
      <c r="L634" s="38"/>
      <c r="M634" s="17"/>
    </row>
    <row r="635" spans="2:13" ht="14.45" customHeight="1" x14ac:dyDescent="0.25">
      <c r="B635" s="17"/>
      <c r="C635" s="14"/>
      <c r="D635" s="14"/>
      <c r="E635" s="18"/>
      <c r="F635" s="61"/>
      <c r="G635" s="73"/>
      <c r="H635" s="79"/>
      <c r="I635" s="79"/>
      <c r="J635" s="14"/>
      <c r="K635" s="38"/>
      <c r="L635" s="38"/>
      <c r="M635" s="17"/>
    </row>
    <row r="636" spans="2:13" ht="14.45" customHeight="1" x14ac:dyDescent="0.25">
      <c r="B636" s="17"/>
      <c r="C636" s="14"/>
      <c r="D636" s="14"/>
      <c r="E636" s="18"/>
      <c r="F636" s="61"/>
      <c r="G636" s="73"/>
      <c r="H636" s="79"/>
      <c r="I636" s="79"/>
      <c r="J636" s="14"/>
      <c r="K636" s="38"/>
      <c r="L636" s="38"/>
      <c r="M636" s="17"/>
    </row>
    <row r="637" spans="2:13" ht="14.45" customHeight="1" x14ac:dyDescent="0.25">
      <c r="B637" s="17"/>
      <c r="C637" s="14"/>
      <c r="D637" s="14"/>
      <c r="E637" s="18"/>
      <c r="F637" s="61"/>
      <c r="G637" s="73"/>
      <c r="H637" s="79"/>
      <c r="I637" s="79"/>
      <c r="J637" s="14"/>
      <c r="K637" s="38"/>
      <c r="L637" s="38"/>
      <c r="M637" s="17"/>
    </row>
    <row r="638" spans="2:13" ht="14.45" customHeight="1" x14ac:dyDescent="0.25">
      <c r="B638" s="17"/>
      <c r="C638" s="14"/>
      <c r="D638" s="14"/>
      <c r="E638" s="18"/>
      <c r="F638" s="61"/>
      <c r="G638" s="73"/>
      <c r="H638" s="79"/>
      <c r="I638" s="79"/>
      <c r="J638" s="14"/>
      <c r="K638" s="38"/>
      <c r="L638" s="38"/>
      <c r="M638" s="17"/>
    </row>
    <row r="639" spans="2:13" ht="14.45" customHeight="1" x14ac:dyDescent="0.25">
      <c r="B639" s="17"/>
      <c r="C639" s="14"/>
      <c r="D639" s="14"/>
      <c r="E639" s="18"/>
      <c r="F639" s="61"/>
      <c r="G639" s="73"/>
      <c r="H639" s="79"/>
      <c r="I639" s="79"/>
      <c r="J639" s="14"/>
      <c r="K639" s="38"/>
      <c r="L639" s="38"/>
      <c r="M639" s="17"/>
    </row>
    <row r="640" spans="2:13" ht="14.45" customHeight="1" x14ac:dyDescent="0.25">
      <c r="B640" s="17"/>
      <c r="C640" s="14"/>
      <c r="D640" s="14"/>
      <c r="E640" s="18"/>
      <c r="F640" s="61"/>
      <c r="G640" s="73"/>
      <c r="H640" s="79"/>
      <c r="I640" s="79"/>
      <c r="J640" s="14"/>
      <c r="K640" s="38"/>
      <c r="L640" s="38"/>
      <c r="M640" s="17"/>
    </row>
    <row r="641" spans="2:13" ht="14.45" customHeight="1" x14ac:dyDescent="0.25">
      <c r="B641" s="17"/>
      <c r="C641" s="14"/>
      <c r="D641" s="14"/>
      <c r="E641" s="18"/>
      <c r="F641" s="61"/>
      <c r="G641" s="73"/>
      <c r="H641" s="79"/>
      <c r="I641" s="79"/>
      <c r="J641" s="14"/>
      <c r="K641" s="38"/>
      <c r="L641" s="38"/>
      <c r="M641" s="17"/>
    </row>
    <row r="642" spans="2:13" ht="14.45" customHeight="1" x14ac:dyDescent="0.25">
      <c r="B642" s="17"/>
      <c r="C642" s="14"/>
      <c r="D642" s="14"/>
      <c r="E642" s="18"/>
      <c r="F642" s="61"/>
      <c r="G642" s="73"/>
      <c r="H642" s="79"/>
      <c r="I642" s="79"/>
      <c r="J642" s="14"/>
      <c r="K642" s="38"/>
      <c r="L642" s="38"/>
      <c r="M642" s="17"/>
    </row>
    <row r="643" spans="2:13" ht="14.45" customHeight="1" x14ac:dyDescent="0.25">
      <c r="B643" s="17"/>
      <c r="C643" s="14"/>
      <c r="D643" s="14"/>
      <c r="E643" s="18"/>
      <c r="F643" s="61"/>
      <c r="G643" s="73"/>
      <c r="H643" s="79"/>
      <c r="I643" s="79"/>
      <c r="J643" s="14"/>
      <c r="K643" s="38"/>
      <c r="L643" s="38"/>
      <c r="M643" s="17"/>
    </row>
    <row r="644" spans="2:13" ht="14.45" customHeight="1" x14ac:dyDescent="0.25">
      <c r="B644" s="17"/>
      <c r="C644" s="14"/>
      <c r="D644" s="14"/>
      <c r="E644" s="18"/>
      <c r="F644" s="61"/>
      <c r="G644" s="73"/>
      <c r="H644" s="79"/>
      <c r="I644" s="79"/>
      <c r="J644" s="14"/>
      <c r="K644" s="38"/>
      <c r="L644" s="38"/>
      <c r="M644" s="17"/>
    </row>
    <row r="645" spans="2:13" ht="14.45" customHeight="1" x14ac:dyDescent="0.25">
      <c r="B645" s="17"/>
      <c r="C645" s="14"/>
      <c r="D645" s="14"/>
      <c r="E645" s="18"/>
      <c r="F645" s="61"/>
      <c r="G645" s="73"/>
      <c r="H645" s="79"/>
      <c r="I645" s="79"/>
      <c r="J645" s="14"/>
      <c r="K645" s="38"/>
      <c r="L645" s="38"/>
      <c r="M645" s="17"/>
    </row>
    <row r="646" spans="2:13" ht="14.45" customHeight="1" x14ac:dyDescent="0.25">
      <c r="B646" s="17"/>
      <c r="C646" s="14"/>
      <c r="D646" s="14"/>
      <c r="E646" s="18"/>
      <c r="F646" s="61"/>
      <c r="G646" s="73"/>
      <c r="H646" s="79"/>
      <c r="I646" s="79"/>
      <c r="J646" s="14"/>
      <c r="K646" s="38"/>
      <c r="L646" s="38"/>
      <c r="M646" s="17"/>
    </row>
    <row r="647" spans="2:13" ht="14.45" customHeight="1" x14ac:dyDescent="0.25">
      <c r="B647" s="17"/>
      <c r="C647" s="14"/>
      <c r="D647" s="14"/>
      <c r="E647" s="18"/>
      <c r="F647" s="61"/>
      <c r="G647" s="73"/>
      <c r="H647" s="79"/>
      <c r="I647" s="79"/>
      <c r="J647" s="14"/>
      <c r="K647" s="38"/>
      <c r="L647" s="38"/>
      <c r="M647" s="17"/>
    </row>
    <row r="648" spans="2:13" ht="14.45" customHeight="1" x14ac:dyDescent="0.25">
      <c r="B648" s="17"/>
      <c r="C648" s="14"/>
      <c r="D648" s="14"/>
      <c r="E648" s="18"/>
      <c r="F648" s="61"/>
      <c r="G648" s="73"/>
      <c r="H648" s="79"/>
      <c r="I648" s="79"/>
      <c r="J648" s="14"/>
      <c r="K648" s="38"/>
      <c r="L648" s="38"/>
      <c r="M648" s="17"/>
    </row>
    <row r="649" spans="2:13" ht="14.45" customHeight="1" x14ac:dyDescent="0.25">
      <c r="B649" s="17"/>
      <c r="C649" s="14"/>
      <c r="D649" s="14"/>
      <c r="E649" s="18"/>
      <c r="F649" s="61"/>
      <c r="G649" s="73"/>
      <c r="H649" s="79"/>
      <c r="I649" s="79"/>
      <c r="J649" s="14"/>
      <c r="K649" s="38"/>
      <c r="L649" s="38"/>
      <c r="M649" s="17"/>
    </row>
    <row r="650" spans="2:13" ht="14.45" customHeight="1" x14ac:dyDescent="0.25">
      <c r="B650" s="17"/>
      <c r="C650" s="14"/>
      <c r="D650" s="14"/>
      <c r="E650" s="18"/>
      <c r="F650" s="61"/>
      <c r="G650" s="73"/>
      <c r="H650" s="79"/>
      <c r="I650" s="79"/>
      <c r="J650" s="14"/>
      <c r="K650" s="38"/>
      <c r="L650" s="38"/>
      <c r="M650" s="17"/>
    </row>
    <row r="651" spans="2:13" ht="14.45" customHeight="1" x14ac:dyDescent="0.25">
      <c r="B651" s="17"/>
      <c r="C651" s="14"/>
      <c r="D651" s="14"/>
      <c r="E651" s="18"/>
      <c r="F651" s="61"/>
      <c r="G651" s="73"/>
      <c r="H651" s="79"/>
      <c r="I651" s="79"/>
      <c r="J651" s="14"/>
      <c r="K651" s="38"/>
      <c r="L651" s="38"/>
      <c r="M651" s="17"/>
    </row>
    <row r="652" spans="2:13" ht="14.45" customHeight="1" x14ac:dyDescent="0.25">
      <c r="B652" s="17"/>
      <c r="C652" s="14"/>
      <c r="D652" s="14"/>
      <c r="E652" s="18"/>
      <c r="F652" s="61"/>
      <c r="G652" s="73"/>
      <c r="H652" s="79"/>
      <c r="I652" s="79"/>
      <c r="J652" s="14"/>
      <c r="K652" s="38"/>
      <c r="L652" s="38"/>
      <c r="M652" s="17"/>
    </row>
    <row r="653" spans="2:13" ht="14.45" customHeight="1" x14ac:dyDescent="0.25">
      <c r="B653" s="17"/>
      <c r="C653" s="14"/>
      <c r="D653" s="14"/>
      <c r="E653" s="18"/>
      <c r="F653" s="61"/>
      <c r="G653" s="73"/>
      <c r="H653" s="79"/>
      <c r="I653" s="79"/>
      <c r="J653" s="14"/>
      <c r="K653" s="38"/>
      <c r="L653" s="38"/>
      <c r="M653" s="17"/>
    </row>
    <row r="654" spans="2:13" ht="14.45" customHeight="1" x14ac:dyDescent="0.25">
      <c r="B654" s="17"/>
      <c r="C654" s="14"/>
      <c r="D654" s="14"/>
      <c r="E654" s="18"/>
      <c r="F654" s="61"/>
      <c r="G654" s="73"/>
      <c r="H654" s="79"/>
      <c r="I654" s="79"/>
      <c r="J654" s="14"/>
      <c r="K654" s="38"/>
      <c r="L654" s="38"/>
      <c r="M654" s="17"/>
    </row>
    <row r="655" spans="2:13" ht="14.45" customHeight="1" x14ac:dyDescent="0.25">
      <c r="B655" s="17"/>
      <c r="C655" s="14"/>
      <c r="D655" s="14"/>
      <c r="E655" s="18"/>
      <c r="F655" s="61"/>
      <c r="G655" s="73"/>
      <c r="H655" s="79"/>
      <c r="I655" s="79"/>
      <c r="J655" s="14"/>
      <c r="K655" s="38"/>
      <c r="L655" s="38"/>
      <c r="M655" s="17"/>
    </row>
    <row r="656" spans="2:13" ht="14.45" customHeight="1" x14ac:dyDescent="0.25">
      <c r="B656" s="17"/>
      <c r="C656" s="14"/>
      <c r="D656" s="14"/>
      <c r="E656" s="18"/>
      <c r="F656" s="61"/>
      <c r="G656" s="73"/>
      <c r="H656" s="79"/>
      <c r="I656" s="79"/>
      <c r="J656" s="14"/>
      <c r="K656" s="38"/>
      <c r="L656" s="38"/>
      <c r="M656" s="17"/>
    </row>
    <row r="657" spans="2:13" ht="14.45" customHeight="1" x14ac:dyDescent="0.25">
      <c r="B657" s="17"/>
      <c r="C657" s="14"/>
      <c r="D657" s="14"/>
      <c r="E657" s="18"/>
      <c r="F657" s="61"/>
      <c r="G657" s="73"/>
      <c r="H657" s="79"/>
      <c r="I657" s="79"/>
      <c r="J657" s="14"/>
      <c r="K657" s="38"/>
      <c r="L657" s="38"/>
      <c r="M657" s="17"/>
    </row>
    <row r="658" spans="2:13" ht="14.45" customHeight="1" x14ac:dyDescent="0.25">
      <c r="B658" s="17"/>
      <c r="C658" s="14"/>
      <c r="D658" s="14"/>
      <c r="E658" s="18"/>
      <c r="F658" s="61"/>
      <c r="G658" s="73"/>
      <c r="H658" s="79"/>
      <c r="I658" s="79"/>
      <c r="J658" s="14"/>
      <c r="K658" s="38"/>
      <c r="L658" s="38"/>
      <c r="M658" s="17"/>
    </row>
    <row r="659" spans="2:13" ht="14.45" customHeight="1" x14ac:dyDescent="0.25">
      <c r="B659" s="17"/>
      <c r="C659" s="14"/>
      <c r="D659" s="14"/>
      <c r="E659" s="18"/>
      <c r="F659" s="61"/>
      <c r="G659" s="73"/>
      <c r="H659" s="79"/>
      <c r="I659" s="79"/>
      <c r="J659" s="14"/>
      <c r="K659" s="38"/>
      <c r="L659" s="38"/>
      <c r="M659" s="17"/>
    </row>
    <row r="660" spans="2:13" ht="14.45" customHeight="1" x14ac:dyDescent="0.25">
      <c r="B660" s="17"/>
      <c r="C660" s="14"/>
      <c r="D660" s="14"/>
      <c r="E660" s="18"/>
      <c r="F660" s="61"/>
      <c r="G660" s="73"/>
      <c r="H660" s="79"/>
      <c r="I660" s="79"/>
      <c r="J660" s="14"/>
      <c r="K660" s="38"/>
      <c r="L660" s="38"/>
      <c r="M660" s="17"/>
    </row>
    <row r="661" spans="2:13" ht="14.45" customHeight="1" x14ac:dyDescent="0.25">
      <c r="B661" s="17"/>
      <c r="C661" s="14"/>
      <c r="D661" s="14"/>
      <c r="E661" s="18"/>
      <c r="F661" s="61"/>
      <c r="G661" s="73"/>
      <c r="H661" s="79"/>
      <c r="I661" s="79"/>
      <c r="J661" s="14"/>
      <c r="K661" s="38"/>
      <c r="L661" s="38"/>
      <c r="M661" s="17"/>
    </row>
    <row r="662" spans="2:13" ht="14.45" customHeight="1" x14ac:dyDescent="0.25">
      <c r="B662" s="17"/>
      <c r="C662" s="14"/>
      <c r="D662" s="14"/>
      <c r="E662" s="18"/>
      <c r="F662" s="61"/>
      <c r="G662" s="73"/>
      <c r="H662" s="79"/>
      <c r="I662" s="79"/>
      <c r="J662" s="14"/>
      <c r="K662" s="38"/>
      <c r="L662" s="38"/>
      <c r="M662" s="17"/>
    </row>
    <row r="663" spans="2:13" ht="14.45" customHeight="1" x14ac:dyDescent="0.25">
      <c r="B663" s="17"/>
      <c r="C663" s="14"/>
      <c r="D663" s="14"/>
      <c r="E663" s="18"/>
      <c r="F663" s="61"/>
      <c r="G663" s="73"/>
      <c r="H663" s="79"/>
      <c r="I663" s="79"/>
      <c r="J663" s="14"/>
      <c r="K663" s="38"/>
      <c r="L663" s="38"/>
      <c r="M663" s="17"/>
    </row>
    <row r="664" spans="2:13" ht="14.45" customHeight="1" x14ac:dyDescent="0.25">
      <c r="B664" s="17"/>
      <c r="C664" s="14"/>
      <c r="D664" s="14"/>
      <c r="E664" s="18"/>
      <c r="F664" s="61"/>
      <c r="G664" s="73"/>
      <c r="H664" s="79"/>
      <c r="I664" s="79"/>
      <c r="J664" s="14"/>
      <c r="K664" s="38"/>
      <c r="L664" s="38"/>
      <c r="M664" s="17"/>
    </row>
    <row r="665" spans="2:13" ht="14.45" customHeight="1" x14ac:dyDescent="0.25">
      <c r="B665" s="17"/>
      <c r="C665" s="14"/>
      <c r="D665" s="14"/>
      <c r="E665" s="18"/>
      <c r="F665" s="61"/>
      <c r="G665" s="73"/>
      <c r="H665" s="79"/>
      <c r="I665" s="79"/>
      <c r="J665" s="14"/>
      <c r="K665" s="38"/>
      <c r="L665" s="38"/>
      <c r="M665" s="17"/>
    </row>
    <row r="666" spans="2:13" ht="14.45" customHeight="1" x14ac:dyDescent="0.25">
      <c r="B666" s="17"/>
      <c r="C666" s="14"/>
      <c r="D666" s="14"/>
      <c r="E666" s="18"/>
      <c r="F666" s="61"/>
      <c r="G666" s="73"/>
      <c r="H666" s="79"/>
      <c r="I666" s="79"/>
      <c r="J666" s="14"/>
      <c r="K666" s="38"/>
      <c r="L666" s="38"/>
      <c r="M666" s="17"/>
    </row>
    <row r="667" spans="2:13" ht="14.45" customHeight="1" x14ac:dyDescent="0.25">
      <c r="B667" s="17"/>
      <c r="C667" s="14"/>
      <c r="D667" s="14"/>
      <c r="E667" s="18"/>
      <c r="F667" s="61"/>
      <c r="G667" s="73"/>
      <c r="H667" s="79"/>
      <c r="I667" s="79"/>
      <c r="J667" s="14"/>
      <c r="K667" s="38"/>
      <c r="L667" s="38"/>
      <c r="M667" s="17"/>
    </row>
    <row r="668" spans="2:13" ht="14.45" customHeight="1" x14ac:dyDescent="0.25">
      <c r="B668" s="17"/>
      <c r="C668" s="14"/>
      <c r="D668" s="14"/>
      <c r="E668" s="18"/>
      <c r="F668" s="61"/>
      <c r="G668" s="73"/>
      <c r="H668" s="79"/>
      <c r="I668" s="79"/>
      <c r="J668" s="14"/>
      <c r="K668" s="38"/>
      <c r="L668" s="38"/>
      <c r="M668" s="17"/>
    </row>
    <row r="669" spans="2:13" ht="14.45" customHeight="1" x14ac:dyDescent="0.25">
      <c r="B669" s="17"/>
      <c r="C669" s="14"/>
      <c r="D669" s="14"/>
      <c r="E669" s="18"/>
      <c r="F669" s="61"/>
      <c r="G669" s="73"/>
      <c r="H669" s="79"/>
      <c r="I669" s="79"/>
      <c r="J669" s="14"/>
      <c r="K669" s="38"/>
      <c r="L669" s="38"/>
      <c r="M669" s="17"/>
    </row>
    <row r="670" spans="2:13" ht="14.45" customHeight="1" x14ac:dyDescent="0.25">
      <c r="B670" s="17"/>
      <c r="C670" s="14"/>
      <c r="D670" s="14"/>
      <c r="E670" s="18"/>
      <c r="F670" s="61"/>
      <c r="G670" s="73"/>
      <c r="H670" s="79"/>
      <c r="I670" s="79"/>
      <c r="J670" s="14"/>
      <c r="K670" s="38"/>
      <c r="L670" s="38"/>
      <c r="M670" s="17"/>
    </row>
    <row r="671" spans="2:13" ht="14.45" customHeight="1" x14ac:dyDescent="0.25">
      <c r="B671" s="17"/>
      <c r="C671" s="14"/>
      <c r="D671" s="14"/>
      <c r="E671" s="18"/>
      <c r="F671" s="61"/>
      <c r="G671" s="73"/>
      <c r="H671" s="79"/>
      <c r="I671" s="79"/>
      <c r="J671" s="14"/>
      <c r="K671" s="38"/>
      <c r="L671" s="38"/>
      <c r="M671" s="17"/>
    </row>
    <row r="672" spans="2:13" ht="14.45" customHeight="1" x14ac:dyDescent="0.25">
      <c r="B672" s="17"/>
      <c r="C672" s="14"/>
      <c r="D672" s="14"/>
      <c r="E672" s="18"/>
      <c r="F672" s="61"/>
      <c r="G672" s="73"/>
      <c r="H672" s="79"/>
      <c r="I672" s="79"/>
      <c r="J672" s="14"/>
      <c r="K672" s="38"/>
      <c r="L672" s="38"/>
      <c r="M672" s="17"/>
    </row>
    <row r="673" spans="2:13" ht="14.45" customHeight="1" x14ac:dyDescent="0.25">
      <c r="B673" s="17"/>
      <c r="C673" s="14"/>
      <c r="D673" s="14"/>
      <c r="E673" s="18"/>
      <c r="F673" s="61"/>
      <c r="G673" s="73"/>
      <c r="H673" s="79"/>
      <c r="I673" s="79"/>
      <c r="J673" s="14"/>
      <c r="K673" s="38"/>
      <c r="L673" s="38"/>
      <c r="M673" s="17"/>
    </row>
    <row r="674" spans="2:13" ht="14.45" customHeight="1" x14ac:dyDescent="0.25">
      <c r="B674" s="17"/>
      <c r="C674" s="14"/>
      <c r="D674" s="14"/>
      <c r="E674" s="18"/>
      <c r="F674" s="61"/>
      <c r="G674" s="73"/>
      <c r="H674" s="79"/>
      <c r="I674" s="79"/>
      <c r="J674" s="14"/>
      <c r="K674" s="38"/>
      <c r="L674" s="38"/>
      <c r="M674" s="17"/>
    </row>
    <row r="675" spans="2:13" ht="14.45" customHeight="1" x14ac:dyDescent="0.25">
      <c r="B675" s="17"/>
      <c r="C675" s="14"/>
      <c r="D675" s="14"/>
      <c r="E675" s="18"/>
      <c r="F675" s="61"/>
      <c r="G675" s="73"/>
      <c r="H675" s="79"/>
      <c r="I675" s="79"/>
      <c r="J675" s="14"/>
      <c r="K675" s="38"/>
      <c r="L675" s="38"/>
      <c r="M675" s="17"/>
    </row>
    <row r="676" spans="2:13" ht="14.45" customHeight="1" x14ac:dyDescent="0.25">
      <c r="B676" s="17"/>
      <c r="C676" s="14"/>
      <c r="D676" s="14"/>
      <c r="E676" s="18"/>
      <c r="F676" s="61"/>
      <c r="G676" s="73"/>
      <c r="H676" s="79"/>
      <c r="I676" s="79"/>
      <c r="J676" s="14"/>
      <c r="K676" s="38"/>
      <c r="L676" s="38"/>
      <c r="M676" s="17"/>
    </row>
    <row r="677" spans="2:13" ht="14.45" customHeight="1" x14ac:dyDescent="0.25">
      <c r="B677" s="17"/>
      <c r="C677" s="14"/>
      <c r="D677" s="14"/>
      <c r="E677" s="18"/>
      <c r="F677" s="61"/>
      <c r="G677" s="73"/>
      <c r="H677" s="79"/>
      <c r="I677" s="79"/>
      <c r="J677" s="14"/>
      <c r="K677" s="38"/>
      <c r="L677" s="38"/>
      <c r="M677" s="17"/>
    </row>
    <row r="678" spans="2:13" ht="14.45" customHeight="1" x14ac:dyDescent="0.25">
      <c r="B678" s="17"/>
      <c r="C678" s="14"/>
      <c r="D678" s="14"/>
      <c r="E678" s="18"/>
      <c r="F678" s="61"/>
      <c r="G678" s="73"/>
      <c r="H678" s="79"/>
      <c r="I678" s="79"/>
      <c r="J678" s="14"/>
      <c r="K678" s="38"/>
      <c r="L678" s="38"/>
      <c r="M678" s="17"/>
    </row>
    <row r="679" spans="2:13" ht="14.45" customHeight="1" x14ac:dyDescent="0.25">
      <c r="B679" s="17"/>
      <c r="C679" s="14"/>
      <c r="D679" s="14"/>
      <c r="E679" s="18"/>
      <c r="F679" s="61"/>
      <c r="G679" s="73"/>
      <c r="H679" s="79"/>
      <c r="I679" s="79"/>
      <c r="J679" s="14"/>
      <c r="K679" s="38"/>
      <c r="L679" s="38"/>
      <c r="M679" s="17"/>
    </row>
    <row r="680" spans="2:13" ht="14.45" customHeight="1" x14ac:dyDescent="0.25">
      <c r="B680" s="17"/>
      <c r="C680" s="14"/>
      <c r="D680" s="14"/>
      <c r="E680" s="18"/>
      <c r="F680" s="61"/>
      <c r="G680" s="73"/>
      <c r="H680" s="79"/>
      <c r="I680" s="79"/>
      <c r="J680" s="14"/>
      <c r="K680" s="38"/>
      <c r="L680" s="38"/>
      <c r="M680" s="17"/>
    </row>
    <row r="681" spans="2:13" ht="14.45" customHeight="1" x14ac:dyDescent="0.25">
      <c r="B681" s="17"/>
      <c r="C681" s="14"/>
      <c r="D681" s="14"/>
      <c r="E681" s="18"/>
      <c r="F681" s="61"/>
      <c r="G681" s="73"/>
      <c r="H681" s="79"/>
      <c r="I681" s="79"/>
      <c r="J681" s="14"/>
      <c r="K681" s="38"/>
      <c r="L681" s="38"/>
      <c r="M681" s="17"/>
    </row>
    <row r="682" spans="2:13" ht="14.45" customHeight="1" x14ac:dyDescent="0.25">
      <c r="B682" s="17"/>
      <c r="C682" s="14"/>
      <c r="D682" s="14"/>
      <c r="E682" s="18"/>
      <c r="F682" s="61"/>
      <c r="G682" s="73"/>
      <c r="H682" s="79"/>
      <c r="I682" s="79"/>
      <c r="J682" s="14"/>
      <c r="K682" s="38"/>
      <c r="L682" s="38"/>
      <c r="M682" s="17"/>
    </row>
    <row r="683" spans="2:13" ht="14.45" customHeight="1" x14ac:dyDescent="0.25">
      <c r="B683" s="17"/>
      <c r="C683" s="14"/>
      <c r="D683" s="14"/>
      <c r="E683" s="18"/>
      <c r="F683" s="61"/>
      <c r="G683" s="73"/>
      <c r="H683" s="79"/>
      <c r="I683" s="79"/>
      <c r="J683" s="14"/>
      <c r="K683" s="38"/>
      <c r="L683" s="38"/>
      <c r="M683" s="17"/>
    </row>
    <row r="684" spans="2:13" ht="14.45" customHeight="1" x14ac:dyDescent="0.25">
      <c r="B684" s="17"/>
      <c r="C684" s="14"/>
      <c r="D684" s="14"/>
      <c r="E684" s="18"/>
      <c r="F684" s="61"/>
      <c r="G684" s="73"/>
      <c r="H684" s="79"/>
      <c r="I684" s="79"/>
      <c r="J684" s="14"/>
      <c r="K684" s="38"/>
      <c r="L684" s="38"/>
      <c r="M684" s="17"/>
    </row>
    <row r="685" spans="2:13" ht="14.45" customHeight="1" x14ac:dyDescent="0.25">
      <c r="B685" s="17"/>
      <c r="C685" s="14"/>
      <c r="D685" s="14"/>
      <c r="E685" s="18"/>
      <c r="F685" s="61"/>
      <c r="G685" s="73"/>
      <c r="H685" s="79"/>
      <c r="I685" s="79"/>
      <c r="J685" s="14"/>
      <c r="K685" s="38"/>
      <c r="L685" s="38"/>
      <c r="M685" s="17"/>
    </row>
    <row r="686" spans="2:13" ht="14.45" customHeight="1" x14ac:dyDescent="0.25">
      <c r="B686" s="17"/>
      <c r="C686" s="14"/>
      <c r="D686" s="14"/>
      <c r="E686" s="18"/>
      <c r="F686" s="61"/>
      <c r="G686" s="73"/>
      <c r="H686" s="79"/>
      <c r="I686" s="79"/>
      <c r="J686" s="14"/>
      <c r="K686" s="38"/>
      <c r="L686" s="38"/>
      <c r="M686" s="17"/>
    </row>
    <row r="687" spans="2:13" ht="14.45" customHeight="1" x14ac:dyDescent="0.25">
      <c r="B687" s="17"/>
      <c r="C687" s="14"/>
      <c r="D687" s="14"/>
      <c r="E687" s="18"/>
      <c r="F687" s="61"/>
      <c r="G687" s="73"/>
      <c r="H687" s="79"/>
      <c r="I687" s="79"/>
      <c r="J687" s="14"/>
      <c r="K687" s="38"/>
      <c r="L687" s="38"/>
      <c r="M687" s="17"/>
    </row>
    <row r="688" spans="2:13" ht="14.45" customHeight="1" x14ac:dyDescent="0.25">
      <c r="B688" s="17"/>
      <c r="C688" s="14"/>
      <c r="D688" s="14"/>
      <c r="E688" s="18"/>
      <c r="F688" s="61"/>
      <c r="G688" s="73"/>
      <c r="H688" s="79"/>
      <c r="I688" s="79"/>
      <c r="J688" s="14"/>
      <c r="K688" s="38"/>
      <c r="L688" s="38"/>
      <c r="M688" s="17"/>
    </row>
    <row r="689" spans="2:13" ht="14.45" customHeight="1" x14ac:dyDescent="0.25">
      <c r="B689" s="17"/>
      <c r="C689" s="14"/>
      <c r="D689" s="14"/>
      <c r="E689" s="18"/>
      <c r="F689" s="61"/>
      <c r="G689" s="73"/>
      <c r="H689" s="79"/>
      <c r="I689" s="79"/>
      <c r="J689" s="14"/>
      <c r="K689" s="38"/>
      <c r="L689" s="38"/>
      <c r="M689" s="17"/>
    </row>
    <row r="690" spans="2:13" ht="14.45" customHeight="1" x14ac:dyDescent="0.25">
      <c r="B690" s="17"/>
      <c r="C690" s="14"/>
      <c r="D690" s="14"/>
      <c r="E690" s="18"/>
      <c r="F690" s="61"/>
      <c r="G690" s="73"/>
      <c r="H690" s="79"/>
      <c r="I690" s="79"/>
      <c r="J690" s="14"/>
      <c r="K690" s="38"/>
      <c r="L690" s="38"/>
      <c r="M690" s="17"/>
    </row>
    <row r="691" spans="2:13" ht="14.45" customHeight="1" x14ac:dyDescent="0.25">
      <c r="B691" s="17"/>
      <c r="C691" s="14"/>
      <c r="D691" s="14"/>
      <c r="E691" s="18"/>
      <c r="F691" s="61"/>
      <c r="G691" s="73"/>
      <c r="H691" s="79"/>
      <c r="I691" s="79"/>
      <c r="J691" s="14"/>
      <c r="K691" s="38"/>
      <c r="L691" s="38"/>
      <c r="M691" s="17"/>
    </row>
    <row r="692" spans="2:13" ht="14.45" customHeight="1" x14ac:dyDescent="0.25">
      <c r="B692" s="17"/>
      <c r="C692" s="14"/>
      <c r="D692" s="14"/>
      <c r="E692" s="18"/>
      <c r="F692" s="61"/>
      <c r="G692" s="73"/>
      <c r="H692" s="79"/>
      <c r="I692" s="79"/>
      <c r="J692" s="14"/>
      <c r="K692" s="38"/>
      <c r="L692" s="38"/>
      <c r="M692" s="17"/>
    </row>
    <row r="693" spans="2:13" ht="14.45" customHeight="1" x14ac:dyDescent="0.25">
      <c r="B693" s="17"/>
      <c r="C693" s="14"/>
      <c r="D693" s="14"/>
      <c r="E693" s="18"/>
      <c r="F693" s="61"/>
      <c r="G693" s="73"/>
      <c r="H693" s="79"/>
      <c r="I693" s="79"/>
      <c r="J693" s="14"/>
      <c r="K693" s="38"/>
      <c r="L693" s="38"/>
      <c r="M693" s="17"/>
    </row>
    <row r="694" spans="2:13" ht="14.45" customHeight="1" x14ac:dyDescent="0.25">
      <c r="B694" s="17"/>
      <c r="C694" s="14"/>
      <c r="D694" s="14"/>
      <c r="E694" s="18"/>
      <c r="F694" s="61"/>
      <c r="G694" s="73"/>
      <c r="H694" s="79"/>
      <c r="I694" s="79"/>
      <c r="J694" s="14"/>
      <c r="K694" s="38"/>
      <c r="L694" s="38"/>
      <c r="M694" s="17"/>
    </row>
    <row r="695" spans="2:13" ht="14.45" customHeight="1" x14ac:dyDescent="0.25">
      <c r="B695" s="17"/>
      <c r="C695" s="14"/>
      <c r="D695" s="14"/>
      <c r="E695" s="18"/>
      <c r="F695" s="61"/>
      <c r="G695" s="73"/>
      <c r="H695" s="79"/>
      <c r="I695" s="79"/>
      <c r="J695" s="14"/>
      <c r="K695" s="38"/>
      <c r="L695" s="38"/>
      <c r="M695" s="17"/>
    </row>
    <row r="696" spans="2:13" ht="14.45" customHeight="1" x14ac:dyDescent="0.25">
      <c r="B696" s="17"/>
      <c r="C696" s="14"/>
      <c r="D696" s="14"/>
      <c r="E696" s="18"/>
      <c r="F696" s="61"/>
      <c r="G696" s="73"/>
      <c r="H696" s="79"/>
      <c r="I696" s="79"/>
      <c r="J696" s="14"/>
      <c r="K696" s="38"/>
      <c r="L696" s="38"/>
      <c r="M696" s="17"/>
    </row>
    <row r="697" spans="2:13" ht="14.45" customHeight="1" x14ac:dyDescent="0.25">
      <c r="B697" s="17"/>
      <c r="C697" s="14"/>
      <c r="D697" s="14"/>
      <c r="E697" s="18"/>
      <c r="F697" s="61"/>
      <c r="G697" s="73"/>
      <c r="H697" s="79"/>
      <c r="I697" s="79"/>
      <c r="J697" s="14"/>
      <c r="K697" s="38"/>
      <c r="L697" s="38"/>
      <c r="M697" s="17"/>
    </row>
    <row r="698" spans="2:13" ht="14.45" customHeight="1" x14ac:dyDescent="0.25">
      <c r="B698" s="17"/>
      <c r="C698" s="14"/>
      <c r="D698" s="14"/>
      <c r="E698" s="18"/>
      <c r="F698" s="61"/>
      <c r="G698" s="73"/>
      <c r="H698" s="79"/>
      <c r="I698" s="79"/>
      <c r="J698" s="14"/>
      <c r="K698" s="38"/>
      <c r="L698" s="38"/>
      <c r="M698" s="17"/>
    </row>
    <row r="699" spans="2:13" ht="14.45" customHeight="1" x14ac:dyDescent="0.25">
      <c r="B699" s="17"/>
      <c r="C699" s="14"/>
      <c r="D699" s="14"/>
      <c r="E699" s="18"/>
      <c r="F699" s="61"/>
      <c r="G699" s="73"/>
      <c r="H699" s="79"/>
      <c r="I699" s="79"/>
      <c r="J699" s="14"/>
      <c r="K699" s="38"/>
      <c r="L699" s="38"/>
      <c r="M699" s="17"/>
    </row>
    <row r="700" spans="2:13" ht="14.45" customHeight="1" x14ac:dyDescent="0.25">
      <c r="B700" s="17"/>
      <c r="C700" s="14"/>
      <c r="D700" s="14"/>
      <c r="E700" s="18"/>
      <c r="F700" s="61"/>
      <c r="G700" s="73"/>
      <c r="H700" s="79"/>
      <c r="I700" s="79"/>
      <c r="J700" s="14"/>
      <c r="K700" s="38"/>
      <c r="L700" s="38"/>
      <c r="M700" s="17"/>
    </row>
    <row r="701" spans="2:13" ht="14.45" customHeight="1" x14ac:dyDescent="0.25">
      <c r="B701" s="17"/>
      <c r="C701" s="14"/>
      <c r="D701" s="14"/>
      <c r="E701" s="18"/>
      <c r="F701" s="61"/>
      <c r="G701" s="73"/>
      <c r="H701" s="79"/>
      <c r="I701" s="79"/>
      <c r="J701" s="14"/>
      <c r="K701" s="38"/>
      <c r="L701" s="38"/>
      <c r="M701" s="17"/>
    </row>
    <row r="702" spans="2:13" ht="14.45" customHeight="1" x14ac:dyDescent="0.25">
      <c r="B702" s="17"/>
      <c r="C702" s="14"/>
      <c r="D702" s="14"/>
      <c r="E702" s="18"/>
      <c r="F702" s="61"/>
      <c r="G702" s="73"/>
      <c r="H702" s="79"/>
      <c r="I702" s="79"/>
      <c r="J702" s="14"/>
      <c r="K702" s="38"/>
      <c r="L702" s="38"/>
      <c r="M702" s="17"/>
    </row>
    <row r="703" spans="2:13" ht="14.45" customHeight="1" x14ac:dyDescent="0.25">
      <c r="B703" s="17"/>
      <c r="C703" s="14"/>
      <c r="D703" s="14"/>
      <c r="E703" s="18"/>
      <c r="F703" s="61"/>
      <c r="G703" s="73"/>
      <c r="H703" s="79"/>
      <c r="I703" s="79"/>
      <c r="J703" s="14"/>
      <c r="K703" s="38"/>
      <c r="L703" s="38"/>
      <c r="M703" s="17"/>
    </row>
    <row r="704" spans="2:13" ht="14.45" customHeight="1" x14ac:dyDescent="0.25">
      <c r="B704" s="17"/>
      <c r="C704" s="14"/>
      <c r="D704" s="14"/>
      <c r="E704" s="18"/>
      <c r="F704" s="61"/>
      <c r="G704" s="73"/>
      <c r="H704" s="79"/>
      <c r="I704" s="79"/>
      <c r="J704" s="14"/>
      <c r="K704" s="38"/>
      <c r="L704" s="38"/>
      <c r="M704" s="17"/>
    </row>
    <row r="705" spans="2:13" ht="14.45" customHeight="1" x14ac:dyDescent="0.25">
      <c r="B705" s="17"/>
      <c r="C705" s="14"/>
      <c r="D705" s="14"/>
      <c r="E705" s="18"/>
      <c r="F705" s="61"/>
      <c r="G705" s="73"/>
      <c r="H705" s="79"/>
      <c r="I705" s="79"/>
      <c r="J705" s="14"/>
      <c r="K705" s="38"/>
      <c r="L705" s="38"/>
      <c r="M705" s="17"/>
    </row>
    <row r="706" spans="2:13" ht="14.45" customHeight="1" x14ac:dyDescent="0.25">
      <c r="B706" s="17"/>
      <c r="C706" s="14"/>
      <c r="D706" s="14"/>
      <c r="E706" s="18"/>
      <c r="F706" s="61"/>
      <c r="G706" s="73"/>
      <c r="H706" s="79"/>
      <c r="I706" s="79"/>
      <c r="J706" s="14"/>
      <c r="K706" s="38"/>
      <c r="L706" s="38"/>
      <c r="M706" s="17"/>
    </row>
    <row r="707" spans="2:13" ht="14.45" customHeight="1" x14ac:dyDescent="0.25">
      <c r="B707" s="17"/>
      <c r="C707" s="14"/>
      <c r="D707" s="14"/>
      <c r="E707" s="18"/>
      <c r="F707" s="61"/>
      <c r="G707" s="73"/>
      <c r="H707" s="79"/>
      <c r="I707" s="79"/>
      <c r="J707" s="14"/>
      <c r="K707" s="38"/>
      <c r="L707" s="38"/>
      <c r="M707" s="17"/>
    </row>
    <row r="708" spans="2:13" ht="14.45" customHeight="1" x14ac:dyDescent="0.25">
      <c r="B708" s="17"/>
      <c r="C708" s="14"/>
      <c r="D708" s="14"/>
      <c r="E708" s="18"/>
      <c r="F708" s="61"/>
      <c r="G708" s="73"/>
      <c r="H708" s="79"/>
      <c r="I708" s="79"/>
      <c r="J708" s="14"/>
      <c r="K708" s="38"/>
      <c r="L708" s="38"/>
      <c r="M708" s="17"/>
    </row>
    <row r="709" spans="2:13" ht="14.45" customHeight="1" x14ac:dyDescent="0.25">
      <c r="B709" s="17"/>
      <c r="C709" s="14"/>
      <c r="D709" s="14"/>
      <c r="E709" s="18"/>
      <c r="F709" s="61"/>
      <c r="G709" s="73"/>
      <c r="H709" s="79"/>
      <c r="I709" s="79"/>
      <c r="J709" s="14"/>
      <c r="K709" s="38"/>
      <c r="L709" s="38"/>
      <c r="M709" s="17"/>
    </row>
    <row r="710" spans="2:13" ht="14.45" customHeight="1" x14ac:dyDescent="0.25">
      <c r="B710" s="17"/>
      <c r="C710" s="14"/>
      <c r="D710" s="14"/>
      <c r="E710" s="18"/>
      <c r="F710" s="61"/>
      <c r="G710" s="73"/>
      <c r="H710" s="79"/>
      <c r="I710" s="79"/>
      <c r="J710" s="14"/>
      <c r="K710" s="38"/>
      <c r="L710" s="38"/>
      <c r="M710" s="17"/>
    </row>
    <row r="711" spans="2:13" ht="14.45" customHeight="1" x14ac:dyDescent="0.25">
      <c r="B711" s="17"/>
      <c r="C711" s="14"/>
      <c r="D711" s="14"/>
      <c r="E711" s="18"/>
      <c r="F711" s="61"/>
      <c r="G711" s="73"/>
      <c r="H711" s="79"/>
      <c r="I711" s="79"/>
      <c r="J711" s="14"/>
      <c r="K711" s="38"/>
      <c r="L711" s="38"/>
      <c r="M711" s="17"/>
    </row>
    <row r="712" spans="2:13" ht="14.45" customHeight="1" x14ac:dyDescent="0.25">
      <c r="B712" s="17"/>
      <c r="C712" s="14"/>
      <c r="D712" s="14"/>
      <c r="E712" s="18"/>
      <c r="F712" s="61"/>
      <c r="G712" s="73"/>
      <c r="H712" s="79"/>
      <c r="I712" s="79"/>
      <c r="J712" s="14"/>
      <c r="K712" s="38"/>
      <c r="L712" s="38"/>
      <c r="M712" s="17"/>
    </row>
    <row r="713" spans="2:13" ht="14.45" customHeight="1" x14ac:dyDescent="0.25">
      <c r="B713" s="17"/>
      <c r="C713" s="14"/>
      <c r="D713" s="14"/>
      <c r="E713" s="18"/>
      <c r="F713" s="61"/>
      <c r="G713" s="73"/>
      <c r="H713" s="79"/>
      <c r="I713" s="79"/>
      <c r="J713" s="14"/>
      <c r="K713" s="38"/>
      <c r="L713" s="38"/>
      <c r="M713" s="17"/>
    </row>
    <row r="714" spans="2:13" ht="14.45" customHeight="1" x14ac:dyDescent="0.25">
      <c r="B714" s="17"/>
      <c r="C714" s="14"/>
      <c r="D714" s="14"/>
      <c r="E714" s="18"/>
      <c r="F714" s="61"/>
      <c r="G714" s="73"/>
      <c r="H714" s="79"/>
      <c r="I714" s="79"/>
      <c r="J714" s="14"/>
      <c r="K714" s="38"/>
      <c r="L714" s="38"/>
      <c r="M714" s="17"/>
    </row>
    <row r="715" spans="2:13" ht="14.45" customHeight="1" x14ac:dyDescent="0.25">
      <c r="B715" s="17"/>
      <c r="C715" s="14"/>
      <c r="D715" s="14"/>
      <c r="E715" s="18"/>
      <c r="F715" s="61"/>
      <c r="G715" s="73"/>
      <c r="H715" s="79"/>
      <c r="I715" s="79"/>
      <c r="J715" s="14"/>
      <c r="K715" s="38"/>
      <c r="L715" s="38"/>
      <c r="M715" s="17"/>
    </row>
    <row r="716" spans="2:13" ht="14.45" customHeight="1" x14ac:dyDescent="0.25">
      <c r="B716" s="17"/>
      <c r="C716" s="14"/>
      <c r="D716" s="14"/>
      <c r="E716" s="18"/>
      <c r="F716" s="61"/>
      <c r="G716" s="73"/>
      <c r="H716" s="79"/>
      <c r="I716" s="79"/>
      <c r="J716" s="14"/>
      <c r="K716" s="38"/>
      <c r="L716" s="38"/>
      <c r="M716" s="17"/>
    </row>
    <row r="717" spans="2:13" ht="14.45" customHeight="1" x14ac:dyDescent="0.25">
      <c r="B717" s="17"/>
      <c r="C717" s="14"/>
      <c r="D717" s="14"/>
      <c r="E717" s="18"/>
      <c r="F717" s="61"/>
      <c r="G717" s="73"/>
      <c r="H717" s="79"/>
      <c r="I717" s="79"/>
      <c r="J717" s="14"/>
      <c r="K717" s="38"/>
      <c r="L717" s="38"/>
      <c r="M717" s="17"/>
    </row>
    <row r="718" spans="2:13" ht="14.45" customHeight="1" x14ac:dyDescent="0.25">
      <c r="B718" s="17"/>
      <c r="C718" s="14"/>
      <c r="D718" s="14"/>
      <c r="E718" s="18"/>
      <c r="F718" s="61"/>
      <c r="G718" s="73"/>
      <c r="H718" s="79"/>
      <c r="I718" s="79"/>
      <c r="J718" s="14"/>
      <c r="K718" s="38"/>
      <c r="L718" s="38"/>
      <c r="M718" s="17"/>
    </row>
    <row r="719" spans="2:13" ht="14.45" customHeight="1" x14ac:dyDescent="0.25">
      <c r="B719" s="17"/>
      <c r="C719" s="14"/>
      <c r="D719" s="14"/>
      <c r="E719" s="18"/>
      <c r="F719" s="61"/>
      <c r="G719" s="73"/>
      <c r="H719" s="79"/>
      <c r="I719" s="79"/>
      <c r="J719" s="14"/>
      <c r="K719" s="38"/>
      <c r="L719" s="38"/>
      <c r="M719" s="17"/>
    </row>
    <row r="720" spans="2:13" ht="14.45" customHeight="1" x14ac:dyDescent="0.25">
      <c r="B720" s="17"/>
      <c r="C720" s="14"/>
      <c r="D720" s="14"/>
      <c r="E720" s="18"/>
      <c r="F720" s="61"/>
      <c r="G720" s="73"/>
      <c r="H720" s="79"/>
      <c r="I720" s="79"/>
      <c r="J720" s="14"/>
      <c r="K720" s="38"/>
      <c r="L720" s="38"/>
      <c r="M720" s="17"/>
    </row>
    <row r="721" spans="2:13" ht="14.45" customHeight="1" x14ac:dyDescent="0.25">
      <c r="B721" s="17"/>
      <c r="C721" s="14"/>
      <c r="D721" s="14"/>
      <c r="E721" s="18"/>
      <c r="F721" s="61"/>
      <c r="G721" s="73"/>
      <c r="H721" s="79"/>
      <c r="I721" s="79"/>
      <c r="J721" s="14"/>
      <c r="K721" s="38"/>
      <c r="L721" s="38"/>
      <c r="M721" s="17"/>
    </row>
    <row r="722" spans="2:13" ht="14.45" customHeight="1" x14ac:dyDescent="0.25">
      <c r="B722" s="17"/>
      <c r="C722" s="14"/>
      <c r="D722" s="14"/>
      <c r="E722" s="18"/>
      <c r="F722" s="61"/>
      <c r="G722" s="73"/>
      <c r="H722" s="79"/>
      <c r="I722" s="79"/>
      <c r="J722" s="14"/>
      <c r="K722" s="38"/>
      <c r="L722" s="38"/>
      <c r="M722" s="17"/>
    </row>
    <row r="723" spans="2:13" ht="14.45" customHeight="1" x14ac:dyDescent="0.25">
      <c r="B723" s="17"/>
      <c r="C723" s="14"/>
      <c r="D723" s="14"/>
      <c r="E723" s="18"/>
      <c r="F723" s="61"/>
      <c r="G723" s="73"/>
      <c r="H723" s="79"/>
      <c r="I723" s="79"/>
      <c r="J723" s="14"/>
      <c r="K723" s="38"/>
      <c r="L723" s="38"/>
      <c r="M723" s="17"/>
    </row>
    <row r="724" spans="2:13" ht="14.45" customHeight="1" x14ac:dyDescent="0.25">
      <c r="B724" s="17"/>
      <c r="C724" s="14"/>
      <c r="D724" s="14"/>
      <c r="E724" s="18"/>
      <c r="F724" s="61"/>
      <c r="G724" s="73"/>
      <c r="H724" s="79"/>
      <c r="I724" s="79"/>
      <c r="J724" s="14"/>
      <c r="K724" s="38"/>
      <c r="L724" s="38"/>
      <c r="M724" s="17"/>
    </row>
    <row r="725" spans="2:13" ht="14.45" customHeight="1" x14ac:dyDescent="0.25">
      <c r="B725" s="17"/>
      <c r="C725" s="14"/>
      <c r="D725" s="14"/>
      <c r="E725" s="18"/>
      <c r="F725" s="61"/>
      <c r="G725" s="73"/>
      <c r="H725" s="79"/>
      <c r="I725" s="79"/>
      <c r="J725" s="14"/>
      <c r="K725" s="38"/>
      <c r="L725" s="38"/>
      <c r="M725" s="17"/>
    </row>
    <row r="726" spans="2:13" ht="14.45" customHeight="1" x14ac:dyDescent="0.25">
      <c r="B726" s="17"/>
      <c r="C726" s="14"/>
      <c r="D726" s="14"/>
      <c r="E726" s="18"/>
      <c r="F726" s="61"/>
      <c r="G726" s="73"/>
      <c r="H726" s="79"/>
      <c r="I726" s="79"/>
      <c r="J726" s="14"/>
      <c r="K726" s="38"/>
      <c r="L726" s="38"/>
      <c r="M726" s="17"/>
    </row>
    <row r="727" spans="2:13" ht="14.45" customHeight="1" x14ac:dyDescent="0.25">
      <c r="B727" s="17"/>
      <c r="C727" s="14"/>
      <c r="D727" s="14"/>
      <c r="E727" s="18"/>
      <c r="F727" s="61"/>
      <c r="G727" s="73"/>
      <c r="H727" s="79"/>
      <c r="I727" s="79"/>
      <c r="J727" s="14"/>
      <c r="K727" s="38"/>
      <c r="L727" s="38"/>
      <c r="M727" s="17"/>
    </row>
    <row r="728" spans="2:13" ht="14.45" customHeight="1" x14ac:dyDescent="0.25">
      <c r="B728" s="17"/>
      <c r="C728" s="14"/>
      <c r="D728" s="14"/>
      <c r="E728" s="18"/>
      <c r="F728" s="61"/>
      <c r="G728" s="73"/>
      <c r="H728" s="79"/>
      <c r="I728" s="79"/>
      <c r="J728" s="14"/>
      <c r="K728" s="38"/>
      <c r="L728" s="38"/>
      <c r="M728" s="17"/>
    </row>
    <row r="729" spans="2:13" ht="14.45" customHeight="1" x14ac:dyDescent="0.25">
      <c r="B729" s="17"/>
      <c r="C729" s="14"/>
      <c r="D729" s="14"/>
      <c r="E729" s="18"/>
      <c r="F729" s="61"/>
      <c r="G729" s="73"/>
      <c r="H729" s="79"/>
      <c r="I729" s="79"/>
      <c r="J729" s="14"/>
      <c r="K729" s="38"/>
      <c r="L729" s="38"/>
      <c r="M729" s="17"/>
    </row>
    <row r="730" spans="2:13" ht="14.45" customHeight="1" x14ac:dyDescent="0.25">
      <c r="B730" s="17"/>
      <c r="C730" s="14"/>
      <c r="D730" s="14"/>
      <c r="E730" s="18"/>
      <c r="F730" s="61"/>
      <c r="G730" s="73"/>
      <c r="H730" s="79"/>
      <c r="I730" s="79"/>
      <c r="J730" s="14"/>
      <c r="K730" s="38"/>
      <c r="L730" s="38"/>
      <c r="M730" s="17"/>
    </row>
    <row r="731" spans="2:13" ht="14.45" customHeight="1" x14ac:dyDescent="0.25">
      <c r="B731" s="17"/>
      <c r="C731" s="14"/>
      <c r="D731" s="14"/>
      <c r="E731" s="18"/>
      <c r="F731" s="61"/>
      <c r="G731" s="73"/>
      <c r="H731" s="79"/>
      <c r="I731" s="79"/>
      <c r="J731" s="14"/>
      <c r="K731" s="38"/>
      <c r="L731" s="38"/>
      <c r="M731" s="17"/>
    </row>
    <row r="732" spans="2:13" ht="14.45" customHeight="1" x14ac:dyDescent="0.25">
      <c r="B732" s="17"/>
      <c r="C732" s="14"/>
      <c r="D732" s="14"/>
      <c r="E732" s="18"/>
      <c r="F732" s="61"/>
      <c r="G732" s="73"/>
      <c r="H732" s="79"/>
      <c r="I732" s="79"/>
      <c r="J732" s="14"/>
      <c r="K732" s="38"/>
      <c r="L732" s="38"/>
      <c r="M732" s="17"/>
    </row>
    <row r="733" spans="2:13" ht="14.45" customHeight="1" x14ac:dyDescent="0.25">
      <c r="B733" s="17"/>
      <c r="C733" s="14"/>
      <c r="D733" s="14"/>
      <c r="E733" s="18"/>
      <c r="F733" s="61"/>
      <c r="G733" s="73"/>
      <c r="H733" s="79"/>
      <c r="I733" s="79"/>
      <c r="J733" s="14"/>
      <c r="K733" s="38"/>
      <c r="L733" s="38"/>
      <c r="M733" s="17"/>
    </row>
    <row r="734" spans="2:13" ht="14.45" customHeight="1" x14ac:dyDescent="0.25">
      <c r="B734" s="17"/>
      <c r="C734" s="14"/>
      <c r="D734" s="14"/>
      <c r="E734" s="18"/>
      <c r="F734" s="61"/>
      <c r="G734" s="73"/>
      <c r="H734" s="79"/>
      <c r="I734" s="79"/>
      <c r="J734" s="14"/>
      <c r="K734" s="38"/>
      <c r="L734" s="38"/>
      <c r="M734" s="17"/>
    </row>
    <row r="735" spans="2:13" ht="14.45" customHeight="1" x14ac:dyDescent="0.25">
      <c r="B735" s="17"/>
      <c r="C735" s="14"/>
      <c r="D735" s="14"/>
      <c r="E735" s="18"/>
      <c r="F735" s="61"/>
      <c r="G735" s="73"/>
      <c r="H735" s="79"/>
      <c r="I735" s="79"/>
      <c r="J735" s="14"/>
      <c r="K735" s="38"/>
      <c r="L735" s="38"/>
      <c r="M735" s="17"/>
    </row>
    <row r="736" spans="2:13" ht="14.45" customHeight="1" x14ac:dyDescent="0.25">
      <c r="B736" s="17"/>
      <c r="C736" s="14"/>
      <c r="D736" s="14"/>
      <c r="E736" s="18"/>
      <c r="F736" s="61"/>
      <c r="G736" s="73"/>
      <c r="H736" s="79"/>
      <c r="I736" s="79"/>
      <c r="J736" s="14"/>
      <c r="K736" s="38"/>
      <c r="L736" s="38"/>
      <c r="M736" s="17"/>
    </row>
    <row r="737" spans="2:13" ht="14.45" customHeight="1" x14ac:dyDescent="0.25">
      <c r="B737" s="17"/>
      <c r="C737" s="14"/>
      <c r="D737" s="14"/>
      <c r="E737" s="18"/>
      <c r="F737" s="61"/>
      <c r="G737" s="73"/>
      <c r="H737" s="79"/>
      <c r="I737" s="79"/>
      <c r="J737" s="14"/>
      <c r="K737" s="38"/>
      <c r="L737" s="38"/>
      <c r="M737" s="17"/>
    </row>
    <row r="738" spans="2:13" ht="14.45" customHeight="1" x14ac:dyDescent="0.25">
      <c r="B738" s="17"/>
      <c r="C738" s="14"/>
      <c r="D738" s="14"/>
      <c r="E738" s="18"/>
      <c r="F738" s="61"/>
      <c r="G738" s="73"/>
      <c r="H738" s="79"/>
      <c r="I738" s="79"/>
      <c r="J738" s="14"/>
      <c r="K738" s="38"/>
      <c r="L738" s="38"/>
      <c r="M738" s="17"/>
    </row>
    <row r="739" spans="2:13" ht="14.45" customHeight="1" x14ac:dyDescent="0.25">
      <c r="B739" s="17"/>
      <c r="C739" s="14"/>
      <c r="D739" s="14"/>
      <c r="E739" s="18"/>
      <c r="F739" s="61"/>
      <c r="G739" s="73"/>
      <c r="H739" s="79"/>
      <c r="I739" s="79"/>
      <c r="J739" s="14"/>
      <c r="K739" s="38"/>
      <c r="L739" s="38"/>
      <c r="M739" s="17"/>
    </row>
    <row r="740" spans="2:13" ht="14.45" customHeight="1" x14ac:dyDescent="0.25">
      <c r="B740" s="17"/>
      <c r="C740" s="14"/>
      <c r="D740" s="14"/>
      <c r="E740" s="18"/>
      <c r="F740" s="61"/>
      <c r="G740" s="73"/>
      <c r="H740" s="79"/>
      <c r="I740" s="79"/>
      <c r="J740" s="14"/>
      <c r="K740" s="38"/>
      <c r="L740" s="38"/>
      <c r="M740" s="17"/>
    </row>
    <row r="741" spans="2:13" ht="14.45" customHeight="1" x14ac:dyDescent="0.25">
      <c r="B741" s="17"/>
      <c r="C741" s="14"/>
      <c r="D741" s="14"/>
      <c r="E741" s="18"/>
      <c r="F741" s="61"/>
      <c r="G741" s="73"/>
      <c r="H741" s="79"/>
      <c r="I741" s="79"/>
      <c r="J741" s="14"/>
      <c r="K741" s="38"/>
      <c r="L741" s="38"/>
      <c r="M741" s="17"/>
    </row>
    <row r="742" spans="2:13" ht="14.45" customHeight="1" x14ac:dyDescent="0.25">
      <c r="B742" s="17"/>
      <c r="C742" s="14"/>
      <c r="D742" s="14"/>
      <c r="E742" s="18"/>
      <c r="F742" s="61"/>
      <c r="G742" s="73"/>
      <c r="H742" s="79"/>
      <c r="I742" s="79"/>
      <c r="J742" s="14"/>
      <c r="K742" s="38"/>
      <c r="L742" s="38"/>
      <c r="M742" s="17"/>
    </row>
    <row r="743" spans="2:13" ht="14.45" customHeight="1" x14ac:dyDescent="0.25">
      <c r="B743" s="17"/>
      <c r="C743" s="14"/>
      <c r="D743" s="14"/>
      <c r="E743" s="18"/>
      <c r="F743" s="61"/>
      <c r="G743" s="73"/>
      <c r="H743" s="79"/>
      <c r="I743" s="79"/>
      <c r="J743" s="14"/>
      <c r="K743" s="38"/>
      <c r="L743" s="38"/>
      <c r="M743" s="17"/>
    </row>
    <row r="744" spans="2:13" ht="14.45" customHeight="1" x14ac:dyDescent="0.25">
      <c r="B744" s="17"/>
      <c r="C744" s="14"/>
      <c r="D744" s="14"/>
      <c r="E744" s="18"/>
      <c r="F744" s="61"/>
      <c r="G744" s="73"/>
      <c r="H744" s="79"/>
      <c r="I744" s="79"/>
      <c r="J744" s="14"/>
      <c r="K744" s="38"/>
      <c r="L744" s="38"/>
      <c r="M744" s="17"/>
    </row>
    <row r="745" spans="2:13" ht="14.45" customHeight="1" x14ac:dyDescent="0.25">
      <c r="B745" s="17"/>
      <c r="C745" s="14"/>
      <c r="D745" s="14"/>
      <c r="E745" s="18"/>
      <c r="F745" s="61"/>
      <c r="G745" s="73"/>
      <c r="H745" s="79"/>
      <c r="I745" s="79"/>
      <c r="J745" s="14"/>
      <c r="K745" s="38"/>
      <c r="L745" s="38"/>
      <c r="M745" s="17"/>
    </row>
    <row r="746" spans="2:13" ht="14.45" customHeight="1" x14ac:dyDescent="0.25">
      <c r="B746" s="17"/>
      <c r="C746" s="14"/>
      <c r="D746" s="14"/>
      <c r="E746" s="18"/>
      <c r="F746" s="61"/>
      <c r="G746" s="73"/>
      <c r="H746" s="79"/>
      <c r="I746" s="79"/>
      <c r="J746" s="14"/>
      <c r="K746" s="38"/>
      <c r="L746" s="38"/>
      <c r="M746" s="17"/>
    </row>
    <row r="747" spans="2:13" ht="14.45" customHeight="1" x14ac:dyDescent="0.25">
      <c r="B747" s="17"/>
      <c r="C747" s="14"/>
      <c r="D747" s="14"/>
      <c r="E747" s="18"/>
      <c r="F747" s="61"/>
      <c r="G747" s="73"/>
      <c r="H747" s="79"/>
      <c r="I747" s="79"/>
      <c r="J747" s="14"/>
      <c r="K747" s="38"/>
      <c r="L747" s="38"/>
      <c r="M747" s="17"/>
    </row>
    <row r="748" spans="2:13" ht="14.45" customHeight="1" x14ac:dyDescent="0.25">
      <c r="B748" s="17"/>
      <c r="C748" s="14"/>
      <c r="D748" s="14"/>
      <c r="E748" s="18"/>
      <c r="F748" s="61"/>
      <c r="G748" s="73"/>
      <c r="H748" s="79"/>
      <c r="I748" s="79"/>
      <c r="J748" s="14"/>
      <c r="K748" s="38"/>
      <c r="L748" s="38"/>
      <c r="M748" s="17"/>
    </row>
    <row r="749" spans="2:13" ht="14.45" customHeight="1" x14ac:dyDescent="0.25">
      <c r="B749" s="17"/>
      <c r="C749" s="14"/>
      <c r="D749" s="14"/>
      <c r="E749" s="18"/>
      <c r="F749" s="61"/>
      <c r="G749" s="73"/>
      <c r="H749" s="79"/>
      <c r="I749" s="79"/>
      <c r="J749" s="14"/>
      <c r="K749" s="38"/>
      <c r="L749" s="38"/>
      <c r="M749" s="17"/>
    </row>
    <row r="750" spans="2:13" ht="14.45" customHeight="1" x14ac:dyDescent="0.25">
      <c r="B750" s="17"/>
      <c r="C750" s="14"/>
      <c r="D750" s="14"/>
      <c r="E750" s="18"/>
      <c r="F750" s="61"/>
      <c r="G750" s="73"/>
      <c r="H750" s="79"/>
      <c r="I750" s="79"/>
      <c r="J750" s="14"/>
      <c r="K750" s="38"/>
      <c r="L750" s="38"/>
      <c r="M750" s="17"/>
    </row>
    <row r="751" spans="2:13" ht="14.45" customHeight="1" x14ac:dyDescent="0.25">
      <c r="B751" s="17"/>
      <c r="C751" s="14"/>
      <c r="D751" s="14"/>
      <c r="E751" s="18"/>
      <c r="F751" s="61"/>
      <c r="G751" s="73"/>
      <c r="H751" s="79"/>
      <c r="I751" s="79"/>
      <c r="J751" s="14"/>
      <c r="K751" s="38"/>
      <c r="L751" s="38"/>
      <c r="M751" s="17"/>
    </row>
    <row r="752" spans="2:13" ht="14.45" customHeight="1" x14ac:dyDescent="0.25">
      <c r="B752" s="17"/>
      <c r="C752" s="14"/>
      <c r="D752" s="14"/>
      <c r="E752" s="18"/>
      <c r="F752" s="61"/>
      <c r="G752" s="73"/>
      <c r="H752" s="79"/>
      <c r="I752" s="79"/>
      <c r="J752" s="14"/>
      <c r="K752" s="38"/>
      <c r="L752" s="38"/>
      <c r="M752" s="17"/>
    </row>
    <row r="753" spans="2:13" ht="14.45" customHeight="1" x14ac:dyDescent="0.25">
      <c r="B753" s="17"/>
      <c r="C753" s="14"/>
      <c r="D753" s="14"/>
      <c r="E753" s="18"/>
      <c r="F753" s="61"/>
      <c r="G753" s="73"/>
      <c r="H753" s="79"/>
      <c r="I753" s="79"/>
      <c r="J753" s="14"/>
      <c r="K753" s="38"/>
      <c r="L753" s="38"/>
      <c r="M753" s="17"/>
    </row>
    <row r="754" spans="2:13" ht="14.45" customHeight="1" x14ac:dyDescent="0.25">
      <c r="B754" s="17"/>
      <c r="C754" s="14"/>
      <c r="D754" s="14"/>
      <c r="E754" s="18"/>
      <c r="F754" s="61"/>
      <c r="G754" s="73"/>
      <c r="H754" s="79"/>
      <c r="I754" s="79"/>
      <c r="J754" s="14"/>
      <c r="K754" s="38"/>
      <c r="L754" s="38"/>
      <c r="M754" s="17"/>
    </row>
    <row r="755" spans="2:13" ht="14.45" customHeight="1" x14ac:dyDescent="0.25">
      <c r="B755" s="17"/>
      <c r="C755" s="14"/>
      <c r="D755" s="14"/>
      <c r="E755" s="18"/>
      <c r="F755" s="61"/>
      <c r="G755" s="73"/>
      <c r="H755" s="79"/>
      <c r="I755" s="79"/>
      <c r="J755" s="14"/>
      <c r="K755" s="38"/>
      <c r="L755" s="38"/>
      <c r="M755" s="17"/>
    </row>
    <row r="756" spans="2:13" ht="14.45" customHeight="1" x14ac:dyDescent="0.25">
      <c r="B756" s="17"/>
      <c r="C756" s="14"/>
      <c r="D756" s="14"/>
      <c r="E756" s="18"/>
      <c r="F756" s="61"/>
      <c r="G756" s="73"/>
      <c r="H756" s="79"/>
      <c r="I756" s="79"/>
      <c r="J756" s="14"/>
      <c r="K756" s="38"/>
      <c r="L756" s="38"/>
      <c r="M756" s="17"/>
    </row>
    <row r="757" spans="2:13" ht="14.45" customHeight="1" x14ac:dyDescent="0.25">
      <c r="B757" s="17"/>
      <c r="C757" s="14"/>
      <c r="D757" s="14"/>
      <c r="E757" s="18"/>
      <c r="F757" s="61"/>
      <c r="G757" s="73"/>
      <c r="H757" s="79"/>
      <c r="I757" s="79"/>
      <c r="J757" s="14"/>
      <c r="K757" s="38"/>
      <c r="L757" s="38"/>
      <c r="M757" s="17"/>
    </row>
    <row r="758" spans="2:13" ht="14.45" customHeight="1" x14ac:dyDescent="0.25">
      <c r="B758" s="17"/>
      <c r="C758" s="14"/>
      <c r="D758" s="14"/>
      <c r="E758" s="18"/>
      <c r="F758" s="61"/>
      <c r="G758" s="73"/>
      <c r="H758" s="79"/>
      <c r="I758" s="79"/>
      <c r="J758" s="14"/>
      <c r="K758" s="38"/>
      <c r="L758" s="38"/>
      <c r="M758" s="17"/>
    </row>
    <row r="759" spans="2:13" ht="14.45" customHeight="1" x14ac:dyDescent="0.25">
      <c r="B759" s="17"/>
      <c r="C759" s="14"/>
      <c r="D759" s="14"/>
      <c r="E759" s="18"/>
      <c r="F759" s="61"/>
      <c r="G759" s="73"/>
      <c r="H759" s="79"/>
      <c r="I759" s="79"/>
      <c r="J759" s="14"/>
      <c r="K759" s="38"/>
      <c r="L759" s="38"/>
      <c r="M759" s="17"/>
    </row>
    <row r="760" spans="2:13" ht="14.45" customHeight="1" x14ac:dyDescent="0.25">
      <c r="B760" s="17"/>
      <c r="C760" s="14"/>
      <c r="D760" s="14"/>
      <c r="E760" s="18"/>
      <c r="F760" s="61"/>
      <c r="G760" s="73"/>
      <c r="H760" s="79"/>
      <c r="I760" s="79"/>
      <c r="J760" s="14"/>
      <c r="K760" s="38"/>
      <c r="L760" s="38"/>
      <c r="M760" s="17"/>
    </row>
    <row r="761" spans="2:13" ht="14.45" customHeight="1" x14ac:dyDescent="0.25">
      <c r="B761" s="17"/>
      <c r="C761" s="14"/>
      <c r="D761" s="14"/>
      <c r="E761" s="18"/>
      <c r="F761" s="61"/>
      <c r="G761" s="73"/>
      <c r="H761" s="79"/>
      <c r="I761" s="79"/>
      <c r="J761" s="14"/>
      <c r="K761" s="38"/>
      <c r="L761" s="38"/>
      <c r="M761" s="17"/>
    </row>
    <row r="762" spans="2:13" ht="14.45" customHeight="1" x14ac:dyDescent="0.25">
      <c r="B762" s="17"/>
      <c r="C762" s="14"/>
      <c r="D762" s="14"/>
      <c r="E762" s="18"/>
      <c r="F762" s="61"/>
      <c r="G762" s="73"/>
      <c r="H762" s="79"/>
      <c r="I762" s="79"/>
      <c r="J762" s="14"/>
      <c r="K762" s="38"/>
      <c r="L762" s="38"/>
      <c r="M762" s="17"/>
    </row>
    <row r="763" spans="2:13" ht="14.45" customHeight="1" x14ac:dyDescent="0.25">
      <c r="B763" s="17"/>
      <c r="C763" s="14"/>
      <c r="D763" s="14"/>
      <c r="E763" s="18"/>
      <c r="F763" s="61"/>
      <c r="G763" s="73"/>
      <c r="H763" s="79"/>
      <c r="I763" s="79"/>
      <c r="J763" s="14"/>
      <c r="K763" s="38"/>
      <c r="L763" s="38"/>
      <c r="M763" s="17"/>
    </row>
    <row r="764" spans="2:13" ht="14.45" customHeight="1" x14ac:dyDescent="0.25">
      <c r="B764" s="17"/>
      <c r="C764" s="14"/>
      <c r="D764" s="14"/>
      <c r="E764" s="18"/>
      <c r="F764" s="61"/>
      <c r="G764" s="73"/>
      <c r="H764" s="79"/>
      <c r="I764" s="79"/>
      <c r="J764" s="14"/>
      <c r="K764" s="38"/>
      <c r="L764" s="38"/>
      <c r="M764" s="17"/>
    </row>
    <row r="765" spans="2:13" ht="14.45" customHeight="1" x14ac:dyDescent="0.25">
      <c r="B765" s="17"/>
      <c r="C765" s="14"/>
      <c r="D765" s="14"/>
      <c r="E765" s="18"/>
      <c r="F765" s="61"/>
      <c r="G765" s="73"/>
      <c r="H765" s="79"/>
      <c r="I765" s="79"/>
      <c r="J765" s="14"/>
      <c r="K765" s="38"/>
      <c r="L765" s="38"/>
      <c r="M765" s="17"/>
    </row>
    <row r="766" spans="2:13" ht="14.45" customHeight="1" x14ac:dyDescent="0.25">
      <c r="B766" s="17"/>
      <c r="C766" s="14"/>
      <c r="D766" s="14"/>
      <c r="E766" s="18"/>
      <c r="F766" s="61"/>
      <c r="G766" s="73"/>
      <c r="H766" s="79"/>
      <c r="I766" s="79"/>
      <c r="J766" s="14"/>
      <c r="K766" s="38"/>
      <c r="L766" s="38"/>
      <c r="M766" s="17"/>
    </row>
    <row r="767" spans="2:13" ht="14.45" customHeight="1" x14ac:dyDescent="0.25">
      <c r="B767" s="17"/>
      <c r="C767" s="14"/>
      <c r="D767" s="14"/>
      <c r="E767" s="18"/>
      <c r="F767" s="61"/>
      <c r="G767" s="73"/>
      <c r="H767" s="79"/>
      <c r="I767" s="79"/>
      <c r="J767" s="14"/>
      <c r="K767" s="38"/>
      <c r="L767" s="38"/>
      <c r="M767" s="17"/>
    </row>
    <row r="768" spans="2:13" ht="14.45" customHeight="1" x14ac:dyDescent="0.25">
      <c r="B768" s="17"/>
      <c r="C768" s="14"/>
      <c r="D768" s="14"/>
      <c r="E768" s="18"/>
      <c r="F768" s="61"/>
      <c r="G768" s="73"/>
      <c r="H768" s="79"/>
      <c r="I768" s="79"/>
      <c r="J768" s="14"/>
      <c r="K768" s="38"/>
      <c r="L768" s="38"/>
      <c r="M768" s="17"/>
    </row>
    <row r="769" spans="2:13" ht="14.45" customHeight="1" x14ac:dyDescent="0.25">
      <c r="B769" s="17"/>
      <c r="C769" s="14"/>
      <c r="D769" s="14"/>
      <c r="E769" s="18"/>
      <c r="F769" s="61"/>
      <c r="G769" s="73"/>
      <c r="H769" s="79"/>
      <c r="I769" s="79"/>
      <c r="J769" s="14"/>
      <c r="K769" s="38"/>
      <c r="L769" s="38"/>
      <c r="M769" s="17"/>
    </row>
    <row r="770" spans="2:13" ht="14.45" customHeight="1" x14ac:dyDescent="0.25">
      <c r="B770" s="17"/>
      <c r="C770" s="14"/>
      <c r="D770" s="14"/>
      <c r="E770" s="18"/>
      <c r="F770" s="61"/>
      <c r="G770" s="73"/>
      <c r="H770" s="79"/>
      <c r="I770" s="79"/>
      <c r="J770" s="14"/>
      <c r="K770" s="38"/>
      <c r="L770" s="38"/>
      <c r="M770" s="17"/>
    </row>
    <row r="771" spans="2:13" ht="14.45" customHeight="1" x14ac:dyDescent="0.25">
      <c r="B771" s="17"/>
      <c r="C771" s="14"/>
      <c r="D771" s="14"/>
      <c r="E771" s="18"/>
      <c r="F771" s="61"/>
      <c r="G771" s="73"/>
      <c r="H771" s="79"/>
      <c r="I771" s="79"/>
      <c r="J771" s="14"/>
      <c r="K771" s="38"/>
      <c r="L771" s="38"/>
      <c r="M771" s="17"/>
    </row>
    <row r="772" spans="2:13" ht="14.45" customHeight="1" x14ac:dyDescent="0.25">
      <c r="B772" s="17"/>
      <c r="C772" s="14"/>
      <c r="D772" s="14"/>
      <c r="E772" s="18"/>
      <c r="F772" s="61"/>
      <c r="G772" s="73"/>
      <c r="H772" s="79"/>
      <c r="I772" s="79"/>
      <c r="J772" s="14"/>
      <c r="K772" s="38"/>
      <c r="L772" s="38"/>
      <c r="M772" s="17"/>
    </row>
    <row r="773" spans="2:13" ht="14.45" customHeight="1" x14ac:dyDescent="0.25">
      <c r="B773" s="17"/>
      <c r="C773" s="14"/>
      <c r="D773" s="14"/>
      <c r="E773" s="18"/>
      <c r="F773" s="61"/>
      <c r="G773" s="73"/>
      <c r="H773" s="79"/>
      <c r="I773" s="79"/>
      <c r="J773" s="14"/>
      <c r="K773" s="38"/>
      <c r="L773" s="38"/>
      <c r="M773" s="17"/>
    </row>
    <row r="774" spans="2:13" ht="14.45" customHeight="1" x14ac:dyDescent="0.25">
      <c r="B774" s="17"/>
      <c r="C774" s="14"/>
      <c r="D774" s="14"/>
      <c r="E774" s="18"/>
      <c r="F774" s="61"/>
      <c r="G774" s="73"/>
      <c r="H774" s="79"/>
      <c r="I774" s="79"/>
      <c r="J774" s="14"/>
      <c r="K774" s="38"/>
      <c r="L774" s="38"/>
      <c r="M774" s="17"/>
    </row>
    <row r="775" spans="2:13" ht="14.45" customHeight="1" x14ac:dyDescent="0.25">
      <c r="B775" s="17"/>
      <c r="C775" s="14"/>
      <c r="D775" s="14"/>
      <c r="E775" s="18"/>
      <c r="F775" s="61"/>
      <c r="G775" s="73"/>
      <c r="H775" s="79"/>
      <c r="I775" s="79"/>
      <c r="J775" s="14"/>
      <c r="K775" s="38"/>
      <c r="L775" s="38"/>
      <c r="M775" s="17"/>
    </row>
    <row r="776" spans="2:13" ht="14.45" customHeight="1" x14ac:dyDescent="0.25">
      <c r="B776" s="17"/>
      <c r="C776" s="14"/>
      <c r="D776" s="14"/>
      <c r="E776" s="18"/>
      <c r="F776" s="61"/>
      <c r="G776" s="73"/>
      <c r="H776" s="79"/>
      <c r="I776" s="79"/>
      <c r="J776" s="14"/>
      <c r="K776" s="38"/>
      <c r="L776" s="38"/>
      <c r="M776" s="17"/>
    </row>
    <row r="777" spans="2:13" ht="14.45" customHeight="1" x14ac:dyDescent="0.25">
      <c r="B777" s="17"/>
      <c r="C777" s="14"/>
      <c r="D777" s="14"/>
      <c r="E777" s="18"/>
      <c r="F777" s="61"/>
      <c r="G777" s="73"/>
      <c r="H777" s="79"/>
      <c r="I777" s="79"/>
      <c r="J777" s="14"/>
      <c r="K777" s="38"/>
      <c r="L777" s="38"/>
      <c r="M777" s="17"/>
    </row>
    <row r="778" spans="2:13" ht="14.45" customHeight="1" x14ac:dyDescent="0.25">
      <c r="B778" s="17"/>
      <c r="C778" s="14"/>
      <c r="D778" s="14"/>
      <c r="E778" s="18"/>
      <c r="F778" s="61"/>
      <c r="G778" s="73"/>
      <c r="H778" s="79"/>
      <c r="I778" s="79"/>
      <c r="J778" s="14"/>
      <c r="K778" s="38"/>
      <c r="L778" s="38"/>
      <c r="M778" s="17"/>
    </row>
    <row r="779" spans="2:13" ht="14.45" customHeight="1" x14ac:dyDescent="0.25">
      <c r="B779" s="17"/>
      <c r="C779" s="14"/>
      <c r="D779" s="14"/>
      <c r="E779" s="18"/>
      <c r="F779" s="61"/>
      <c r="G779" s="73"/>
      <c r="H779" s="79"/>
      <c r="I779" s="79"/>
      <c r="J779" s="14"/>
      <c r="K779" s="38"/>
      <c r="L779" s="38"/>
      <c r="M779" s="17"/>
    </row>
    <row r="780" spans="2:13" ht="14.45" customHeight="1" x14ac:dyDescent="0.25">
      <c r="B780" s="17"/>
      <c r="C780" s="14"/>
      <c r="D780" s="14"/>
      <c r="E780" s="18"/>
      <c r="F780" s="61"/>
      <c r="G780" s="73"/>
      <c r="H780" s="79"/>
      <c r="I780" s="79"/>
      <c r="J780" s="14"/>
      <c r="K780" s="38"/>
      <c r="L780" s="38"/>
      <c r="M780" s="17"/>
    </row>
    <row r="781" spans="2:13" ht="14.45" customHeight="1" x14ac:dyDescent="0.25">
      <c r="B781" s="17"/>
      <c r="C781" s="14"/>
      <c r="D781" s="14"/>
      <c r="E781" s="18"/>
      <c r="F781" s="61"/>
      <c r="G781" s="73"/>
      <c r="H781" s="79"/>
      <c r="I781" s="79"/>
      <c r="J781" s="14"/>
      <c r="K781" s="38"/>
      <c r="L781" s="38"/>
      <c r="M781" s="17"/>
    </row>
    <row r="782" spans="2:13" ht="14.45" customHeight="1" x14ac:dyDescent="0.25">
      <c r="B782" s="17"/>
      <c r="C782" s="14"/>
      <c r="D782" s="14"/>
      <c r="E782" s="18"/>
      <c r="F782" s="61"/>
      <c r="G782" s="73"/>
      <c r="H782" s="79"/>
      <c r="I782" s="79"/>
      <c r="J782" s="14"/>
      <c r="K782" s="38"/>
      <c r="L782" s="38"/>
      <c r="M782" s="17"/>
    </row>
    <row r="783" spans="2:13" ht="14.45" customHeight="1" x14ac:dyDescent="0.25">
      <c r="B783" s="17"/>
      <c r="C783" s="14"/>
      <c r="D783" s="14"/>
      <c r="E783" s="18"/>
      <c r="F783" s="61"/>
      <c r="G783" s="73"/>
      <c r="H783" s="79"/>
      <c r="I783" s="79"/>
      <c r="J783" s="14"/>
      <c r="K783" s="38"/>
      <c r="L783" s="38"/>
      <c r="M783" s="17"/>
    </row>
    <row r="784" spans="2:13" ht="14.45" customHeight="1" x14ac:dyDescent="0.25">
      <c r="B784" s="17"/>
      <c r="C784" s="14"/>
      <c r="D784" s="14"/>
      <c r="E784" s="18"/>
      <c r="F784" s="61"/>
      <c r="G784" s="73"/>
      <c r="H784" s="79"/>
      <c r="I784" s="79"/>
      <c r="J784" s="14"/>
      <c r="K784" s="38"/>
      <c r="L784" s="38"/>
      <c r="M784" s="17"/>
    </row>
    <row r="785" spans="2:13" ht="14.45" customHeight="1" x14ac:dyDescent="0.25">
      <c r="B785" s="17"/>
      <c r="C785" s="14"/>
      <c r="D785" s="14"/>
      <c r="E785" s="18"/>
      <c r="F785" s="61"/>
      <c r="G785" s="73"/>
      <c r="H785" s="79"/>
      <c r="I785" s="79"/>
      <c r="J785" s="14"/>
      <c r="K785" s="38"/>
      <c r="L785" s="38"/>
      <c r="M785" s="17"/>
    </row>
    <row r="786" spans="2:13" ht="14.45" customHeight="1" x14ac:dyDescent="0.25">
      <c r="B786" s="17"/>
      <c r="C786" s="14"/>
      <c r="D786" s="14"/>
      <c r="E786" s="18"/>
      <c r="F786" s="61"/>
      <c r="G786" s="73"/>
      <c r="H786" s="79"/>
      <c r="I786" s="79"/>
      <c r="J786" s="14"/>
      <c r="K786" s="38"/>
      <c r="L786" s="38"/>
      <c r="M786" s="17"/>
    </row>
    <row r="787" spans="2:13" ht="14.45" customHeight="1" x14ac:dyDescent="0.25">
      <c r="B787" s="17"/>
      <c r="C787" s="14"/>
      <c r="D787" s="14"/>
      <c r="E787" s="18"/>
      <c r="F787" s="61"/>
      <c r="G787" s="73"/>
      <c r="H787" s="79"/>
      <c r="I787" s="79"/>
      <c r="J787" s="14"/>
      <c r="K787" s="38"/>
      <c r="L787" s="38"/>
      <c r="M787" s="17"/>
    </row>
    <row r="788" spans="2:13" ht="14.45" customHeight="1" x14ac:dyDescent="0.25">
      <c r="B788" s="17"/>
      <c r="C788" s="14"/>
      <c r="D788" s="14"/>
      <c r="E788" s="18"/>
      <c r="F788" s="61"/>
      <c r="G788" s="73"/>
      <c r="H788" s="79"/>
      <c r="I788" s="79"/>
      <c r="J788" s="14"/>
      <c r="K788" s="38"/>
      <c r="L788" s="38"/>
      <c r="M788" s="17"/>
    </row>
    <row r="789" spans="2:13" ht="14.45" customHeight="1" x14ac:dyDescent="0.25">
      <c r="B789" s="17"/>
      <c r="C789" s="14"/>
      <c r="D789" s="14"/>
      <c r="E789" s="18"/>
      <c r="F789" s="61"/>
      <c r="G789" s="73"/>
      <c r="H789" s="79"/>
      <c r="I789" s="79"/>
      <c r="J789" s="14"/>
      <c r="K789" s="38"/>
      <c r="L789" s="38"/>
      <c r="M789" s="17"/>
    </row>
    <row r="790" spans="2:13" ht="14.45" customHeight="1" x14ac:dyDescent="0.25">
      <c r="B790" s="17"/>
      <c r="C790" s="14"/>
      <c r="D790" s="14"/>
      <c r="E790" s="18"/>
      <c r="F790" s="61"/>
      <c r="G790" s="73"/>
      <c r="H790" s="79"/>
      <c r="I790" s="79"/>
      <c r="J790" s="14"/>
      <c r="K790" s="38"/>
      <c r="L790" s="38"/>
      <c r="M790" s="17"/>
    </row>
    <row r="791" spans="2:13" ht="14.45" customHeight="1" x14ac:dyDescent="0.25">
      <c r="B791" s="17"/>
      <c r="C791" s="14"/>
      <c r="D791" s="14"/>
      <c r="E791" s="18"/>
      <c r="F791" s="61"/>
      <c r="G791" s="73"/>
      <c r="H791" s="79"/>
      <c r="I791" s="79"/>
      <c r="J791" s="14"/>
      <c r="K791" s="38"/>
      <c r="L791" s="38"/>
      <c r="M791" s="17"/>
    </row>
    <row r="792" spans="2:13" ht="14.45" customHeight="1" x14ac:dyDescent="0.25">
      <c r="B792" s="17"/>
      <c r="C792" s="14"/>
      <c r="D792" s="14"/>
      <c r="E792" s="18"/>
      <c r="F792" s="61"/>
      <c r="G792" s="73"/>
      <c r="H792" s="79"/>
      <c r="I792" s="79"/>
      <c r="J792" s="14"/>
      <c r="K792" s="38"/>
      <c r="L792" s="38"/>
      <c r="M792" s="17"/>
    </row>
    <row r="793" spans="2:13" ht="14.45" customHeight="1" x14ac:dyDescent="0.25">
      <c r="B793" s="17"/>
      <c r="C793" s="14"/>
      <c r="D793" s="14"/>
      <c r="E793" s="18"/>
      <c r="F793" s="61"/>
      <c r="G793" s="73"/>
      <c r="H793" s="79"/>
      <c r="I793" s="79"/>
      <c r="J793" s="14"/>
      <c r="K793" s="38"/>
      <c r="L793" s="38"/>
      <c r="M793" s="17"/>
    </row>
    <row r="794" spans="2:13" ht="14.45" customHeight="1" x14ac:dyDescent="0.25">
      <c r="B794" s="17"/>
      <c r="C794" s="14"/>
      <c r="D794" s="14"/>
      <c r="E794" s="18"/>
      <c r="F794" s="61"/>
      <c r="G794" s="73"/>
      <c r="H794" s="79"/>
      <c r="I794" s="79"/>
      <c r="J794" s="14"/>
      <c r="K794" s="38"/>
      <c r="L794" s="38"/>
      <c r="M794" s="17"/>
    </row>
    <row r="795" spans="2:13" ht="14.45" customHeight="1" x14ac:dyDescent="0.25">
      <c r="B795" s="17"/>
      <c r="C795" s="14"/>
      <c r="D795" s="14"/>
      <c r="E795" s="18"/>
      <c r="F795" s="61"/>
      <c r="G795" s="73"/>
      <c r="H795" s="79"/>
      <c r="I795" s="79"/>
      <c r="J795" s="14"/>
      <c r="K795" s="38"/>
      <c r="L795" s="38"/>
      <c r="M795" s="17"/>
    </row>
    <row r="796" spans="2:13" ht="14.45" customHeight="1" x14ac:dyDescent="0.25">
      <c r="B796" s="17"/>
      <c r="C796" s="14"/>
      <c r="D796" s="14"/>
      <c r="E796" s="18"/>
      <c r="F796" s="61"/>
      <c r="G796" s="73"/>
      <c r="H796" s="79"/>
      <c r="I796" s="79"/>
      <c r="J796" s="14"/>
      <c r="K796" s="38"/>
      <c r="L796" s="38"/>
      <c r="M796" s="17"/>
    </row>
    <row r="797" spans="2:13" ht="14.45" customHeight="1" x14ac:dyDescent="0.25">
      <c r="B797" s="17"/>
      <c r="C797" s="14"/>
      <c r="D797" s="14"/>
      <c r="E797" s="18"/>
      <c r="F797" s="61"/>
      <c r="G797" s="73"/>
      <c r="H797" s="79"/>
      <c r="I797" s="79"/>
      <c r="J797" s="14"/>
      <c r="K797" s="38"/>
      <c r="L797" s="38"/>
      <c r="M797" s="17"/>
    </row>
    <row r="798" spans="2:13" ht="14.45" customHeight="1" x14ac:dyDescent="0.25">
      <c r="B798" s="17"/>
      <c r="C798" s="14"/>
      <c r="D798" s="14"/>
      <c r="E798" s="18"/>
      <c r="F798" s="61"/>
      <c r="G798" s="73"/>
      <c r="H798" s="79"/>
      <c r="I798" s="79"/>
      <c r="J798" s="14"/>
      <c r="K798" s="38"/>
      <c r="L798" s="38"/>
      <c r="M798" s="17"/>
    </row>
    <row r="799" spans="2:13" ht="14.45" customHeight="1" x14ac:dyDescent="0.25">
      <c r="B799" s="17"/>
      <c r="C799" s="14"/>
      <c r="D799" s="14"/>
      <c r="E799" s="18"/>
      <c r="F799" s="61"/>
      <c r="G799" s="73"/>
      <c r="H799" s="79"/>
      <c r="I799" s="79"/>
      <c r="J799" s="14"/>
      <c r="K799" s="38"/>
      <c r="L799" s="38"/>
      <c r="M799" s="17"/>
    </row>
    <row r="800" spans="2:13" ht="14.45" customHeight="1" x14ac:dyDescent="0.25">
      <c r="B800" s="17"/>
      <c r="C800" s="14"/>
      <c r="D800" s="14"/>
      <c r="E800" s="18"/>
      <c r="F800" s="61"/>
      <c r="G800" s="73"/>
      <c r="H800" s="79"/>
      <c r="I800" s="79"/>
      <c r="J800" s="14"/>
      <c r="K800" s="38"/>
      <c r="L800" s="38"/>
      <c r="M800" s="17"/>
    </row>
    <row r="801" spans="2:13" ht="14.45" customHeight="1" x14ac:dyDescent="0.25">
      <c r="B801" s="17"/>
      <c r="C801" s="14"/>
      <c r="D801" s="14"/>
      <c r="E801" s="18"/>
      <c r="F801" s="61"/>
      <c r="G801" s="73"/>
      <c r="H801" s="79"/>
      <c r="I801" s="79"/>
      <c r="J801" s="14"/>
      <c r="K801" s="38"/>
      <c r="L801" s="38"/>
      <c r="M801" s="17"/>
    </row>
    <row r="802" spans="2:13" ht="14.45" customHeight="1" x14ac:dyDescent="0.25">
      <c r="B802" s="17"/>
      <c r="C802" s="14"/>
      <c r="D802" s="14"/>
      <c r="E802" s="18"/>
      <c r="F802" s="61"/>
      <c r="G802" s="73"/>
      <c r="H802" s="79"/>
      <c r="I802" s="79"/>
      <c r="J802" s="14"/>
      <c r="K802" s="38"/>
      <c r="L802" s="38"/>
      <c r="M802" s="17"/>
    </row>
    <row r="803" spans="2:13" ht="14.45" customHeight="1" x14ac:dyDescent="0.25">
      <c r="B803" s="17"/>
      <c r="C803" s="14"/>
      <c r="D803" s="14"/>
      <c r="E803" s="18"/>
      <c r="F803" s="61"/>
      <c r="G803" s="73"/>
      <c r="H803" s="79"/>
      <c r="I803" s="79"/>
      <c r="J803" s="14"/>
      <c r="K803" s="38"/>
      <c r="L803" s="38"/>
      <c r="M803" s="17"/>
    </row>
    <row r="804" spans="2:13" ht="14.45" customHeight="1" x14ac:dyDescent="0.25">
      <c r="B804" s="17"/>
      <c r="C804" s="14"/>
      <c r="D804" s="14"/>
      <c r="E804" s="18"/>
      <c r="F804" s="61"/>
      <c r="G804" s="73"/>
      <c r="H804" s="79"/>
      <c r="I804" s="79"/>
      <c r="J804" s="14"/>
      <c r="K804" s="38"/>
      <c r="L804" s="38"/>
      <c r="M804" s="17"/>
    </row>
    <row r="805" spans="2:13" ht="14.45" customHeight="1" x14ac:dyDescent="0.25">
      <c r="B805" s="17"/>
      <c r="C805" s="14"/>
      <c r="D805" s="14"/>
      <c r="E805" s="18"/>
      <c r="F805" s="61"/>
      <c r="G805" s="73"/>
      <c r="H805" s="79"/>
      <c r="I805" s="79"/>
      <c r="J805" s="14"/>
      <c r="K805" s="38"/>
      <c r="L805" s="38"/>
      <c r="M805" s="17"/>
    </row>
    <row r="806" spans="2:13" ht="14.45" customHeight="1" x14ac:dyDescent="0.25">
      <c r="B806" s="17"/>
      <c r="C806" s="14"/>
      <c r="D806" s="14"/>
      <c r="E806" s="18"/>
      <c r="F806" s="61"/>
      <c r="G806" s="73"/>
      <c r="H806" s="79"/>
      <c r="I806" s="79"/>
      <c r="J806" s="14"/>
      <c r="K806" s="38"/>
      <c r="L806" s="38"/>
      <c r="M806" s="17"/>
    </row>
    <row r="807" spans="2:13" ht="14.45" customHeight="1" x14ac:dyDescent="0.25">
      <c r="B807" s="17"/>
      <c r="C807" s="14"/>
      <c r="D807" s="14"/>
      <c r="E807" s="18"/>
      <c r="F807" s="61"/>
      <c r="G807" s="73"/>
      <c r="H807" s="79"/>
      <c r="I807" s="79"/>
      <c r="J807" s="14"/>
      <c r="K807" s="38"/>
      <c r="L807" s="38"/>
      <c r="M807" s="17"/>
    </row>
    <row r="808" spans="2:13" ht="14.45" customHeight="1" x14ac:dyDescent="0.25">
      <c r="B808" s="17"/>
      <c r="C808" s="14"/>
      <c r="D808" s="14"/>
      <c r="E808" s="18"/>
      <c r="F808" s="61"/>
      <c r="G808" s="73"/>
      <c r="H808" s="79"/>
      <c r="I808" s="79"/>
      <c r="J808" s="14"/>
      <c r="K808" s="38"/>
      <c r="L808" s="38"/>
      <c r="M808" s="17"/>
    </row>
    <row r="809" spans="2:13" ht="14.45" customHeight="1" x14ac:dyDescent="0.25">
      <c r="B809" s="17"/>
      <c r="C809" s="14"/>
      <c r="D809" s="14"/>
      <c r="E809" s="18"/>
      <c r="F809" s="61"/>
      <c r="G809" s="73"/>
      <c r="H809" s="79"/>
      <c r="I809" s="79"/>
      <c r="J809" s="14"/>
      <c r="K809" s="38"/>
      <c r="L809" s="38"/>
      <c r="M809" s="17"/>
    </row>
    <row r="810" spans="2:13" ht="14.45" customHeight="1" x14ac:dyDescent="0.25">
      <c r="B810" s="17"/>
      <c r="C810" s="14"/>
      <c r="D810" s="14"/>
      <c r="E810" s="18"/>
      <c r="F810" s="61"/>
      <c r="G810" s="73"/>
      <c r="H810" s="79"/>
      <c r="I810" s="79"/>
      <c r="J810" s="14"/>
      <c r="K810" s="38"/>
      <c r="L810" s="38"/>
      <c r="M810" s="17"/>
    </row>
    <row r="811" spans="2:13" ht="14.45" customHeight="1" x14ac:dyDescent="0.25">
      <c r="B811" s="17"/>
      <c r="C811" s="14"/>
      <c r="D811" s="14"/>
      <c r="E811" s="18"/>
      <c r="F811" s="61"/>
      <c r="G811" s="73"/>
      <c r="H811" s="79"/>
      <c r="I811" s="79"/>
      <c r="J811" s="14"/>
      <c r="K811" s="38"/>
      <c r="L811" s="38"/>
      <c r="M811" s="17"/>
    </row>
    <row r="812" spans="2:13" ht="14.45" customHeight="1" x14ac:dyDescent="0.25">
      <c r="B812" s="17"/>
      <c r="C812" s="14"/>
      <c r="D812" s="14"/>
      <c r="E812" s="18"/>
      <c r="F812" s="61"/>
      <c r="G812" s="73"/>
      <c r="H812" s="79"/>
      <c r="I812" s="79"/>
      <c r="J812" s="14"/>
      <c r="K812" s="38"/>
      <c r="L812" s="38"/>
      <c r="M812" s="17"/>
    </row>
    <row r="813" spans="2:13" ht="14.45" customHeight="1" x14ac:dyDescent="0.25">
      <c r="B813" s="17"/>
      <c r="C813" s="14"/>
      <c r="D813" s="14"/>
      <c r="E813" s="18"/>
      <c r="F813" s="61"/>
      <c r="G813" s="73"/>
      <c r="H813" s="79"/>
      <c r="I813" s="79"/>
      <c r="J813" s="14"/>
      <c r="K813" s="38"/>
      <c r="L813" s="38"/>
      <c r="M813" s="17"/>
    </row>
    <row r="814" spans="2:13" ht="14.45" customHeight="1" x14ac:dyDescent="0.25">
      <c r="B814" s="17"/>
      <c r="C814" s="14"/>
      <c r="D814" s="14"/>
      <c r="E814" s="18"/>
      <c r="F814" s="61"/>
      <c r="G814" s="73"/>
      <c r="H814" s="79"/>
      <c r="I814" s="79"/>
      <c r="J814" s="14"/>
      <c r="K814" s="38"/>
      <c r="L814" s="38"/>
      <c r="M814" s="17"/>
    </row>
    <row r="815" spans="2:13" ht="14.45" customHeight="1" x14ac:dyDescent="0.25">
      <c r="B815" s="17"/>
      <c r="C815" s="14"/>
      <c r="D815" s="14"/>
      <c r="E815" s="18"/>
      <c r="F815" s="61"/>
      <c r="G815" s="73"/>
      <c r="H815" s="79"/>
      <c r="I815" s="79"/>
      <c r="J815" s="14"/>
      <c r="K815" s="38"/>
      <c r="L815" s="38"/>
      <c r="M815" s="17"/>
    </row>
    <row r="816" spans="2:13" ht="14.45" customHeight="1" x14ac:dyDescent="0.25">
      <c r="B816" s="17"/>
      <c r="C816" s="14"/>
      <c r="D816" s="14"/>
      <c r="E816" s="18"/>
      <c r="F816" s="61"/>
      <c r="G816" s="73"/>
      <c r="H816" s="79"/>
      <c r="I816" s="79"/>
      <c r="J816" s="14"/>
      <c r="K816" s="38"/>
      <c r="L816" s="38"/>
      <c r="M816" s="17"/>
    </row>
    <row r="817" spans="2:13" ht="14.45" customHeight="1" x14ac:dyDescent="0.25">
      <c r="B817" s="17"/>
      <c r="C817" s="14"/>
      <c r="D817" s="14"/>
      <c r="E817" s="18"/>
      <c r="F817" s="61"/>
      <c r="G817" s="73"/>
      <c r="H817" s="79"/>
      <c r="I817" s="79"/>
      <c r="J817" s="14"/>
      <c r="K817" s="38"/>
      <c r="L817" s="38"/>
      <c r="M817" s="17"/>
    </row>
    <row r="818" spans="2:13" ht="14.45" customHeight="1" x14ac:dyDescent="0.25">
      <c r="B818" s="17"/>
      <c r="C818" s="14"/>
      <c r="D818" s="14"/>
      <c r="E818" s="18"/>
      <c r="F818" s="61"/>
      <c r="G818" s="73"/>
      <c r="H818" s="79"/>
      <c r="I818" s="79"/>
      <c r="J818" s="14"/>
      <c r="K818" s="38"/>
      <c r="L818" s="38"/>
      <c r="M818" s="17"/>
    </row>
    <row r="819" spans="2:13" ht="14.45" customHeight="1" x14ac:dyDescent="0.25">
      <c r="B819" s="17"/>
      <c r="C819" s="14"/>
      <c r="D819" s="14"/>
      <c r="E819" s="18"/>
      <c r="F819" s="61"/>
      <c r="G819" s="73"/>
      <c r="H819" s="79"/>
      <c r="I819" s="79"/>
      <c r="J819" s="14"/>
      <c r="K819" s="38"/>
      <c r="L819" s="38"/>
      <c r="M819" s="17"/>
    </row>
    <row r="820" spans="2:13" ht="14.45" customHeight="1" x14ac:dyDescent="0.25">
      <c r="B820" s="17"/>
      <c r="C820" s="14"/>
      <c r="D820" s="14"/>
      <c r="E820" s="18"/>
      <c r="F820" s="61"/>
      <c r="G820" s="73"/>
      <c r="H820" s="79"/>
      <c r="I820" s="79"/>
      <c r="J820" s="14"/>
      <c r="K820" s="38"/>
      <c r="L820" s="38"/>
      <c r="M820" s="17"/>
    </row>
    <row r="821" spans="2:13" ht="14.45" customHeight="1" x14ac:dyDescent="0.25">
      <c r="B821" s="17"/>
      <c r="C821" s="14"/>
      <c r="D821" s="14"/>
      <c r="E821" s="18"/>
      <c r="F821" s="61"/>
      <c r="G821" s="73"/>
      <c r="H821" s="79"/>
      <c r="I821" s="79"/>
      <c r="J821" s="14"/>
      <c r="K821" s="38"/>
      <c r="L821" s="38"/>
      <c r="M821" s="17"/>
    </row>
    <row r="822" spans="2:13" ht="14.45" customHeight="1" x14ac:dyDescent="0.25">
      <c r="B822" s="17"/>
      <c r="C822" s="14"/>
      <c r="D822" s="14"/>
      <c r="E822" s="18"/>
      <c r="F822" s="61"/>
      <c r="G822" s="73"/>
      <c r="H822" s="79"/>
      <c r="I822" s="79"/>
      <c r="J822" s="14"/>
      <c r="K822" s="38"/>
      <c r="L822" s="38"/>
      <c r="M822" s="17"/>
    </row>
    <row r="823" spans="2:13" ht="14.45" customHeight="1" x14ac:dyDescent="0.25">
      <c r="B823" s="17"/>
      <c r="C823" s="14"/>
      <c r="D823" s="14"/>
      <c r="E823" s="18"/>
      <c r="F823" s="61"/>
      <c r="G823" s="73"/>
      <c r="H823" s="79"/>
      <c r="I823" s="79"/>
      <c r="J823" s="14"/>
      <c r="K823" s="38"/>
      <c r="L823" s="38"/>
      <c r="M823" s="17"/>
    </row>
    <row r="824" spans="2:13" ht="14.45" customHeight="1" x14ac:dyDescent="0.25">
      <c r="B824" s="17"/>
      <c r="C824" s="14"/>
      <c r="D824" s="14"/>
      <c r="E824" s="18"/>
      <c r="F824" s="61"/>
      <c r="G824" s="73"/>
      <c r="H824" s="79"/>
      <c r="I824" s="79"/>
      <c r="J824" s="14"/>
      <c r="K824" s="38"/>
      <c r="L824" s="38"/>
      <c r="M824" s="17"/>
    </row>
    <row r="825" spans="2:13" ht="14.45" customHeight="1" x14ac:dyDescent="0.25">
      <c r="B825" s="17"/>
      <c r="C825" s="14"/>
      <c r="D825" s="14"/>
      <c r="E825" s="18"/>
      <c r="F825" s="61"/>
      <c r="G825" s="73"/>
      <c r="H825" s="79"/>
      <c r="I825" s="79"/>
      <c r="J825" s="14"/>
      <c r="K825" s="38"/>
      <c r="L825" s="38"/>
      <c r="M825" s="17"/>
    </row>
    <row r="826" spans="2:13" ht="14.45" customHeight="1" x14ac:dyDescent="0.25">
      <c r="B826" s="17"/>
      <c r="C826" s="14"/>
      <c r="D826" s="14"/>
      <c r="E826" s="18"/>
      <c r="F826" s="61"/>
      <c r="G826" s="73"/>
      <c r="H826" s="79"/>
      <c r="I826" s="79"/>
      <c r="J826" s="14"/>
      <c r="K826" s="38"/>
      <c r="L826" s="38"/>
      <c r="M826" s="17"/>
    </row>
    <row r="827" spans="2:13" ht="14.45" customHeight="1" x14ac:dyDescent="0.25">
      <c r="B827" s="17"/>
      <c r="C827" s="14"/>
      <c r="D827" s="14"/>
      <c r="E827" s="18"/>
      <c r="F827" s="61"/>
      <c r="G827" s="73"/>
      <c r="H827" s="79"/>
      <c r="I827" s="79"/>
      <c r="J827" s="14"/>
      <c r="K827" s="38"/>
      <c r="L827" s="38"/>
      <c r="M827" s="17"/>
    </row>
    <row r="828" spans="2:13" ht="14.45" customHeight="1" x14ac:dyDescent="0.25">
      <c r="B828" s="17"/>
      <c r="C828" s="14"/>
      <c r="D828" s="14"/>
      <c r="E828" s="18"/>
      <c r="F828" s="61"/>
      <c r="G828" s="73"/>
      <c r="H828" s="79"/>
      <c r="I828" s="79"/>
      <c r="J828" s="14"/>
      <c r="K828" s="38"/>
      <c r="L828" s="38"/>
      <c r="M828" s="17"/>
    </row>
    <row r="829" spans="2:13" ht="14.45" customHeight="1" x14ac:dyDescent="0.25">
      <c r="B829" s="17"/>
      <c r="C829" s="14"/>
      <c r="D829" s="14"/>
      <c r="E829" s="18"/>
      <c r="F829" s="61"/>
      <c r="G829" s="73"/>
      <c r="H829" s="79"/>
      <c r="I829" s="79"/>
      <c r="J829" s="14"/>
      <c r="K829" s="38"/>
      <c r="L829" s="38"/>
      <c r="M829" s="17"/>
    </row>
    <row r="830" spans="2:13" ht="14.45" customHeight="1" x14ac:dyDescent="0.25">
      <c r="B830" s="17"/>
      <c r="C830" s="14"/>
      <c r="D830" s="14"/>
      <c r="E830" s="18"/>
      <c r="F830" s="61"/>
      <c r="G830" s="73"/>
      <c r="H830" s="79"/>
      <c r="I830" s="79"/>
      <c r="J830" s="14"/>
      <c r="K830" s="38"/>
      <c r="L830" s="38"/>
      <c r="M830" s="17"/>
    </row>
    <row r="831" spans="2:13" ht="14.45" customHeight="1" x14ac:dyDescent="0.25">
      <c r="B831" s="17"/>
      <c r="C831" s="14"/>
      <c r="D831" s="14"/>
      <c r="E831" s="18"/>
      <c r="F831" s="61"/>
      <c r="G831" s="73"/>
      <c r="H831" s="79"/>
      <c r="I831" s="79"/>
      <c r="J831" s="14"/>
      <c r="K831" s="38"/>
      <c r="L831" s="38"/>
      <c r="M831" s="17"/>
    </row>
    <row r="832" spans="2:13" ht="14.45" customHeight="1" x14ac:dyDescent="0.25">
      <c r="B832" s="17"/>
      <c r="C832" s="14"/>
      <c r="D832" s="14"/>
      <c r="E832" s="18"/>
      <c r="F832" s="61"/>
      <c r="G832" s="73"/>
      <c r="H832" s="79"/>
      <c r="I832" s="79"/>
      <c r="J832" s="14"/>
      <c r="K832" s="38"/>
      <c r="L832" s="38"/>
      <c r="M832" s="17"/>
    </row>
    <row r="833" spans="2:13" ht="14.45" customHeight="1" x14ac:dyDescent="0.25">
      <c r="B833" s="17"/>
      <c r="C833" s="14"/>
      <c r="D833" s="14"/>
      <c r="E833" s="18"/>
      <c r="F833" s="61"/>
      <c r="G833" s="73"/>
      <c r="H833" s="79"/>
      <c r="I833" s="79"/>
      <c r="J833" s="14"/>
      <c r="K833" s="38"/>
      <c r="L833" s="38"/>
      <c r="M833" s="17"/>
    </row>
    <row r="834" spans="2:13" ht="14.45" customHeight="1" x14ac:dyDescent="0.25">
      <c r="B834" s="17"/>
      <c r="C834" s="14"/>
      <c r="D834" s="14"/>
      <c r="E834" s="18"/>
      <c r="F834" s="61"/>
      <c r="G834" s="73"/>
      <c r="H834" s="79"/>
      <c r="I834" s="79"/>
      <c r="J834" s="14"/>
      <c r="K834" s="38"/>
      <c r="L834" s="38"/>
      <c r="M834" s="17"/>
    </row>
    <row r="835" spans="2:13" ht="14.45" customHeight="1" x14ac:dyDescent="0.25">
      <c r="B835" s="17"/>
      <c r="C835" s="14"/>
      <c r="D835" s="14"/>
      <c r="E835" s="18"/>
      <c r="F835" s="61"/>
      <c r="G835" s="73"/>
      <c r="H835" s="79"/>
      <c r="I835" s="79"/>
      <c r="J835" s="14"/>
      <c r="K835" s="38"/>
      <c r="L835" s="38"/>
      <c r="M835" s="17"/>
    </row>
    <row r="836" spans="2:13" ht="14.45" customHeight="1" x14ac:dyDescent="0.25">
      <c r="B836" s="17"/>
      <c r="C836" s="14"/>
      <c r="D836" s="14"/>
      <c r="E836" s="18"/>
      <c r="F836" s="61"/>
      <c r="G836" s="73"/>
      <c r="H836" s="79"/>
      <c r="I836" s="79"/>
      <c r="J836" s="14"/>
      <c r="K836" s="38"/>
      <c r="L836" s="38"/>
      <c r="M836" s="17"/>
    </row>
    <row r="837" spans="2:13" ht="14.45" customHeight="1" x14ac:dyDescent="0.25">
      <c r="B837" s="17"/>
      <c r="C837" s="14"/>
      <c r="D837" s="14"/>
      <c r="E837" s="18"/>
      <c r="F837" s="61"/>
      <c r="G837" s="73"/>
      <c r="H837" s="79"/>
      <c r="I837" s="79"/>
      <c r="J837" s="14"/>
      <c r="K837" s="38"/>
      <c r="L837" s="38"/>
      <c r="M837" s="17"/>
    </row>
    <row r="838" spans="2:13" ht="14.45" customHeight="1" x14ac:dyDescent="0.25">
      <c r="B838" s="17"/>
      <c r="C838" s="14"/>
      <c r="D838" s="14"/>
      <c r="E838" s="18"/>
      <c r="F838" s="61"/>
      <c r="G838" s="73"/>
      <c r="H838" s="79"/>
      <c r="I838" s="79"/>
      <c r="J838" s="14"/>
      <c r="K838" s="38"/>
      <c r="L838" s="38"/>
      <c r="M838" s="17"/>
    </row>
    <row r="839" spans="2:13" ht="14.45" customHeight="1" x14ac:dyDescent="0.25">
      <c r="B839" s="17"/>
      <c r="C839" s="14"/>
      <c r="D839" s="14"/>
      <c r="E839" s="18"/>
      <c r="F839" s="61"/>
      <c r="G839" s="73"/>
      <c r="H839" s="79"/>
      <c r="I839" s="79"/>
      <c r="J839" s="14"/>
      <c r="K839" s="38"/>
      <c r="L839" s="38"/>
      <c r="M839" s="17"/>
    </row>
    <row r="840" spans="2:13" ht="14.45" customHeight="1" x14ac:dyDescent="0.25">
      <c r="B840" s="17"/>
      <c r="C840" s="14"/>
      <c r="D840" s="14"/>
      <c r="E840" s="18"/>
      <c r="F840" s="61"/>
      <c r="G840" s="73"/>
      <c r="H840" s="79"/>
      <c r="I840" s="79"/>
      <c r="J840" s="14"/>
      <c r="K840" s="38"/>
      <c r="L840" s="38"/>
      <c r="M840" s="17"/>
    </row>
    <row r="841" spans="2:13" ht="14.45" customHeight="1" x14ac:dyDescent="0.25">
      <c r="B841" s="17"/>
      <c r="C841" s="14"/>
      <c r="D841" s="14"/>
      <c r="E841" s="18"/>
      <c r="F841" s="61"/>
      <c r="G841" s="73"/>
      <c r="H841" s="79"/>
      <c r="I841" s="79"/>
      <c r="J841" s="14"/>
      <c r="K841" s="38"/>
      <c r="L841" s="38"/>
      <c r="M841" s="17"/>
    </row>
    <row r="842" spans="2:13" ht="14.45" customHeight="1" x14ac:dyDescent="0.25">
      <c r="B842" s="17"/>
      <c r="C842" s="14"/>
      <c r="D842" s="14"/>
      <c r="E842" s="18"/>
      <c r="F842" s="61"/>
      <c r="G842" s="73"/>
      <c r="H842" s="79"/>
      <c r="I842" s="79"/>
      <c r="J842" s="14"/>
      <c r="K842" s="38"/>
      <c r="L842" s="38"/>
      <c r="M842" s="17"/>
    </row>
    <row r="843" spans="2:13" ht="14.45" customHeight="1" x14ac:dyDescent="0.25">
      <c r="B843" s="17"/>
      <c r="C843" s="14"/>
      <c r="D843" s="14"/>
      <c r="E843" s="18"/>
      <c r="F843" s="61"/>
      <c r="G843" s="73"/>
      <c r="H843" s="79"/>
      <c r="I843" s="79"/>
      <c r="J843" s="14"/>
      <c r="K843" s="38"/>
      <c r="L843" s="38"/>
      <c r="M843" s="17"/>
    </row>
    <row r="844" spans="2:13" ht="14.45" customHeight="1" x14ac:dyDescent="0.25">
      <c r="B844" s="17"/>
      <c r="C844" s="14"/>
      <c r="D844" s="14"/>
      <c r="E844" s="18"/>
      <c r="F844" s="61"/>
      <c r="G844" s="73"/>
      <c r="H844" s="79"/>
      <c r="I844" s="79"/>
      <c r="J844" s="14"/>
      <c r="K844" s="38"/>
      <c r="L844" s="38"/>
      <c r="M844" s="17"/>
    </row>
    <row r="845" spans="2:13" ht="14.45" customHeight="1" x14ac:dyDescent="0.25">
      <c r="B845" s="17"/>
      <c r="C845" s="14"/>
      <c r="D845" s="14"/>
      <c r="E845" s="18"/>
      <c r="F845" s="61"/>
      <c r="G845" s="73"/>
      <c r="H845" s="79"/>
      <c r="I845" s="79"/>
      <c r="J845" s="14"/>
      <c r="K845" s="38"/>
      <c r="L845" s="38"/>
      <c r="M845" s="17"/>
    </row>
    <row r="846" spans="2:13" ht="14.45" customHeight="1" x14ac:dyDescent="0.25">
      <c r="B846" s="17"/>
      <c r="C846" s="14"/>
      <c r="D846" s="14"/>
      <c r="E846" s="18"/>
      <c r="F846" s="61"/>
      <c r="G846" s="73"/>
      <c r="H846" s="79"/>
      <c r="I846" s="79"/>
      <c r="J846" s="14"/>
      <c r="K846" s="38"/>
      <c r="L846" s="38"/>
      <c r="M846" s="17"/>
    </row>
    <row r="847" spans="2:13" ht="14.45" customHeight="1" x14ac:dyDescent="0.25">
      <c r="B847" s="17"/>
      <c r="C847" s="14"/>
      <c r="D847" s="14"/>
      <c r="E847" s="18"/>
      <c r="F847" s="61"/>
      <c r="G847" s="73"/>
      <c r="H847" s="79"/>
      <c r="I847" s="79"/>
      <c r="J847" s="14"/>
      <c r="K847" s="38"/>
      <c r="L847" s="38"/>
      <c r="M847" s="17"/>
    </row>
    <row r="848" spans="2:13" ht="14.45" customHeight="1" x14ac:dyDescent="0.25">
      <c r="B848" s="17"/>
      <c r="C848" s="14"/>
      <c r="D848" s="14"/>
      <c r="E848" s="18"/>
      <c r="F848" s="61"/>
      <c r="G848" s="73"/>
      <c r="H848" s="79"/>
      <c r="I848" s="79"/>
      <c r="J848" s="14"/>
      <c r="K848" s="38"/>
      <c r="L848" s="38"/>
      <c r="M848" s="17"/>
    </row>
    <row r="849" spans="2:13" ht="14.45" customHeight="1" x14ac:dyDescent="0.25">
      <c r="B849" s="17"/>
      <c r="C849" s="14"/>
      <c r="D849" s="14"/>
      <c r="E849" s="18"/>
      <c r="F849" s="61"/>
      <c r="G849" s="73"/>
      <c r="H849" s="79"/>
      <c r="I849" s="79"/>
      <c r="J849" s="14"/>
      <c r="K849" s="38"/>
      <c r="L849" s="38"/>
      <c r="M849" s="17"/>
    </row>
    <row r="850" spans="2:13" ht="14.45" customHeight="1" x14ac:dyDescent="0.25">
      <c r="B850" s="17"/>
      <c r="C850" s="14"/>
      <c r="D850" s="14"/>
      <c r="E850" s="18"/>
      <c r="F850" s="61"/>
      <c r="G850" s="73"/>
      <c r="H850" s="79"/>
      <c r="I850" s="79"/>
      <c r="J850" s="14"/>
      <c r="K850" s="38"/>
      <c r="L850" s="38"/>
      <c r="M850" s="17"/>
    </row>
    <row r="851" spans="2:13" ht="14.45" customHeight="1" x14ac:dyDescent="0.25">
      <c r="B851" s="17"/>
      <c r="C851" s="14"/>
      <c r="D851" s="14"/>
      <c r="E851" s="18"/>
      <c r="F851" s="61"/>
      <c r="G851" s="73"/>
      <c r="H851" s="79"/>
      <c r="I851" s="79"/>
      <c r="J851" s="14"/>
      <c r="K851" s="38"/>
      <c r="L851" s="38"/>
      <c r="M851" s="17"/>
    </row>
    <row r="852" spans="2:13" ht="14.45" customHeight="1" x14ac:dyDescent="0.25">
      <c r="B852" s="17"/>
      <c r="C852" s="14"/>
      <c r="D852" s="14"/>
      <c r="E852" s="18"/>
      <c r="F852" s="61"/>
      <c r="G852" s="73"/>
      <c r="H852" s="79"/>
      <c r="I852" s="79"/>
      <c r="J852" s="14"/>
      <c r="K852" s="38"/>
      <c r="L852" s="38"/>
      <c r="M852" s="17"/>
    </row>
    <row r="853" spans="2:13" ht="14.45" customHeight="1" x14ac:dyDescent="0.25">
      <c r="B853" s="17"/>
      <c r="C853" s="14"/>
      <c r="D853" s="14"/>
      <c r="E853" s="18"/>
      <c r="F853" s="61"/>
      <c r="G853" s="73"/>
      <c r="H853" s="79"/>
      <c r="I853" s="79"/>
      <c r="J853" s="14"/>
      <c r="K853" s="38"/>
      <c r="L853" s="38"/>
      <c r="M853" s="17"/>
    </row>
    <row r="854" spans="2:13" ht="14.45" customHeight="1" x14ac:dyDescent="0.25">
      <c r="B854" s="17"/>
      <c r="C854" s="14"/>
      <c r="D854" s="14"/>
      <c r="E854" s="18"/>
      <c r="F854" s="61"/>
      <c r="G854" s="73"/>
      <c r="H854" s="79"/>
      <c r="I854" s="79"/>
      <c r="J854" s="14"/>
      <c r="K854" s="38"/>
      <c r="L854" s="38"/>
      <c r="M854" s="17"/>
    </row>
    <row r="855" spans="2:13" ht="14.45" customHeight="1" x14ac:dyDescent="0.25">
      <c r="B855" s="17"/>
      <c r="C855" s="14"/>
      <c r="D855" s="14"/>
      <c r="E855" s="18"/>
      <c r="F855" s="61"/>
      <c r="G855" s="73"/>
      <c r="H855" s="79"/>
      <c r="I855" s="79"/>
      <c r="J855" s="14"/>
      <c r="K855" s="38"/>
      <c r="L855" s="38"/>
      <c r="M855" s="17"/>
    </row>
    <row r="856" spans="2:13" ht="14.45" customHeight="1" x14ac:dyDescent="0.25">
      <c r="B856" s="17"/>
      <c r="C856" s="14"/>
      <c r="D856" s="14"/>
      <c r="E856" s="18"/>
      <c r="F856" s="61"/>
      <c r="G856" s="73"/>
      <c r="H856" s="79"/>
      <c r="I856" s="79"/>
      <c r="J856" s="14"/>
      <c r="K856" s="38"/>
      <c r="L856" s="38"/>
      <c r="M856" s="17"/>
    </row>
    <row r="857" spans="2:13" ht="14.45" customHeight="1" x14ac:dyDescent="0.25">
      <c r="B857" s="17"/>
      <c r="C857" s="14"/>
      <c r="D857" s="14"/>
      <c r="E857" s="18"/>
      <c r="F857" s="61"/>
      <c r="G857" s="73"/>
      <c r="H857" s="79"/>
      <c r="I857" s="79"/>
      <c r="J857" s="14"/>
      <c r="K857" s="38"/>
      <c r="L857" s="38"/>
      <c r="M857" s="17"/>
    </row>
    <row r="858" spans="2:13" ht="14.45" customHeight="1" x14ac:dyDescent="0.25">
      <c r="B858" s="17"/>
      <c r="C858" s="14"/>
      <c r="D858" s="14"/>
      <c r="E858" s="18"/>
      <c r="F858" s="61"/>
      <c r="G858" s="73"/>
      <c r="H858" s="79"/>
      <c r="I858" s="79"/>
      <c r="J858" s="14"/>
      <c r="K858" s="38"/>
      <c r="L858" s="38"/>
      <c r="M858" s="17"/>
    </row>
    <row r="859" spans="2:13" ht="14.45" customHeight="1" x14ac:dyDescent="0.25">
      <c r="B859" s="17"/>
      <c r="C859" s="14"/>
      <c r="D859" s="14"/>
      <c r="E859" s="18"/>
      <c r="F859" s="61"/>
      <c r="G859" s="73"/>
      <c r="H859" s="79"/>
      <c r="I859" s="79"/>
      <c r="J859" s="14"/>
      <c r="K859" s="38"/>
      <c r="L859" s="38"/>
      <c r="M859" s="17"/>
    </row>
    <row r="860" spans="2:13" ht="14.45" customHeight="1" x14ac:dyDescent="0.25">
      <c r="B860" s="17"/>
      <c r="C860" s="14"/>
      <c r="D860" s="14"/>
      <c r="E860" s="18"/>
      <c r="F860" s="61"/>
      <c r="G860" s="73"/>
      <c r="H860" s="79"/>
      <c r="I860" s="79"/>
      <c r="J860" s="14"/>
      <c r="K860" s="38"/>
      <c r="L860" s="38"/>
      <c r="M860" s="17"/>
    </row>
    <row r="861" spans="2:13" ht="14.45" customHeight="1" x14ac:dyDescent="0.25">
      <c r="B861" s="17"/>
      <c r="C861" s="14"/>
      <c r="D861" s="14"/>
      <c r="E861" s="18"/>
      <c r="F861" s="61"/>
      <c r="G861" s="73"/>
      <c r="H861" s="79"/>
      <c r="I861" s="79"/>
      <c r="J861" s="14"/>
      <c r="K861" s="38"/>
      <c r="L861" s="38"/>
      <c r="M861" s="17"/>
    </row>
    <row r="862" spans="2:13" ht="14.45" customHeight="1" x14ac:dyDescent="0.25">
      <c r="B862" s="17"/>
      <c r="C862" s="14"/>
      <c r="D862" s="14"/>
      <c r="E862" s="18"/>
      <c r="F862" s="61"/>
      <c r="G862" s="73"/>
      <c r="H862" s="79"/>
      <c r="I862" s="79"/>
      <c r="J862" s="14"/>
      <c r="K862" s="38"/>
      <c r="L862" s="38"/>
      <c r="M862" s="17"/>
    </row>
    <row r="863" spans="2:13" ht="14.45" customHeight="1" x14ac:dyDescent="0.25">
      <c r="B863" s="17"/>
      <c r="C863" s="14"/>
      <c r="D863" s="14"/>
      <c r="E863" s="18"/>
      <c r="F863" s="61"/>
      <c r="G863" s="73"/>
      <c r="H863" s="79"/>
      <c r="I863" s="79"/>
      <c r="J863" s="14"/>
      <c r="K863" s="38"/>
      <c r="L863" s="38"/>
      <c r="M863" s="17"/>
    </row>
    <row r="864" spans="2:13" ht="14.45" customHeight="1" x14ac:dyDescent="0.25">
      <c r="B864" s="17"/>
      <c r="C864" s="14"/>
      <c r="D864" s="14"/>
      <c r="E864" s="18"/>
      <c r="F864" s="61"/>
      <c r="G864" s="73"/>
      <c r="H864" s="79"/>
      <c r="I864" s="79"/>
      <c r="J864" s="14"/>
      <c r="K864" s="38"/>
      <c r="L864" s="38"/>
      <c r="M864" s="17"/>
    </row>
    <row r="865" spans="2:13" ht="14.45" customHeight="1" x14ac:dyDescent="0.25">
      <c r="B865" s="17"/>
      <c r="C865" s="14"/>
      <c r="D865" s="14"/>
      <c r="E865" s="18"/>
      <c r="F865" s="61"/>
      <c r="G865" s="73"/>
      <c r="H865" s="79"/>
      <c r="I865" s="79"/>
      <c r="J865" s="14"/>
      <c r="K865" s="38"/>
      <c r="L865" s="38"/>
      <c r="M865" s="17"/>
    </row>
    <row r="866" spans="2:13" ht="14.45" customHeight="1" x14ac:dyDescent="0.25">
      <c r="B866" s="17"/>
      <c r="C866" s="14"/>
      <c r="D866" s="14"/>
      <c r="E866" s="18"/>
      <c r="F866" s="61"/>
      <c r="G866" s="73"/>
      <c r="H866" s="79"/>
      <c r="I866" s="79"/>
      <c r="J866" s="14"/>
      <c r="K866" s="38"/>
      <c r="L866" s="38"/>
      <c r="M866" s="17"/>
    </row>
    <row r="867" spans="2:13" ht="14.45" customHeight="1" x14ac:dyDescent="0.25">
      <c r="B867" s="17"/>
      <c r="C867" s="14"/>
      <c r="D867" s="14"/>
      <c r="E867" s="18"/>
      <c r="F867" s="61"/>
      <c r="G867" s="73"/>
      <c r="H867" s="79"/>
      <c r="I867" s="79"/>
      <c r="J867" s="14"/>
      <c r="K867" s="38"/>
      <c r="L867" s="38"/>
      <c r="M867" s="17"/>
    </row>
    <row r="868" spans="2:13" ht="14.45" customHeight="1" x14ac:dyDescent="0.25">
      <c r="B868" s="17"/>
      <c r="C868" s="14"/>
      <c r="D868" s="14"/>
      <c r="E868" s="18"/>
      <c r="F868" s="61"/>
      <c r="G868" s="73"/>
      <c r="H868" s="79"/>
      <c r="I868" s="79"/>
      <c r="J868" s="14"/>
      <c r="K868" s="38"/>
      <c r="L868" s="38"/>
      <c r="M868" s="17"/>
    </row>
    <row r="869" spans="2:13" ht="14.45" customHeight="1" x14ac:dyDescent="0.25">
      <c r="B869" s="17"/>
      <c r="C869" s="14"/>
      <c r="D869" s="14"/>
      <c r="E869" s="18"/>
      <c r="F869" s="61"/>
      <c r="G869" s="73"/>
      <c r="H869" s="79"/>
      <c r="I869" s="79"/>
      <c r="J869" s="14"/>
      <c r="K869" s="38"/>
      <c r="L869" s="38"/>
      <c r="M869" s="17"/>
    </row>
    <row r="870" spans="2:13" ht="14.45" customHeight="1" x14ac:dyDescent="0.25">
      <c r="B870" s="17"/>
      <c r="C870" s="14"/>
      <c r="D870" s="14"/>
      <c r="E870" s="18"/>
      <c r="F870" s="61"/>
      <c r="G870" s="73"/>
      <c r="H870" s="79"/>
      <c r="I870" s="79"/>
      <c r="J870" s="14"/>
      <c r="K870" s="38"/>
      <c r="L870" s="38"/>
      <c r="M870" s="17"/>
    </row>
    <row r="871" spans="2:13" ht="14.45" customHeight="1" x14ac:dyDescent="0.25">
      <c r="B871" s="17"/>
      <c r="C871" s="14"/>
      <c r="D871" s="14"/>
      <c r="E871" s="18"/>
      <c r="F871" s="61"/>
      <c r="G871" s="73"/>
      <c r="H871" s="79"/>
      <c r="I871" s="79"/>
      <c r="J871" s="14"/>
      <c r="K871" s="38"/>
      <c r="L871" s="38"/>
      <c r="M871" s="17"/>
    </row>
    <row r="872" spans="2:13" ht="14.45" customHeight="1" x14ac:dyDescent="0.25">
      <c r="B872" s="17"/>
      <c r="C872" s="14"/>
      <c r="D872" s="14"/>
      <c r="E872" s="18"/>
      <c r="F872" s="61"/>
      <c r="G872" s="73"/>
      <c r="H872" s="79"/>
      <c r="I872" s="79"/>
      <c r="J872" s="14"/>
      <c r="K872" s="38"/>
      <c r="L872" s="38"/>
      <c r="M872" s="17"/>
    </row>
    <row r="873" spans="2:13" ht="14.45" customHeight="1" x14ac:dyDescent="0.25">
      <c r="B873" s="17"/>
      <c r="C873" s="14"/>
      <c r="D873" s="14"/>
      <c r="E873" s="18"/>
      <c r="F873" s="61"/>
      <c r="G873" s="73"/>
      <c r="H873" s="79"/>
      <c r="I873" s="79"/>
      <c r="J873" s="14"/>
      <c r="K873" s="38"/>
      <c r="L873" s="38"/>
      <c r="M873" s="17"/>
    </row>
    <row r="874" spans="2:13" ht="14.45" customHeight="1" x14ac:dyDescent="0.25">
      <c r="B874" s="17"/>
      <c r="C874" s="14"/>
      <c r="D874" s="14"/>
      <c r="E874" s="18"/>
      <c r="F874" s="61"/>
      <c r="G874" s="73"/>
      <c r="H874" s="79"/>
      <c r="I874" s="79"/>
      <c r="J874" s="14"/>
      <c r="K874" s="38"/>
      <c r="L874" s="38"/>
      <c r="M874" s="17"/>
    </row>
    <row r="875" spans="2:13" ht="14.45" customHeight="1" x14ac:dyDescent="0.25">
      <c r="B875" s="17"/>
      <c r="C875" s="14"/>
      <c r="D875" s="14"/>
      <c r="E875" s="18"/>
      <c r="F875" s="61"/>
      <c r="G875" s="73"/>
      <c r="H875" s="79"/>
      <c r="I875" s="79"/>
      <c r="J875" s="14"/>
      <c r="K875" s="38"/>
      <c r="L875" s="38"/>
      <c r="M875" s="17"/>
    </row>
    <row r="876" spans="2:13" ht="14.45" customHeight="1" x14ac:dyDescent="0.25">
      <c r="B876" s="17"/>
      <c r="C876" s="14"/>
      <c r="D876" s="14"/>
      <c r="E876" s="18"/>
      <c r="F876" s="61"/>
      <c r="G876" s="73"/>
      <c r="H876" s="79"/>
      <c r="I876" s="79"/>
      <c r="J876" s="14"/>
      <c r="K876" s="38"/>
      <c r="L876" s="38"/>
      <c r="M876" s="17"/>
    </row>
    <row r="877" spans="2:13" ht="14.45" customHeight="1" x14ac:dyDescent="0.25">
      <c r="B877" s="17"/>
      <c r="C877" s="14"/>
      <c r="D877" s="14"/>
      <c r="E877" s="18"/>
      <c r="F877" s="61"/>
      <c r="G877" s="73"/>
      <c r="H877" s="79"/>
      <c r="I877" s="79"/>
      <c r="J877" s="14"/>
      <c r="K877" s="38"/>
      <c r="L877" s="38"/>
      <c r="M877" s="17"/>
    </row>
    <row r="878" spans="2:13" ht="14.45" customHeight="1" x14ac:dyDescent="0.25">
      <c r="B878" s="17"/>
      <c r="C878" s="14"/>
      <c r="D878" s="14"/>
      <c r="E878" s="18"/>
      <c r="F878" s="61"/>
      <c r="G878" s="73"/>
      <c r="H878" s="79"/>
      <c r="I878" s="79"/>
      <c r="J878" s="14"/>
      <c r="K878" s="38"/>
      <c r="L878" s="38"/>
      <c r="M878" s="17"/>
    </row>
    <row r="879" spans="2:13" ht="14.45" customHeight="1" x14ac:dyDescent="0.25">
      <c r="B879" s="17"/>
      <c r="C879" s="14"/>
      <c r="D879" s="14"/>
      <c r="E879" s="18"/>
      <c r="F879" s="61"/>
      <c r="G879" s="73"/>
      <c r="H879" s="79"/>
      <c r="I879" s="79"/>
      <c r="J879" s="14"/>
      <c r="K879" s="38"/>
      <c r="L879" s="38"/>
      <c r="M879" s="17"/>
    </row>
    <row r="880" spans="2:13" ht="14.45" customHeight="1" x14ac:dyDescent="0.25">
      <c r="B880" s="17"/>
      <c r="C880" s="14"/>
      <c r="D880" s="14"/>
      <c r="E880" s="18"/>
      <c r="F880" s="61"/>
      <c r="G880" s="73"/>
      <c r="H880" s="79"/>
      <c r="I880" s="79"/>
      <c r="J880" s="14"/>
      <c r="K880" s="38"/>
      <c r="L880" s="38"/>
      <c r="M880" s="17"/>
    </row>
    <row r="881" spans="2:13" ht="14.45" customHeight="1" x14ac:dyDescent="0.25">
      <c r="B881" s="17"/>
      <c r="C881" s="14"/>
      <c r="D881" s="14"/>
      <c r="E881" s="18"/>
      <c r="F881" s="61"/>
      <c r="G881" s="73"/>
      <c r="H881" s="79"/>
      <c r="I881" s="79"/>
      <c r="J881" s="14"/>
      <c r="K881" s="38"/>
      <c r="L881" s="38"/>
      <c r="M881" s="17"/>
    </row>
    <row r="882" spans="2:13" ht="14.45" customHeight="1" x14ac:dyDescent="0.25">
      <c r="B882" s="17"/>
      <c r="C882" s="14"/>
      <c r="D882" s="14"/>
      <c r="E882" s="18"/>
      <c r="F882" s="61"/>
      <c r="G882" s="73"/>
      <c r="H882" s="79"/>
      <c r="I882" s="79"/>
      <c r="J882" s="14"/>
      <c r="K882" s="38"/>
      <c r="L882" s="38"/>
      <c r="M882" s="17"/>
    </row>
    <row r="883" spans="2:13" ht="14.45" customHeight="1" x14ac:dyDescent="0.25">
      <c r="B883" s="17"/>
      <c r="C883" s="14"/>
      <c r="D883" s="14"/>
      <c r="E883" s="18"/>
      <c r="F883" s="61"/>
      <c r="G883" s="73"/>
      <c r="H883" s="79"/>
      <c r="I883" s="79"/>
      <c r="J883" s="14"/>
      <c r="K883" s="38"/>
      <c r="L883" s="38"/>
      <c r="M883" s="17"/>
    </row>
    <row r="884" spans="2:13" ht="14.45" customHeight="1" x14ac:dyDescent="0.25">
      <c r="B884" s="17"/>
      <c r="C884" s="14"/>
      <c r="D884" s="14"/>
      <c r="E884" s="18"/>
      <c r="F884" s="61"/>
      <c r="G884" s="73"/>
      <c r="H884" s="79"/>
      <c r="I884" s="79"/>
      <c r="J884" s="14"/>
      <c r="K884" s="38"/>
      <c r="L884" s="38"/>
      <c r="M884" s="17"/>
    </row>
    <row r="885" spans="2:13" ht="14.45" customHeight="1" x14ac:dyDescent="0.25">
      <c r="B885" s="17"/>
      <c r="C885" s="14"/>
      <c r="D885" s="14"/>
      <c r="E885" s="18"/>
      <c r="F885" s="61"/>
      <c r="G885" s="73"/>
      <c r="H885" s="79"/>
      <c r="I885" s="79"/>
      <c r="J885" s="14"/>
      <c r="K885" s="38"/>
      <c r="L885" s="38"/>
      <c r="M885" s="17"/>
    </row>
    <row r="886" spans="2:13" ht="14.45" customHeight="1" x14ac:dyDescent="0.25">
      <c r="B886" s="17"/>
      <c r="C886" s="14"/>
      <c r="D886" s="14"/>
      <c r="E886" s="18"/>
      <c r="F886" s="61"/>
      <c r="G886" s="73"/>
      <c r="H886" s="79"/>
      <c r="I886" s="79"/>
      <c r="J886" s="14"/>
      <c r="K886" s="38"/>
      <c r="L886" s="38"/>
      <c r="M886" s="17"/>
    </row>
    <row r="887" spans="2:13" ht="14.45" customHeight="1" x14ac:dyDescent="0.25">
      <c r="B887" s="17"/>
      <c r="C887" s="14"/>
      <c r="D887" s="14"/>
      <c r="E887" s="18"/>
      <c r="F887" s="61"/>
      <c r="G887" s="73"/>
      <c r="H887" s="79"/>
      <c r="I887" s="79"/>
      <c r="J887" s="14"/>
      <c r="K887" s="38"/>
      <c r="L887" s="38"/>
      <c r="M887" s="17"/>
    </row>
    <row r="888" spans="2:13" ht="14.45" customHeight="1" x14ac:dyDescent="0.25">
      <c r="B888" s="17"/>
      <c r="C888" s="14"/>
      <c r="D888" s="14"/>
      <c r="E888" s="18"/>
      <c r="F888" s="61"/>
      <c r="G888" s="73"/>
      <c r="H888" s="79"/>
      <c r="I888" s="79"/>
      <c r="J888" s="14"/>
      <c r="K888" s="38"/>
      <c r="L888" s="38"/>
      <c r="M888" s="17"/>
    </row>
    <row r="889" spans="2:13" ht="14.45" customHeight="1" x14ac:dyDescent="0.25">
      <c r="B889" s="17"/>
      <c r="C889" s="14"/>
      <c r="D889" s="14"/>
      <c r="E889" s="18"/>
      <c r="F889" s="61"/>
      <c r="G889" s="73"/>
      <c r="H889" s="79"/>
      <c r="I889" s="79"/>
      <c r="J889" s="14"/>
      <c r="K889" s="38"/>
      <c r="L889" s="38"/>
      <c r="M889" s="17"/>
    </row>
    <row r="890" spans="2:13" ht="14.45" customHeight="1" x14ac:dyDescent="0.25">
      <c r="B890" s="17"/>
      <c r="C890" s="14"/>
      <c r="D890" s="14"/>
      <c r="E890" s="18"/>
      <c r="F890" s="61"/>
      <c r="G890" s="73"/>
      <c r="H890" s="79"/>
      <c r="I890" s="79"/>
      <c r="J890" s="14"/>
      <c r="K890" s="38"/>
      <c r="L890" s="38"/>
      <c r="M890" s="17"/>
    </row>
    <row r="891" spans="2:13" ht="14.45" customHeight="1" x14ac:dyDescent="0.25">
      <c r="B891" s="17"/>
      <c r="C891" s="14"/>
      <c r="D891" s="14"/>
      <c r="E891" s="18"/>
      <c r="F891" s="61"/>
      <c r="G891" s="73"/>
      <c r="H891" s="79"/>
      <c r="I891" s="79"/>
      <c r="J891" s="14"/>
      <c r="K891" s="38"/>
      <c r="L891" s="38"/>
      <c r="M891" s="17"/>
    </row>
    <row r="892" spans="2:13" ht="14.45" customHeight="1" x14ac:dyDescent="0.25">
      <c r="B892" s="17"/>
      <c r="C892" s="14"/>
      <c r="D892" s="14"/>
      <c r="E892" s="18"/>
      <c r="F892" s="61"/>
      <c r="G892" s="73"/>
      <c r="H892" s="79"/>
      <c r="I892" s="79"/>
      <c r="J892" s="14"/>
      <c r="K892" s="38"/>
      <c r="L892" s="38"/>
      <c r="M892" s="17"/>
    </row>
    <row r="893" spans="2:13" ht="14.45" customHeight="1" x14ac:dyDescent="0.25">
      <c r="B893" s="17"/>
      <c r="C893" s="14"/>
      <c r="D893" s="14"/>
      <c r="E893" s="18"/>
      <c r="F893" s="61"/>
      <c r="G893" s="73"/>
      <c r="H893" s="79"/>
      <c r="I893" s="79"/>
      <c r="J893" s="14"/>
      <c r="K893" s="38"/>
      <c r="L893" s="38"/>
      <c r="M893" s="17"/>
    </row>
    <row r="894" spans="2:13" ht="14.45" customHeight="1" x14ac:dyDescent="0.25">
      <c r="B894" s="17"/>
      <c r="C894" s="14"/>
      <c r="D894" s="14"/>
      <c r="E894" s="18"/>
      <c r="F894" s="61"/>
      <c r="G894" s="73"/>
      <c r="H894" s="79"/>
      <c r="I894" s="79"/>
      <c r="J894" s="14"/>
      <c r="K894" s="38"/>
      <c r="L894" s="38"/>
      <c r="M894" s="17"/>
    </row>
    <row r="895" spans="2:13" ht="14.45" customHeight="1" x14ac:dyDescent="0.25">
      <c r="B895" s="17"/>
      <c r="C895" s="14"/>
      <c r="D895" s="14"/>
      <c r="E895" s="18"/>
      <c r="F895" s="61"/>
      <c r="G895" s="73"/>
      <c r="H895" s="79"/>
      <c r="I895" s="79"/>
      <c r="J895" s="14"/>
      <c r="K895" s="38"/>
      <c r="L895" s="38"/>
      <c r="M895" s="17"/>
    </row>
    <row r="896" spans="2:13" ht="14.45" customHeight="1" x14ac:dyDescent="0.25">
      <c r="B896" s="17"/>
      <c r="C896" s="14"/>
      <c r="D896" s="14"/>
      <c r="E896" s="18"/>
      <c r="F896" s="61"/>
      <c r="G896" s="73"/>
      <c r="H896" s="79"/>
      <c r="I896" s="79"/>
      <c r="J896" s="14"/>
      <c r="K896" s="38"/>
      <c r="L896" s="38"/>
      <c r="M896" s="17"/>
    </row>
    <row r="897" spans="2:13" ht="14.45" customHeight="1" x14ac:dyDescent="0.25">
      <c r="B897" s="17"/>
      <c r="C897" s="14"/>
      <c r="D897" s="14"/>
      <c r="E897" s="18"/>
      <c r="F897" s="61"/>
      <c r="G897" s="73"/>
      <c r="H897" s="79"/>
      <c r="I897" s="79"/>
      <c r="J897" s="14"/>
      <c r="K897" s="38"/>
      <c r="L897" s="38"/>
      <c r="M897" s="17"/>
    </row>
    <row r="898" spans="2:13" ht="14.45" customHeight="1" x14ac:dyDescent="0.25">
      <c r="B898" s="17"/>
      <c r="C898" s="14"/>
      <c r="D898" s="14"/>
      <c r="E898" s="18"/>
      <c r="F898" s="61"/>
      <c r="G898" s="73"/>
      <c r="H898" s="79"/>
      <c r="I898" s="79"/>
      <c r="J898" s="14"/>
      <c r="K898" s="38"/>
      <c r="L898" s="38"/>
      <c r="M898" s="17"/>
    </row>
    <row r="899" spans="2:13" ht="14.45" customHeight="1" x14ac:dyDescent="0.25">
      <c r="B899" s="17"/>
      <c r="C899" s="14"/>
      <c r="D899" s="14"/>
      <c r="E899" s="18"/>
      <c r="F899" s="61"/>
      <c r="G899" s="73"/>
      <c r="H899" s="79"/>
      <c r="I899" s="79"/>
      <c r="J899" s="14"/>
      <c r="K899" s="38"/>
      <c r="L899" s="38"/>
      <c r="M899" s="17"/>
    </row>
    <row r="900" spans="2:13" ht="14.45" customHeight="1" x14ac:dyDescent="0.25">
      <c r="B900" s="17"/>
      <c r="C900" s="14"/>
      <c r="D900" s="14"/>
      <c r="E900" s="18"/>
      <c r="F900" s="61"/>
      <c r="G900" s="73"/>
      <c r="H900" s="79"/>
      <c r="I900" s="79"/>
      <c r="J900" s="14"/>
      <c r="K900" s="38"/>
      <c r="L900" s="38"/>
      <c r="M900" s="17"/>
    </row>
    <row r="901" spans="2:13" ht="14.45" customHeight="1" x14ac:dyDescent="0.25">
      <c r="B901" s="17"/>
      <c r="C901" s="14"/>
      <c r="D901" s="14"/>
      <c r="E901" s="18"/>
      <c r="F901" s="61"/>
      <c r="G901" s="73"/>
      <c r="H901" s="79"/>
      <c r="I901" s="79"/>
      <c r="J901" s="14"/>
      <c r="K901" s="38"/>
      <c r="L901" s="38"/>
      <c r="M901" s="17"/>
    </row>
    <row r="902" spans="2:13" ht="14.45" customHeight="1" x14ac:dyDescent="0.25">
      <c r="B902" s="17"/>
      <c r="C902" s="14"/>
      <c r="D902" s="14"/>
      <c r="E902" s="18"/>
      <c r="F902" s="61"/>
      <c r="G902" s="73"/>
      <c r="H902" s="79"/>
      <c r="I902" s="79"/>
      <c r="J902" s="14"/>
      <c r="K902" s="38"/>
      <c r="L902" s="38"/>
      <c r="M902" s="17"/>
    </row>
    <row r="903" spans="2:13" ht="14.45" customHeight="1" x14ac:dyDescent="0.25">
      <c r="B903" s="17"/>
      <c r="C903" s="14"/>
      <c r="D903" s="14"/>
      <c r="E903" s="18"/>
      <c r="F903" s="61"/>
      <c r="G903" s="73"/>
      <c r="H903" s="79"/>
      <c r="I903" s="79"/>
      <c r="J903" s="14"/>
      <c r="K903" s="38"/>
      <c r="L903" s="38"/>
      <c r="M903" s="17"/>
    </row>
    <row r="904" spans="2:13" ht="14.45" customHeight="1" x14ac:dyDescent="0.25">
      <c r="B904" s="17"/>
      <c r="C904" s="14"/>
      <c r="D904" s="14"/>
      <c r="E904" s="18"/>
      <c r="F904" s="61"/>
      <c r="G904" s="73"/>
      <c r="H904" s="79"/>
      <c r="I904" s="79"/>
      <c r="J904" s="14"/>
      <c r="K904" s="38"/>
      <c r="L904" s="38"/>
      <c r="M904" s="17"/>
    </row>
    <row r="905" spans="2:13" ht="14.45" customHeight="1" x14ac:dyDescent="0.25">
      <c r="B905" s="17"/>
      <c r="C905" s="14"/>
      <c r="D905" s="14"/>
      <c r="E905" s="18"/>
      <c r="F905" s="61"/>
      <c r="G905" s="73"/>
      <c r="H905" s="79"/>
      <c r="I905" s="79"/>
      <c r="J905" s="14"/>
      <c r="K905" s="38"/>
      <c r="L905" s="38"/>
      <c r="M905" s="17"/>
    </row>
    <row r="906" spans="2:13" ht="14.45" customHeight="1" x14ac:dyDescent="0.25">
      <c r="B906" s="17"/>
      <c r="C906" s="14"/>
      <c r="D906" s="14"/>
      <c r="E906" s="18"/>
      <c r="F906" s="61"/>
      <c r="G906" s="73"/>
      <c r="H906" s="79"/>
      <c r="I906" s="79"/>
      <c r="J906" s="14"/>
      <c r="K906" s="38"/>
      <c r="L906" s="38"/>
      <c r="M906" s="17"/>
    </row>
    <row r="907" spans="2:13" ht="14.45" customHeight="1" x14ac:dyDescent="0.25">
      <c r="B907" s="17"/>
      <c r="C907" s="14"/>
      <c r="D907" s="14"/>
      <c r="E907" s="18"/>
      <c r="F907" s="61"/>
      <c r="G907" s="73"/>
      <c r="H907" s="79"/>
      <c r="I907" s="79"/>
      <c r="J907" s="14"/>
      <c r="K907" s="38"/>
      <c r="L907" s="38"/>
      <c r="M907" s="17"/>
    </row>
    <row r="908" spans="2:13" ht="14.45" customHeight="1" x14ac:dyDescent="0.25">
      <c r="B908" s="17"/>
      <c r="C908" s="14"/>
      <c r="D908" s="14"/>
      <c r="E908" s="18"/>
      <c r="F908" s="61"/>
      <c r="G908" s="73"/>
      <c r="H908" s="79"/>
      <c r="I908" s="79"/>
      <c r="J908" s="14"/>
      <c r="K908" s="38"/>
      <c r="L908" s="38"/>
      <c r="M908" s="17"/>
    </row>
    <row r="909" spans="2:13" ht="14.45" customHeight="1" x14ac:dyDescent="0.25">
      <c r="B909" s="17"/>
      <c r="C909" s="14"/>
      <c r="D909" s="14"/>
      <c r="E909" s="18"/>
      <c r="F909" s="61"/>
      <c r="G909" s="73"/>
      <c r="H909" s="79"/>
      <c r="I909" s="79"/>
      <c r="J909" s="14"/>
      <c r="K909" s="38"/>
      <c r="L909" s="38"/>
      <c r="M909" s="17"/>
    </row>
    <row r="910" spans="2:13" ht="14.45" customHeight="1" x14ac:dyDescent="0.25">
      <c r="B910" s="17"/>
      <c r="C910" s="14"/>
      <c r="D910" s="14"/>
      <c r="E910" s="18"/>
      <c r="F910" s="61"/>
      <c r="G910" s="73"/>
      <c r="H910" s="79"/>
      <c r="I910" s="79"/>
      <c r="J910" s="14"/>
      <c r="K910" s="38"/>
      <c r="L910" s="38"/>
      <c r="M910" s="17"/>
    </row>
    <row r="911" spans="2:13" ht="14.45" customHeight="1" x14ac:dyDescent="0.25">
      <c r="B911" s="17"/>
      <c r="C911" s="14"/>
      <c r="D911" s="14"/>
      <c r="E911" s="18"/>
      <c r="F911" s="61"/>
      <c r="G911" s="73"/>
      <c r="H911" s="79"/>
      <c r="I911" s="79"/>
      <c r="J911" s="14"/>
      <c r="K911" s="38"/>
      <c r="L911" s="38"/>
      <c r="M911" s="17"/>
    </row>
    <row r="912" spans="2:13" ht="14.45" customHeight="1" x14ac:dyDescent="0.25">
      <c r="B912" s="17"/>
      <c r="C912" s="14"/>
      <c r="D912" s="14"/>
      <c r="E912" s="18"/>
      <c r="F912" s="61"/>
      <c r="G912" s="73"/>
      <c r="H912" s="79"/>
      <c r="I912" s="79"/>
      <c r="J912" s="14"/>
      <c r="K912" s="38"/>
      <c r="L912" s="38"/>
      <c r="M912" s="17"/>
    </row>
    <row r="913" spans="2:13" ht="14.45" customHeight="1" x14ac:dyDescent="0.25">
      <c r="B913" s="17"/>
      <c r="C913" s="14"/>
      <c r="D913" s="14"/>
      <c r="E913" s="18"/>
      <c r="F913" s="61"/>
      <c r="G913" s="73"/>
      <c r="H913" s="79"/>
      <c r="I913" s="79"/>
      <c r="J913" s="14"/>
      <c r="K913" s="38"/>
      <c r="L913" s="38"/>
      <c r="M913" s="17"/>
    </row>
    <row r="914" spans="2:13" ht="14.45" customHeight="1" x14ac:dyDescent="0.25">
      <c r="B914" s="17"/>
      <c r="C914" s="14"/>
      <c r="D914" s="14"/>
      <c r="E914" s="18"/>
      <c r="F914" s="61"/>
      <c r="G914" s="73"/>
      <c r="H914" s="79"/>
      <c r="I914" s="79"/>
      <c r="J914" s="14"/>
      <c r="K914" s="38"/>
      <c r="L914" s="38"/>
      <c r="M914" s="17"/>
    </row>
    <row r="915" spans="2:13" ht="14.45" customHeight="1" x14ac:dyDescent="0.25">
      <c r="B915" s="17"/>
      <c r="C915" s="14"/>
      <c r="D915" s="14"/>
      <c r="E915" s="18"/>
      <c r="F915" s="61"/>
      <c r="G915" s="73"/>
      <c r="H915" s="79"/>
      <c r="I915" s="79"/>
      <c r="J915" s="14"/>
      <c r="K915" s="38"/>
      <c r="L915" s="38"/>
      <c r="M915" s="17"/>
    </row>
    <row r="916" spans="2:13" ht="14.45" customHeight="1" x14ac:dyDescent="0.25">
      <c r="B916" s="17"/>
      <c r="C916" s="14"/>
      <c r="D916" s="14"/>
      <c r="E916" s="18"/>
      <c r="F916" s="61"/>
      <c r="G916" s="73"/>
      <c r="H916" s="79"/>
      <c r="I916" s="79"/>
      <c r="J916" s="14"/>
      <c r="K916" s="38"/>
      <c r="L916" s="38"/>
      <c r="M916" s="17"/>
    </row>
    <row r="917" spans="2:13" ht="14.45" customHeight="1" x14ac:dyDescent="0.25">
      <c r="B917" s="17"/>
      <c r="C917" s="14"/>
      <c r="D917" s="14"/>
      <c r="E917" s="18"/>
      <c r="F917" s="61"/>
      <c r="G917" s="73"/>
      <c r="H917" s="79"/>
      <c r="I917" s="79"/>
      <c r="J917" s="14"/>
      <c r="K917" s="38"/>
      <c r="L917" s="38"/>
      <c r="M917" s="17"/>
    </row>
    <row r="918" spans="2:13" ht="14.45" customHeight="1" x14ac:dyDescent="0.25">
      <c r="B918" s="17"/>
      <c r="C918" s="14"/>
      <c r="D918" s="14"/>
      <c r="E918" s="18"/>
      <c r="F918" s="61"/>
      <c r="G918" s="73"/>
      <c r="H918" s="79"/>
      <c r="I918" s="79"/>
      <c r="J918" s="14"/>
      <c r="K918" s="38"/>
      <c r="L918" s="38"/>
      <c r="M918" s="17"/>
    </row>
    <row r="919" spans="2:13" ht="14.45" customHeight="1" x14ac:dyDescent="0.25">
      <c r="B919" s="17"/>
      <c r="C919" s="14"/>
      <c r="D919" s="14"/>
      <c r="E919" s="18"/>
      <c r="F919" s="61"/>
      <c r="G919" s="73"/>
      <c r="H919" s="79"/>
      <c r="I919" s="79"/>
      <c r="J919" s="14"/>
      <c r="K919" s="38"/>
      <c r="L919" s="38"/>
      <c r="M919" s="17"/>
    </row>
    <row r="920" spans="2:13" ht="14.45" customHeight="1" x14ac:dyDescent="0.25">
      <c r="B920" s="17"/>
      <c r="C920" s="14"/>
      <c r="D920" s="14"/>
      <c r="E920" s="18"/>
      <c r="F920" s="61"/>
      <c r="G920" s="73"/>
      <c r="H920" s="79"/>
      <c r="I920" s="79"/>
      <c r="J920" s="14"/>
      <c r="K920" s="38"/>
      <c r="L920" s="38"/>
      <c r="M920" s="17"/>
    </row>
    <row r="921" spans="2:13" ht="14.45" customHeight="1" x14ac:dyDescent="0.25">
      <c r="B921" s="17"/>
      <c r="C921" s="14"/>
      <c r="D921" s="14"/>
      <c r="E921" s="18"/>
      <c r="F921" s="61"/>
      <c r="G921" s="73"/>
      <c r="H921" s="79"/>
      <c r="I921" s="79"/>
      <c r="J921" s="14"/>
      <c r="K921" s="38"/>
      <c r="L921" s="38"/>
      <c r="M921" s="17"/>
    </row>
    <row r="922" spans="2:13" ht="14.45" customHeight="1" x14ac:dyDescent="0.25">
      <c r="B922" s="17"/>
      <c r="C922" s="14"/>
      <c r="D922" s="14"/>
      <c r="E922" s="18"/>
      <c r="F922" s="61"/>
      <c r="G922" s="73"/>
      <c r="H922" s="79"/>
      <c r="I922" s="79"/>
      <c r="J922" s="14"/>
      <c r="K922" s="38"/>
      <c r="L922" s="38"/>
      <c r="M922" s="17"/>
    </row>
    <row r="923" spans="2:13" ht="14.45" customHeight="1" x14ac:dyDescent="0.25">
      <c r="B923" s="17"/>
      <c r="C923" s="14"/>
      <c r="D923" s="14"/>
      <c r="E923" s="18"/>
      <c r="F923" s="61"/>
      <c r="G923" s="73"/>
      <c r="H923" s="79"/>
      <c r="I923" s="79"/>
      <c r="J923" s="14"/>
      <c r="K923" s="38"/>
      <c r="L923" s="38"/>
      <c r="M923" s="17"/>
    </row>
    <row r="924" spans="2:13" ht="14.45" customHeight="1" x14ac:dyDescent="0.25">
      <c r="B924" s="17"/>
      <c r="C924" s="14"/>
      <c r="D924" s="14"/>
      <c r="E924" s="18"/>
      <c r="F924" s="61"/>
      <c r="G924" s="73"/>
      <c r="H924" s="79"/>
      <c r="I924" s="79"/>
      <c r="J924" s="14"/>
      <c r="K924" s="38"/>
      <c r="L924" s="38"/>
      <c r="M924" s="17"/>
    </row>
    <row r="925" spans="2:13" ht="14.45" customHeight="1" x14ac:dyDescent="0.25">
      <c r="B925" s="17"/>
      <c r="C925" s="14"/>
      <c r="D925" s="14"/>
      <c r="E925" s="18"/>
      <c r="F925" s="61"/>
      <c r="G925" s="73"/>
      <c r="H925" s="79"/>
      <c r="I925" s="79"/>
      <c r="J925" s="14"/>
      <c r="K925" s="38"/>
      <c r="L925" s="38"/>
      <c r="M925" s="17"/>
    </row>
    <row r="926" spans="2:13" ht="14.45" customHeight="1" x14ac:dyDescent="0.25">
      <c r="B926" s="17"/>
      <c r="C926" s="14"/>
      <c r="D926" s="14"/>
      <c r="E926" s="18"/>
      <c r="F926" s="61"/>
      <c r="G926" s="73"/>
      <c r="H926" s="79"/>
      <c r="I926" s="79"/>
      <c r="J926" s="14"/>
      <c r="K926" s="38"/>
      <c r="L926" s="38"/>
      <c r="M926" s="17"/>
    </row>
    <row r="927" spans="2:13" ht="14.45" customHeight="1" x14ac:dyDescent="0.25">
      <c r="B927" s="17"/>
      <c r="C927" s="14"/>
      <c r="D927" s="14"/>
      <c r="E927" s="18"/>
      <c r="F927" s="61"/>
      <c r="G927" s="73"/>
      <c r="H927" s="79"/>
      <c r="I927" s="79"/>
      <c r="J927" s="14"/>
      <c r="K927" s="38"/>
      <c r="L927" s="38"/>
      <c r="M927" s="17"/>
    </row>
    <row r="928" spans="2:13" ht="14.45" customHeight="1" x14ac:dyDescent="0.25">
      <c r="B928" s="17"/>
      <c r="C928" s="14"/>
      <c r="D928" s="14"/>
      <c r="E928" s="18"/>
      <c r="F928" s="61"/>
      <c r="G928" s="73"/>
      <c r="H928" s="79"/>
      <c r="I928" s="79"/>
      <c r="J928" s="14"/>
      <c r="K928" s="38"/>
      <c r="L928" s="38"/>
      <c r="M928" s="17"/>
    </row>
    <row r="929" spans="2:13" ht="14.45" customHeight="1" x14ac:dyDescent="0.25">
      <c r="B929" s="17"/>
      <c r="C929" s="14"/>
      <c r="D929" s="14"/>
      <c r="E929" s="18"/>
      <c r="F929" s="61"/>
      <c r="G929" s="73"/>
      <c r="H929" s="79"/>
      <c r="I929" s="79"/>
      <c r="J929" s="14"/>
      <c r="K929" s="38"/>
      <c r="L929" s="38"/>
      <c r="M929" s="17"/>
    </row>
    <row r="930" spans="2:13" ht="14.45" customHeight="1" x14ac:dyDescent="0.25">
      <c r="B930" s="17"/>
      <c r="C930" s="14"/>
      <c r="D930" s="14"/>
      <c r="E930" s="18"/>
      <c r="F930" s="61"/>
      <c r="G930" s="73"/>
      <c r="H930" s="79"/>
      <c r="I930" s="79"/>
      <c r="J930" s="14"/>
      <c r="K930" s="38"/>
      <c r="L930" s="38"/>
      <c r="M930" s="17"/>
    </row>
    <row r="931" spans="2:13" ht="14.45" customHeight="1" x14ac:dyDescent="0.25">
      <c r="B931" s="17"/>
      <c r="C931" s="14"/>
      <c r="D931" s="14"/>
      <c r="E931" s="18"/>
      <c r="F931" s="61"/>
      <c r="G931" s="73"/>
      <c r="H931" s="79"/>
      <c r="I931" s="79"/>
      <c r="J931" s="14"/>
      <c r="K931" s="38"/>
      <c r="L931" s="38"/>
      <c r="M931" s="17"/>
    </row>
    <row r="932" spans="2:13" ht="14.45" customHeight="1" x14ac:dyDescent="0.25">
      <c r="B932" s="17"/>
      <c r="C932" s="14"/>
      <c r="D932" s="14"/>
      <c r="E932" s="18"/>
      <c r="F932" s="61"/>
      <c r="G932" s="73"/>
      <c r="H932" s="79"/>
      <c r="I932" s="79"/>
      <c r="J932" s="14"/>
      <c r="K932" s="38"/>
      <c r="L932" s="38"/>
      <c r="M932" s="17"/>
    </row>
    <row r="933" spans="2:13" ht="14.45" customHeight="1" x14ac:dyDescent="0.25">
      <c r="B933" s="17"/>
      <c r="C933" s="14"/>
      <c r="D933" s="14"/>
      <c r="E933" s="18"/>
      <c r="F933" s="61"/>
      <c r="G933" s="73"/>
      <c r="H933" s="79"/>
      <c r="I933" s="79"/>
      <c r="J933" s="14"/>
      <c r="K933" s="38"/>
      <c r="L933" s="38"/>
      <c r="M933" s="17"/>
    </row>
    <row r="934" spans="2:13" ht="14.45" customHeight="1" x14ac:dyDescent="0.25">
      <c r="B934" s="17"/>
      <c r="C934" s="14"/>
      <c r="D934" s="14"/>
      <c r="E934" s="18"/>
      <c r="F934" s="61"/>
      <c r="G934" s="73"/>
      <c r="H934" s="79"/>
      <c r="I934" s="79"/>
      <c r="J934" s="14"/>
      <c r="K934" s="38"/>
      <c r="L934" s="38"/>
      <c r="M934" s="17"/>
    </row>
    <row r="935" spans="2:13" ht="14.45" customHeight="1" x14ac:dyDescent="0.25">
      <c r="B935" s="17"/>
      <c r="C935" s="14"/>
      <c r="D935" s="14"/>
      <c r="E935" s="18"/>
      <c r="F935" s="61"/>
      <c r="G935" s="73"/>
      <c r="H935" s="79"/>
      <c r="I935" s="79"/>
      <c r="J935" s="14"/>
      <c r="K935" s="38"/>
      <c r="L935" s="38"/>
      <c r="M935" s="17"/>
    </row>
    <row r="936" spans="2:13" ht="14.45" customHeight="1" x14ac:dyDescent="0.25">
      <c r="B936" s="17"/>
      <c r="C936" s="14"/>
      <c r="D936" s="14"/>
      <c r="E936" s="18"/>
      <c r="F936" s="61"/>
      <c r="G936" s="73"/>
      <c r="H936" s="79"/>
      <c r="I936" s="79"/>
      <c r="J936" s="14"/>
      <c r="K936" s="38"/>
      <c r="L936" s="38"/>
      <c r="M936" s="17"/>
    </row>
    <row r="937" spans="2:13" ht="14.45" customHeight="1" x14ac:dyDescent="0.25">
      <c r="B937" s="17"/>
      <c r="C937" s="14"/>
      <c r="D937" s="14"/>
      <c r="E937" s="18"/>
      <c r="F937" s="61"/>
      <c r="G937" s="73"/>
      <c r="H937" s="79"/>
      <c r="I937" s="79"/>
      <c r="J937" s="14"/>
      <c r="K937" s="38"/>
      <c r="L937" s="38"/>
      <c r="M937" s="17"/>
    </row>
    <row r="938" spans="2:13" ht="14.45" customHeight="1" x14ac:dyDescent="0.25">
      <c r="B938" s="17"/>
      <c r="C938" s="14"/>
      <c r="D938" s="14"/>
      <c r="E938" s="18"/>
      <c r="F938" s="61"/>
      <c r="G938" s="73"/>
      <c r="H938" s="79"/>
      <c r="I938" s="79"/>
      <c r="J938" s="14"/>
      <c r="K938" s="38"/>
      <c r="L938" s="38"/>
      <c r="M938" s="17"/>
    </row>
    <row r="939" spans="2:13" ht="14.45" customHeight="1" x14ac:dyDescent="0.25">
      <c r="B939" s="17"/>
      <c r="C939" s="14"/>
      <c r="D939" s="14"/>
      <c r="E939" s="18"/>
      <c r="F939" s="61"/>
      <c r="G939" s="73"/>
      <c r="H939" s="79"/>
      <c r="I939" s="79"/>
      <c r="J939" s="14"/>
      <c r="K939" s="38"/>
      <c r="L939" s="38"/>
      <c r="M939" s="17"/>
    </row>
    <row r="940" spans="2:13" ht="14.45" customHeight="1" x14ac:dyDescent="0.25">
      <c r="B940" s="17"/>
      <c r="C940" s="14"/>
      <c r="D940" s="14"/>
      <c r="E940" s="18"/>
      <c r="F940" s="61"/>
      <c r="G940" s="73"/>
      <c r="H940" s="79"/>
      <c r="I940" s="79"/>
      <c r="J940" s="14"/>
      <c r="K940" s="38"/>
      <c r="L940" s="38"/>
      <c r="M940" s="17"/>
    </row>
    <row r="941" spans="2:13" ht="14.45" customHeight="1" x14ac:dyDescent="0.25">
      <c r="B941" s="17"/>
      <c r="C941" s="14"/>
      <c r="D941" s="14"/>
      <c r="E941" s="18"/>
      <c r="F941" s="61"/>
      <c r="G941" s="73"/>
      <c r="H941" s="79"/>
      <c r="I941" s="79"/>
      <c r="J941" s="14"/>
      <c r="K941" s="38"/>
      <c r="L941" s="38"/>
      <c r="M941" s="17"/>
    </row>
    <row r="942" spans="2:13" ht="14.45" customHeight="1" x14ac:dyDescent="0.25">
      <c r="B942" s="17"/>
      <c r="C942" s="14"/>
      <c r="D942" s="14"/>
      <c r="E942" s="18"/>
      <c r="F942" s="61"/>
      <c r="G942" s="73"/>
      <c r="H942" s="79"/>
      <c r="I942" s="79"/>
      <c r="J942" s="14"/>
      <c r="K942" s="38"/>
      <c r="L942" s="38"/>
      <c r="M942" s="17"/>
    </row>
    <row r="943" spans="2:13" ht="14.45" customHeight="1" x14ac:dyDescent="0.25">
      <c r="B943" s="17"/>
      <c r="C943" s="14"/>
      <c r="D943" s="14"/>
      <c r="E943" s="18"/>
      <c r="F943" s="61"/>
      <c r="G943" s="73"/>
      <c r="H943" s="79"/>
      <c r="I943" s="79"/>
      <c r="J943" s="14"/>
      <c r="K943" s="38"/>
      <c r="L943" s="38"/>
      <c r="M943" s="17"/>
    </row>
    <row r="944" spans="2:13" ht="14.45" customHeight="1" x14ac:dyDescent="0.25">
      <c r="B944" s="17"/>
      <c r="C944" s="14"/>
      <c r="D944" s="14"/>
      <c r="E944" s="18"/>
      <c r="F944" s="61"/>
      <c r="G944" s="73"/>
      <c r="H944" s="79"/>
      <c r="I944" s="79"/>
      <c r="J944" s="14"/>
      <c r="K944" s="38"/>
      <c r="L944" s="38"/>
      <c r="M944" s="17"/>
    </row>
    <row r="945" spans="2:13" ht="14.45" customHeight="1" x14ac:dyDescent="0.25">
      <c r="B945" s="17"/>
      <c r="C945" s="14"/>
      <c r="D945" s="14"/>
      <c r="E945" s="18"/>
      <c r="F945" s="61"/>
      <c r="G945" s="73"/>
      <c r="H945" s="79"/>
      <c r="I945" s="79"/>
      <c r="J945" s="14"/>
      <c r="K945" s="38"/>
      <c r="L945" s="38"/>
      <c r="M945" s="17"/>
    </row>
    <row r="946" spans="2:13" ht="14.45" customHeight="1" x14ac:dyDescent="0.25">
      <c r="B946" s="17"/>
      <c r="C946" s="14"/>
      <c r="D946" s="14"/>
      <c r="E946" s="18"/>
      <c r="F946" s="61"/>
      <c r="G946" s="73"/>
      <c r="H946" s="79"/>
      <c r="I946" s="79"/>
      <c r="J946" s="14"/>
      <c r="K946" s="38"/>
      <c r="L946" s="38"/>
      <c r="M946" s="17"/>
    </row>
    <row r="947" spans="2:13" ht="14.45" customHeight="1" x14ac:dyDescent="0.25">
      <c r="B947" s="17"/>
      <c r="C947" s="14"/>
      <c r="D947" s="14"/>
      <c r="E947" s="18"/>
      <c r="F947" s="61"/>
      <c r="G947" s="73"/>
      <c r="H947" s="79"/>
      <c r="I947" s="79"/>
      <c r="J947" s="14"/>
      <c r="K947" s="38"/>
      <c r="L947" s="38"/>
      <c r="M947" s="17"/>
    </row>
    <row r="948" spans="2:13" ht="14.45" customHeight="1" x14ac:dyDescent="0.25">
      <c r="B948" s="17"/>
      <c r="C948" s="14"/>
      <c r="D948" s="14"/>
      <c r="E948" s="18"/>
      <c r="F948" s="61"/>
      <c r="G948" s="73"/>
      <c r="H948" s="79"/>
      <c r="I948" s="79"/>
      <c r="J948" s="14"/>
      <c r="K948" s="38"/>
      <c r="L948" s="38"/>
      <c r="M948" s="17"/>
    </row>
    <row r="949" spans="2:13" ht="14.45" customHeight="1" x14ac:dyDescent="0.25">
      <c r="B949" s="17"/>
      <c r="C949" s="14"/>
      <c r="D949" s="14"/>
      <c r="E949" s="18"/>
      <c r="F949" s="61"/>
      <c r="G949" s="73"/>
      <c r="H949" s="79"/>
      <c r="I949" s="79"/>
      <c r="J949" s="14"/>
      <c r="K949" s="38"/>
      <c r="L949" s="38"/>
      <c r="M949" s="17"/>
    </row>
    <row r="950" spans="2:13" ht="14.45" customHeight="1" x14ac:dyDescent="0.25">
      <c r="B950" s="17"/>
      <c r="C950" s="14"/>
      <c r="D950" s="14"/>
      <c r="E950" s="18"/>
      <c r="F950" s="61"/>
      <c r="G950" s="73"/>
      <c r="H950" s="79"/>
      <c r="I950" s="79"/>
      <c r="J950" s="14"/>
      <c r="K950" s="38"/>
      <c r="L950" s="38"/>
      <c r="M950" s="17"/>
    </row>
    <row r="951" spans="2:13" ht="14.45" customHeight="1" x14ac:dyDescent="0.25">
      <c r="B951" s="17"/>
      <c r="C951" s="14"/>
      <c r="D951" s="14"/>
      <c r="E951" s="18"/>
      <c r="F951" s="61"/>
      <c r="G951" s="73"/>
      <c r="H951" s="79"/>
      <c r="I951" s="79"/>
      <c r="J951" s="14"/>
      <c r="K951" s="38"/>
      <c r="L951" s="38"/>
      <c r="M951" s="17"/>
    </row>
    <row r="952" spans="2:13" ht="14.45" customHeight="1" x14ac:dyDescent="0.25">
      <c r="B952" s="17"/>
      <c r="C952" s="14"/>
      <c r="D952" s="14"/>
      <c r="E952" s="18"/>
      <c r="F952" s="61"/>
      <c r="G952" s="73"/>
      <c r="H952" s="79"/>
      <c r="I952" s="79"/>
      <c r="J952" s="14"/>
      <c r="K952" s="38"/>
      <c r="L952" s="38"/>
      <c r="M952" s="17"/>
    </row>
    <row r="953" spans="2:13" ht="14.45" customHeight="1" x14ac:dyDescent="0.25">
      <c r="B953" s="17"/>
      <c r="C953" s="14"/>
      <c r="D953" s="14"/>
      <c r="E953" s="18"/>
      <c r="F953" s="61"/>
      <c r="G953" s="73"/>
      <c r="H953" s="79"/>
      <c r="I953" s="79"/>
      <c r="J953" s="14"/>
      <c r="K953" s="38"/>
      <c r="L953" s="38"/>
      <c r="M953" s="17"/>
    </row>
    <row r="954" spans="2:13" ht="14.45" customHeight="1" x14ac:dyDescent="0.25">
      <c r="B954" s="17"/>
      <c r="C954" s="14"/>
      <c r="D954" s="14"/>
      <c r="E954" s="18"/>
      <c r="F954" s="61"/>
      <c r="G954" s="73"/>
      <c r="H954" s="79"/>
      <c r="I954" s="79"/>
      <c r="J954" s="14"/>
      <c r="K954" s="38"/>
      <c r="L954" s="38"/>
      <c r="M954" s="17"/>
    </row>
    <row r="955" spans="2:13" ht="14.45" customHeight="1" x14ac:dyDescent="0.25">
      <c r="B955" s="17"/>
      <c r="C955" s="14"/>
      <c r="D955" s="14"/>
      <c r="E955" s="18"/>
      <c r="F955" s="61"/>
      <c r="G955" s="73"/>
      <c r="H955" s="79"/>
      <c r="I955" s="79"/>
      <c r="J955" s="14"/>
      <c r="K955" s="38"/>
      <c r="L955" s="38"/>
      <c r="M955" s="17"/>
    </row>
    <row r="956" spans="2:13" ht="14.45" customHeight="1" x14ac:dyDescent="0.25">
      <c r="B956" s="17"/>
      <c r="C956" s="14"/>
      <c r="D956" s="14"/>
      <c r="E956" s="18"/>
      <c r="F956" s="61"/>
      <c r="G956" s="73"/>
      <c r="H956" s="79"/>
      <c r="I956" s="79"/>
      <c r="J956" s="14"/>
      <c r="K956" s="38"/>
      <c r="L956" s="38"/>
      <c r="M956" s="17"/>
    </row>
    <row r="957" spans="2:13" ht="14.45" customHeight="1" x14ac:dyDescent="0.25">
      <c r="B957" s="17"/>
      <c r="C957" s="14"/>
      <c r="D957" s="14"/>
      <c r="E957" s="18"/>
      <c r="F957" s="61"/>
      <c r="G957" s="73"/>
      <c r="H957" s="79"/>
      <c r="I957" s="79"/>
      <c r="J957" s="14"/>
      <c r="K957" s="38"/>
      <c r="L957" s="38"/>
      <c r="M957" s="17"/>
    </row>
    <row r="958" spans="2:13" ht="14.45" customHeight="1" x14ac:dyDescent="0.25">
      <c r="B958" s="17"/>
      <c r="C958" s="14"/>
      <c r="D958" s="14"/>
      <c r="E958" s="18"/>
      <c r="F958" s="61"/>
      <c r="G958" s="73"/>
      <c r="H958" s="79"/>
      <c r="I958" s="79"/>
      <c r="J958" s="14"/>
      <c r="K958" s="38"/>
      <c r="L958" s="38"/>
      <c r="M958" s="17"/>
    </row>
    <row r="959" spans="2:13" ht="14.45" customHeight="1" x14ac:dyDescent="0.25">
      <c r="B959" s="17"/>
      <c r="C959" s="14"/>
      <c r="D959" s="14"/>
      <c r="E959" s="18"/>
      <c r="F959" s="61"/>
      <c r="G959" s="73"/>
      <c r="H959" s="79"/>
      <c r="I959" s="79"/>
      <c r="J959" s="14"/>
      <c r="K959" s="38"/>
      <c r="L959" s="38"/>
      <c r="M959" s="17"/>
    </row>
    <row r="960" spans="2:13" ht="14.45" customHeight="1" x14ac:dyDescent="0.25">
      <c r="B960" s="17"/>
      <c r="C960" s="14"/>
      <c r="D960" s="14"/>
      <c r="E960" s="18"/>
      <c r="F960" s="61"/>
      <c r="G960" s="73"/>
      <c r="H960" s="79"/>
      <c r="I960" s="79"/>
      <c r="J960" s="14"/>
      <c r="K960" s="38"/>
      <c r="L960" s="38"/>
      <c r="M960" s="17"/>
    </row>
    <row r="961" spans="2:13" ht="14.45" customHeight="1" x14ac:dyDescent="0.25">
      <c r="B961" s="17"/>
      <c r="C961" s="14"/>
      <c r="D961" s="14"/>
      <c r="E961" s="18"/>
      <c r="F961" s="61"/>
      <c r="G961" s="73"/>
      <c r="H961" s="79"/>
      <c r="I961" s="79"/>
      <c r="J961" s="14"/>
      <c r="K961" s="38"/>
      <c r="L961" s="38"/>
      <c r="M961" s="17"/>
    </row>
    <row r="962" spans="2:13" ht="14.45" customHeight="1" x14ac:dyDescent="0.25">
      <c r="B962" s="17"/>
      <c r="C962" s="14"/>
      <c r="D962" s="14"/>
      <c r="E962" s="18"/>
      <c r="F962" s="61"/>
      <c r="G962" s="73"/>
      <c r="H962" s="79"/>
      <c r="I962" s="79"/>
      <c r="J962" s="14"/>
      <c r="K962" s="38"/>
      <c r="L962" s="38"/>
      <c r="M962" s="17"/>
    </row>
    <row r="963" spans="2:13" ht="14.45" customHeight="1" x14ac:dyDescent="0.25">
      <c r="B963" s="17"/>
      <c r="C963" s="14"/>
      <c r="D963" s="14"/>
      <c r="E963" s="18"/>
      <c r="F963" s="61"/>
      <c r="G963" s="73"/>
      <c r="H963" s="79"/>
      <c r="I963" s="79"/>
      <c r="J963" s="14"/>
      <c r="K963" s="38"/>
      <c r="L963" s="38"/>
      <c r="M963" s="17"/>
    </row>
    <row r="964" spans="2:13" ht="14.45" customHeight="1" x14ac:dyDescent="0.25">
      <c r="B964" s="17"/>
      <c r="C964" s="14"/>
      <c r="D964" s="14"/>
      <c r="E964" s="18"/>
      <c r="F964" s="61"/>
      <c r="G964" s="73"/>
      <c r="H964" s="79"/>
      <c r="I964" s="79"/>
      <c r="J964" s="14"/>
      <c r="K964" s="38"/>
      <c r="L964" s="38"/>
      <c r="M964" s="17"/>
    </row>
    <row r="965" spans="2:13" ht="14.45" customHeight="1" x14ac:dyDescent="0.25">
      <c r="B965" s="17"/>
      <c r="C965" s="14"/>
      <c r="D965" s="14"/>
      <c r="E965" s="18"/>
      <c r="F965" s="61"/>
      <c r="G965" s="73"/>
      <c r="H965" s="79"/>
      <c r="I965" s="79"/>
      <c r="J965" s="14"/>
      <c r="K965" s="38"/>
      <c r="L965" s="38"/>
      <c r="M965" s="17"/>
    </row>
    <row r="966" spans="2:13" ht="14.45" customHeight="1" x14ac:dyDescent="0.25">
      <c r="B966" s="17"/>
      <c r="C966" s="14"/>
      <c r="D966" s="14"/>
      <c r="E966" s="18"/>
      <c r="F966" s="61"/>
      <c r="G966" s="73"/>
      <c r="H966" s="79"/>
      <c r="I966" s="79"/>
      <c r="J966" s="14"/>
      <c r="K966" s="38"/>
      <c r="L966" s="38"/>
      <c r="M966" s="17"/>
    </row>
    <row r="967" spans="2:13" ht="14.45" customHeight="1" x14ac:dyDescent="0.25">
      <c r="B967" s="17"/>
      <c r="C967" s="14"/>
      <c r="D967" s="14"/>
      <c r="E967" s="18"/>
      <c r="F967" s="61"/>
      <c r="G967" s="73"/>
      <c r="H967" s="79"/>
      <c r="I967" s="79"/>
      <c r="J967" s="14"/>
      <c r="K967" s="38"/>
      <c r="L967" s="38"/>
      <c r="M967" s="17"/>
    </row>
    <row r="968" spans="2:13" ht="14.45" customHeight="1" x14ac:dyDescent="0.25">
      <c r="B968" s="17"/>
      <c r="C968" s="14"/>
      <c r="D968" s="14"/>
      <c r="E968" s="18"/>
      <c r="F968" s="61"/>
      <c r="G968" s="73"/>
      <c r="H968" s="79"/>
      <c r="I968" s="79"/>
      <c r="J968" s="14"/>
      <c r="K968" s="38"/>
      <c r="L968" s="38"/>
      <c r="M968" s="17"/>
    </row>
    <row r="969" spans="2:13" ht="14.45" customHeight="1" x14ac:dyDescent="0.25">
      <c r="B969" s="17"/>
      <c r="C969" s="14"/>
      <c r="D969" s="14"/>
      <c r="E969" s="18"/>
      <c r="F969" s="61"/>
      <c r="G969" s="73"/>
      <c r="H969" s="79"/>
      <c r="I969" s="79"/>
      <c r="J969" s="14"/>
      <c r="K969" s="38"/>
      <c r="L969" s="38"/>
      <c r="M969" s="17"/>
    </row>
    <row r="970" spans="2:13" ht="14.45" customHeight="1" x14ac:dyDescent="0.25">
      <c r="B970" s="17"/>
      <c r="C970" s="14"/>
      <c r="D970" s="14"/>
      <c r="E970" s="18"/>
      <c r="F970" s="61"/>
      <c r="G970" s="73"/>
      <c r="H970" s="79"/>
      <c r="I970" s="79"/>
      <c r="J970" s="14"/>
      <c r="K970" s="38"/>
      <c r="L970" s="38"/>
      <c r="M970" s="17"/>
    </row>
    <row r="971" spans="2:13" ht="14.45" customHeight="1" x14ac:dyDescent="0.25">
      <c r="B971" s="17"/>
      <c r="C971" s="14"/>
      <c r="D971" s="14"/>
      <c r="E971" s="18"/>
      <c r="F971" s="61"/>
      <c r="G971" s="73"/>
      <c r="H971" s="79"/>
      <c r="I971" s="79"/>
      <c r="J971" s="14"/>
      <c r="K971" s="38"/>
      <c r="L971" s="38"/>
      <c r="M971" s="17"/>
    </row>
    <row r="972" spans="2:13" ht="14.45" customHeight="1" x14ac:dyDescent="0.25">
      <c r="B972" s="17"/>
      <c r="C972" s="14"/>
      <c r="D972" s="14"/>
      <c r="E972" s="18"/>
      <c r="F972" s="61"/>
      <c r="G972" s="73"/>
      <c r="H972" s="79"/>
      <c r="I972" s="79"/>
      <c r="J972" s="14"/>
      <c r="K972" s="38"/>
      <c r="L972" s="38"/>
      <c r="M972" s="17"/>
    </row>
    <row r="973" spans="2:13" ht="14.45" customHeight="1" x14ac:dyDescent="0.25">
      <c r="B973" s="17"/>
      <c r="C973" s="14"/>
      <c r="D973" s="14"/>
      <c r="E973" s="18"/>
      <c r="F973" s="61"/>
      <c r="G973" s="73"/>
      <c r="H973" s="79"/>
      <c r="I973" s="79"/>
      <c r="J973" s="14"/>
      <c r="K973" s="38"/>
      <c r="L973" s="38"/>
      <c r="M973" s="17"/>
    </row>
    <row r="974" spans="2:13" ht="14.45" customHeight="1" x14ac:dyDescent="0.25">
      <c r="B974" s="17"/>
      <c r="C974" s="14"/>
      <c r="D974" s="14"/>
      <c r="E974" s="18"/>
      <c r="F974" s="61"/>
      <c r="G974" s="73"/>
      <c r="H974" s="79"/>
      <c r="I974" s="79"/>
      <c r="J974" s="14"/>
      <c r="K974" s="38"/>
      <c r="L974" s="38"/>
      <c r="M974" s="17"/>
    </row>
    <row r="975" spans="2:13" ht="14.45" customHeight="1" x14ac:dyDescent="0.25">
      <c r="B975" s="17"/>
      <c r="C975" s="14"/>
      <c r="D975" s="14"/>
      <c r="E975" s="18"/>
      <c r="F975" s="61"/>
      <c r="G975" s="73"/>
      <c r="H975" s="79"/>
      <c r="I975" s="79"/>
      <c r="J975" s="14"/>
      <c r="K975" s="38"/>
      <c r="L975" s="38"/>
      <c r="M975" s="17"/>
    </row>
    <row r="976" spans="2:13" ht="14.45" customHeight="1" x14ac:dyDescent="0.25">
      <c r="B976" s="17"/>
      <c r="C976" s="14"/>
      <c r="D976" s="14"/>
      <c r="E976" s="18"/>
      <c r="F976" s="61"/>
      <c r="G976" s="73"/>
      <c r="H976" s="79"/>
      <c r="I976" s="79"/>
      <c r="J976" s="14"/>
      <c r="K976" s="38"/>
      <c r="L976" s="38"/>
      <c r="M976" s="17"/>
    </row>
    <row r="977" spans="2:13" ht="14.45" customHeight="1" x14ac:dyDescent="0.25">
      <c r="B977" s="17"/>
      <c r="C977" s="14"/>
      <c r="D977" s="14"/>
      <c r="E977" s="18"/>
      <c r="F977" s="61"/>
      <c r="G977" s="73"/>
      <c r="H977" s="79"/>
      <c r="I977" s="79"/>
      <c r="J977" s="14"/>
      <c r="K977" s="38"/>
      <c r="L977" s="38"/>
      <c r="M977" s="17"/>
    </row>
    <row r="978" spans="2:13" ht="14.45" customHeight="1" x14ac:dyDescent="0.25">
      <c r="B978" s="17"/>
      <c r="C978" s="14"/>
      <c r="D978" s="14"/>
      <c r="E978" s="18"/>
      <c r="F978" s="61"/>
      <c r="G978" s="73"/>
      <c r="H978" s="79"/>
      <c r="I978" s="79"/>
      <c r="J978" s="14"/>
      <c r="K978" s="38"/>
      <c r="L978" s="38"/>
      <c r="M978" s="17"/>
    </row>
    <row r="979" spans="2:13" ht="14.45" customHeight="1" x14ac:dyDescent="0.25">
      <c r="B979" s="17"/>
      <c r="C979" s="14"/>
      <c r="D979" s="14"/>
      <c r="E979" s="18"/>
      <c r="F979" s="61"/>
      <c r="G979" s="73"/>
      <c r="H979" s="79"/>
      <c r="I979" s="79"/>
      <c r="J979" s="14"/>
      <c r="K979" s="38"/>
      <c r="L979" s="38"/>
      <c r="M979" s="17"/>
    </row>
    <row r="980" spans="2:13" ht="14.45" customHeight="1" x14ac:dyDescent="0.25">
      <c r="B980" s="17"/>
      <c r="C980" s="14"/>
      <c r="D980" s="14"/>
      <c r="E980" s="18"/>
      <c r="F980" s="61"/>
      <c r="G980" s="73"/>
      <c r="H980" s="79"/>
      <c r="I980" s="79"/>
      <c r="J980" s="14"/>
      <c r="K980" s="38"/>
      <c r="L980" s="38"/>
      <c r="M980" s="17"/>
    </row>
    <row r="981" spans="2:13" ht="14.45" customHeight="1" x14ac:dyDescent="0.25">
      <c r="B981" s="17"/>
      <c r="C981" s="14"/>
      <c r="D981" s="14"/>
      <c r="E981" s="18"/>
      <c r="F981" s="61"/>
      <c r="G981" s="73"/>
      <c r="H981" s="79"/>
      <c r="I981" s="79"/>
      <c r="J981" s="14"/>
      <c r="K981" s="38"/>
      <c r="L981" s="38"/>
      <c r="M981" s="17"/>
    </row>
    <row r="982" spans="2:13" ht="14.45" customHeight="1" x14ac:dyDescent="0.25">
      <c r="B982" s="17"/>
      <c r="C982" s="14"/>
      <c r="D982" s="14"/>
      <c r="E982" s="18"/>
      <c r="F982" s="61"/>
      <c r="G982" s="73"/>
      <c r="H982" s="79"/>
      <c r="I982" s="79"/>
      <c r="J982" s="14"/>
      <c r="K982" s="38"/>
      <c r="L982" s="38"/>
      <c r="M982" s="17"/>
    </row>
    <row r="983" spans="2:13" ht="14.45" customHeight="1" x14ac:dyDescent="0.25">
      <c r="B983" s="17"/>
      <c r="C983" s="14"/>
      <c r="D983" s="14"/>
      <c r="E983" s="18"/>
      <c r="F983" s="61"/>
      <c r="G983" s="73"/>
      <c r="H983" s="79"/>
      <c r="I983" s="79"/>
      <c r="J983" s="14"/>
      <c r="K983" s="38"/>
      <c r="L983" s="38"/>
      <c r="M983" s="17"/>
    </row>
    <row r="984" spans="2:13" ht="14.45" customHeight="1" x14ac:dyDescent="0.25">
      <c r="B984" s="17"/>
      <c r="C984" s="14"/>
      <c r="D984" s="14"/>
      <c r="E984" s="18"/>
      <c r="F984" s="61"/>
      <c r="G984" s="73"/>
      <c r="H984" s="79"/>
      <c r="I984" s="79"/>
      <c r="J984" s="14"/>
      <c r="K984" s="38"/>
      <c r="L984" s="38"/>
      <c r="M984" s="17"/>
    </row>
    <row r="985" spans="2:13" ht="14.45" customHeight="1" x14ac:dyDescent="0.25">
      <c r="B985" s="17"/>
      <c r="C985" s="14"/>
      <c r="D985" s="14"/>
      <c r="E985" s="18"/>
      <c r="F985" s="61"/>
      <c r="G985" s="73"/>
      <c r="H985" s="79"/>
      <c r="I985" s="79"/>
      <c r="J985" s="14"/>
      <c r="K985" s="38"/>
      <c r="L985" s="38"/>
      <c r="M985" s="17"/>
    </row>
    <row r="986" spans="2:13" ht="14.45" customHeight="1" x14ac:dyDescent="0.25">
      <c r="B986" s="17"/>
      <c r="C986" s="14"/>
      <c r="D986" s="14"/>
      <c r="E986" s="18"/>
      <c r="F986" s="61"/>
      <c r="G986" s="73"/>
      <c r="H986" s="79"/>
      <c r="I986" s="79"/>
      <c r="J986" s="14"/>
      <c r="K986" s="38"/>
      <c r="L986" s="38"/>
      <c r="M986" s="17"/>
    </row>
    <row r="987" spans="2:13" ht="14.45" customHeight="1" x14ac:dyDescent="0.25">
      <c r="B987" s="17"/>
      <c r="C987" s="14"/>
      <c r="D987" s="14"/>
      <c r="E987" s="18"/>
      <c r="F987" s="61"/>
      <c r="G987" s="73"/>
      <c r="H987" s="79"/>
      <c r="I987" s="79"/>
      <c r="J987" s="14"/>
      <c r="K987" s="38"/>
      <c r="L987" s="38"/>
      <c r="M987" s="17"/>
    </row>
    <row r="988" spans="2:13" ht="14.45" customHeight="1" x14ac:dyDescent="0.25">
      <c r="B988" s="17"/>
      <c r="C988" s="14"/>
      <c r="D988" s="14"/>
      <c r="E988" s="18"/>
      <c r="F988" s="61"/>
      <c r="G988" s="73"/>
      <c r="H988" s="79"/>
      <c r="I988" s="79"/>
      <c r="J988" s="14"/>
      <c r="K988" s="38"/>
      <c r="L988" s="38"/>
      <c r="M988" s="17"/>
    </row>
    <row r="989" spans="2:13" ht="14.45" customHeight="1" x14ac:dyDescent="0.25">
      <c r="B989" s="17"/>
      <c r="C989" s="14"/>
      <c r="D989" s="14"/>
      <c r="E989" s="18"/>
      <c r="F989" s="61"/>
      <c r="G989" s="73"/>
      <c r="H989" s="79"/>
      <c r="I989" s="79"/>
      <c r="J989" s="14"/>
      <c r="K989" s="38"/>
      <c r="L989" s="38"/>
      <c r="M989" s="17"/>
    </row>
    <row r="990" spans="2:13" ht="14.45" customHeight="1" x14ac:dyDescent="0.25">
      <c r="B990" s="17"/>
      <c r="C990" s="14"/>
      <c r="D990" s="14"/>
      <c r="E990" s="18"/>
      <c r="F990" s="61"/>
      <c r="G990" s="73"/>
      <c r="H990" s="79"/>
      <c r="I990" s="79"/>
      <c r="J990" s="14"/>
      <c r="K990" s="38"/>
      <c r="L990" s="38"/>
      <c r="M990" s="17"/>
    </row>
    <row r="991" spans="2:13" ht="14.45" customHeight="1" x14ac:dyDescent="0.25">
      <c r="B991" s="17"/>
      <c r="C991" s="14"/>
      <c r="D991" s="14"/>
      <c r="E991" s="18"/>
      <c r="F991" s="61"/>
      <c r="G991" s="73"/>
      <c r="H991" s="79"/>
      <c r="I991" s="79"/>
      <c r="J991" s="14"/>
      <c r="K991" s="38"/>
      <c r="L991" s="38"/>
      <c r="M991" s="17"/>
    </row>
    <row r="992" spans="2:13" ht="14.45" customHeight="1" x14ac:dyDescent="0.25">
      <c r="B992" s="17"/>
      <c r="C992" s="14"/>
      <c r="D992" s="14"/>
      <c r="E992" s="18"/>
      <c r="F992" s="61"/>
      <c r="G992" s="73"/>
      <c r="H992" s="79"/>
      <c r="I992" s="79"/>
      <c r="J992" s="14"/>
      <c r="K992" s="38"/>
      <c r="L992" s="38"/>
      <c r="M992" s="17"/>
    </row>
    <row r="993" spans="2:13" ht="14.45" customHeight="1" x14ac:dyDescent="0.25">
      <c r="B993" s="17"/>
      <c r="C993" s="14"/>
      <c r="D993" s="14"/>
      <c r="E993" s="18"/>
      <c r="F993" s="61"/>
      <c r="G993" s="73"/>
      <c r="H993" s="79"/>
      <c r="I993" s="79"/>
      <c r="J993" s="14"/>
      <c r="K993" s="38"/>
      <c r="L993" s="38"/>
      <c r="M993" s="17"/>
    </row>
    <row r="994" spans="2:13" ht="14.45" customHeight="1" x14ac:dyDescent="0.25">
      <c r="B994" s="17"/>
      <c r="C994" s="14"/>
      <c r="D994" s="14"/>
      <c r="E994" s="18"/>
      <c r="F994" s="61"/>
      <c r="G994" s="73"/>
      <c r="H994" s="79"/>
      <c r="I994" s="79"/>
      <c r="J994" s="14"/>
      <c r="K994" s="38"/>
      <c r="L994" s="38"/>
      <c r="M994" s="17"/>
    </row>
    <row r="995" spans="2:13" ht="14.45" customHeight="1" x14ac:dyDescent="0.25">
      <c r="B995" s="17"/>
      <c r="C995" s="14"/>
      <c r="D995" s="14"/>
      <c r="E995" s="18"/>
      <c r="F995" s="61"/>
      <c r="G995" s="73"/>
      <c r="H995" s="79"/>
      <c r="I995" s="79"/>
      <c r="J995" s="14"/>
      <c r="K995" s="38"/>
      <c r="L995" s="38"/>
      <c r="M995" s="17"/>
    </row>
    <row r="996" spans="2:13" ht="14.45" customHeight="1" x14ac:dyDescent="0.25">
      <c r="B996" s="17"/>
      <c r="C996" s="14"/>
      <c r="D996" s="14"/>
      <c r="E996" s="18"/>
      <c r="F996" s="61"/>
      <c r="G996" s="73"/>
      <c r="H996" s="79"/>
      <c r="I996" s="79"/>
      <c r="J996" s="14"/>
      <c r="K996" s="38"/>
      <c r="L996" s="38"/>
      <c r="M996" s="17"/>
    </row>
    <row r="997" spans="2:13" ht="14.45" customHeight="1" x14ac:dyDescent="0.25">
      <c r="B997" s="17"/>
      <c r="C997" s="14"/>
      <c r="D997" s="14"/>
      <c r="E997" s="18"/>
      <c r="F997" s="61"/>
      <c r="G997" s="73"/>
      <c r="H997" s="79"/>
      <c r="I997" s="79"/>
      <c r="J997" s="14"/>
      <c r="K997" s="38"/>
      <c r="L997" s="38"/>
      <c r="M997" s="17"/>
    </row>
    <row r="998" spans="2:13" ht="14.45" customHeight="1" x14ac:dyDescent="0.25">
      <c r="B998" s="17"/>
      <c r="C998" s="14"/>
      <c r="D998" s="14"/>
      <c r="E998" s="18"/>
      <c r="F998" s="61"/>
      <c r="G998" s="73"/>
      <c r="H998" s="79"/>
      <c r="I998" s="79"/>
      <c r="J998" s="14"/>
      <c r="K998" s="38"/>
      <c r="L998" s="38"/>
      <c r="M998" s="17"/>
    </row>
    <row r="999" spans="2:13" ht="14.45" customHeight="1" x14ac:dyDescent="0.25">
      <c r="B999" s="17"/>
      <c r="C999" s="14"/>
      <c r="D999" s="14"/>
      <c r="E999" s="18"/>
      <c r="F999" s="61"/>
      <c r="G999" s="73"/>
      <c r="H999" s="79"/>
      <c r="I999" s="79"/>
      <c r="J999" s="14"/>
      <c r="K999" s="38"/>
      <c r="L999" s="38"/>
      <c r="M999" s="17"/>
    </row>
    <row r="1000" spans="2:13" ht="14.45" customHeight="1" x14ac:dyDescent="0.25">
      <c r="B1000" s="17"/>
      <c r="C1000" s="14"/>
      <c r="D1000" s="14"/>
      <c r="E1000" s="18"/>
      <c r="F1000" s="61"/>
      <c r="G1000" s="73"/>
      <c r="H1000" s="79"/>
      <c r="I1000" s="79"/>
      <c r="J1000" s="14"/>
      <c r="K1000" s="38"/>
      <c r="L1000" s="38"/>
      <c r="M1000" s="17"/>
    </row>
  </sheetData>
  <sheetProtection algorithmName="SHA-512" hashValue="7bDLwFoPyG5SMdlEy0cgX0RDxaPO3XS5eEsMPSzH6Ay8bOalgs077oEPtMAgHlRRb9zwmqeJNxlTHL7Z1OD2ow==" saltValue="RKDKXZASjHL12jRk+NV89Q==" spinCount="100000" sheet="1" objects="1" scenarios="1"/>
  <mergeCells count="2">
    <mergeCell ref="C10:F10"/>
    <mergeCell ref="H10:I10"/>
  </mergeCells>
  <conditionalFormatting sqref="M10 H10">
    <cfRule type="cellIs" dxfId="210" priority="2" operator="greaterThanOrEqual">
      <formula>6750</formula>
    </cfRule>
  </conditionalFormatting>
  <conditionalFormatting sqref="K13:K1000">
    <cfRule type="cellIs" dxfId="209" priority="1" operator="lessThan">
      <formula>0</formula>
    </cfRule>
  </conditionalFormatting>
  <dataValidations count="1">
    <dataValidation type="list" allowBlank="1" showInputMessage="1" showErrorMessage="1" sqref="H13:H1000" xr:uid="{9B63C9AD-2D34-45BD-A7CC-8BDE1A678C80}">
      <formula1>"Ativa,Cancelada"</formula1>
    </dataValidation>
  </dataValidations>
  <printOptions horizontalCentered="1"/>
  <pageMargins left="0.19685039370078741" right="0.19685039370078741" top="0.39370078740157483" bottom="0.78740157480314965" header="0.31496062992125984" footer="0.31496062992125984"/>
  <pageSetup paperSize="9" scale="54" fitToHeight="50" orientation="portrait" r:id="rId1"/>
  <headerFooter>
    <oddHeader>&amp;L&amp;"Calibri"&amp;12&amp;K008000 Documento Público&amp;1#_x000D_</oddHeader>
    <oddFooter>Página &amp;P de &amp;N</oddFooter>
  </headerFooter>
  <rowBreaks count="1" manualBreakCount="1">
    <brk id="63" min="1" max="5" man="1"/>
  </rowBreaks>
  <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EB10C8-4496-42F1-A132-C4A07D8F043D}">
  <sheetPr codeName="Planilha7">
    <tabColor theme="8" tint="-0.499984740745262"/>
    <pageSetUpPr fitToPage="1"/>
  </sheetPr>
  <dimension ref="A1:Q1000"/>
  <sheetViews>
    <sheetView showGridLines="0" showRowColHeaders="0" zoomScaleNormal="100" workbookViewId="0">
      <pane ySplit="12" topLeftCell="A13" activePane="bottomLeft" state="frozen"/>
      <selection activeCell="D23" sqref="D23"/>
      <selection pane="bottomLeft"/>
    </sheetView>
  </sheetViews>
  <sheetFormatPr defaultColWidth="0" defaultRowHeight="14.45" customHeight="1" x14ac:dyDescent="0.25"/>
  <cols>
    <col min="1" max="1" width="1.7109375" customWidth="1"/>
    <col min="2" max="2" width="15.28515625" customWidth="1"/>
    <col min="3" max="3" width="35.85546875" customWidth="1"/>
    <col min="4" max="4" width="20.7109375" customWidth="1"/>
    <col min="5" max="5" width="42.28515625" customWidth="1"/>
    <col min="6" max="6" width="25.7109375" customWidth="1"/>
    <col min="7" max="7" width="12.28515625" bestFit="1" customWidth="1"/>
    <col min="8" max="8" width="12.28515625" customWidth="1"/>
    <col min="9" max="9" width="21.42578125" bestFit="1" customWidth="1"/>
    <col min="10" max="10" width="16.140625" customWidth="1"/>
    <col min="11" max="11" width="13" customWidth="1"/>
    <col min="12" max="12" width="11.28515625" customWidth="1"/>
    <col min="13" max="13" width="18.28515625" customWidth="1"/>
    <col min="14" max="14" width="5.7109375" customWidth="1"/>
    <col min="15" max="15" width="25" hidden="1" customWidth="1"/>
    <col min="16" max="16" width="6.7109375" hidden="1" customWidth="1"/>
    <col min="17" max="17" width="3.85546875" hidden="1" customWidth="1"/>
    <col min="18" max="16384" width="8.85546875" hidden="1"/>
  </cols>
  <sheetData>
    <row r="1" spans="2:13" ht="15" x14ac:dyDescent="0.25"/>
    <row r="2" spans="2:13" ht="15" x14ac:dyDescent="0.25"/>
    <row r="3" spans="2:13" ht="15" x14ac:dyDescent="0.25">
      <c r="J3" s="9" t="str">
        <f>IF(H10&gt;=6750,"ATENÇÃO: Você atingiu o limite de faturamento mensal de R$ 6.750,00",IF(H10&gt;=6000,"O limite de faturamento mensal de R$ 6.750,00 está quase sendo atingido.",""))</f>
        <v/>
      </c>
    </row>
    <row r="4" spans="2:13" ht="1.9" customHeight="1" x14ac:dyDescent="0.25"/>
    <row r="5" spans="2:13" s="1" customFormat="1" ht="4.9000000000000004" customHeight="1" x14ac:dyDescent="0.25"/>
    <row r="6" spans="2:13" ht="3" customHeight="1" x14ac:dyDescent="0.25"/>
    <row r="7" spans="2:13" s="1" customFormat="1" ht="4.9000000000000004" customHeight="1" x14ac:dyDescent="0.25"/>
    <row r="8" spans="2:13" ht="1.9" customHeight="1" x14ac:dyDescent="0.25"/>
    <row r="9" spans="2:13" ht="30" customHeight="1" x14ac:dyDescent="0.25"/>
    <row r="10" spans="2:13" ht="34.9" customHeight="1" x14ac:dyDescent="0.25">
      <c r="B10" s="4" t="s">
        <v>0</v>
      </c>
      <c r="C10" s="94" t="str">
        <f>Menu!G26</f>
        <v>Empresa ABCDE</v>
      </c>
      <c r="D10" s="95"/>
      <c r="E10" s="95"/>
      <c r="F10" s="95"/>
      <c r="G10" s="87"/>
      <c r="H10" s="93">
        <f>SUMIF(MAR[Status Nota Fiscal],"Ativa",MAR[Valor da Parcela a Receber])</f>
        <v>0</v>
      </c>
      <c r="I10" s="93"/>
      <c r="J10" s="85"/>
      <c r="M10" s="86"/>
    </row>
    <row r="11" spans="2:13" ht="4.9000000000000004" customHeight="1" x14ac:dyDescent="0.25"/>
    <row r="12" spans="2:13" ht="30" customHeight="1" x14ac:dyDescent="0.25">
      <c r="B12" s="5" t="s">
        <v>2</v>
      </c>
      <c r="C12" s="6" t="s">
        <v>3</v>
      </c>
      <c r="D12" s="6" t="s">
        <v>4</v>
      </c>
      <c r="E12" s="6" t="s">
        <v>5</v>
      </c>
      <c r="F12" s="7" t="s">
        <v>6</v>
      </c>
      <c r="G12" s="7" t="s">
        <v>7</v>
      </c>
      <c r="H12" s="7" t="s">
        <v>8</v>
      </c>
      <c r="I12" s="7" t="s">
        <v>9</v>
      </c>
      <c r="J12" s="7" t="s">
        <v>10</v>
      </c>
      <c r="K12" s="7" t="s">
        <v>11</v>
      </c>
      <c r="L12" s="7" t="s">
        <v>12</v>
      </c>
      <c r="M12" s="8" t="s">
        <v>13</v>
      </c>
    </row>
    <row r="13" spans="2:13" ht="14.45" customHeight="1" x14ac:dyDescent="0.25">
      <c r="B13" s="36">
        <v>43547</v>
      </c>
      <c r="C13" s="14" t="s">
        <v>21</v>
      </c>
      <c r="D13" s="14"/>
      <c r="E13" s="18" t="s">
        <v>24</v>
      </c>
      <c r="F13" s="20">
        <v>8000</v>
      </c>
      <c r="G13" s="62">
        <v>789</v>
      </c>
      <c r="H13" s="62"/>
      <c r="I13" s="62"/>
      <c r="J13" s="27"/>
      <c r="K13" s="28"/>
      <c r="L13" s="28"/>
      <c r="M13" s="29"/>
    </row>
    <row r="14" spans="2:13" ht="14.45" customHeight="1" x14ac:dyDescent="0.25">
      <c r="B14" s="30"/>
      <c r="C14" s="31"/>
      <c r="D14" s="31"/>
      <c r="E14" s="31"/>
      <c r="F14" s="32"/>
      <c r="G14" s="63"/>
      <c r="H14" s="63"/>
      <c r="I14" s="63"/>
      <c r="J14" s="33"/>
      <c r="K14" s="34"/>
      <c r="L14" s="34"/>
      <c r="M14" s="35"/>
    </row>
    <row r="15" spans="2:13" ht="14.45" customHeight="1" x14ac:dyDescent="0.25">
      <c r="B15" s="36"/>
      <c r="C15" s="14"/>
      <c r="D15" s="14"/>
      <c r="E15" s="18"/>
      <c r="F15" s="20"/>
      <c r="G15" s="64"/>
      <c r="H15" s="68"/>
      <c r="I15" s="68"/>
      <c r="J15" s="37"/>
      <c r="K15" s="38"/>
      <c r="L15" s="38"/>
      <c r="M15" s="36"/>
    </row>
    <row r="16" spans="2:13" ht="14.45" customHeight="1" x14ac:dyDescent="0.25">
      <c r="B16" s="17"/>
      <c r="C16" s="14"/>
      <c r="D16" s="14"/>
      <c r="E16" s="18"/>
      <c r="F16" s="20"/>
      <c r="G16" s="64"/>
      <c r="H16" s="68"/>
      <c r="I16" s="68"/>
      <c r="J16" s="15"/>
      <c r="K16" s="38"/>
      <c r="L16" s="38"/>
      <c r="M16" s="17"/>
    </row>
    <row r="17" spans="2:13" ht="14.45" customHeight="1" x14ac:dyDescent="0.25">
      <c r="B17" s="17"/>
      <c r="C17" s="14"/>
      <c r="D17" s="14"/>
      <c r="E17" s="18"/>
      <c r="F17" s="20"/>
      <c r="G17" s="64"/>
      <c r="H17" s="68"/>
      <c r="I17" s="68"/>
      <c r="J17" s="15"/>
      <c r="K17" s="38"/>
      <c r="L17" s="38"/>
      <c r="M17" s="17"/>
    </row>
    <row r="18" spans="2:13" ht="14.45" customHeight="1" x14ac:dyDescent="0.25">
      <c r="B18" s="17"/>
      <c r="C18" s="14"/>
      <c r="D18" s="14"/>
      <c r="E18" s="18"/>
      <c r="F18" s="20"/>
      <c r="G18" s="64"/>
      <c r="H18" s="68"/>
      <c r="I18" s="68"/>
      <c r="J18" s="15"/>
      <c r="K18" s="38"/>
      <c r="L18" s="38"/>
      <c r="M18" s="17"/>
    </row>
    <row r="19" spans="2:13" ht="14.45" customHeight="1" x14ac:dyDescent="0.25">
      <c r="B19" s="17"/>
      <c r="C19" s="14"/>
      <c r="D19" s="14"/>
      <c r="E19" s="18"/>
      <c r="F19" s="20"/>
      <c r="G19" s="64"/>
      <c r="H19" s="68"/>
      <c r="I19" s="68"/>
      <c r="J19" s="15"/>
      <c r="K19" s="38"/>
      <c r="L19" s="38"/>
      <c r="M19" s="17"/>
    </row>
    <row r="20" spans="2:13" ht="14.45" customHeight="1" x14ac:dyDescent="0.25">
      <c r="B20" s="17"/>
      <c r="C20" s="14"/>
      <c r="D20" s="14"/>
      <c r="E20" s="18"/>
      <c r="F20" s="20"/>
      <c r="G20" s="64"/>
      <c r="H20" s="68"/>
      <c r="I20" s="68"/>
      <c r="J20" s="15"/>
      <c r="K20" s="38"/>
      <c r="L20" s="38"/>
      <c r="M20" s="17"/>
    </row>
    <row r="21" spans="2:13" ht="14.45" customHeight="1" x14ac:dyDescent="0.25">
      <c r="B21" s="17"/>
      <c r="C21" s="14"/>
      <c r="D21" s="14"/>
      <c r="E21" s="18"/>
      <c r="F21" s="20"/>
      <c r="G21" s="64"/>
      <c r="H21" s="68"/>
      <c r="I21" s="68"/>
      <c r="J21" s="15"/>
      <c r="K21" s="38"/>
      <c r="L21" s="38"/>
      <c r="M21" s="17"/>
    </row>
    <row r="22" spans="2:13" ht="14.45" customHeight="1" x14ac:dyDescent="0.25">
      <c r="B22" s="17"/>
      <c r="C22" s="14"/>
      <c r="D22" s="14"/>
      <c r="E22" s="18"/>
      <c r="F22" s="20"/>
      <c r="G22" s="64"/>
      <c r="H22" s="68"/>
      <c r="I22" s="68"/>
      <c r="J22" s="15"/>
      <c r="K22" s="38"/>
      <c r="L22" s="38"/>
      <c r="M22" s="17"/>
    </row>
    <row r="23" spans="2:13" ht="14.45" customHeight="1" x14ac:dyDescent="0.25">
      <c r="B23" s="17"/>
      <c r="C23" s="14"/>
      <c r="D23" s="14"/>
      <c r="E23" s="18"/>
      <c r="F23" s="20"/>
      <c r="G23" s="64"/>
      <c r="H23" s="68"/>
      <c r="I23" s="68"/>
      <c r="J23" s="15"/>
      <c r="K23" s="38"/>
      <c r="L23" s="38"/>
      <c r="M23" s="17"/>
    </row>
    <row r="24" spans="2:13" ht="14.45" customHeight="1" x14ac:dyDescent="0.25">
      <c r="B24" s="17"/>
      <c r="C24" s="14"/>
      <c r="D24" s="14"/>
      <c r="E24" s="18"/>
      <c r="F24" s="20"/>
      <c r="G24" s="64"/>
      <c r="H24" s="68"/>
      <c r="I24" s="68"/>
      <c r="J24" s="15"/>
      <c r="K24" s="38"/>
      <c r="L24" s="38"/>
      <c r="M24" s="17"/>
    </row>
    <row r="25" spans="2:13" ht="14.45" customHeight="1" x14ac:dyDescent="0.25">
      <c r="B25" s="17"/>
      <c r="C25" s="14"/>
      <c r="D25" s="14"/>
      <c r="E25" s="18"/>
      <c r="F25" s="20"/>
      <c r="G25" s="64"/>
      <c r="H25" s="68"/>
      <c r="I25" s="68"/>
      <c r="J25" s="15"/>
      <c r="K25" s="38"/>
      <c r="L25" s="38"/>
      <c r="M25" s="17"/>
    </row>
    <row r="26" spans="2:13" ht="14.45" customHeight="1" x14ac:dyDescent="0.25">
      <c r="B26" s="17"/>
      <c r="C26" s="14"/>
      <c r="D26" s="14"/>
      <c r="E26" s="18"/>
      <c r="F26" s="20"/>
      <c r="G26" s="64"/>
      <c r="H26" s="68"/>
      <c r="I26" s="68"/>
      <c r="J26" s="15"/>
      <c r="K26" s="38"/>
      <c r="L26" s="38"/>
      <c r="M26" s="17"/>
    </row>
    <row r="27" spans="2:13" ht="14.45" customHeight="1" x14ac:dyDescent="0.25">
      <c r="B27" s="17"/>
      <c r="C27" s="14"/>
      <c r="D27" s="14"/>
      <c r="E27" s="18"/>
      <c r="F27" s="20"/>
      <c r="G27" s="64"/>
      <c r="H27" s="68"/>
      <c r="I27" s="68"/>
      <c r="J27" s="15"/>
      <c r="K27" s="38"/>
      <c r="L27" s="38"/>
      <c r="M27" s="17"/>
    </row>
    <row r="28" spans="2:13" ht="14.45" customHeight="1" x14ac:dyDescent="0.25">
      <c r="B28" s="17"/>
      <c r="C28" s="14"/>
      <c r="D28" s="14"/>
      <c r="E28" s="18"/>
      <c r="F28" s="20"/>
      <c r="G28" s="64"/>
      <c r="H28" s="68"/>
      <c r="I28" s="68"/>
      <c r="J28" s="15"/>
      <c r="K28" s="38"/>
      <c r="L28" s="38"/>
      <c r="M28" s="17"/>
    </row>
    <row r="29" spans="2:13" ht="14.45" customHeight="1" x14ac:dyDescent="0.25">
      <c r="B29" s="17"/>
      <c r="C29" s="14"/>
      <c r="D29" s="14"/>
      <c r="E29" s="18"/>
      <c r="F29" s="20"/>
      <c r="G29" s="64"/>
      <c r="H29" s="68"/>
      <c r="I29" s="68"/>
      <c r="J29" s="15"/>
      <c r="K29" s="38"/>
      <c r="L29" s="38"/>
      <c r="M29" s="17"/>
    </row>
    <row r="30" spans="2:13" ht="14.45" customHeight="1" x14ac:dyDescent="0.25">
      <c r="B30" s="17"/>
      <c r="C30" s="14"/>
      <c r="D30" s="14"/>
      <c r="E30" s="18"/>
      <c r="F30" s="20"/>
      <c r="G30" s="64"/>
      <c r="H30" s="68"/>
      <c r="I30" s="68"/>
      <c r="J30" s="15"/>
      <c r="K30" s="38"/>
      <c r="L30" s="38"/>
      <c r="M30" s="17"/>
    </row>
    <row r="31" spans="2:13" ht="14.45" customHeight="1" x14ac:dyDescent="0.25">
      <c r="B31" s="17"/>
      <c r="C31" s="14"/>
      <c r="D31" s="14"/>
      <c r="E31" s="18"/>
      <c r="F31" s="20"/>
      <c r="G31" s="64"/>
      <c r="H31" s="68"/>
      <c r="I31" s="68"/>
      <c r="J31" s="15"/>
      <c r="K31" s="38"/>
      <c r="L31" s="38"/>
      <c r="M31" s="17"/>
    </row>
    <row r="32" spans="2:13" ht="14.45" customHeight="1" x14ac:dyDescent="0.25">
      <c r="B32" s="17"/>
      <c r="C32" s="14"/>
      <c r="D32" s="14"/>
      <c r="E32" s="18"/>
      <c r="F32" s="20"/>
      <c r="G32" s="64"/>
      <c r="H32" s="68"/>
      <c r="I32" s="68"/>
      <c r="J32" s="15"/>
      <c r="K32" s="38"/>
      <c r="L32" s="38"/>
      <c r="M32" s="17"/>
    </row>
    <row r="33" spans="2:13" ht="14.45" customHeight="1" x14ac:dyDescent="0.25">
      <c r="B33" s="17"/>
      <c r="C33" s="14"/>
      <c r="D33" s="14"/>
      <c r="E33" s="18"/>
      <c r="F33" s="20"/>
      <c r="G33" s="64"/>
      <c r="H33" s="68"/>
      <c r="I33" s="68"/>
      <c r="J33" s="15"/>
      <c r="K33" s="38"/>
      <c r="L33" s="38"/>
      <c r="M33" s="17"/>
    </row>
    <row r="34" spans="2:13" ht="14.45" customHeight="1" x14ac:dyDescent="0.25">
      <c r="B34" s="17"/>
      <c r="C34" s="14"/>
      <c r="D34" s="14"/>
      <c r="E34" s="18"/>
      <c r="F34" s="20"/>
      <c r="G34" s="64"/>
      <c r="H34" s="68"/>
      <c r="I34" s="68"/>
      <c r="J34" s="15"/>
      <c r="K34" s="38"/>
      <c r="L34" s="38"/>
      <c r="M34" s="17"/>
    </row>
    <row r="35" spans="2:13" ht="14.45" customHeight="1" x14ac:dyDescent="0.25">
      <c r="B35" s="39"/>
      <c r="C35" s="40"/>
      <c r="D35" s="40"/>
      <c r="E35" s="41"/>
      <c r="F35" s="42"/>
      <c r="G35" s="65"/>
      <c r="H35" s="70"/>
      <c r="I35" s="70"/>
      <c r="J35" s="43"/>
      <c r="K35" s="38"/>
      <c r="L35" s="38"/>
      <c r="M35" s="17"/>
    </row>
    <row r="36" spans="2:13" ht="14.45" customHeight="1" x14ac:dyDescent="0.25">
      <c r="B36" s="17"/>
      <c r="C36" s="14"/>
      <c r="D36" s="14"/>
      <c r="E36" s="18"/>
      <c r="F36" s="20"/>
      <c r="G36" s="64"/>
      <c r="H36" s="68"/>
      <c r="I36" s="68"/>
      <c r="J36" s="14"/>
      <c r="K36" s="38"/>
      <c r="L36" s="38"/>
      <c r="M36" s="17"/>
    </row>
    <row r="37" spans="2:13" ht="14.45" customHeight="1" x14ac:dyDescent="0.25">
      <c r="B37" s="39"/>
      <c r="C37" s="40"/>
      <c r="D37" s="40"/>
      <c r="E37" s="41"/>
      <c r="F37" s="42"/>
      <c r="G37" s="65"/>
      <c r="H37" s="70"/>
      <c r="I37" s="70"/>
      <c r="J37" s="40"/>
      <c r="K37" s="38"/>
      <c r="L37" s="38"/>
      <c r="M37" s="17"/>
    </row>
    <row r="38" spans="2:13" ht="14.45" customHeight="1" x14ac:dyDescent="0.25">
      <c r="B38" s="44"/>
      <c r="C38" s="45"/>
      <c r="D38" s="45"/>
      <c r="E38" s="46"/>
      <c r="F38" s="47"/>
      <c r="G38" s="66"/>
      <c r="H38" s="77"/>
      <c r="I38" s="77"/>
      <c r="J38" s="45"/>
      <c r="K38" s="38"/>
      <c r="L38" s="38"/>
      <c r="M38" s="17"/>
    </row>
    <row r="39" spans="2:13" ht="14.45" customHeight="1" x14ac:dyDescent="0.25">
      <c r="B39" s="39"/>
      <c r="C39" s="48"/>
      <c r="D39" s="48"/>
      <c r="E39" s="49"/>
      <c r="F39" s="50"/>
      <c r="G39" s="67"/>
      <c r="H39" s="67"/>
      <c r="I39" s="67"/>
      <c r="J39" s="51"/>
      <c r="K39" s="38"/>
      <c r="L39" s="38"/>
      <c r="M39" s="17"/>
    </row>
    <row r="40" spans="2:13" ht="14.45" customHeight="1" x14ac:dyDescent="0.25">
      <c r="B40" s="17"/>
      <c r="C40" s="14"/>
      <c r="D40" s="14"/>
      <c r="E40" s="19"/>
      <c r="F40" s="21"/>
      <c r="G40" s="68"/>
      <c r="H40" s="68"/>
      <c r="I40" s="68"/>
      <c r="J40" s="52"/>
      <c r="K40" s="38"/>
      <c r="L40" s="38"/>
      <c r="M40" s="17"/>
    </row>
    <row r="41" spans="2:13" ht="14.45" customHeight="1" x14ac:dyDescent="0.25">
      <c r="B41" s="17"/>
      <c r="C41" s="14"/>
      <c r="D41" s="14"/>
      <c r="E41" s="19"/>
      <c r="F41" s="21"/>
      <c r="G41" s="68"/>
      <c r="H41" s="68"/>
      <c r="I41" s="68"/>
      <c r="J41" s="52"/>
      <c r="K41" s="38"/>
      <c r="L41" s="38"/>
      <c r="M41" s="17"/>
    </row>
    <row r="42" spans="2:13" ht="14.45" customHeight="1" x14ac:dyDescent="0.25">
      <c r="B42" s="17"/>
      <c r="C42" s="14"/>
      <c r="D42" s="14"/>
      <c r="E42" s="19"/>
      <c r="F42" s="21"/>
      <c r="G42" s="68"/>
      <c r="H42" s="68"/>
      <c r="I42" s="68"/>
      <c r="J42" s="52"/>
      <c r="K42" s="38"/>
      <c r="L42" s="38"/>
      <c r="M42" s="17"/>
    </row>
    <row r="43" spans="2:13" ht="14.45" customHeight="1" x14ac:dyDescent="0.25">
      <c r="B43" s="17"/>
      <c r="C43" s="14"/>
      <c r="D43" s="14"/>
      <c r="E43" s="19"/>
      <c r="F43" s="21"/>
      <c r="G43" s="68"/>
      <c r="H43" s="68"/>
      <c r="I43" s="68"/>
      <c r="J43" s="52"/>
      <c r="K43" s="38"/>
      <c r="L43" s="38"/>
      <c r="M43" s="17"/>
    </row>
    <row r="44" spans="2:13" ht="14.45" customHeight="1" x14ac:dyDescent="0.25">
      <c r="B44" s="17"/>
      <c r="C44" s="14"/>
      <c r="D44" s="14"/>
      <c r="E44" s="19"/>
      <c r="F44" s="21"/>
      <c r="G44" s="68"/>
      <c r="H44" s="68"/>
      <c r="I44" s="68"/>
      <c r="J44" s="52"/>
      <c r="K44" s="38"/>
      <c r="L44" s="38"/>
      <c r="M44" s="17"/>
    </row>
    <row r="45" spans="2:13" ht="14.45" customHeight="1" x14ac:dyDescent="0.25">
      <c r="B45" s="17"/>
      <c r="C45" s="14"/>
      <c r="D45" s="14"/>
      <c r="E45" s="19"/>
      <c r="F45" s="21"/>
      <c r="G45" s="68"/>
      <c r="H45" s="68"/>
      <c r="I45" s="68"/>
      <c r="J45" s="52"/>
      <c r="K45" s="38"/>
      <c r="L45" s="38"/>
      <c r="M45" s="17"/>
    </row>
    <row r="46" spans="2:13" ht="14.45" customHeight="1" x14ac:dyDescent="0.25">
      <c r="B46" s="17"/>
      <c r="C46" s="14"/>
      <c r="D46" s="14"/>
      <c r="E46" s="19"/>
      <c r="F46" s="21"/>
      <c r="G46" s="68"/>
      <c r="H46" s="68"/>
      <c r="I46" s="68"/>
      <c r="J46" s="52"/>
      <c r="K46" s="38"/>
      <c r="L46" s="38"/>
      <c r="M46" s="17"/>
    </row>
    <row r="47" spans="2:13" ht="14.45" customHeight="1" x14ac:dyDescent="0.25">
      <c r="B47" s="17"/>
      <c r="C47" s="14"/>
      <c r="D47" s="14"/>
      <c r="E47" s="19"/>
      <c r="F47" s="21"/>
      <c r="G47" s="68"/>
      <c r="H47" s="68"/>
      <c r="I47" s="68"/>
      <c r="J47" s="52"/>
      <c r="K47" s="38"/>
      <c r="L47" s="38"/>
      <c r="M47" s="17"/>
    </row>
    <row r="48" spans="2:13" ht="14.45" customHeight="1" x14ac:dyDescent="0.25">
      <c r="B48" s="17"/>
      <c r="C48" s="14"/>
      <c r="D48" s="14"/>
      <c r="E48" s="19"/>
      <c r="F48" s="21"/>
      <c r="G48" s="68"/>
      <c r="H48" s="68"/>
      <c r="I48" s="68"/>
      <c r="J48" s="52"/>
      <c r="K48" s="38"/>
      <c r="L48" s="38"/>
      <c r="M48" s="17"/>
    </row>
    <row r="49" spans="2:13" ht="14.45" customHeight="1" x14ac:dyDescent="0.25">
      <c r="B49" s="17"/>
      <c r="C49" s="14"/>
      <c r="D49" s="14"/>
      <c r="E49" s="19"/>
      <c r="F49" s="21"/>
      <c r="G49" s="68"/>
      <c r="H49" s="68"/>
      <c r="I49" s="68"/>
      <c r="J49" s="52"/>
      <c r="K49" s="38"/>
      <c r="L49" s="38"/>
      <c r="M49" s="17"/>
    </row>
    <row r="50" spans="2:13" ht="14.45" customHeight="1" x14ac:dyDescent="0.25">
      <c r="B50" s="53"/>
      <c r="C50" s="40"/>
      <c r="D50" s="40"/>
      <c r="E50" s="54"/>
      <c r="F50" s="55"/>
      <c r="G50" s="69"/>
      <c r="H50" s="78"/>
      <c r="I50" s="78"/>
      <c r="J50" s="56"/>
      <c r="K50" s="38"/>
      <c r="L50" s="38"/>
      <c r="M50" s="17"/>
    </row>
    <row r="51" spans="2:13" ht="14.45" customHeight="1" x14ac:dyDescent="0.25">
      <c r="B51" s="44"/>
      <c r="C51" s="45"/>
      <c r="D51" s="45"/>
      <c r="E51" s="46"/>
      <c r="F51" s="47"/>
      <c r="G51" s="66"/>
      <c r="H51" s="77"/>
      <c r="I51" s="77"/>
      <c r="J51" s="45"/>
      <c r="K51" s="38"/>
      <c r="L51" s="38"/>
      <c r="M51" s="17"/>
    </row>
    <row r="52" spans="2:13" ht="14.45" customHeight="1" x14ac:dyDescent="0.25">
      <c r="B52" s="39"/>
      <c r="C52" s="48"/>
      <c r="D52" s="48"/>
      <c r="E52" s="49"/>
      <c r="F52" s="50"/>
      <c r="G52" s="67"/>
      <c r="H52" s="67"/>
      <c r="I52" s="67"/>
      <c r="J52" s="51"/>
      <c r="K52" s="38"/>
      <c r="L52" s="38"/>
      <c r="M52" s="17"/>
    </row>
    <row r="53" spans="2:13" ht="14.45" customHeight="1" x14ac:dyDescent="0.25">
      <c r="B53" s="17"/>
      <c r="C53" s="14"/>
      <c r="D53" s="14"/>
      <c r="E53" s="19"/>
      <c r="F53" s="21"/>
      <c r="G53" s="68"/>
      <c r="H53" s="68"/>
      <c r="I53" s="68"/>
      <c r="J53" s="52"/>
      <c r="K53" s="38"/>
      <c r="L53" s="38"/>
      <c r="M53" s="17"/>
    </row>
    <row r="54" spans="2:13" ht="14.45" customHeight="1" x14ac:dyDescent="0.25">
      <c r="B54" s="17"/>
      <c r="C54" s="14"/>
      <c r="D54" s="14"/>
      <c r="E54" s="19"/>
      <c r="F54" s="21"/>
      <c r="G54" s="68"/>
      <c r="H54" s="68"/>
      <c r="I54" s="68"/>
      <c r="J54" s="52"/>
      <c r="K54" s="38"/>
      <c r="L54" s="38"/>
      <c r="M54" s="17"/>
    </row>
    <row r="55" spans="2:13" ht="14.45" customHeight="1" x14ac:dyDescent="0.25">
      <c r="B55" s="17"/>
      <c r="C55" s="14"/>
      <c r="D55" s="14"/>
      <c r="E55" s="19"/>
      <c r="F55" s="21"/>
      <c r="G55" s="68"/>
      <c r="H55" s="68"/>
      <c r="I55" s="68"/>
      <c r="J55" s="52"/>
      <c r="K55" s="38"/>
      <c r="L55" s="38"/>
      <c r="M55" s="17"/>
    </row>
    <row r="56" spans="2:13" ht="14.45" customHeight="1" x14ac:dyDescent="0.25">
      <c r="B56" s="17"/>
      <c r="C56" s="14"/>
      <c r="D56" s="14"/>
      <c r="E56" s="19"/>
      <c r="F56" s="21"/>
      <c r="G56" s="68"/>
      <c r="H56" s="68"/>
      <c r="I56" s="68"/>
      <c r="J56" s="52"/>
      <c r="K56" s="38"/>
      <c r="L56" s="38"/>
      <c r="M56" s="17"/>
    </row>
    <row r="57" spans="2:13" ht="14.45" customHeight="1" x14ac:dyDescent="0.25">
      <c r="B57" s="17"/>
      <c r="C57" s="14"/>
      <c r="D57" s="14"/>
      <c r="E57" s="19"/>
      <c r="F57" s="21"/>
      <c r="G57" s="68"/>
      <c r="H57" s="68"/>
      <c r="I57" s="68"/>
      <c r="J57" s="52"/>
      <c r="K57" s="38"/>
      <c r="L57" s="38"/>
      <c r="M57" s="17"/>
    </row>
    <row r="58" spans="2:13" ht="14.45" customHeight="1" x14ac:dyDescent="0.25">
      <c r="B58" s="17"/>
      <c r="C58" s="14"/>
      <c r="D58" s="14"/>
      <c r="E58" s="19"/>
      <c r="F58" s="21"/>
      <c r="G58" s="68"/>
      <c r="H58" s="68"/>
      <c r="I58" s="68"/>
      <c r="J58" s="52"/>
      <c r="K58" s="38"/>
      <c r="L58" s="38"/>
      <c r="M58" s="17"/>
    </row>
    <row r="59" spans="2:13" ht="14.45" customHeight="1" x14ac:dyDescent="0.25">
      <c r="B59" s="17"/>
      <c r="C59" s="14"/>
      <c r="D59" s="14"/>
      <c r="E59" s="19"/>
      <c r="F59" s="21"/>
      <c r="G59" s="68"/>
      <c r="H59" s="68"/>
      <c r="I59" s="68"/>
      <c r="J59" s="52"/>
      <c r="K59" s="38"/>
      <c r="L59" s="38"/>
      <c r="M59" s="17"/>
    </row>
    <row r="60" spans="2:13" ht="14.45" customHeight="1" x14ac:dyDescent="0.25">
      <c r="B60" s="17"/>
      <c r="C60" s="14"/>
      <c r="D60" s="14"/>
      <c r="E60" s="19"/>
      <c r="F60" s="21"/>
      <c r="G60" s="68"/>
      <c r="H60" s="68"/>
      <c r="I60" s="68"/>
      <c r="J60" s="52"/>
      <c r="K60" s="38"/>
      <c r="L60" s="38"/>
      <c r="M60" s="17"/>
    </row>
    <row r="61" spans="2:13" ht="14.45" customHeight="1" x14ac:dyDescent="0.25">
      <c r="B61" s="17"/>
      <c r="C61" s="14"/>
      <c r="D61" s="14"/>
      <c r="E61" s="19"/>
      <c r="F61" s="21"/>
      <c r="G61" s="68"/>
      <c r="H61" s="68"/>
      <c r="I61" s="68"/>
      <c r="J61" s="52"/>
      <c r="K61" s="38"/>
      <c r="L61" s="38"/>
      <c r="M61" s="17"/>
    </row>
    <row r="62" spans="2:13" ht="14.45" customHeight="1" x14ac:dyDescent="0.25">
      <c r="B62" s="17"/>
      <c r="C62" s="14"/>
      <c r="D62" s="14"/>
      <c r="E62" s="19"/>
      <c r="F62" s="21"/>
      <c r="G62" s="68"/>
      <c r="H62" s="68"/>
      <c r="I62" s="68"/>
      <c r="J62" s="52"/>
      <c r="K62" s="38"/>
      <c r="L62" s="38"/>
      <c r="M62" s="17"/>
    </row>
    <row r="63" spans="2:13" ht="14.45" customHeight="1" x14ac:dyDescent="0.25">
      <c r="B63" s="53"/>
      <c r="C63" s="40"/>
      <c r="D63" s="40"/>
      <c r="E63" s="54"/>
      <c r="F63" s="55"/>
      <c r="G63" s="69"/>
      <c r="H63" s="78"/>
      <c r="I63" s="78"/>
      <c r="J63" s="56"/>
      <c r="K63" s="38"/>
      <c r="L63" s="38"/>
      <c r="M63" s="17"/>
    </row>
    <row r="64" spans="2:13" ht="14.45" customHeight="1" x14ac:dyDescent="0.25">
      <c r="B64" s="44"/>
      <c r="C64" s="45"/>
      <c r="D64" s="45"/>
      <c r="E64" s="46"/>
      <c r="F64" s="47"/>
      <c r="G64" s="66"/>
      <c r="H64" s="77"/>
      <c r="I64" s="77"/>
      <c r="J64" s="45"/>
      <c r="K64" s="38"/>
      <c r="L64" s="38"/>
      <c r="M64" s="17"/>
    </row>
    <row r="65" spans="2:13" ht="14.45" customHeight="1" x14ac:dyDescent="0.25">
      <c r="B65" s="53"/>
      <c r="C65" s="40"/>
      <c r="D65" s="40"/>
      <c r="E65" s="41"/>
      <c r="F65" s="57"/>
      <c r="G65" s="70"/>
      <c r="H65" s="70"/>
      <c r="I65" s="70"/>
      <c r="J65" s="16"/>
      <c r="K65" s="38"/>
      <c r="L65" s="38"/>
      <c r="M65" s="17"/>
    </row>
    <row r="66" spans="2:13" ht="14.45" customHeight="1" x14ac:dyDescent="0.25">
      <c r="B66" s="44"/>
      <c r="C66" s="45"/>
      <c r="D66" s="45"/>
      <c r="E66" s="46"/>
      <c r="F66" s="47"/>
      <c r="G66" s="66"/>
      <c r="H66" s="77"/>
      <c r="I66" s="77"/>
      <c r="J66" s="45"/>
      <c r="K66" s="38"/>
      <c r="L66" s="38"/>
      <c r="M66" s="17"/>
    </row>
    <row r="67" spans="2:13" ht="14.45" customHeight="1" x14ac:dyDescent="0.25">
      <c r="B67" s="39"/>
      <c r="C67" s="48"/>
      <c r="D67" s="48"/>
      <c r="E67" s="49"/>
      <c r="F67" s="57"/>
      <c r="G67" s="70"/>
      <c r="H67" s="70"/>
      <c r="I67" s="70"/>
      <c r="J67" s="58"/>
      <c r="K67" s="38"/>
      <c r="L67" s="38"/>
      <c r="M67" s="17"/>
    </row>
    <row r="68" spans="2:13" ht="14.45" customHeight="1" x14ac:dyDescent="0.25">
      <c r="B68" s="44"/>
      <c r="C68" s="45"/>
      <c r="D68" s="45"/>
      <c r="E68" s="46"/>
      <c r="F68" s="47"/>
      <c r="G68" s="66"/>
      <c r="H68" s="77"/>
      <c r="I68" s="77"/>
      <c r="J68" s="45"/>
      <c r="K68" s="38"/>
      <c r="L68" s="38"/>
      <c r="M68" s="17"/>
    </row>
    <row r="69" spans="2:13" ht="14.45" customHeight="1" x14ac:dyDescent="0.25">
      <c r="B69" s="53"/>
      <c r="C69" s="40"/>
      <c r="D69" s="40"/>
      <c r="E69" s="41"/>
      <c r="F69" s="42"/>
      <c r="G69" s="65"/>
      <c r="H69" s="70"/>
      <c r="I69" s="70"/>
      <c r="J69" s="40"/>
      <c r="K69" s="38"/>
      <c r="L69" s="38"/>
      <c r="M69" s="17"/>
    </row>
    <row r="70" spans="2:13" ht="14.45" customHeight="1" x14ac:dyDescent="0.25">
      <c r="B70" s="53"/>
      <c r="C70" s="40"/>
      <c r="D70" s="40"/>
      <c r="E70" s="41"/>
      <c r="F70" s="42"/>
      <c r="G70" s="65"/>
      <c r="H70" s="70"/>
      <c r="I70" s="70"/>
      <c r="J70" s="59"/>
      <c r="K70" s="38"/>
      <c r="L70" s="38"/>
      <c r="M70" s="17"/>
    </row>
    <row r="71" spans="2:13" ht="14.45" customHeight="1" x14ac:dyDescent="0.25">
      <c r="B71" s="17"/>
      <c r="C71" s="14"/>
      <c r="D71" s="14"/>
      <c r="E71" s="18"/>
      <c r="F71" s="22"/>
      <c r="G71" s="71"/>
      <c r="H71" s="68"/>
      <c r="I71" s="68"/>
      <c r="J71" s="15"/>
      <c r="K71" s="38"/>
      <c r="L71" s="38"/>
      <c r="M71" s="17"/>
    </row>
    <row r="72" spans="2:13" ht="14.45" customHeight="1" x14ac:dyDescent="0.25">
      <c r="B72" s="17"/>
      <c r="C72" s="14"/>
      <c r="D72" s="14"/>
      <c r="E72" s="18"/>
      <c r="F72" s="22"/>
      <c r="G72" s="71"/>
      <c r="H72" s="68"/>
      <c r="I72" s="68"/>
      <c r="J72" s="15"/>
      <c r="K72" s="38"/>
      <c r="L72" s="38"/>
      <c r="M72" s="17"/>
    </row>
    <row r="73" spans="2:13" ht="14.45" customHeight="1" x14ac:dyDescent="0.25">
      <c r="B73" s="17"/>
      <c r="C73" s="14"/>
      <c r="D73" s="14"/>
      <c r="E73" s="18"/>
      <c r="F73" s="22"/>
      <c r="G73" s="71"/>
      <c r="H73" s="68"/>
      <c r="I73" s="68"/>
      <c r="J73" s="15"/>
      <c r="K73" s="38"/>
      <c r="L73" s="38"/>
      <c r="M73" s="17"/>
    </row>
    <row r="74" spans="2:13" ht="14.45" customHeight="1" x14ac:dyDescent="0.25">
      <c r="B74" s="17"/>
      <c r="C74" s="14"/>
      <c r="D74" s="14"/>
      <c r="E74" s="18"/>
      <c r="F74" s="22"/>
      <c r="G74" s="71"/>
      <c r="H74" s="68"/>
      <c r="I74" s="68"/>
      <c r="J74" s="15"/>
      <c r="K74" s="38"/>
      <c r="L74" s="38"/>
      <c r="M74" s="17"/>
    </row>
    <row r="75" spans="2:13" ht="14.45" customHeight="1" x14ac:dyDescent="0.25">
      <c r="B75" s="17"/>
      <c r="C75" s="14"/>
      <c r="D75" s="14"/>
      <c r="E75" s="18"/>
      <c r="F75" s="22"/>
      <c r="G75" s="71"/>
      <c r="H75" s="68"/>
      <c r="I75" s="68"/>
      <c r="J75" s="15"/>
      <c r="K75" s="38"/>
      <c r="L75" s="38"/>
      <c r="M75" s="17"/>
    </row>
    <row r="76" spans="2:13" ht="14.45" customHeight="1" x14ac:dyDescent="0.25">
      <c r="B76" s="17"/>
      <c r="C76" s="14"/>
      <c r="D76" s="14"/>
      <c r="E76" s="18"/>
      <c r="F76" s="22"/>
      <c r="G76" s="71"/>
      <c r="H76" s="68"/>
      <c r="I76" s="68"/>
      <c r="J76" s="15"/>
      <c r="K76" s="38"/>
      <c r="L76" s="38"/>
      <c r="M76" s="17"/>
    </row>
    <row r="77" spans="2:13" ht="14.45" customHeight="1" x14ac:dyDescent="0.25">
      <c r="B77" s="17"/>
      <c r="C77" s="14"/>
      <c r="D77" s="14"/>
      <c r="E77" s="18"/>
      <c r="F77" s="22"/>
      <c r="G77" s="71"/>
      <c r="H77" s="68"/>
      <c r="I77" s="68"/>
      <c r="J77" s="15"/>
      <c r="K77" s="38"/>
      <c r="L77" s="38"/>
      <c r="M77" s="17"/>
    </row>
    <row r="78" spans="2:13" ht="14.45" customHeight="1" x14ac:dyDescent="0.25">
      <c r="B78" s="17"/>
      <c r="C78" s="14"/>
      <c r="D78" s="14"/>
      <c r="E78" s="18"/>
      <c r="F78" s="22"/>
      <c r="G78" s="71"/>
      <c r="H78" s="68"/>
      <c r="I78" s="68"/>
      <c r="J78" s="15"/>
      <c r="K78" s="38"/>
      <c r="L78" s="38"/>
      <c r="M78" s="17"/>
    </row>
    <row r="79" spans="2:13" ht="14.45" customHeight="1" x14ac:dyDescent="0.25">
      <c r="B79" s="17"/>
      <c r="C79" s="14"/>
      <c r="D79" s="14"/>
      <c r="E79" s="18"/>
      <c r="F79" s="22"/>
      <c r="G79" s="71"/>
      <c r="H79" s="68"/>
      <c r="I79" s="68"/>
      <c r="J79" s="15"/>
      <c r="K79" s="38"/>
      <c r="L79" s="38"/>
      <c r="M79" s="17"/>
    </row>
    <row r="80" spans="2:13" ht="14.45" customHeight="1" x14ac:dyDescent="0.25">
      <c r="B80" s="17"/>
      <c r="C80" s="14"/>
      <c r="D80" s="14"/>
      <c r="E80" s="18"/>
      <c r="F80" s="22"/>
      <c r="G80" s="71"/>
      <c r="H80" s="68"/>
      <c r="I80" s="68"/>
      <c r="J80" s="15"/>
      <c r="K80" s="38"/>
      <c r="L80" s="38"/>
      <c r="M80" s="17"/>
    </row>
    <row r="81" spans="2:13" ht="14.45" customHeight="1" x14ac:dyDescent="0.25">
      <c r="B81" s="53"/>
      <c r="C81" s="40"/>
      <c r="D81" s="40"/>
      <c r="E81" s="41"/>
      <c r="F81" s="42"/>
      <c r="G81" s="65"/>
      <c r="H81" s="70"/>
      <c r="I81" s="70"/>
      <c r="J81" s="43"/>
      <c r="K81" s="38"/>
      <c r="L81" s="38"/>
      <c r="M81" s="17"/>
    </row>
    <row r="82" spans="2:13" ht="14.45" customHeight="1" x14ac:dyDescent="0.25">
      <c r="B82" s="53"/>
      <c r="C82" s="40"/>
      <c r="D82" s="40"/>
      <c r="E82" s="41"/>
      <c r="F82" s="42"/>
      <c r="G82" s="65"/>
      <c r="H82" s="70"/>
      <c r="I82" s="70"/>
      <c r="J82" s="43"/>
      <c r="K82" s="38"/>
      <c r="L82" s="38"/>
      <c r="M82" s="17"/>
    </row>
    <row r="83" spans="2:13" ht="14.45" customHeight="1" x14ac:dyDescent="0.25">
      <c r="B83" s="44"/>
      <c r="C83" s="45"/>
      <c r="D83" s="45"/>
      <c r="E83" s="46"/>
      <c r="F83" s="47"/>
      <c r="G83" s="66"/>
      <c r="H83" s="77"/>
      <c r="I83" s="77"/>
      <c r="J83" s="45"/>
      <c r="K83" s="38"/>
      <c r="L83" s="38"/>
      <c r="M83" s="17"/>
    </row>
    <row r="84" spans="2:13" ht="14.45" customHeight="1" x14ac:dyDescent="0.25">
      <c r="B84" s="39"/>
      <c r="C84" s="48"/>
      <c r="D84" s="48"/>
      <c r="E84" s="49"/>
      <c r="F84" s="60"/>
      <c r="G84" s="72"/>
      <c r="H84" s="67"/>
      <c r="I84" s="67"/>
      <c r="J84" s="43"/>
      <c r="K84" s="38"/>
      <c r="L84" s="38"/>
      <c r="M84" s="17"/>
    </row>
    <row r="85" spans="2:13" ht="14.45" customHeight="1" x14ac:dyDescent="0.25">
      <c r="B85" s="17"/>
      <c r="C85" s="14"/>
      <c r="D85" s="14"/>
      <c r="E85" s="18"/>
      <c r="F85" s="20"/>
      <c r="G85" s="64"/>
      <c r="H85" s="68"/>
      <c r="I85" s="68"/>
      <c r="J85" s="14"/>
      <c r="K85" s="38"/>
      <c r="L85" s="38"/>
      <c r="M85" s="17"/>
    </row>
    <row r="86" spans="2:13" ht="14.45" customHeight="1" x14ac:dyDescent="0.25">
      <c r="B86" s="39"/>
      <c r="C86" s="40"/>
      <c r="D86" s="40"/>
      <c r="E86" s="41"/>
      <c r="F86" s="42"/>
      <c r="G86" s="65"/>
      <c r="H86" s="70"/>
      <c r="I86" s="70"/>
      <c r="J86" s="40"/>
      <c r="K86" s="38"/>
      <c r="L86" s="38"/>
      <c r="M86" s="17"/>
    </row>
    <row r="87" spans="2:13" ht="14.45" customHeight="1" x14ac:dyDescent="0.25">
      <c r="B87" s="53"/>
      <c r="C87" s="40"/>
      <c r="D87" s="40"/>
      <c r="E87" s="41"/>
      <c r="F87" s="42"/>
      <c r="G87" s="65"/>
      <c r="H87" s="70"/>
      <c r="I87" s="70"/>
      <c r="J87" s="43"/>
      <c r="K87" s="38"/>
      <c r="L87" s="38"/>
      <c r="M87" s="17"/>
    </row>
    <row r="88" spans="2:13" ht="14.45" customHeight="1" x14ac:dyDescent="0.25">
      <c r="B88" s="17"/>
      <c r="C88" s="14"/>
      <c r="D88" s="14"/>
      <c r="E88" s="18"/>
      <c r="F88" s="61"/>
      <c r="G88" s="73"/>
      <c r="H88" s="79"/>
      <c r="I88" s="79"/>
      <c r="J88" s="14"/>
      <c r="K88" s="38"/>
      <c r="L88" s="38"/>
      <c r="M88" s="17"/>
    </row>
    <row r="89" spans="2:13" ht="14.45" customHeight="1" x14ac:dyDescent="0.25">
      <c r="B89" s="17"/>
      <c r="C89" s="14"/>
      <c r="D89" s="14"/>
      <c r="E89" s="18"/>
      <c r="F89" s="61"/>
      <c r="G89" s="73"/>
      <c r="H89" s="79"/>
      <c r="I89" s="79"/>
      <c r="J89" s="14"/>
      <c r="K89" s="38"/>
      <c r="L89" s="38"/>
      <c r="M89" s="17"/>
    </row>
    <row r="90" spans="2:13" ht="14.45" customHeight="1" x14ac:dyDescent="0.25">
      <c r="B90" s="17"/>
      <c r="C90" s="14"/>
      <c r="D90" s="14"/>
      <c r="E90" s="18"/>
      <c r="F90" s="61"/>
      <c r="G90" s="73"/>
      <c r="H90" s="79"/>
      <c r="I90" s="79"/>
      <c r="J90" s="14"/>
      <c r="K90" s="38"/>
      <c r="L90" s="38"/>
      <c r="M90" s="17"/>
    </row>
    <row r="91" spans="2:13" ht="14.45" customHeight="1" x14ac:dyDescent="0.25">
      <c r="B91" s="17"/>
      <c r="C91" s="14"/>
      <c r="D91" s="14"/>
      <c r="E91" s="18"/>
      <c r="F91" s="61"/>
      <c r="G91" s="73"/>
      <c r="H91" s="79"/>
      <c r="I91" s="79"/>
      <c r="J91" s="14"/>
      <c r="K91" s="38"/>
      <c r="L91" s="38"/>
      <c r="M91" s="17"/>
    </row>
    <row r="92" spans="2:13" ht="14.45" customHeight="1" x14ac:dyDescent="0.25">
      <c r="B92" s="17"/>
      <c r="C92" s="14"/>
      <c r="D92" s="14"/>
      <c r="E92" s="18"/>
      <c r="F92" s="61"/>
      <c r="G92" s="73"/>
      <c r="H92" s="79"/>
      <c r="I92" s="79"/>
      <c r="J92" s="14"/>
      <c r="K92" s="38"/>
      <c r="L92" s="38"/>
      <c r="M92" s="17"/>
    </row>
    <row r="93" spans="2:13" ht="14.45" customHeight="1" x14ac:dyDescent="0.25">
      <c r="B93" s="17"/>
      <c r="C93" s="14"/>
      <c r="D93" s="14"/>
      <c r="E93" s="18"/>
      <c r="F93" s="61"/>
      <c r="G93" s="73"/>
      <c r="H93" s="79"/>
      <c r="I93" s="79"/>
      <c r="J93" s="14"/>
      <c r="K93" s="38"/>
      <c r="L93" s="38"/>
      <c r="M93" s="17"/>
    </row>
    <row r="94" spans="2:13" ht="14.45" customHeight="1" x14ac:dyDescent="0.25">
      <c r="B94" s="17"/>
      <c r="C94" s="14"/>
      <c r="D94" s="14"/>
      <c r="E94" s="18"/>
      <c r="F94" s="61"/>
      <c r="G94" s="73"/>
      <c r="H94" s="79"/>
      <c r="I94" s="79"/>
      <c r="J94" s="14"/>
      <c r="K94" s="38"/>
      <c r="L94" s="38"/>
      <c r="M94" s="17"/>
    </row>
    <row r="95" spans="2:13" ht="14.45" customHeight="1" x14ac:dyDescent="0.25">
      <c r="B95" s="17"/>
      <c r="C95" s="14"/>
      <c r="D95" s="14"/>
      <c r="E95" s="18"/>
      <c r="F95" s="61"/>
      <c r="G95" s="73"/>
      <c r="H95" s="79"/>
      <c r="I95" s="79"/>
      <c r="J95" s="14"/>
      <c r="K95" s="38"/>
      <c r="L95" s="38"/>
      <c r="M95" s="17"/>
    </row>
    <row r="96" spans="2:13" ht="14.45" customHeight="1" x14ac:dyDescent="0.25">
      <c r="B96" s="17"/>
      <c r="C96" s="14"/>
      <c r="D96" s="14"/>
      <c r="E96" s="18"/>
      <c r="F96" s="61"/>
      <c r="G96" s="73"/>
      <c r="H96" s="79"/>
      <c r="I96" s="79"/>
      <c r="J96" s="14"/>
      <c r="K96" s="38"/>
      <c r="L96" s="38"/>
      <c r="M96" s="17"/>
    </row>
    <row r="97" spans="2:13" ht="14.45" customHeight="1" x14ac:dyDescent="0.25">
      <c r="B97" s="17"/>
      <c r="C97" s="14"/>
      <c r="D97" s="14"/>
      <c r="E97" s="18"/>
      <c r="F97" s="61"/>
      <c r="G97" s="73"/>
      <c r="H97" s="79"/>
      <c r="I97" s="79"/>
      <c r="J97" s="14"/>
      <c r="K97" s="38"/>
      <c r="L97" s="38"/>
      <c r="M97" s="17"/>
    </row>
    <row r="98" spans="2:13" ht="14.45" customHeight="1" x14ac:dyDescent="0.25">
      <c r="B98" s="17"/>
      <c r="C98" s="14"/>
      <c r="D98" s="14"/>
      <c r="E98" s="18"/>
      <c r="F98" s="61"/>
      <c r="G98" s="73"/>
      <c r="H98" s="79"/>
      <c r="I98" s="79"/>
      <c r="J98" s="14"/>
      <c r="K98" s="38"/>
      <c r="L98" s="38"/>
      <c r="M98" s="17"/>
    </row>
    <row r="99" spans="2:13" ht="14.45" customHeight="1" x14ac:dyDescent="0.25">
      <c r="B99" s="17"/>
      <c r="C99" s="14"/>
      <c r="D99" s="14"/>
      <c r="E99" s="18"/>
      <c r="F99" s="61"/>
      <c r="G99" s="73"/>
      <c r="H99" s="79"/>
      <c r="I99" s="79"/>
      <c r="J99" s="14"/>
      <c r="K99" s="38"/>
      <c r="L99" s="38"/>
      <c r="M99" s="17"/>
    </row>
    <row r="100" spans="2:13" ht="14.45" customHeight="1" x14ac:dyDescent="0.25">
      <c r="B100" s="17"/>
      <c r="C100" s="14"/>
      <c r="D100" s="14"/>
      <c r="E100" s="18"/>
      <c r="F100" s="61"/>
      <c r="G100" s="73"/>
      <c r="H100" s="79"/>
      <c r="I100" s="79"/>
      <c r="J100" s="14"/>
      <c r="K100" s="38"/>
      <c r="L100" s="38"/>
      <c r="M100" s="17"/>
    </row>
    <row r="101" spans="2:13" ht="14.45" customHeight="1" x14ac:dyDescent="0.25">
      <c r="B101" s="17"/>
      <c r="C101" s="14"/>
      <c r="D101" s="14"/>
      <c r="E101" s="18"/>
      <c r="F101" s="61"/>
      <c r="G101" s="73"/>
      <c r="H101" s="79"/>
      <c r="I101" s="79"/>
      <c r="J101" s="14"/>
      <c r="K101" s="38"/>
      <c r="L101" s="38"/>
      <c r="M101" s="17"/>
    </row>
    <row r="102" spans="2:13" ht="14.45" customHeight="1" x14ac:dyDescent="0.25">
      <c r="B102" s="17"/>
      <c r="C102" s="14"/>
      <c r="D102" s="14"/>
      <c r="E102" s="18"/>
      <c r="F102" s="61"/>
      <c r="G102" s="73"/>
      <c r="H102" s="79"/>
      <c r="I102" s="79"/>
      <c r="J102" s="14"/>
      <c r="K102" s="38"/>
      <c r="L102" s="38"/>
      <c r="M102" s="17"/>
    </row>
    <row r="103" spans="2:13" ht="14.45" customHeight="1" x14ac:dyDescent="0.25">
      <c r="B103" s="17"/>
      <c r="C103" s="14"/>
      <c r="D103" s="14"/>
      <c r="E103" s="18"/>
      <c r="F103" s="61"/>
      <c r="G103" s="73"/>
      <c r="H103" s="79"/>
      <c r="I103" s="79"/>
      <c r="J103" s="14"/>
      <c r="K103" s="38"/>
      <c r="L103" s="38"/>
      <c r="M103" s="17"/>
    </row>
    <row r="104" spans="2:13" ht="14.45" customHeight="1" x14ac:dyDescent="0.25">
      <c r="B104" s="17"/>
      <c r="C104" s="14"/>
      <c r="D104" s="14"/>
      <c r="E104" s="18"/>
      <c r="F104" s="61"/>
      <c r="G104" s="73"/>
      <c r="H104" s="79"/>
      <c r="I104" s="79"/>
      <c r="J104" s="14"/>
      <c r="K104" s="38"/>
      <c r="L104" s="38"/>
      <c r="M104" s="17"/>
    </row>
    <row r="105" spans="2:13" ht="14.45" customHeight="1" x14ac:dyDescent="0.25">
      <c r="B105" s="17"/>
      <c r="C105" s="14"/>
      <c r="D105" s="14"/>
      <c r="E105" s="18"/>
      <c r="F105" s="61"/>
      <c r="G105" s="73"/>
      <c r="H105" s="79"/>
      <c r="I105" s="79"/>
      <c r="J105" s="14"/>
      <c r="K105" s="38"/>
      <c r="L105" s="38"/>
      <c r="M105" s="17"/>
    </row>
    <row r="106" spans="2:13" ht="14.45" customHeight="1" x14ac:dyDescent="0.25">
      <c r="B106" s="17"/>
      <c r="C106" s="14"/>
      <c r="D106" s="14"/>
      <c r="E106" s="18"/>
      <c r="F106" s="61"/>
      <c r="G106" s="73"/>
      <c r="H106" s="79"/>
      <c r="I106" s="79"/>
      <c r="J106" s="14"/>
      <c r="K106" s="38"/>
      <c r="L106" s="38"/>
      <c r="M106" s="17"/>
    </row>
    <row r="107" spans="2:13" ht="14.45" customHeight="1" x14ac:dyDescent="0.25">
      <c r="B107" s="17"/>
      <c r="C107" s="14"/>
      <c r="D107" s="14"/>
      <c r="E107" s="18"/>
      <c r="F107" s="61"/>
      <c r="G107" s="73"/>
      <c r="H107" s="79"/>
      <c r="I107" s="79"/>
      <c r="J107" s="14"/>
      <c r="K107" s="38"/>
      <c r="L107" s="38"/>
      <c r="M107" s="17"/>
    </row>
    <row r="108" spans="2:13" ht="14.45" customHeight="1" x14ac:dyDescent="0.25">
      <c r="B108" s="17"/>
      <c r="C108" s="14"/>
      <c r="D108" s="14"/>
      <c r="E108" s="18"/>
      <c r="F108" s="61"/>
      <c r="G108" s="73"/>
      <c r="H108" s="79"/>
      <c r="I108" s="79"/>
      <c r="J108" s="14"/>
      <c r="K108" s="38"/>
      <c r="L108" s="38"/>
      <c r="M108" s="17"/>
    </row>
    <row r="109" spans="2:13" ht="14.45" customHeight="1" x14ac:dyDescent="0.25">
      <c r="B109" s="17"/>
      <c r="C109" s="14"/>
      <c r="D109" s="14"/>
      <c r="E109" s="18"/>
      <c r="F109" s="61"/>
      <c r="G109" s="73"/>
      <c r="H109" s="79"/>
      <c r="I109" s="79"/>
      <c r="J109" s="14"/>
      <c r="K109" s="38"/>
      <c r="L109" s="38"/>
      <c r="M109" s="17"/>
    </row>
    <row r="110" spans="2:13" ht="14.45" customHeight="1" x14ac:dyDescent="0.25">
      <c r="B110" s="17"/>
      <c r="C110" s="14"/>
      <c r="D110" s="14"/>
      <c r="E110" s="18"/>
      <c r="F110" s="61"/>
      <c r="G110" s="73"/>
      <c r="H110" s="79"/>
      <c r="I110" s="79"/>
      <c r="J110" s="14"/>
      <c r="K110" s="38"/>
      <c r="L110" s="38"/>
      <c r="M110" s="17"/>
    </row>
    <row r="111" spans="2:13" ht="14.45" customHeight="1" x14ac:dyDescent="0.25">
      <c r="B111" s="17"/>
      <c r="C111" s="14"/>
      <c r="D111" s="14"/>
      <c r="E111" s="18"/>
      <c r="F111" s="61"/>
      <c r="G111" s="73"/>
      <c r="H111" s="79"/>
      <c r="I111" s="79"/>
      <c r="J111" s="14"/>
      <c r="K111" s="38"/>
      <c r="L111" s="38"/>
      <c r="M111" s="17"/>
    </row>
    <row r="112" spans="2:13" ht="14.45" customHeight="1" x14ac:dyDescent="0.25">
      <c r="B112" s="17"/>
      <c r="C112" s="14"/>
      <c r="D112" s="14"/>
      <c r="E112" s="18"/>
      <c r="F112" s="61"/>
      <c r="G112" s="73"/>
      <c r="H112" s="79"/>
      <c r="I112" s="79"/>
      <c r="J112" s="14"/>
      <c r="K112" s="38"/>
      <c r="L112" s="38"/>
      <c r="M112" s="17"/>
    </row>
    <row r="113" spans="2:13" ht="14.45" customHeight="1" x14ac:dyDescent="0.25">
      <c r="B113" s="17"/>
      <c r="C113" s="14"/>
      <c r="D113" s="14"/>
      <c r="E113" s="18"/>
      <c r="F113" s="61"/>
      <c r="G113" s="73"/>
      <c r="H113" s="79"/>
      <c r="I113" s="79"/>
      <c r="J113" s="14"/>
      <c r="K113" s="38"/>
      <c r="L113" s="38"/>
      <c r="M113" s="17"/>
    </row>
    <row r="114" spans="2:13" ht="14.45" customHeight="1" x14ac:dyDescent="0.25">
      <c r="B114" s="17"/>
      <c r="C114" s="14"/>
      <c r="D114" s="14"/>
      <c r="E114" s="18"/>
      <c r="F114" s="61"/>
      <c r="G114" s="73"/>
      <c r="H114" s="79"/>
      <c r="I114" s="79"/>
      <c r="J114" s="14"/>
      <c r="K114" s="38"/>
      <c r="L114" s="38"/>
      <c r="M114" s="17"/>
    </row>
    <row r="115" spans="2:13" ht="14.45" customHeight="1" x14ac:dyDescent="0.25">
      <c r="B115" s="17"/>
      <c r="C115" s="14"/>
      <c r="D115" s="14"/>
      <c r="E115" s="18"/>
      <c r="F115" s="61"/>
      <c r="G115" s="73"/>
      <c r="H115" s="79"/>
      <c r="I115" s="79"/>
      <c r="J115" s="14"/>
      <c r="K115" s="38"/>
      <c r="L115" s="38"/>
      <c r="M115" s="17"/>
    </row>
    <row r="116" spans="2:13" ht="14.45" customHeight="1" x14ac:dyDescent="0.25">
      <c r="B116" s="17"/>
      <c r="C116" s="14"/>
      <c r="D116" s="14"/>
      <c r="E116" s="18"/>
      <c r="F116" s="61"/>
      <c r="G116" s="73"/>
      <c r="H116" s="79"/>
      <c r="I116" s="79"/>
      <c r="J116" s="14"/>
      <c r="K116" s="38"/>
      <c r="L116" s="38"/>
      <c r="M116" s="17"/>
    </row>
    <row r="117" spans="2:13" ht="14.45" customHeight="1" x14ac:dyDescent="0.25">
      <c r="B117" s="17"/>
      <c r="C117" s="14"/>
      <c r="D117" s="14"/>
      <c r="E117" s="18"/>
      <c r="F117" s="61"/>
      <c r="G117" s="73"/>
      <c r="H117" s="79"/>
      <c r="I117" s="79"/>
      <c r="J117" s="14"/>
      <c r="K117" s="38"/>
      <c r="L117" s="38"/>
      <c r="M117" s="17"/>
    </row>
    <row r="118" spans="2:13" ht="14.45" customHeight="1" x14ac:dyDescent="0.25">
      <c r="B118" s="17"/>
      <c r="C118" s="14"/>
      <c r="D118" s="14"/>
      <c r="E118" s="18"/>
      <c r="F118" s="61"/>
      <c r="G118" s="73"/>
      <c r="H118" s="79"/>
      <c r="I118" s="79"/>
      <c r="J118" s="14"/>
      <c r="K118" s="38"/>
      <c r="L118" s="38"/>
      <c r="M118" s="17"/>
    </row>
    <row r="119" spans="2:13" ht="14.45" customHeight="1" x14ac:dyDescent="0.25">
      <c r="B119" s="17"/>
      <c r="C119" s="14"/>
      <c r="D119" s="14"/>
      <c r="E119" s="18"/>
      <c r="F119" s="61"/>
      <c r="G119" s="73"/>
      <c r="H119" s="79"/>
      <c r="I119" s="79"/>
      <c r="J119" s="14"/>
      <c r="K119" s="38"/>
      <c r="L119" s="38"/>
      <c r="M119" s="17"/>
    </row>
    <row r="120" spans="2:13" ht="14.45" customHeight="1" x14ac:dyDescent="0.25">
      <c r="B120" s="17"/>
      <c r="C120" s="14"/>
      <c r="D120" s="14"/>
      <c r="E120" s="18"/>
      <c r="F120" s="61"/>
      <c r="G120" s="73"/>
      <c r="H120" s="79"/>
      <c r="I120" s="79"/>
      <c r="J120" s="14"/>
      <c r="K120" s="38"/>
      <c r="L120" s="38"/>
      <c r="M120" s="17"/>
    </row>
    <row r="121" spans="2:13" ht="14.45" customHeight="1" x14ac:dyDescent="0.25">
      <c r="B121" s="17"/>
      <c r="C121" s="14"/>
      <c r="D121" s="14"/>
      <c r="E121" s="18"/>
      <c r="F121" s="61"/>
      <c r="G121" s="73"/>
      <c r="H121" s="79"/>
      <c r="I121" s="79"/>
      <c r="J121" s="14"/>
      <c r="K121" s="38"/>
      <c r="L121" s="38"/>
      <c r="M121" s="17"/>
    </row>
    <row r="122" spans="2:13" ht="14.45" customHeight="1" x14ac:dyDescent="0.25">
      <c r="B122" s="17"/>
      <c r="C122" s="14"/>
      <c r="D122" s="14"/>
      <c r="E122" s="18"/>
      <c r="F122" s="61"/>
      <c r="G122" s="73"/>
      <c r="H122" s="79"/>
      <c r="I122" s="79"/>
      <c r="J122" s="14"/>
      <c r="K122" s="38"/>
      <c r="L122" s="38"/>
      <c r="M122" s="17"/>
    </row>
    <row r="123" spans="2:13" ht="14.45" customHeight="1" x14ac:dyDescent="0.25">
      <c r="B123" s="17"/>
      <c r="C123" s="14"/>
      <c r="D123" s="14"/>
      <c r="E123" s="18"/>
      <c r="F123" s="61"/>
      <c r="G123" s="73"/>
      <c r="H123" s="79"/>
      <c r="I123" s="79"/>
      <c r="J123" s="14"/>
      <c r="K123" s="38"/>
      <c r="L123" s="38"/>
      <c r="M123" s="17"/>
    </row>
    <row r="124" spans="2:13" ht="14.45" customHeight="1" x14ac:dyDescent="0.25">
      <c r="B124" s="17"/>
      <c r="C124" s="14"/>
      <c r="D124" s="14"/>
      <c r="E124" s="18"/>
      <c r="F124" s="61"/>
      <c r="G124" s="73"/>
      <c r="H124" s="79"/>
      <c r="I124" s="79"/>
      <c r="J124" s="14"/>
      <c r="K124" s="38"/>
      <c r="L124" s="38"/>
      <c r="M124" s="17"/>
    </row>
    <row r="125" spans="2:13" ht="14.45" customHeight="1" x14ac:dyDescent="0.25">
      <c r="B125" s="17"/>
      <c r="C125" s="14"/>
      <c r="D125" s="14"/>
      <c r="E125" s="18"/>
      <c r="F125" s="61"/>
      <c r="G125" s="73"/>
      <c r="H125" s="79"/>
      <c r="I125" s="79"/>
      <c r="J125" s="14"/>
      <c r="K125" s="38"/>
      <c r="L125" s="38"/>
      <c r="M125" s="17"/>
    </row>
    <row r="126" spans="2:13" ht="14.45" customHeight="1" x14ac:dyDescent="0.25">
      <c r="B126" s="17"/>
      <c r="C126" s="14"/>
      <c r="D126" s="14"/>
      <c r="E126" s="18"/>
      <c r="F126" s="61"/>
      <c r="G126" s="73"/>
      <c r="H126" s="79"/>
      <c r="I126" s="79"/>
      <c r="J126" s="14"/>
      <c r="K126" s="38"/>
      <c r="L126" s="38"/>
      <c r="M126" s="17"/>
    </row>
    <row r="127" spans="2:13" ht="14.45" customHeight="1" x14ac:dyDescent="0.25">
      <c r="B127" s="17"/>
      <c r="C127" s="14"/>
      <c r="D127" s="14"/>
      <c r="E127" s="18"/>
      <c r="F127" s="61"/>
      <c r="G127" s="73"/>
      <c r="H127" s="79"/>
      <c r="I127" s="79"/>
      <c r="J127" s="14"/>
      <c r="K127" s="38"/>
      <c r="L127" s="38"/>
      <c r="M127" s="17"/>
    </row>
    <row r="128" spans="2:13" ht="14.45" customHeight="1" x14ac:dyDescent="0.25">
      <c r="B128" s="17"/>
      <c r="C128" s="14"/>
      <c r="D128" s="14"/>
      <c r="E128" s="18"/>
      <c r="F128" s="61"/>
      <c r="G128" s="73"/>
      <c r="H128" s="79"/>
      <c r="I128" s="79"/>
      <c r="J128" s="14"/>
      <c r="K128" s="38"/>
      <c r="L128" s="38"/>
      <c r="M128" s="17"/>
    </row>
    <row r="129" spans="2:13" ht="14.45" customHeight="1" x14ac:dyDescent="0.25">
      <c r="B129" s="17"/>
      <c r="C129" s="14"/>
      <c r="D129" s="14"/>
      <c r="E129" s="18"/>
      <c r="F129" s="61"/>
      <c r="G129" s="73"/>
      <c r="H129" s="79"/>
      <c r="I129" s="79"/>
      <c r="J129" s="14"/>
      <c r="K129" s="38"/>
      <c r="L129" s="38"/>
      <c r="M129" s="17"/>
    </row>
    <row r="130" spans="2:13" ht="14.45" customHeight="1" x14ac:dyDescent="0.25">
      <c r="B130" s="17"/>
      <c r="C130" s="14"/>
      <c r="D130" s="14"/>
      <c r="E130" s="18"/>
      <c r="F130" s="61"/>
      <c r="G130" s="73"/>
      <c r="H130" s="79"/>
      <c r="I130" s="79"/>
      <c r="J130" s="14"/>
      <c r="K130" s="38"/>
      <c r="L130" s="38"/>
      <c r="M130" s="17"/>
    </row>
    <row r="131" spans="2:13" ht="14.45" customHeight="1" x14ac:dyDescent="0.25">
      <c r="B131" s="17"/>
      <c r="C131" s="14"/>
      <c r="D131" s="14"/>
      <c r="E131" s="18"/>
      <c r="F131" s="61"/>
      <c r="G131" s="73"/>
      <c r="H131" s="79"/>
      <c r="I131" s="79"/>
      <c r="J131" s="14"/>
      <c r="K131" s="38"/>
      <c r="L131" s="38"/>
      <c r="M131" s="17"/>
    </row>
    <row r="132" spans="2:13" ht="14.45" customHeight="1" x14ac:dyDescent="0.25">
      <c r="B132" s="17"/>
      <c r="C132" s="14"/>
      <c r="D132" s="14"/>
      <c r="E132" s="18"/>
      <c r="F132" s="61"/>
      <c r="G132" s="73"/>
      <c r="H132" s="79"/>
      <c r="I132" s="79"/>
      <c r="J132" s="14"/>
      <c r="K132" s="38"/>
      <c r="L132" s="38"/>
      <c r="M132" s="17"/>
    </row>
    <row r="133" spans="2:13" ht="14.45" customHeight="1" x14ac:dyDescent="0.25">
      <c r="B133" s="17"/>
      <c r="C133" s="14"/>
      <c r="D133" s="14"/>
      <c r="E133" s="18"/>
      <c r="F133" s="61"/>
      <c r="G133" s="73"/>
      <c r="H133" s="79"/>
      <c r="I133" s="79"/>
      <c r="J133" s="14"/>
      <c r="K133" s="38"/>
      <c r="L133" s="38"/>
      <c r="M133" s="17"/>
    </row>
    <row r="134" spans="2:13" ht="14.45" customHeight="1" x14ac:dyDescent="0.25">
      <c r="B134" s="17"/>
      <c r="C134" s="14"/>
      <c r="D134" s="14"/>
      <c r="E134" s="18"/>
      <c r="F134" s="61"/>
      <c r="G134" s="73"/>
      <c r="H134" s="79"/>
      <c r="I134" s="79"/>
      <c r="J134" s="14"/>
      <c r="K134" s="38"/>
      <c r="L134" s="38"/>
      <c r="M134" s="17"/>
    </row>
    <row r="135" spans="2:13" ht="14.45" customHeight="1" x14ac:dyDescent="0.25">
      <c r="B135" s="17"/>
      <c r="C135" s="14"/>
      <c r="D135" s="14"/>
      <c r="E135" s="18"/>
      <c r="F135" s="61"/>
      <c r="G135" s="73"/>
      <c r="H135" s="79"/>
      <c r="I135" s="79"/>
      <c r="J135" s="14"/>
      <c r="K135" s="38"/>
      <c r="L135" s="38"/>
      <c r="M135" s="17"/>
    </row>
    <row r="136" spans="2:13" ht="14.45" customHeight="1" x14ac:dyDescent="0.25">
      <c r="B136" s="17"/>
      <c r="C136" s="14"/>
      <c r="D136" s="14"/>
      <c r="E136" s="18"/>
      <c r="F136" s="61"/>
      <c r="G136" s="73"/>
      <c r="H136" s="79"/>
      <c r="I136" s="79"/>
      <c r="J136" s="14"/>
      <c r="K136" s="38"/>
      <c r="L136" s="38"/>
      <c r="M136" s="17"/>
    </row>
    <row r="137" spans="2:13" ht="14.45" customHeight="1" x14ac:dyDescent="0.25">
      <c r="B137" s="17"/>
      <c r="C137" s="14"/>
      <c r="D137" s="14"/>
      <c r="E137" s="18"/>
      <c r="F137" s="61"/>
      <c r="G137" s="73"/>
      <c r="H137" s="79"/>
      <c r="I137" s="79"/>
      <c r="J137" s="14"/>
      <c r="K137" s="38"/>
      <c r="L137" s="38"/>
      <c r="M137" s="17"/>
    </row>
    <row r="138" spans="2:13" ht="14.45" customHeight="1" x14ac:dyDescent="0.25">
      <c r="B138" s="17"/>
      <c r="C138" s="14"/>
      <c r="D138" s="14"/>
      <c r="E138" s="18"/>
      <c r="F138" s="61"/>
      <c r="G138" s="73"/>
      <c r="H138" s="79"/>
      <c r="I138" s="79"/>
      <c r="J138" s="14"/>
      <c r="K138" s="38"/>
      <c r="L138" s="38"/>
      <c r="M138" s="17"/>
    </row>
    <row r="139" spans="2:13" ht="14.45" customHeight="1" x14ac:dyDescent="0.25">
      <c r="B139" s="17"/>
      <c r="C139" s="14"/>
      <c r="D139" s="14"/>
      <c r="E139" s="18"/>
      <c r="F139" s="61"/>
      <c r="G139" s="73"/>
      <c r="H139" s="79"/>
      <c r="I139" s="79"/>
      <c r="J139" s="14"/>
      <c r="K139" s="38"/>
      <c r="L139" s="38"/>
      <c r="M139" s="17"/>
    </row>
    <row r="140" spans="2:13" ht="14.45" customHeight="1" x14ac:dyDescent="0.25">
      <c r="B140" s="17"/>
      <c r="C140" s="14"/>
      <c r="D140" s="14"/>
      <c r="E140" s="18"/>
      <c r="F140" s="61"/>
      <c r="G140" s="73"/>
      <c r="H140" s="79"/>
      <c r="I140" s="79"/>
      <c r="J140" s="14"/>
      <c r="K140" s="38"/>
      <c r="L140" s="38"/>
      <c r="M140" s="17"/>
    </row>
    <row r="141" spans="2:13" ht="14.45" customHeight="1" x14ac:dyDescent="0.25">
      <c r="B141" s="17"/>
      <c r="C141" s="14"/>
      <c r="D141" s="14"/>
      <c r="E141" s="18"/>
      <c r="F141" s="61"/>
      <c r="G141" s="73"/>
      <c r="H141" s="79"/>
      <c r="I141" s="79"/>
      <c r="J141" s="14"/>
      <c r="K141" s="38"/>
      <c r="L141" s="38"/>
      <c r="M141" s="17"/>
    </row>
    <row r="142" spans="2:13" ht="14.45" customHeight="1" x14ac:dyDescent="0.25">
      <c r="B142" s="17"/>
      <c r="C142" s="14"/>
      <c r="D142" s="14"/>
      <c r="E142" s="18"/>
      <c r="F142" s="61"/>
      <c r="G142" s="73"/>
      <c r="H142" s="79"/>
      <c r="I142" s="79"/>
      <c r="J142" s="14"/>
      <c r="K142" s="38"/>
      <c r="L142" s="38"/>
      <c r="M142" s="17"/>
    </row>
    <row r="143" spans="2:13" ht="14.45" customHeight="1" x14ac:dyDescent="0.25">
      <c r="B143" s="17"/>
      <c r="C143" s="14"/>
      <c r="D143" s="14"/>
      <c r="E143" s="18"/>
      <c r="F143" s="61"/>
      <c r="G143" s="73"/>
      <c r="H143" s="79"/>
      <c r="I143" s="79"/>
      <c r="J143" s="14"/>
      <c r="K143" s="38"/>
      <c r="L143" s="38"/>
      <c r="M143" s="17"/>
    </row>
    <row r="144" spans="2:13" ht="14.45" customHeight="1" x14ac:dyDescent="0.25">
      <c r="B144" s="17"/>
      <c r="C144" s="14"/>
      <c r="D144" s="14"/>
      <c r="E144" s="18"/>
      <c r="F144" s="61"/>
      <c r="G144" s="73"/>
      <c r="H144" s="79"/>
      <c r="I144" s="79"/>
      <c r="J144" s="14"/>
      <c r="K144" s="38"/>
      <c r="L144" s="38"/>
      <c r="M144" s="17"/>
    </row>
    <row r="145" spans="2:13" ht="14.45" customHeight="1" x14ac:dyDescent="0.25">
      <c r="B145" s="17"/>
      <c r="C145" s="14"/>
      <c r="D145" s="14"/>
      <c r="E145" s="18"/>
      <c r="F145" s="61"/>
      <c r="G145" s="73"/>
      <c r="H145" s="79"/>
      <c r="I145" s="79"/>
      <c r="J145" s="14"/>
      <c r="K145" s="38"/>
      <c r="L145" s="38"/>
      <c r="M145" s="17"/>
    </row>
    <row r="146" spans="2:13" ht="14.45" customHeight="1" x14ac:dyDescent="0.25">
      <c r="B146" s="17"/>
      <c r="C146" s="14"/>
      <c r="D146" s="14"/>
      <c r="E146" s="18"/>
      <c r="F146" s="61"/>
      <c r="G146" s="73"/>
      <c r="H146" s="79"/>
      <c r="I146" s="79"/>
      <c r="J146" s="14"/>
      <c r="K146" s="38"/>
      <c r="L146" s="38"/>
      <c r="M146" s="17"/>
    </row>
    <row r="147" spans="2:13" ht="14.45" customHeight="1" x14ac:dyDescent="0.25">
      <c r="B147" s="17"/>
      <c r="C147" s="14"/>
      <c r="D147" s="14"/>
      <c r="E147" s="18"/>
      <c r="F147" s="61"/>
      <c r="G147" s="73"/>
      <c r="H147" s="79"/>
      <c r="I147" s="79"/>
      <c r="J147" s="14"/>
      <c r="K147" s="38"/>
      <c r="L147" s="38"/>
      <c r="M147" s="17"/>
    </row>
    <row r="148" spans="2:13" ht="14.45" customHeight="1" x14ac:dyDescent="0.25">
      <c r="B148" s="17"/>
      <c r="C148" s="14"/>
      <c r="D148" s="14"/>
      <c r="E148" s="18"/>
      <c r="F148" s="61"/>
      <c r="G148" s="73"/>
      <c r="H148" s="79"/>
      <c r="I148" s="79"/>
      <c r="J148" s="14"/>
      <c r="K148" s="38"/>
      <c r="L148" s="38"/>
      <c r="M148" s="17"/>
    </row>
    <row r="149" spans="2:13" ht="14.45" customHeight="1" x14ac:dyDescent="0.25">
      <c r="B149" s="17"/>
      <c r="C149" s="14"/>
      <c r="D149" s="14"/>
      <c r="E149" s="18"/>
      <c r="F149" s="61"/>
      <c r="G149" s="73"/>
      <c r="H149" s="79"/>
      <c r="I149" s="79"/>
      <c r="J149" s="14"/>
      <c r="K149" s="38"/>
      <c r="L149" s="38"/>
      <c r="M149" s="17"/>
    </row>
    <row r="150" spans="2:13" ht="14.45" customHeight="1" x14ac:dyDescent="0.25">
      <c r="B150" s="17"/>
      <c r="C150" s="14"/>
      <c r="D150" s="14"/>
      <c r="E150" s="18"/>
      <c r="F150" s="61"/>
      <c r="G150" s="73"/>
      <c r="H150" s="79"/>
      <c r="I150" s="79"/>
      <c r="J150" s="14"/>
      <c r="K150" s="38"/>
      <c r="L150" s="38"/>
      <c r="M150" s="17"/>
    </row>
    <row r="151" spans="2:13" ht="14.45" customHeight="1" x14ac:dyDescent="0.25">
      <c r="B151" s="17"/>
      <c r="C151" s="14"/>
      <c r="D151" s="14"/>
      <c r="E151" s="18"/>
      <c r="F151" s="61"/>
      <c r="G151" s="73"/>
      <c r="H151" s="79"/>
      <c r="I151" s="79"/>
      <c r="J151" s="14"/>
      <c r="K151" s="38"/>
      <c r="L151" s="38"/>
      <c r="M151" s="17"/>
    </row>
    <row r="152" spans="2:13" ht="14.45" customHeight="1" x14ac:dyDescent="0.25">
      <c r="B152" s="17"/>
      <c r="C152" s="14"/>
      <c r="D152" s="14"/>
      <c r="E152" s="18"/>
      <c r="F152" s="61"/>
      <c r="G152" s="73"/>
      <c r="H152" s="79"/>
      <c r="I152" s="79"/>
      <c r="J152" s="14"/>
      <c r="K152" s="38"/>
      <c r="L152" s="38"/>
      <c r="M152" s="17"/>
    </row>
    <row r="153" spans="2:13" ht="14.45" customHeight="1" x14ac:dyDescent="0.25">
      <c r="B153" s="17"/>
      <c r="C153" s="14"/>
      <c r="D153" s="14"/>
      <c r="E153" s="18"/>
      <c r="F153" s="61"/>
      <c r="G153" s="73"/>
      <c r="H153" s="79"/>
      <c r="I153" s="79"/>
      <c r="J153" s="14"/>
      <c r="K153" s="38"/>
      <c r="L153" s="38"/>
      <c r="M153" s="17"/>
    </row>
    <row r="154" spans="2:13" ht="14.45" customHeight="1" x14ac:dyDescent="0.25">
      <c r="B154" s="17"/>
      <c r="C154" s="14"/>
      <c r="D154" s="14"/>
      <c r="E154" s="18"/>
      <c r="F154" s="61"/>
      <c r="G154" s="73"/>
      <c r="H154" s="79"/>
      <c r="I154" s="79"/>
      <c r="J154" s="14"/>
      <c r="K154" s="38"/>
      <c r="L154" s="38"/>
      <c r="M154" s="17"/>
    </row>
    <row r="155" spans="2:13" ht="14.45" customHeight="1" x14ac:dyDescent="0.25">
      <c r="B155" s="17"/>
      <c r="C155" s="14"/>
      <c r="D155" s="14"/>
      <c r="E155" s="18"/>
      <c r="F155" s="61"/>
      <c r="G155" s="73"/>
      <c r="H155" s="79"/>
      <c r="I155" s="79"/>
      <c r="J155" s="14"/>
      <c r="K155" s="38"/>
      <c r="L155" s="38"/>
      <c r="M155" s="17"/>
    </row>
    <row r="156" spans="2:13" ht="14.45" customHeight="1" x14ac:dyDescent="0.25">
      <c r="B156" s="17"/>
      <c r="C156" s="14"/>
      <c r="D156" s="14"/>
      <c r="E156" s="18"/>
      <c r="F156" s="61"/>
      <c r="G156" s="73"/>
      <c r="H156" s="79"/>
      <c r="I156" s="79"/>
      <c r="J156" s="14"/>
      <c r="K156" s="38"/>
      <c r="L156" s="38"/>
      <c r="M156" s="17"/>
    </row>
    <row r="157" spans="2:13" ht="14.45" customHeight="1" x14ac:dyDescent="0.25">
      <c r="B157" s="17"/>
      <c r="C157" s="14"/>
      <c r="D157" s="14"/>
      <c r="E157" s="18"/>
      <c r="F157" s="61"/>
      <c r="G157" s="73"/>
      <c r="H157" s="79"/>
      <c r="I157" s="79"/>
      <c r="J157" s="14"/>
      <c r="K157" s="38"/>
      <c r="L157" s="38"/>
      <c r="M157" s="17"/>
    </row>
    <row r="158" spans="2:13" ht="14.45" customHeight="1" x14ac:dyDescent="0.25">
      <c r="B158" s="17"/>
      <c r="C158" s="14"/>
      <c r="D158" s="14"/>
      <c r="E158" s="18"/>
      <c r="F158" s="61"/>
      <c r="G158" s="73"/>
      <c r="H158" s="79"/>
      <c r="I158" s="79"/>
      <c r="J158" s="14"/>
      <c r="K158" s="38"/>
      <c r="L158" s="38"/>
      <c r="M158" s="17"/>
    </row>
    <row r="159" spans="2:13" ht="14.45" customHeight="1" x14ac:dyDescent="0.25">
      <c r="B159" s="17"/>
      <c r="C159" s="14"/>
      <c r="D159" s="14"/>
      <c r="E159" s="18"/>
      <c r="F159" s="61"/>
      <c r="G159" s="73"/>
      <c r="H159" s="79"/>
      <c r="I159" s="79"/>
      <c r="J159" s="14"/>
      <c r="K159" s="38"/>
      <c r="L159" s="38"/>
      <c r="M159" s="17"/>
    </row>
    <row r="160" spans="2:13" ht="14.45" customHeight="1" x14ac:dyDescent="0.25">
      <c r="B160" s="17"/>
      <c r="C160" s="14"/>
      <c r="D160" s="14"/>
      <c r="E160" s="18"/>
      <c r="F160" s="61"/>
      <c r="G160" s="73"/>
      <c r="H160" s="79"/>
      <c r="I160" s="79"/>
      <c r="J160" s="14"/>
      <c r="K160" s="38"/>
      <c r="L160" s="38"/>
      <c r="M160" s="17"/>
    </row>
    <row r="161" spans="2:13" ht="14.45" customHeight="1" x14ac:dyDescent="0.25">
      <c r="B161" s="17"/>
      <c r="C161" s="14"/>
      <c r="D161" s="14"/>
      <c r="E161" s="18"/>
      <c r="F161" s="61"/>
      <c r="G161" s="73"/>
      <c r="H161" s="79"/>
      <c r="I161" s="79"/>
      <c r="J161" s="14"/>
      <c r="K161" s="38"/>
      <c r="L161" s="38"/>
      <c r="M161" s="17"/>
    </row>
    <row r="162" spans="2:13" ht="14.45" customHeight="1" x14ac:dyDescent="0.25">
      <c r="B162" s="17"/>
      <c r="C162" s="14"/>
      <c r="D162" s="14"/>
      <c r="E162" s="18"/>
      <c r="F162" s="61"/>
      <c r="G162" s="73"/>
      <c r="H162" s="79"/>
      <c r="I162" s="79"/>
      <c r="J162" s="14"/>
      <c r="K162" s="38"/>
      <c r="L162" s="38"/>
      <c r="M162" s="17"/>
    </row>
    <row r="163" spans="2:13" ht="14.45" customHeight="1" x14ac:dyDescent="0.25">
      <c r="B163" s="17"/>
      <c r="C163" s="14"/>
      <c r="D163" s="14"/>
      <c r="E163" s="18"/>
      <c r="F163" s="61"/>
      <c r="G163" s="73"/>
      <c r="H163" s="79"/>
      <c r="I163" s="79"/>
      <c r="J163" s="14"/>
      <c r="K163" s="38"/>
      <c r="L163" s="38"/>
      <c r="M163" s="17"/>
    </row>
    <row r="164" spans="2:13" ht="14.45" customHeight="1" x14ac:dyDescent="0.25">
      <c r="B164" s="17"/>
      <c r="C164" s="14"/>
      <c r="D164" s="14"/>
      <c r="E164" s="18"/>
      <c r="F164" s="61"/>
      <c r="G164" s="73"/>
      <c r="H164" s="79"/>
      <c r="I164" s="79"/>
      <c r="J164" s="14"/>
      <c r="K164" s="38"/>
      <c r="L164" s="38"/>
      <c r="M164" s="17"/>
    </row>
    <row r="165" spans="2:13" ht="14.45" customHeight="1" x14ac:dyDescent="0.25">
      <c r="B165" s="17"/>
      <c r="C165" s="14"/>
      <c r="D165" s="14"/>
      <c r="E165" s="18"/>
      <c r="F165" s="61"/>
      <c r="G165" s="73"/>
      <c r="H165" s="79"/>
      <c r="I165" s="79"/>
      <c r="J165" s="14"/>
      <c r="K165" s="38"/>
      <c r="L165" s="38"/>
      <c r="M165" s="17"/>
    </row>
    <row r="166" spans="2:13" ht="14.45" customHeight="1" x14ac:dyDescent="0.25">
      <c r="B166" s="17"/>
      <c r="C166" s="14"/>
      <c r="D166" s="14"/>
      <c r="E166" s="18"/>
      <c r="F166" s="61"/>
      <c r="G166" s="73"/>
      <c r="H166" s="79"/>
      <c r="I166" s="79"/>
      <c r="J166" s="14"/>
      <c r="K166" s="38"/>
      <c r="L166" s="38"/>
      <c r="M166" s="17"/>
    </row>
    <row r="167" spans="2:13" ht="14.45" customHeight="1" x14ac:dyDescent="0.25">
      <c r="B167" s="17"/>
      <c r="C167" s="14"/>
      <c r="D167" s="14"/>
      <c r="E167" s="18"/>
      <c r="F167" s="61"/>
      <c r="G167" s="73"/>
      <c r="H167" s="79"/>
      <c r="I167" s="79"/>
      <c r="J167" s="14"/>
      <c r="K167" s="38"/>
      <c r="L167" s="38"/>
      <c r="M167" s="17"/>
    </row>
    <row r="168" spans="2:13" ht="14.45" customHeight="1" x14ac:dyDescent="0.25">
      <c r="B168" s="17"/>
      <c r="C168" s="14"/>
      <c r="D168" s="14"/>
      <c r="E168" s="18"/>
      <c r="F168" s="61"/>
      <c r="G168" s="73"/>
      <c r="H168" s="79"/>
      <c r="I168" s="79"/>
      <c r="J168" s="14"/>
      <c r="K168" s="38"/>
      <c r="L168" s="38"/>
      <c r="M168" s="17"/>
    </row>
    <row r="169" spans="2:13" ht="14.45" customHeight="1" x14ac:dyDescent="0.25">
      <c r="B169" s="17"/>
      <c r="C169" s="14"/>
      <c r="D169" s="14"/>
      <c r="E169" s="18"/>
      <c r="F169" s="61"/>
      <c r="G169" s="73"/>
      <c r="H169" s="79"/>
      <c r="I169" s="79"/>
      <c r="J169" s="14"/>
      <c r="K169" s="38"/>
      <c r="L169" s="38"/>
      <c r="M169" s="17"/>
    </row>
    <row r="170" spans="2:13" ht="14.45" customHeight="1" x14ac:dyDescent="0.25">
      <c r="B170" s="17"/>
      <c r="C170" s="14"/>
      <c r="D170" s="14"/>
      <c r="E170" s="18"/>
      <c r="F170" s="61"/>
      <c r="G170" s="73"/>
      <c r="H170" s="79"/>
      <c r="I170" s="79"/>
      <c r="J170" s="14"/>
      <c r="K170" s="38"/>
      <c r="L170" s="38"/>
      <c r="M170" s="17"/>
    </row>
    <row r="171" spans="2:13" ht="14.45" customHeight="1" x14ac:dyDescent="0.25">
      <c r="B171" s="17"/>
      <c r="C171" s="14"/>
      <c r="D171" s="14"/>
      <c r="E171" s="18"/>
      <c r="F171" s="61"/>
      <c r="G171" s="73"/>
      <c r="H171" s="79"/>
      <c r="I171" s="79"/>
      <c r="J171" s="14"/>
      <c r="K171" s="38"/>
      <c r="L171" s="38"/>
      <c r="M171" s="17"/>
    </row>
    <row r="172" spans="2:13" ht="14.45" customHeight="1" x14ac:dyDescent="0.25">
      <c r="B172" s="17"/>
      <c r="C172" s="14"/>
      <c r="D172" s="14"/>
      <c r="E172" s="18"/>
      <c r="F172" s="61"/>
      <c r="G172" s="73"/>
      <c r="H172" s="79"/>
      <c r="I172" s="79"/>
      <c r="J172" s="14"/>
      <c r="K172" s="38"/>
      <c r="L172" s="38"/>
      <c r="M172" s="17"/>
    </row>
    <row r="173" spans="2:13" ht="14.45" customHeight="1" x14ac:dyDescent="0.25">
      <c r="B173" s="17"/>
      <c r="C173" s="14"/>
      <c r="D173" s="14"/>
      <c r="E173" s="18"/>
      <c r="F173" s="61"/>
      <c r="G173" s="73"/>
      <c r="H173" s="79"/>
      <c r="I173" s="79"/>
      <c r="J173" s="14"/>
      <c r="K173" s="38"/>
      <c r="L173" s="38"/>
      <c r="M173" s="17"/>
    </row>
    <row r="174" spans="2:13" ht="14.45" customHeight="1" x14ac:dyDescent="0.25">
      <c r="B174" s="17"/>
      <c r="C174" s="14"/>
      <c r="D174" s="14"/>
      <c r="E174" s="18"/>
      <c r="F174" s="61"/>
      <c r="G174" s="73"/>
      <c r="H174" s="79"/>
      <c r="I174" s="79"/>
      <c r="J174" s="14"/>
      <c r="K174" s="38"/>
      <c r="L174" s="38"/>
      <c r="M174" s="17"/>
    </row>
    <row r="175" spans="2:13" ht="14.45" customHeight="1" x14ac:dyDescent="0.25">
      <c r="B175" s="17"/>
      <c r="C175" s="14"/>
      <c r="D175" s="14"/>
      <c r="E175" s="18"/>
      <c r="F175" s="61"/>
      <c r="G175" s="73"/>
      <c r="H175" s="79"/>
      <c r="I175" s="79"/>
      <c r="J175" s="14"/>
      <c r="K175" s="38"/>
      <c r="L175" s="38"/>
      <c r="M175" s="17"/>
    </row>
    <row r="176" spans="2:13" ht="14.45" customHeight="1" x14ac:dyDescent="0.25">
      <c r="B176" s="17"/>
      <c r="C176" s="14"/>
      <c r="D176" s="14"/>
      <c r="E176" s="18"/>
      <c r="F176" s="61"/>
      <c r="G176" s="73"/>
      <c r="H176" s="79"/>
      <c r="I176" s="79"/>
      <c r="J176" s="14"/>
      <c r="K176" s="38"/>
      <c r="L176" s="38"/>
      <c r="M176" s="17"/>
    </row>
    <row r="177" spans="2:13" ht="14.45" customHeight="1" x14ac:dyDescent="0.25">
      <c r="B177" s="17"/>
      <c r="C177" s="14"/>
      <c r="D177" s="14"/>
      <c r="E177" s="18"/>
      <c r="F177" s="61"/>
      <c r="G177" s="73"/>
      <c r="H177" s="79"/>
      <c r="I177" s="79"/>
      <c r="J177" s="14"/>
      <c r="K177" s="38"/>
      <c r="L177" s="38"/>
      <c r="M177" s="17"/>
    </row>
    <row r="178" spans="2:13" ht="14.45" customHeight="1" x14ac:dyDescent="0.25">
      <c r="B178" s="17"/>
      <c r="C178" s="14"/>
      <c r="D178" s="14"/>
      <c r="E178" s="18"/>
      <c r="F178" s="61"/>
      <c r="G178" s="73"/>
      <c r="H178" s="79"/>
      <c r="I178" s="79"/>
      <c r="J178" s="14"/>
      <c r="K178" s="38"/>
      <c r="L178" s="38"/>
      <c r="M178" s="17"/>
    </row>
    <row r="179" spans="2:13" ht="14.45" customHeight="1" x14ac:dyDescent="0.25">
      <c r="B179" s="17"/>
      <c r="C179" s="14"/>
      <c r="D179" s="14"/>
      <c r="E179" s="18"/>
      <c r="F179" s="61"/>
      <c r="G179" s="73"/>
      <c r="H179" s="79"/>
      <c r="I179" s="79"/>
      <c r="J179" s="14"/>
      <c r="K179" s="38"/>
      <c r="L179" s="38"/>
      <c r="M179" s="17"/>
    </row>
    <row r="180" spans="2:13" ht="14.45" customHeight="1" x14ac:dyDescent="0.25">
      <c r="B180" s="17"/>
      <c r="C180" s="14"/>
      <c r="D180" s="14"/>
      <c r="E180" s="18"/>
      <c r="F180" s="61"/>
      <c r="G180" s="73"/>
      <c r="H180" s="79"/>
      <c r="I180" s="79"/>
      <c r="J180" s="14"/>
      <c r="K180" s="38"/>
      <c r="L180" s="38"/>
      <c r="M180" s="17"/>
    </row>
    <row r="181" spans="2:13" ht="14.45" customHeight="1" x14ac:dyDescent="0.25">
      <c r="B181" s="17"/>
      <c r="C181" s="14"/>
      <c r="D181" s="14"/>
      <c r="E181" s="18"/>
      <c r="F181" s="61"/>
      <c r="G181" s="73"/>
      <c r="H181" s="79"/>
      <c r="I181" s="79"/>
      <c r="J181" s="14"/>
      <c r="K181" s="38"/>
      <c r="L181" s="38"/>
      <c r="M181" s="17"/>
    </row>
    <row r="182" spans="2:13" ht="14.45" customHeight="1" x14ac:dyDescent="0.25">
      <c r="B182" s="17"/>
      <c r="C182" s="14"/>
      <c r="D182" s="14"/>
      <c r="E182" s="18"/>
      <c r="F182" s="61"/>
      <c r="G182" s="73"/>
      <c r="H182" s="79"/>
      <c r="I182" s="79"/>
      <c r="J182" s="14"/>
      <c r="K182" s="38"/>
      <c r="L182" s="38"/>
      <c r="M182" s="17"/>
    </row>
    <row r="183" spans="2:13" ht="14.45" customHeight="1" x14ac:dyDescent="0.25">
      <c r="B183" s="17"/>
      <c r="C183" s="14"/>
      <c r="D183" s="14"/>
      <c r="E183" s="18"/>
      <c r="F183" s="61"/>
      <c r="G183" s="73"/>
      <c r="H183" s="79"/>
      <c r="I183" s="79"/>
      <c r="J183" s="14"/>
      <c r="K183" s="38"/>
      <c r="L183" s="38"/>
      <c r="M183" s="17"/>
    </row>
    <row r="184" spans="2:13" ht="14.45" customHeight="1" x14ac:dyDescent="0.25">
      <c r="B184" s="17"/>
      <c r="C184" s="14"/>
      <c r="D184" s="14"/>
      <c r="E184" s="18"/>
      <c r="F184" s="61"/>
      <c r="G184" s="73"/>
      <c r="H184" s="79"/>
      <c r="I184" s="79"/>
      <c r="J184" s="14"/>
      <c r="K184" s="38"/>
      <c r="L184" s="38"/>
      <c r="M184" s="17"/>
    </row>
    <row r="185" spans="2:13" ht="14.45" customHeight="1" x14ac:dyDescent="0.25">
      <c r="B185" s="17"/>
      <c r="C185" s="14"/>
      <c r="D185" s="14"/>
      <c r="E185" s="18"/>
      <c r="F185" s="61"/>
      <c r="G185" s="73"/>
      <c r="H185" s="79"/>
      <c r="I185" s="79"/>
      <c r="J185" s="14"/>
      <c r="K185" s="38"/>
      <c r="L185" s="38"/>
      <c r="M185" s="17"/>
    </row>
    <row r="186" spans="2:13" ht="14.45" customHeight="1" x14ac:dyDescent="0.25">
      <c r="B186" s="17"/>
      <c r="C186" s="14"/>
      <c r="D186" s="14"/>
      <c r="E186" s="18"/>
      <c r="F186" s="61"/>
      <c r="G186" s="73"/>
      <c r="H186" s="79"/>
      <c r="I186" s="79"/>
      <c r="J186" s="14"/>
      <c r="K186" s="38"/>
      <c r="L186" s="38"/>
      <c r="M186" s="17"/>
    </row>
    <row r="187" spans="2:13" ht="14.45" customHeight="1" x14ac:dyDescent="0.25">
      <c r="B187" s="17"/>
      <c r="C187" s="14"/>
      <c r="D187" s="14"/>
      <c r="E187" s="18"/>
      <c r="F187" s="61"/>
      <c r="G187" s="73"/>
      <c r="H187" s="79"/>
      <c r="I187" s="79"/>
      <c r="J187" s="14"/>
      <c r="K187" s="38"/>
      <c r="L187" s="38"/>
      <c r="M187" s="17"/>
    </row>
    <row r="188" spans="2:13" ht="14.45" customHeight="1" x14ac:dyDescent="0.25">
      <c r="B188" s="17"/>
      <c r="C188" s="14"/>
      <c r="D188" s="14"/>
      <c r="E188" s="18"/>
      <c r="F188" s="61"/>
      <c r="G188" s="73"/>
      <c r="H188" s="79"/>
      <c r="I188" s="79"/>
      <c r="J188" s="14"/>
      <c r="K188" s="38"/>
      <c r="L188" s="38"/>
      <c r="M188" s="17"/>
    </row>
    <row r="189" spans="2:13" ht="14.45" customHeight="1" x14ac:dyDescent="0.25">
      <c r="B189" s="17"/>
      <c r="C189" s="14"/>
      <c r="D189" s="14"/>
      <c r="E189" s="18"/>
      <c r="F189" s="61"/>
      <c r="G189" s="73"/>
      <c r="H189" s="79"/>
      <c r="I189" s="79"/>
      <c r="J189" s="14"/>
      <c r="K189" s="38"/>
      <c r="L189" s="38"/>
      <c r="M189" s="17"/>
    </row>
    <row r="190" spans="2:13" ht="14.45" customHeight="1" x14ac:dyDescent="0.25">
      <c r="B190" s="17"/>
      <c r="C190" s="14"/>
      <c r="D190" s="14"/>
      <c r="E190" s="18"/>
      <c r="F190" s="61"/>
      <c r="G190" s="73"/>
      <c r="H190" s="79"/>
      <c r="I190" s="79"/>
      <c r="J190" s="14"/>
      <c r="K190" s="38"/>
      <c r="L190" s="38"/>
      <c r="M190" s="17"/>
    </row>
    <row r="191" spans="2:13" ht="14.45" customHeight="1" x14ac:dyDescent="0.25">
      <c r="B191" s="17"/>
      <c r="C191" s="14"/>
      <c r="D191" s="14"/>
      <c r="E191" s="18"/>
      <c r="F191" s="61"/>
      <c r="G191" s="73"/>
      <c r="H191" s="79"/>
      <c r="I191" s="79"/>
      <c r="J191" s="14"/>
      <c r="K191" s="38"/>
      <c r="L191" s="38"/>
      <c r="M191" s="17"/>
    </row>
    <row r="192" spans="2:13" ht="14.45" customHeight="1" x14ac:dyDescent="0.25">
      <c r="B192" s="17"/>
      <c r="C192" s="14"/>
      <c r="D192" s="14"/>
      <c r="E192" s="18"/>
      <c r="F192" s="61"/>
      <c r="G192" s="73"/>
      <c r="H192" s="79"/>
      <c r="I192" s="79"/>
      <c r="J192" s="14"/>
      <c r="K192" s="38"/>
      <c r="L192" s="38"/>
      <c r="M192" s="17"/>
    </row>
    <row r="193" spans="2:13" ht="14.45" customHeight="1" x14ac:dyDescent="0.25">
      <c r="B193" s="17"/>
      <c r="C193" s="14"/>
      <c r="D193" s="14"/>
      <c r="E193" s="18"/>
      <c r="F193" s="61"/>
      <c r="G193" s="73"/>
      <c r="H193" s="79"/>
      <c r="I193" s="79"/>
      <c r="J193" s="14"/>
      <c r="K193" s="38"/>
      <c r="L193" s="38"/>
      <c r="M193" s="17"/>
    </row>
    <row r="194" spans="2:13" ht="14.45" customHeight="1" x14ac:dyDescent="0.25">
      <c r="B194" s="17"/>
      <c r="C194" s="14"/>
      <c r="D194" s="14"/>
      <c r="E194" s="18"/>
      <c r="F194" s="61"/>
      <c r="G194" s="73"/>
      <c r="H194" s="79"/>
      <c r="I194" s="79"/>
      <c r="J194" s="14"/>
      <c r="K194" s="38"/>
      <c r="L194" s="38"/>
      <c r="M194" s="17"/>
    </row>
    <row r="195" spans="2:13" ht="14.45" customHeight="1" x14ac:dyDescent="0.25">
      <c r="B195" s="17"/>
      <c r="C195" s="14"/>
      <c r="D195" s="14"/>
      <c r="E195" s="18"/>
      <c r="F195" s="61"/>
      <c r="G195" s="73"/>
      <c r="H195" s="79"/>
      <c r="I195" s="79"/>
      <c r="J195" s="14"/>
      <c r="K195" s="38"/>
      <c r="L195" s="38"/>
      <c r="M195" s="17"/>
    </row>
    <row r="196" spans="2:13" ht="14.45" customHeight="1" x14ac:dyDescent="0.25">
      <c r="B196" s="17"/>
      <c r="C196" s="14"/>
      <c r="D196" s="14"/>
      <c r="E196" s="18"/>
      <c r="F196" s="61"/>
      <c r="G196" s="73"/>
      <c r="H196" s="79"/>
      <c r="I196" s="79"/>
      <c r="J196" s="14"/>
      <c r="K196" s="38"/>
      <c r="L196" s="38"/>
      <c r="M196" s="17"/>
    </row>
    <row r="197" spans="2:13" ht="14.45" customHeight="1" x14ac:dyDescent="0.25">
      <c r="B197" s="17"/>
      <c r="C197" s="14"/>
      <c r="D197" s="14"/>
      <c r="E197" s="18"/>
      <c r="F197" s="61"/>
      <c r="G197" s="73"/>
      <c r="H197" s="79"/>
      <c r="I197" s="79"/>
      <c r="J197" s="14"/>
      <c r="K197" s="38"/>
      <c r="L197" s="38"/>
      <c r="M197" s="17"/>
    </row>
    <row r="198" spans="2:13" ht="14.45" customHeight="1" x14ac:dyDescent="0.25">
      <c r="B198" s="17"/>
      <c r="C198" s="14"/>
      <c r="D198" s="14"/>
      <c r="E198" s="18"/>
      <c r="F198" s="61"/>
      <c r="G198" s="73"/>
      <c r="H198" s="79"/>
      <c r="I198" s="79"/>
      <c r="J198" s="14"/>
      <c r="K198" s="38"/>
      <c r="L198" s="38"/>
      <c r="M198" s="17"/>
    </row>
    <row r="199" spans="2:13" ht="14.45" customHeight="1" x14ac:dyDescent="0.25">
      <c r="B199" s="17"/>
      <c r="C199" s="14"/>
      <c r="D199" s="14"/>
      <c r="E199" s="18"/>
      <c r="F199" s="61"/>
      <c r="G199" s="73"/>
      <c r="H199" s="79"/>
      <c r="I199" s="79"/>
      <c r="J199" s="14"/>
      <c r="K199" s="38"/>
      <c r="L199" s="38"/>
      <c r="M199" s="17"/>
    </row>
    <row r="200" spans="2:13" ht="14.45" customHeight="1" x14ac:dyDescent="0.25">
      <c r="B200" s="17"/>
      <c r="C200" s="14"/>
      <c r="D200" s="14"/>
      <c r="E200" s="18"/>
      <c r="F200" s="61"/>
      <c r="G200" s="73"/>
      <c r="H200" s="79"/>
      <c r="I200" s="79"/>
      <c r="J200" s="14"/>
      <c r="K200" s="38"/>
      <c r="L200" s="38"/>
      <c r="M200" s="17"/>
    </row>
    <row r="201" spans="2:13" ht="14.45" customHeight="1" x14ac:dyDescent="0.25">
      <c r="B201" s="17"/>
      <c r="C201" s="14"/>
      <c r="D201" s="14"/>
      <c r="E201" s="18"/>
      <c r="F201" s="61"/>
      <c r="G201" s="73"/>
      <c r="H201" s="79"/>
      <c r="I201" s="79"/>
      <c r="J201" s="14"/>
      <c r="K201" s="38"/>
      <c r="L201" s="38"/>
      <c r="M201" s="17"/>
    </row>
    <row r="202" spans="2:13" ht="14.45" customHeight="1" x14ac:dyDescent="0.25">
      <c r="B202" s="17"/>
      <c r="C202" s="14"/>
      <c r="D202" s="14"/>
      <c r="E202" s="18"/>
      <c r="F202" s="61"/>
      <c r="G202" s="73"/>
      <c r="H202" s="79"/>
      <c r="I202" s="79"/>
      <c r="J202" s="14"/>
      <c r="K202" s="38"/>
      <c r="L202" s="38"/>
      <c r="M202" s="17"/>
    </row>
    <row r="203" spans="2:13" ht="14.45" customHeight="1" x14ac:dyDescent="0.25">
      <c r="B203" s="17"/>
      <c r="C203" s="14"/>
      <c r="D203" s="14"/>
      <c r="E203" s="18"/>
      <c r="F203" s="61"/>
      <c r="G203" s="73"/>
      <c r="H203" s="79"/>
      <c r="I203" s="79"/>
      <c r="J203" s="14"/>
      <c r="K203" s="38"/>
      <c r="L203" s="38"/>
      <c r="M203" s="17"/>
    </row>
    <row r="204" spans="2:13" ht="14.45" customHeight="1" x14ac:dyDescent="0.25">
      <c r="B204" s="17"/>
      <c r="C204" s="14"/>
      <c r="D204" s="14"/>
      <c r="E204" s="18"/>
      <c r="F204" s="61"/>
      <c r="G204" s="73"/>
      <c r="H204" s="79"/>
      <c r="I204" s="79"/>
      <c r="J204" s="14"/>
      <c r="K204" s="38"/>
      <c r="L204" s="38"/>
      <c r="M204" s="17"/>
    </row>
    <row r="205" spans="2:13" ht="14.45" customHeight="1" x14ac:dyDescent="0.25">
      <c r="B205" s="17"/>
      <c r="C205" s="14"/>
      <c r="D205" s="14"/>
      <c r="E205" s="18"/>
      <c r="F205" s="61"/>
      <c r="G205" s="73"/>
      <c r="H205" s="79"/>
      <c r="I205" s="79"/>
      <c r="J205" s="14"/>
      <c r="K205" s="38"/>
      <c r="L205" s="38"/>
      <c r="M205" s="17"/>
    </row>
    <row r="206" spans="2:13" ht="14.45" customHeight="1" x14ac:dyDescent="0.25">
      <c r="B206" s="17"/>
      <c r="C206" s="14"/>
      <c r="D206" s="14"/>
      <c r="E206" s="18"/>
      <c r="F206" s="61"/>
      <c r="G206" s="73"/>
      <c r="H206" s="79"/>
      <c r="I206" s="79"/>
      <c r="J206" s="14"/>
      <c r="K206" s="38"/>
      <c r="L206" s="38"/>
      <c r="M206" s="17"/>
    </row>
    <row r="207" spans="2:13" ht="14.45" customHeight="1" x14ac:dyDescent="0.25">
      <c r="B207" s="17"/>
      <c r="C207" s="14"/>
      <c r="D207" s="14"/>
      <c r="E207" s="18"/>
      <c r="F207" s="61"/>
      <c r="G207" s="73"/>
      <c r="H207" s="79"/>
      <c r="I207" s="79"/>
      <c r="J207" s="14"/>
      <c r="K207" s="38"/>
      <c r="L207" s="38"/>
      <c r="M207" s="17"/>
    </row>
    <row r="208" spans="2:13" ht="14.45" customHeight="1" x14ac:dyDescent="0.25">
      <c r="B208" s="17"/>
      <c r="C208" s="14"/>
      <c r="D208" s="14"/>
      <c r="E208" s="18"/>
      <c r="F208" s="61"/>
      <c r="G208" s="73"/>
      <c r="H208" s="79"/>
      <c r="I208" s="79"/>
      <c r="J208" s="14"/>
      <c r="K208" s="38"/>
      <c r="L208" s="38"/>
      <c r="M208" s="17"/>
    </row>
    <row r="209" spans="2:13" ht="14.45" customHeight="1" x14ac:dyDescent="0.25">
      <c r="B209" s="17"/>
      <c r="C209" s="14"/>
      <c r="D209" s="14"/>
      <c r="E209" s="18"/>
      <c r="F209" s="61"/>
      <c r="G209" s="73"/>
      <c r="H209" s="79"/>
      <c r="I209" s="79"/>
      <c r="J209" s="14"/>
      <c r="K209" s="38"/>
      <c r="L209" s="38"/>
      <c r="M209" s="17"/>
    </row>
    <row r="210" spans="2:13" ht="14.45" customHeight="1" x14ac:dyDescent="0.25">
      <c r="B210" s="17"/>
      <c r="C210" s="14"/>
      <c r="D210" s="14"/>
      <c r="E210" s="18"/>
      <c r="F210" s="61"/>
      <c r="G210" s="73"/>
      <c r="H210" s="79"/>
      <c r="I210" s="79"/>
      <c r="J210" s="14"/>
      <c r="K210" s="38"/>
      <c r="L210" s="38"/>
      <c r="M210" s="17"/>
    </row>
    <row r="211" spans="2:13" ht="14.45" customHeight="1" x14ac:dyDescent="0.25">
      <c r="B211" s="17"/>
      <c r="C211" s="14"/>
      <c r="D211" s="14"/>
      <c r="E211" s="18"/>
      <c r="F211" s="61"/>
      <c r="G211" s="73"/>
      <c r="H211" s="79"/>
      <c r="I211" s="79"/>
      <c r="J211" s="14"/>
      <c r="K211" s="38"/>
      <c r="L211" s="38"/>
      <c r="M211" s="17"/>
    </row>
    <row r="212" spans="2:13" ht="14.45" customHeight="1" x14ac:dyDescent="0.25">
      <c r="B212" s="17"/>
      <c r="C212" s="14"/>
      <c r="D212" s="14"/>
      <c r="E212" s="18"/>
      <c r="F212" s="61"/>
      <c r="G212" s="73"/>
      <c r="H212" s="79"/>
      <c r="I212" s="79"/>
      <c r="J212" s="14"/>
      <c r="K212" s="38"/>
      <c r="L212" s="38"/>
      <c r="M212" s="17"/>
    </row>
    <row r="213" spans="2:13" ht="14.45" customHeight="1" x14ac:dyDescent="0.25">
      <c r="B213" s="17"/>
      <c r="C213" s="14"/>
      <c r="D213" s="14"/>
      <c r="E213" s="18"/>
      <c r="F213" s="61"/>
      <c r="G213" s="73"/>
      <c r="H213" s="79"/>
      <c r="I213" s="79"/>
      <c r="J213" s="14"/>
      <c r="K213" s="38"/>
      <c r="L213" s="38"/>
      <c r="M213" s="17"/>
    </row>
    <row r="214" spans="2:13" ht="14.45" customHeight="1" x14ac:dyDescent="0.25">
      <c r="B214" s="17"/>
      <c r="C214" s="14"/>
      <c r="D214" s="14"/>
      <c r="E214" s="18"/>
      <c r="F214" s="61"/>
      <c r="G214" s="73"/>
      <c r="H214" s="79"/>
      <c r="I214" s="79"/>
      <c r="J214" s="14"/>
      <c r="K214" s="38"/>
      <c r="L214" s="38"/>
      <c r="M214" s="17"/>
    </row>
    <row r="215" spans="2:13" ht="14.45" customHeight="1" x14ac:dyDescent="0.25">
      <c r="B215" s="17"/>
      <c r="C215" s="14"/>
      <c r="D215" s="14"/>
      <c r="E215" s="18"/>
      <c r="F215" s="61"/>
      <c r="G215" s="73"/>
      <c r="H215" s="79"/>
      <c r="I215" s="79"/>
      <c r="J215" s="14"/>
      <c r="K215" s="38"/>
      <c r="L215" s="38"/>
      <c r="M215" s="17"/>
    </row>
    <row r="216" spans="2:13" ht="14.45" customHeight="1" x14ac:dyDescent="0.25">
      <c r="B216" s="17"/>
      <c r="C216" s="14"/>
      <c r="D216" s="14"/>
      <c r="E216" s="18"/>
      <c r="F216" s="61"/>
      <c r="G216" s="73"/>
      <c r="H216" s="79"/>
      <c r="I216" s="79"/>
      <c r="J216" s="14"/>
      <c r="K216" s="38"/>
      <c r="L216" s="38"/>
      <c r="M216" s="17"/>
    </row>
    <row r="217" spans="2:13" ht="14.45" customHeight="1" x14ac:dyDescent="0.25">
      <c r="B217" s="17"/>
      <c r="C217" s="14"/>
      <c r="D217" s="14"/>
      <c r="E217" s="18"/>
      <c r="F217" s="61"/>
      <c r="G217" s="73"/>
      <c r="H217" s="79"/>
      <c r="I217" s="79"/>
      <c r="J217" s="14"/>
      <c r="K217" s="38"/>
      <c r="L217" s="38"/>
      <c r="M217" s="17"/>
    </row>
    <row r="218" spans="2:13" ht="14.45" customHeight="1" x14ac:dyDescent="0.25">
      <c r="B218" s="17"/>
      <c r="C218" s="14"/>
      <c r="D218" s="14"/>
      <c r="E218" s="18"/>
      <c r="F218" s="61"/>
      <c r="G218" s="73"/>
      <c r="H218" s="79"/>
      <c r="I218" s="79"/>
      <c r="J218" s="14"/>
      <c r="K218" s="38"/>
      <c r="L218" s="38"/>
      <c r="M218" s="17"/>
    </row>
    <row r="219" spans="2:13" ht="14.45" customHeight="1" x14ac:dyDescent="0.25">
      <c r="B219" s="17"/>
      <c r="C219" s="14"/>
      <c r="D219" s="14"/>
      <c r="E219" s="18"/>
      <c r="F219" s="61"/>
      <c r="G219" s="73"/>
      <c r="H219" s="79"/>
      <c r="I219" s="79"/>
      <c r="J219" s="14"/>
      <c r="K219" s="38"/>
      <c r="L219" s="38"/>
      <c r="M219" s="17"/>
    </row>
    <row r="220" spans="2:13" ht="14.45" customHeight="1" x14ac:dyDescent="0.25">
      <c r="B220" s="17"/>
      <c r="C220" s="14"/>
      <c r="D220" s="14"/>
      <c r="E220" s="18"/>
      <c r="F220" s="61"/>
      <c r="G220" s="73"/>
      <c r="H220" s="79"/>
      <c r="I220" s="79"/>
      <c r="J220" s="14"/>
      <c r="K220" s="38"/>
      <c r="L220" s="38"/>
      <c r="M220" s="17"/>
    </row>
    <row r="221" spans="2:13" ht="14.45" customHeight="1" x14ac:dyDescent="0.25">
      <c r="B221" s="17"/>
      <c r="C221" s="14"/>
      <c r="D221" s="14"/>
      <c r="E221" s="18"/>
      <c r="F221" s="61"/>
      <c r="G221" s="73"/>
      <c r="H221" s="79"/>
      <c r="I221" s="79"/>
      <c r="J221" s="14"/>
      <c r="K221" s="38"/>
      <c r="L221" s="38"/>
      <c r="M221" s="17"/>
    </row>
    <row r="222" spans="2:13" ht="14.45" customHeight="1" x14ac:dyDescent="0.25">
      <c r="B222" s="17"/>
      <c r="C222" s="14"/>
      <c r="D222" s="14"/>
      <c r="E222" s="18"/>
      <c r="F222" s="61"/>
      <c r="G222" s="73"/>
      <c r="H222" s="79"/>
      <c r="I222" s="79"/>
      <c r="J222" s="14"/>
      <c r="K222" s="38"/>
      <c r="L222" s="38"/>
      <c r="M222" s="17"/>
    </row>
    <row r="223" spans="2:13" ht="14.45" customHeight="1" x14ac:dyDescent="0.25">
      <c r="B223" s="17"/>
      <c r="C223" s="14"/>
      <c r="D223" s="14"/>
      <c r="E223" s="18"/>
      <c r="F223" s="61"/>
      <c r="G223" s="73"/>
      <c r="H223" s="79"/>
      <c r="I223" s="79"/>
      <c r="J223" s="14"/>
      <c r="K223" s="38"/>
      <c r="L223" s="38"/>
      <c r="M223" s="17"/>
    </row>
    <row r="224" spans="2:13" ht="14.45" customHeight="1" x14ac:dyDescent="0.25">
      <c r="B224" s="17"/>
      <c r="C224" s="14"/>
      <c r="D224" s="14"/>
      <c r="E224" s="18"/>
      <c r="F224" s="61"/>
      <c r="G224" s="73"/>
      <c r="H224" s="79"/>
      <c r="I224" s="79"/>
      <c r="J224" s="14"/>
      <c r="K224" s="38"/>
      <c r="L224" s="38"/>
      <c r="M224" s="17"/>
    </row>
    <row r="225" spans="2:13" ht="14.45" customHeight="1" x14ac:dyDescent="0.25">
      <c r="B225" s="17"/>
      <c r="C225" s="14"/>
      <c r="D225" s="14"/>
      <c r="E225" s="18"/>
      <c r="F225" s="61"/>
      <c r="G225" s="73"/>
      <c r="H225" s="79"/>
      <c r="I225" s="79"/>
      <c r="J225" s="14"/>
      <c r="K225" s="38"/>
      <c r="L225" s="38"/>
      <c r="M225" s="17"/>
    </row>
    <row r="226" spans="2:13" ht="14.45" customHeight="1" x14ac:dyDescent="0.25">
      <c r="B226" s="17"/>
      <c r="C226" s="14"/>
      <c r="D226" s="14"/>
      <c r="E226" s="18"/>
      <c r="F226" s="61"/>
      <c r="G226" s="73"/>
      <c r="H226" s="79"/>
      <c r="I226" s="79"/>
      <c r="J226" s="14"/>
      <c r="K226" s="38"/>
      <c r="L226" s="38"/>
      <c r="M226" s="17"/>
    </row>
    <row r="227" spans="2:13" ht="14.45" customHeight="1" x14ac:dyDescent="0.25">
      <c r="B227" s="17"/>
      <c r="C227" s="14"/>
      <c r="D227" s="14"/>
      <c r="E227" s="18"/>
      <c r="F227" s="61"/>
      <c r="G227" s="73"/>
      <c r="H227" s="79"/>
      <c r="I227" s="79"/>
      <c r="J227" s="14"/>
      <c r="K227" s="38"/>
      <c r="L227" s="38"/>
      <c r="M227" s="17"/>
    </row>
    <row r="228" spans="2:13" ht="14.45" customHeight="1" x14ac:dyDescent="0.25">
      <c r="B228" s="17"/>
      <c r="C228" s="14"/>
      <c r="D228" s="14"/>
      <c r="E228" s="18"/>
      <c r="F228" s="61"/>
      <c r="G228" s="73"/>
      <c r="H228" s="79"/>
      <c r="I228" s="79"/>
      <c r="J228" s="14"/>
      <c r="K228" s="38"/>
      <c r="L228" s="38"/>
      <c r="M228" s="17"/>
    </row>
    <row r="229" spans="2:13" ht="14.45" customHeight="1" x14ac:dyDescent="0.25">
      <c r="B229" s="17"/>
      <c r="C229" s="14"/>
      <c r="D229" s="14"/>
      <c r="E229" s="18"/>
      <c r="F229" s="61"/>
      <c r="G229" s="73"/>
      <c r="H229" s="79"/>
      <c r="I229" s="79"/>
      <c r="J229" s="14"/>
      <c r="K229" s="38"/>
      <c r="L229" s="38"/>
      <c r="M229" s="17"/>
    </row>
    <row r="230" spans="2:13" ht="14.45" customHeight="1" x14ac:dyDescent="0.25">
      <c r="B230" s="17"/>
      <c r="C230" s="14"/>
      <c r="D230" s="14"/>
      <c r="E230" s="18"/>
      <c r="F230" s="61"/>
      <c r="G230" s="73"/>
      <c r="H230" s="79"/>
      <c r="I230" s="79"/>
      <c r="J230" s="14"/>
      <c r="K230" s="38"/>
      <c r="L230" s="38"/>
      <c r="M230" s="17"/>
    </row>
    <row r="231" spans="2:13" ht="14.45" customHeight="1" x14ac:dyDescent="0.25">
      <c r="B231" s="17"/>
      <c r="C231" s="14"/>
      <c r="D231" s="14"/>
      <c r="E231" s="18"/>
      <c r="F231" s="61"/>
      <c r="G231" s="73"/>
      <c r="H231" s="79"/>
      <c r="I231" s="79"/>
      <c r="J231" s="14"/>
      <c r="K231" s="38"/>
      <c r="L231" s="38"/>
      <c r="M231" s="17"/>
    </row>
    <row r="232" spans="2:13" ht="14.45" customHeight="1" x14ac:dyDescent="0.25">
      <c r="B232" s="17"/>
      <c r="C232" s="14"/>
      <c r="D232" s="14"/>
      <c r="E232" s="18"/>
      <c r="F232" s="61"/>
      <c r="G232" s="73"/>
      <c r="H232" s="79"/>
      <c r="I232" s="79"/>
      <c r="J232" s="14"/>
      <c r="K232" s="38"/>
      <c r="L232" s="38"/>
      <c r="M232" s="17"/>
    </row>
    <row r="233" spans="2:13" ht="14.45" customHeight="1" x14ac:dyDescent="0.25">
      <c r="B233" s="17"/>
      <c r="C233" s="14"/>
      <c r="D233" s="14"/>
      <c r="E233" s="18"/>
      <c r="F233" s="61"/>
      <c r="G233" s="73"/>
      <c r="H233" s="79"/>
      <c r="I233" s="79"/>
      <c r="J233" s="14"/>
      <c r="K233" s="38"/>
      <c r="L233" s="38"/>
      <c r="M233" s="17"/>
    </row>
    <row r="234" spans="2:13" ht="14.45" customHeight="1" x14ac:dyDescent="0.25">
      <c r="B234" s="17"/>
      <c r="C234" s="14"/>
      <c r="D234" s="14"/>
      <c r="E234" s="18"/>
      <c r="F234" s="61"/>
      <c r="G234" s="73"/>
      <c r="H234" s="79"/>
      <c r="I234" s="79"/>
      <c r="J234" s="14"/>
      <c r="K234" s="38"/>
      <c r="L234" s="38"/>
      <c r="M234" s="17"/>
    </row>
    <row r="235" spans="2:13" ht="14.45" customHeight="1" x14ac:dyDescent="0.25">
      <c r="B235" s="17"/>
      <c r="C235" s="14"/>
      <c r="D235" s="14"/>
      <c r="E235" s="18"/>
      <c r="F235" s="61"/>
      <c r="G235" s="73"/>
      <c r="H235" s="79"/>
      <c r="I235" s="79"/>
      <c r="J235" s="14"/>
      <c r="K235" s="38"/>
      <c r="L235" s="38"/>
      <c r="M235" s="17"/>
    </row>
    <row r="236" spans="2:13" ht="14.45" customHeight="1" x14ac:dyDescent="0.25">
      <c r="B236" s="17"/>
      <c r="C236" s="14"/>
      <c r="D236" s="14"/>
      <c r="E236" s="18"/>
      <c r="F236" s="61"/>
      <c r="G236" s="73"/>
      <c r="H236" s="79"/>
      <c r="I236" s="79"/>
      <c r="J236" s="14"/>
      <c r="K236" s="38"/>
      <c r="L236" s="38"/>
      <c r="M236" s="17"/>
    </row>
    <row r="237" spans="2:13" ht="14.45" customHeight="1" x14ac:dyDescent="0.25">
      <c r="B237" s="17"/>
      <c r="C237" s="14"/>
      <c r="D237" s="14"/>
      <c r="E237" s="18"/>
      <c r="F237" s="61"/>
      <c r="G237" s="73"/>
      <c r="H237" s="79"/>
      <c r="I237" s="79"/>
      <c r="J237" s="14"/>
      <c r="K237" s="38"/>
      <c r="L237" s="38"/>
      <c r="M237" s="17"/>
    </row>
    <row r="238" spans="2:13" ht="14.45" customHeight="1" x14ac:dyDescent="0.25">
      <c r="B238" s="17"/>
      <c r="C238" s="14"/>
      <c r="D238" s="14"/>
      <c r="E238" s="18"/>
      <c r="F238" s="61"/>
      <c r="G238" s="73"/>
      <c r="H238" s="79"/>
      <c r="I238" s="79"/>
      <c r="J238" s="14"/>
      <c r="K238" s="38"/>
      <c r="L238" s="38"/>
      <c r="M238" s="17"/>
    </row>
    <row r="239" spans="2:13" ht="14.45" customHeight="1" x14ac:dyDescent="0.25">
      <c r="B239" s="17"/>
      <c r="C239" s="14"/>
      <c r="D239" s="14"/>
      <c r="E239" s="18"/>
      <c r="F239" s="61"/>
      <c r="G239" s="73"/>
      <c r="H239" s="79"/>
      <c r="I239" s="79"/>
      <c r="J239" s="14"/>
      <c r="K239" s="38"/>
      <c r="L239" s="38"/>
      <c r="M239" s="17"/>
    </row>
    <row r="240" spans="2:13" ht="14.45" customHeight="1" x14ac:dyDescent="0.25">
      <c r="B240" s="17"/>
      <c r="C240" s="14"/>
      <c r="D240" s="14"/>
      <c r="E240" s="18"/>
      <c r="F240" s="61"/>
      <c r="G240" s="73"/>
      <c r="H240" s="79"/>
      <c r="I240" s="79"/>
      <c r="J240" s="14"/>
      <c r="K240" s="38"/>
      <c r="L240" s="38"/>
      <c r="M240" s="17"/>
    </row>
    <row r="241" spans="2:13" ht="14.45" customHeight="1" x14ac:dyDescent="0.25">
      <c r="B241" s="17"/>
      <c r="C241" s="14"/>
      <c r="D241" s="14"/>
      <c r="E241" s="18"/>
      <c r="F241" s="61"/>
      <c r="G241" s="73"/>
      <c r="H241" s="79"/>
      <c r="I241" s="79"/>
      <c r="J241" s="14"/>
      <c r="K241" s="38"/>
      <c r="L241" s="38"/>
      <c r="M241" s="17"/>
    </row>
    <row r="242" spans="2:13" ht="14.45" customHeight="1" x14ac:dyDescent="0.25">
      <c r="B242" s="17"/>
      <c r="C242" s="14"/>
      <c r="D242" s="14"/>
      <c r="E242" s="18"/>
      <c r="F242" s="61"/>
      <c r="G242" s="73"/>
      <c r="H242" s="79"/>
      <c r="I242" s="79"/>
      <c r="J242" s="14"/>
      <c r="K242" s="38"/>
      <c r="L242" s="38"/>
      <c r="M242" s="17"/>
    </row>
    <row r="243" spans="2:13" ht="14.45" customHeight="1" x14ac:dyDescent="0.25">
      <c r="B243" s="17"/>
      <c r="C243" s="14"/>
      <c r="D243" s="14"/>
      <c r="E243" s="18"/>
      <c r="F243" s="61"/>
      <c r="G243" s="73"/>
      <c r="H243" s="79"/>
      <c r="I243" s="79"/>
      <c r="J243" s="14"/>
      <c r="K243" s="38"/>
      <c r="L243" s="38"/>
      <c r="M243" s="17"/>
    </row>
    <row r="244" spans="2:13" ht="14.45" customHeight="1" x14ac:dyDescent="0.25">
      <c r="B244" s="17"/>
      <c r="C244" s="14"/>
      <c r="D244" s="14"/>
      <c r="E244" s="18"/>
      <c r="F244" s="61"/>
      <c r="G244" s="73"/>
      <c r="H244" s="79"/>
      <c r="I244" s="79"/>
      <c r="J244" s="14"/>
      <c r="K244" s="38"/>
      <c r="L244" s="38"/>
      <c r="M244" s="17"/>
    </row>
    <row r="245" spans="2:13" ht="14.45" customHeight="1" x14ac:dyDescent="0.25">
      <c r="B245" s="17"/>
      <c r="C245" s="14"/>
      <c r="D245" s="14"/>
      <c r="E245" s="18"/>
      <c r="F245" s="61"/>
      <c r="G245" s="73"/>
      <c r="H245" s="79"/>
      <c r="I245" s="79"/>
      <c r="J245" s="14"/>
      <c r="K245" s="38"/>
      <c r="L245" s="38"/>
      <c r="M245" s="17"/>
    </row>
    <row r="246" spans="2:13" ht="14.45" customHeight="1" x14ac:dyDescent="0.25">
      <c r="B246" s="17"/>
      <c r="C246" s="14"/>
      <c r="D246" s="14"/>
      <c r="E246" s="18"/>
      <c r="F246" s="61"/>
      <c r="G246" s="73"/>
      <c r="H246" s="79"/>
      <c r="I246" s="79"/>
      <c r="J246" s="14"/>
      <c r="K246" s="38"/>
      <c r="L246" s="38"/>
      <c r="M246" s="17"/>
    </row>
    <row r="247" spans="2:13" ht="14.45" customHeight="1" x14ac:dyDescent="0.25">
      <c r="B247" s="17"/>
      <c r="C247" s="14"/>
      <c r="D247" s="14"/>
      <c r="E247" s="18"/>
      <c r="F247" s="61"/>
      <c r="G247" s="73"/>
      <c r="H247" s="79"/>
      <c r="I247" s="79"/>
      <c r="J247" s="14"/>
      <c r="K247" s="38"/>
      <c r="L247" s="38"/>
      <c r="M247" s="17"/>
    </row>
    <row r="248" spans="2:13" ht="14.45" customHeight="1" x14ac:dyDescent="0.25">
      <c r="B248" s="17"/>
      <c r="C248" s="14"/>
      <c r="D248" s="14"/>
      <c r="E248" s="18"/>
      <c r="F248" s="61"/>
      <c r="G248" s="73"/>
      <c r="H248" s="79"/>
      <c r="I248" s="79"/>
      <c r="J248" s="14"/>
      <c r="K248" s="38"/>
      <c r="L248" s="38"/>
      <c r="M248" s="17"/>
    </row>
    <row r="249" spans="2:13" ht="14.45" customHeight="1" x14ac:dyDescent="0.25">
      <c r="B249" s="17"/>
      <c r="C249" s="14"/>
      <c r="D249" s="14"/>
      <c r="E249" s="18"/>
      <c r="F249" s="61"/>
      <c r="G249" s="73"/>
      <c r="H249" s="79"/>
      <c r="I249" s="79"/>
      <c r="J249" s="14"/>
      <c r="K249" s="38"/>
      <c r="L249" s="38"/>
      <c r="M249" s="17"/>
    </row>
    <row r="250" spans="2:13" ht="14.45" customHeight="1" x14ac:dyDescent="0.25">
      <c r="B250" s="17"/>
      <c r="C250" s="14"/>
      <c r="D250" s="14"/>
      <c r="E250" s="18"/>
      <c r="F250" s="61"/>
      <c r="G250" s="73"/>
      <c r="H250" s="79"/>
      <c r="I250" s="79"/>
      <c r="J250" s="14"/>
      <c r="K250" s="38"/>
      <c r="L250" s="38"/>
      <c r="M250" s="17"/>
    </row>
    <row r="251" spans="2:13" ht="14.45" customHeight="1" x14ac:dyDescent="0.25">
      <c r="B251" s="17"/>
      <c r="C251" s="14"/>
      <c r="D251" s="14"/>
      <c r="E251" s="18"/>
      <c r="F251" s="61"/>
      <c r="G251" s="73"/>
      <c r="H251" s="79"/>
      <c r="I251" s="79"/>
      <c r="J251" s="14"/>
      <c r="K251" s="38"/>
      <c r="L251" s="38"/>
      <c r="M251" s="17"/>
    </row>
    <row r="252" spans="2:13" ht="14.45" customHeight="1" x14ac:dyDescent="0.25">
      <c r="B252" s="17"/>
      <c r="C252" s="14"/>
      <c r="D252" s="14"/>
      <c r="E252" s="18"/>
      <c r="F252" s="61"/>
      <c r="G252" s="73"/>
      <c r="H252" s="79"/>
      <c r="I252" s="79"/>
      <c r="J252" s="14"/>
      <c r="K252" s="38"/>
      <c r="L252" s="38"/>
      <c r="M252" s="17"/>
    </row>
    <row r="253" spans="2:13" ht="14.45" customHeight="1" x14ac:dyDescent="0.25">
      <c r="B253" s="17"/>
      <c r="C253" s="14"/>
      <c r="D253" s="14"/>
      <c r="E253" s="18"/>
      <c r="F253" s="61"/>
      <c r="G253" s="73"/>
      <c r="H253" s="79"/>
      <c r="I253" s="79"/>
      <c r="J253" s="14"/>
      <c r="K253" s="38"/>
      <c r="L253" s="38"/>
      <c r="M253" s="17"/>
    </row>
    <row r="254" spans="2:13" ht="14.45" customHeight="1" x14ac:dyDescent="0.25">
      <c r="B254" s="17"/>
      <c r="C254" s="14"/>
      <c r="D254" s="14"/>
      <c r="E254" s="18"/>
      <c r="F254" s="61"/>
      <c r="G254" s="73"/>
      <c r="H254" s="79"/>
      <c r="I254" s="79"/>
      <c r="J254" s="14"/>
      <c r="K254" s="38"/>
      <c r="L254" s="38"/>
      <c r="M254" s="17"/>
    </row>
    <row r="255" spans="2:13" ht="14.45" customHeight="1" x14ac:dyDescent="0.25">
      <c r="B255" s="17"/>
      <c r="C255" s="14"/>
      <c r="D255" s="14"/>
      <c r="E255" s="18"/>
      <c r="F255" s="61"/>
      <c r="G255" s="73"/>
      <c r="H255" s="79"/>
      <c r="I255" s="79"/>
      <c r="J255" s="14"/>
      <c r="K255" s="38"/>
      <c r="L255" s="38"/>
      <c r="M255" s="17"/>
    </row>
    <row r="256" spans="2:13" ht="14.45" customHeight="1" x14ac:dyDescent="0.25">
      <c r="B256" s="17"/>
      <c r="C256" s="14"/>
      <c r="D256" s="14"/>
      <c r="E256" s="18"/>
      <c r="F256" s="61"/>
      <c r="G256" s="73"/>
      <c r="H256" s="79"/>
      <c r="I256" s="79"/>
      <c r="J256" s="14"/>
      <c r="K256" s="38"/>
      <c r="L256" s="38"/>
      <c r="M256" s="17"/>
    </row>
    <row r="257" spans="2:13" ht="14.45" customHeight="1" x14ac:dyDescent="0.25">
      <c r="B257" s="17"/>
      <c r="C257" s="14"/>
      <c r="D257" s="14"/>
      <c r="E257" s="18"/>
      <c r="F257" s="61"/>
      <c r="G257" s="73"/>
      <c r="H257" s="79"/>
      <c r="I257" s="79"/>
      <c r="J257" s="14"/>
      <c r="K257" s="38"/>
      <c r="L257" s="38"/>
      <c r="M257" s="17"/>
    </row>
    <row r="258" spans="2:13" ht="14.45" customHeight="1" x14ac:dyDescent="0.25">
      <c r="B258" s="17"/>
      <c r="C258" s="14"/>
      <c r="D258" s="14"/>
      <c r="E258" s="18"/>
      <c r="F258" s="61"/>
      <c r="G258" s="73"/>
      <c r="H258" s="79"/>
      <c r="I258" s="79"/>
      <c r="J258" s="14"/>
      <c r="K258" s="38"/>
      <c r="L258" s="38"/>
      <c r="M258" s="17"/>
    </row>
    <row r="259" spans="2:13" ht="14.45" customHeight="1" x14ac:dyDescent="0.25">
      <c r="B259" s="17"/>
      <c r="C259" s="14"/>
      <c r="D259" s="14"/>
      <c r="E259" s="18"/>
      <c r="F259" s="61"/>
      <c r="G259" s="73"/>
      <c r="H259" s="79"/>
      <c r="I259" s="79"/>
      <c r="J259" s="14"/>
      <c r="K259" s="38"/>
      <c r="L259" s="38"/>
      <c r="M259" s="17"/>
    </row>
    <row r="260" spans="2:13" ht="14.45" customHeight="1" x14ac:dyDescent="0.25">
      <c r="B260" s="17"/>
      <c r="C260" s="14"/>
      <c r="D260" s="14"/>
      <c r="E260" s="18"/>
      <c r="F260" s="61"/>
      <c r="G260" s="73"/>
      <c r="H260" s="79"/>
      <c r="I260" s="79"/>
      <c r="J260" s="14"/>
      <c r="K260" s="38"/>
      <c r="L260" s="38"/>
      <c r="M260" s="17"/>
    </row>
    <row r="261" spans="2:13" ht="14.45" customHeight="1" x14ac:dyDescent="0.25">
      <c r="B261" s="17"/>
      <c r="C261" s="14"/>
      <c r="D261" s="14"/>
      <c r="E261" s="18"/>
      <c r="F261" s="61"/>
      <c r="G261" s="73"/>
      <c r="H261" s="79"/>
      <c r="I261" s="79"/>
      <c r="J261" s="14"/>
      <c r="K261" s="38"/>
      <c r="L261" s="38"/>
      <c r="M261" s="17"/>
    </row>
    <row r="262" spans="2:13" ht="14.45" customHeight="1" x14ac:dyDescent="0.25">
      <c r="B262" s="17"/>
      <c r="C262" s="14"/>
      <c r="D262" s="14"/>
      <c r="E262" s="18"/>
      <c r="F262" s="61"/>
      <c r="G262" s="73"/>
      <c r="H262" s="79"/>
      <c r="I262" s="79"/>
      <c r="J262" s="14"/>
      <c r="K262" s="38"/>
      <c r="L262" s="38"/>
      <c r="M262" s="17"/>
    </row>
    <row r="263" spans="2:13" ht="14.45" customHeight="1" x14ac:dyDescent="0.25">
      <c r="B263" s="17"/>
      <c r="C263" s="14"/>
      <c r="D263" s="14"/>
      <c r="E263" s="18"/>
      <c r="F263" s="61"/>
      <c r="G263" s="73"/>
      <c r="H263" s="79"/>
      <c r="I263" s="79"/>
      <c r="J263" s="14"/>
      <c r="K263" s="38"/>
      <c r="L263" s="38"/>
      <c r="M263" s="17"/>
    </row>
    <row r="264" spans="2:13" ht="14.45" customHeight="1" x14ac:dyDescent="0.25">
      <c r="B264" s="17"/>
      <c r="C264" s="14"/>
      <c r="D264" s="14"/>
      <c r="E264" s="18"/>
      <c r="F264" s="61"/>
      <c r="G264" s="73"/>
      <c r="H264" s="79"/>
      <c r="I264" s="79"/>
      <c r="J264" s="14"/>
      <c r="K264" s="38"/>
      <c r="L264" s="38"/>
      <c r="M264" s="17"/>
    </row>
    <row r="265" spans="2:13" ht="14.45" customHeight="1" x14ac:dyDescent="0.25">
      <c r="B265" s="17"/>
      <c r="C265" s="14"/>
      <c r="D265" s="14"/>
      <c r="E265" s="18"/>
      <c r="F265" s="61"/>
      <c r="G265" s="73"/>
      <c r="H265" s="79"/>
      <c r="I265" s="79"/>
      <c r="J265" s="14"/>
      <c r="K265" s="38"/>
      <c r="L265" s="38"/>
      <c r="M265" s="17"/>
    </row>
    <row r="266" spans="2:13" ht="14.45" customHeight="1" x14ac:dyDescent="0.25">
      <c r="B266" s="17"/>
      <c r="C266" s="14"/>
      <c r="D266" s="14"/>
      <c r="E266" s="18"/>
      <c r="F266" s="61"/>
      <c r="G266" s="73"/>
      <c r="H266" s="79"/>
      <c r="I266" s="79"/>
      <c r="J266" s="14"/>
      <c r="K266" s="38"/>
      <c r="L266" s="38"/>
      <c r="M266" s="17"/>
    </row>
    <row r="267" spans="2:13" ht="14.45" customHeight="1" x14ac:dyDescent="0.25">
      <c r="B267" s="17"/>
      <c r="C267" s="14"/>
      <c r="D267" s="14"/>
      <c r="E267" s="18"/>
      <c r="F267" s="61"/>
      <c r="G267" s="73"/>
      <c r="H267" s="79"/>
      <c r="I267" s="79"/>
      <c r="J267" s="14"/>
      <c r="K267" s="38"/>
      <c r="L267" s="38"/>
      <c r="M267" s="17"/>
    </row>
    <row r="268" spans="2:13" ht="14.45" customHeight="1" x14ac:dyDescent="0.25">
      <c r="B268" s="17"/>
      <c r="C268" s="14"/>
      <c r="D268" s="14"/>
      <c r="E268" s="18"/>
      <c r="F268" s="61"/>
      <c r="G268" s="73"/>
      <c r="H268" s="79"/>
      <c r="I268" s="79"/>
      <c r="J268" s="14"/>
      <c r="K268" s="38"/>
      <c r="L268" s="38"/>
      <c r="M268" s="17"/>
    </row>
    <row r="269" spans="2:13" ht="14.45" customHeight="1" x14ac:dyDescent="0.25">
      <c r="B269" s="17"/>
      <c r="C269" s="14"/>
      <c r="D269" s="14"/>
      <c r="E269" s="18"/>
      <c r="F269" s="61"/>
      <c r="G269" s="73"/>
      <c r="H269" s="79"/>
      <c r="I269" s="79"/>
      <c r="J269" s="14"/>
      <c r="K269" s="38"/>
      <c r="L269" s="38"/>
      <c r="M269" s="17"/>
    </row>
    <row r="270" spans="2:13" ht="14.45" customHeight="1" x14ac:dyDescent="0.25">
      <c r="B270" s="17"/>
      <c r="C270" s="14"/>
      <c r="D270" s="14"/>
      <c r="E270" s="18"/>
      <c r="F270" s="61"/>
      <c r="G270" s="73"/>
      <c r="H270" s="79"/>
      <c r="I270" s="79"/>
      <c r="J270" s="14"/>
      <c r="K270" s="38"/>
      <c r="L270" s="38"/>
      <c r="M270" s="17"/>
    </row>
    <row r="271" spans="2:13" ht="14.45" customHeight="1" x14ac:dyDescent="0.25">
      <c r="B271" s="17"/>
      <c r="C271" s="14"/>
      <c r="D271" s="14"/>
      <c r="E271" s="18"/>
      <c r="F271" s="61"/>
      <c r="G271" s="73"/>
      <c r="H271" s="79"/>
      <c r="I271" s="79"/>
      <c r="J271" s="14"/>
      <c r="K271" s="38"/>
      <c r="L271" s="38"/>
      <c r="M271" s="17"/>
    </row>
    <row r="272" spans="2:13" ht="14.45" customHeight="1" x14ac:dyDescent="0.25">
      <c r="B272" s="17"/>
      <c r="C272" s="14"/>
      <c r="D272" s="14"/>
      <c r="E272" s="18"/>
      <c r="F272" s="61"/>
      <c r="G272" s="73"/>
      <c r="H272" s="79"/>
      <c r="I272" s="79"/>
      <c r="J272" s="14"/>
      <c r="K272" s="38"/>
      <c r="L272" s="38"/>
      <c r="M272" s="17"/>
    </row>
    <row r="273" spans="2:13" ht="14.45" customHeight="1" x14ac:dyDescent="0.25">
      <c r="B273" s="17"/>
      <c r="C273" s="14"/>
      <c r="D273" s="14"/>
      <c r="E273" s="18"/>
      <c r="F273" s="61"/>
      <c r="G273" s="73"/>
      <c r="H273" s="79"/>
      <c r="I273" s="79"/>
      <c r="J273" s="14"/>
      <c r="K273" s="38"/>
      <c r="L273" s="38"/>
      <c r="M273" s="17"/>
    </row>
    <row r="274" spans="2:13" ht="14.45" customHeight="1" x14ac:dyDescent="0.25">
      <c r="B274" s="17"/>
      <c r="C274" s="14"/>
      <c r="D274" s="14"/>
      <c r="E274" s="18"/>
      <c r="F274" s="61"/>
      <c r="G274" s="73"/>
      <c r="H274" s="79"/>
      <c r="I274" s="79"/>
      <c r="J274" s="14"/>
      <c r="K274" s="38"/>
      <c r="L274" s="38"/>
      <c r="M274" s="17"/>
    </row>
    <row r="275" spans="2:13" ht="14.45" customHeight="1" x14ac:dyDescent="0.25">
      <c r="B275" s="17"/>
      <c r="C275" s="14"/>
      <c r="D275" s="14"/>
      <c r="E275" s="18"/>
      <c r="F275" s="61"/>
      <c r="G275" s="73"/>
      <c r="H275" s="79"/>
      <c r="I275" s="79"/>
      <c r="J275" s="14"/>
      <c r="K275" s="38"/>
      <c r="L275" s="38"/>
      <c r="M275" s="17"/>
    </row>
    <row r="276" spans="2:13" ht="14.45" customHeight="1" x14ac:dyDescent="0.25">
      <c r="B276" s="17"/>
      <c r="C276" s="14"/>
      <c r="D276" s="14"/>
      <c r="E276" s="18"/>
      <c r="F276" s="61"/>
      <c r="G276" s="73"/>
      <c r="H276" s="79"/>
      <c r="I276" s="79"/>
      <c r="J276" s="14"/>
      <c r="K276" s="38"/>
      <c r="L276" s="38"/>
      <c r="M276" s="17"/>
    </row>
    <row r="277" spans="2:13" ht="14.45" customHeight="1" x14ac:dyDescent="0.25">
      <c r="B277" s="17"/>
      <c r="C277" s="14"/>
      <c r="D277" s="14"/>
      <c r="E277" s="18"/>
      <c r="F277" s="61"/>
      <c r="G277" s="73"/>
      <c r="H277" s="79"/>
      <c r="I277" s="79"/>
      <c r="J277" s="14"/>
      <c r="K277" s="38"/>
      <c r="L277" s="38"/>
      <c r="M277" s="17"/>
    </row>
    <row r="278" spans="2:13" ht="14.45" customHeight="1" x14ac:dyDescent="0.25">
      <c r="B278" s="17"/>
      <c r="C278" s="14"/>
      <c r="D278" s="14"/>
      <c r="E278" s="18"/>
      <c r="F278" s="61"/>
      <c r="G278" s="73"/>
      <c r="H278" s="79"/>
      <c r="I278" s="79"/>
      <c r="J278" s="14"/>
      <c r="K278" s="38"/>
      <c r="L278" s="38"/>
      <c r="M278" s="17"/>
    </row>
    <row r="279" spans="2:13" ht="14.45" customHeight="1" x14ac:dyDescent="0.25">
      <c r="B279" s="17"/>
      <c r="C279" s="14"/>
      <c r="D279" s="14"/>
      <c r="E279" s="18"/>
      <c r="F279" s="61"/>
      <c r="G279" s="73"/>
      <c r="H279" s="79"/>
      <c r="I279" s="79"/>
      <c r="J279" s="14"/>
      <c r="K279" s="38"/>
      <c r="L279" s="38"/>
      <c r="M279" s="17"/>
    </row>
    <row r="280" spans="2:13" ht="14.45" customHeight="1" x14ac:dyDescent="0.25">
      <c r="B280" s="17"/>
      <c r="C280" s="14"/>
      <c r="D280" s="14"/>
      <c r="E280" s="18"/>
      <c r="F280" s="61"/>
      <c r="G280" s="73"/>
      <c r="H280" s="79"/>
      <c r="I280" s="79"/>
      <c r="J280" s="14"/>
      <c r="K280" s="38"/>
      <c r="L280" s="38"/>
      <c r="M280" s="17"/>
    </row>
    <row r="281" spans="2:13" ht="14.45" customHeight="1" x14ac:dyDescent="0.25">
      <c r="B281" s="17"/>
      <c r="C281" s="14"/>
      <c r="D281" s="14"/>
      <c r="E281" s="18"/>
      <c r="F281" s="61"/>
      <c r="G281" s="73"/>
      <c r="H281" s="79"/>
      <c r="I281" s="79"/>
      <c r="J281" s="14"/>
      <c r="K281" s="38"/>
      <c r="L281" s="38"/>
      <c r="M281" s="17"/>
    </row>
    <row r="282" spans="2:13" ht="14.45" customHeight="1" x14ac:dyDescent="0.25">
      <c r="B282" s="17"/>
      <c r="C282" s="14"/>
      <c r="D282" s="14"/>
      <c r="E282" s="18"/>
      <c r="F282" s="61"/>
      <c r="G282" s="73"/>
      <c r="H282" s="79"/>
      <c r="I282" s="79"/>
      <c r="J282" s="14"/>
      <c r="K282" s="38"/>
      <c r="L282" s="38"/>
      <c r="M282" s="17"/>
    </row>
    <row r="283" spans="2:13" ht="14.45" customHeight="1" x14ac:dyDescent="0.25">
      <c r="B283" s="17"/>
      <c r="C283" s="14"/>
      <c r="D283" s="14"/>
      <c r="E283" s="18"/>
      <c r="F283" s="61"/>
      <c r="G283" s="73"/>
      <c r="H283" s="79"/>
      <c r="I283" s="79"/>
      <c r="J283" s="14"/>
      <c r="K283" s="38"/>
      <c r="L283" s="38"/>
      <c r="M283" s="17"/>
    </row>
    <row r="284" spans="2:13" ht="14.45" customHeight="1" x14ac:dyDescent="0.25">
      <c r="B284" s="17"/>
      <c r="C284" s="14"/>
      <c r="D284" s="14"/>
      <c r="E284" s="18"/>
      <c r="F284" s="61"/>
      <c r="G284" s="73"/>
      <c r="H284" s="79"/>
      <c r="I284" s="79"/>
      <c r="J284" s="14"/>
      <c r="K284" s="38"/>
      <c r="L284" s="38"/>
      <c r="M284" s="17"/>
    </row>
    <row r="285" spans="2:13" ht="14.45" customHeight="1" x14ac:dyDescent="0.25">
      <c r="B285" s="17"/>
      <c r="C285" s="14"/>
      <c r="D285" s="14"/>
      <c r="E285" s="18"/>
      <c r="F285" s="61"/>
      <c r="G285" s="73"/>
      <c r="H285" s="79"/>
      <c r="I285" s="79"/>
      <c r="J285" s="14"/>
      <c r="K285" s="38"/>
      <c r="L285" s="38"/>
      <c r="M285" s="17"/>
    </row>
    <row r="286" spans="2:13" ht="14.45" customHeight="1" x14ac:dyDescent="0.25">
      <c r="B286" s="17"/>
      <c r="C286" s="14"/>
      <c r="D286" s="14"/>
      <c r="E286" s="18"/>
      <c r="F286" s="61"/>
      <c r="G286" s="73"/>
      <c r="H286" s="79"/>
      <c r="I286" s="79"/>
      <c r="J286" s="14"/>
      <c r="K286" s="38"/>
      <c r="L286" s="38"/>
      <c r="M286" s="17"/>
    </row>
    <row r="287" spans="2:13" ht="14.45" customHeight="1" x14ac:dyDescent="0.25">
      <c r="B287" s="17"/>
      <c r="C287" s="14"/>
      <c r="D287" s="14"/>
      <c r="E287" s="18"/>
      <c r="F287" s="61"/>
      <c r="G287" s="73"/>
      <c r="H287" s="79"/>
      <c r="I287" s="79"/>
      <c r="J287" s="14"/>
      <c r="K287" s="38"/>
      <c r="L287" s="38"/>
      <c r="M287" s="17"/>
    </row>
    <row r="288" spans="2:13" ht="14.45" customHeight="1" x14ac:dyDescent="0.25">
      <c r="B288" s="17"/>
      <c r="C288" s="14"/>
      <c r="D288" s="14"/>
      <c r="E288" s="18"/>
      <c r="F288" s="61"/>
      <c r="G288" s="73"/>
      <c r="H288" s="79"/>
      <c r="I288" s="79"/>
      <c r="J288" s="14"/>
      <c r="K288" s="38"/>
      <c r="L288" s="38"/>
      <c r="M288" s="17"/>
    </row>
    <row r="289" spans="2:13" ht="14.45" customHeight="1" x14ac:dyDescent="0.25">
      <c r="B289" s="17"/>
      <c r="C289" s="14"/>
      <c r="D289" s="14"/>
      <c r="E289" s="18"/>
      <c r="F289" s="61"/>
      <c r="G289" s="73"/>
      <c r="H289" s="79"/>
      <c r="I289" s="79"/>
      <c r="J289" s="14"/>
      <c r="K289" s="38"/>
      <c r="L289" s="38"/>
      <c r="M289" s="17"/>
    </row>
    <row r="290" spans="2:13" ht="14.45" customHeight="1" x14ac:dyDescent="0.25">
      <c r="B290" s="17"/>
      <c r="C290" s="14"/>
      <c r="D290" s="14"/>
      <c r="E290" s="18"/>
      <c r="F290" s="61"/>
      <c r="G290" s="73"/>
      <c r="H290" s="79"/>
      <c r="I290" s="79"/>
      <c r="J290" s="14"/>
      <c r="K290" s="38"/>
      <c r="L290" s="38"/>
      <c r="M290" s="17"/>
    </row>
    <row r="291" spans="2:13" ht="14.45" customHeight="1" x14ac:dyDescent="0.25">
      <c r="B291" s="17"/>
      <c r="C291" s="14"/>
      <c r="D291" s="14"/>
      <c r="E291" s="18"/>
      <c r="F291" s="61"/>
      <c r="G291" s="73"/>
      <c r="H291" s="79"/>
      <c r="I291" s="79"/>
      <c r="J291" s="14"/>
      <c r="K291" s="38"/>
      <c r="L291" s="38"/>
      <c r="M291" s="17"/>
    </row>
    <row r="292" spans="2:13" ht="14.45" customHeight="1" x14ac:dyDescent="0.25">
      <c r="B292" s="17"/>
      <c r="C292" s="14"/>
      <c r="D292" s="14"/>
      <c r="E292" s="18"/>
      <c r="F292" s="61"/>
      <c r="G292" s="73"/>
      <c r="H292" s="79"/>
      <c r="I292" s="79"/>
      <c r="J292" s="14"/>
      <c r="K292" s="38"/>
      <c r="L292" s="38"/>
      <c r="M292" s="17"/>
    </row>
    <row r="293" spans="2:13" ht="14.45" customHeight="1" x14ac:dyDescent="0.25">
      <c r="B293" s="17"/>
      <c r="C293" s="14"/>
      <c r="D293" s="14"/>
      <c r="E293" s="18"/>
      <c r="F293" s="61"/>
      <c r="G293" s="73"/>
      <c r="H293" s="79"/>
      <c r="I293" s="79"/>
      <c r="J293" s="14"/>
      <c r="K293" s="38"/>
      <c r="L293" s="38"/>
      <c r="M293" s="17"/>
    </row>
    <row r="294" spans="2:13" ht="14.45" customHeight="1" x14ac:dyDescent="0.25">
      <c r="B294" s="17"/>
      <c r="C294" s="14"/>
      <c r="D294" s="14"/>
      <c r="E294" s="18"/>
      <c r="F294" s="61"/>
      <c r="G294" s="73"/>
      <c r="H294" s="79"/>
      <c r="I294" s="79"/>
      <c r="J294" s="14"/>
      <c r="K294" s="38"/>
      <c r="L294" s="38"/>
      <c r="M294" s="17"/>
    </row>
    <row r="295" spans="2:13" ht="14.45" customHeight="1" x14ac:dyDescent="0.25">
      <c r="B295" s="17"/>
      <c r="C295" s="14"/>
      <c r="D295" s="14"/>
      <c r="E295" s="18"/>
      <c r="F295" s="61"/>
      <c r="G295" s="73"/>
      <c r="H295" s="79"/>
      <c r="I295" s="79"/>
      <c r="J295" s="14"/>
      <c r="K295" s="38"/>
      <c r="L295" s="38"/>
      <c r="M295" s="17"/>
    </row>
    <row r="296" spans="2:13" ht="14.45" customHeight="1" x14ac:dyDescent="0.25">
      <c r="B296" s="17"/>
      <c r="C296" s="14"/>
      <c r="D296" s="14"/>
      <c r="E296" s="18"/>
      <c r="F296" s="61"/>
      <c r="G296" s="73"/>
      <c r="H296" s="79"/>
      <c r="I296" s="79"/>
      <c r="J296" s="14"/>
      <c r="K296" s="38"/>
      <c r="L296" s="38"/>
      <c r="M296" s="17"/>
    </row>
    <row r="297" spans="2:13" ht="14.45" customHeight="1" x14ac:dyDescent="0.25">
      <c r="B297" s="17"/>
      <c r="C297" s="14"/>
      <c r="D297" s="14"/>
      <c r="E297" s="18"/>
      <c r="F297" s="61"/>
      <c r="G297" s="73"/>
      <c r="H297" s="79"/>
      <c r="I297" s="79"/>
      <c r="J297" s="14"/>
      <c r="K297" s="38"/>
      <c r="L297" s="38"/>
      <c r="M297" s="17"/>
    </row>
    <row r="298" spans="2:13" ht="14.45" customHeight="1" x14ac:dyDescent="0.25">
      <c r="B298" s="17"/>
      <c r="C298" s="14"/>
      <c r="D298" s="14"/>
      <c r="E298" s="18"/>
      <c r="F298" s="61"/>
      <c r="G298" s="73"/>
      <c r="H298" s="79"/>
      <c r="I298" s="79"/>
      <c r="J298" s="14"/>
      <c r="K298" s="38"/>
      <c r="L298" s="38"/>
      <c r="M298" s="17"/>
    </row>
    <row r="299" spans="2:13" ht="14.45" customHeight="1" x14ac:dyDescent="0.25">
      <c r="B299" s="17"/>
      <c r="C299" s="14"/>
      <c r="D299" s="14"/>
      <c r="E299" s="18"/>
      <c r="F299" s="61"/>
      <c r="G299" s="73"/>
      <c r="H299" s="79"/>
      <c r="I299" s="79"/>
      <c r="J299" s="14"/>
      <c r="K299" s="38"/>
      <c r="L299" s="38"/>
      <c r="M299" s="17"/>
    </row>
    <row r="300" spans="2:13" ht="14.45" customHeight="1" x14ac:dyDescent="0.25">
      <c r="B300" s="17"/>
      <c r="C300" s="14"/>
      <c r="D300" s="14"/>
      <c r="E300" s="18"/>
      <c r="F300" s="61"/>
      <c r="G300" s="73"/>
      <c r="H300" s="79"/>
      <c r="I300" s="79"/>
      <c r="J300" s="14"/>
      <c r="K300" s="38"/>
      <c r="L300" s="38"/>
      <c r="M300" s="17"/>
    </row>
    <row r="301" spans="2:13" ht="14.45" customHeight="1" x14ac:dyDescent="0.25">
      <c r="B301" s="17"/>
      <c r="C301" s="14"/>
      <c r="D301" s="14"/>
      <c r="E301" s="18"/>
      <c r="F301" s="61"/>
      <c r="G301" s="73"/>
      <c r="H301" s="79"/>
      <c r="I301" s="79"/>
      <c r="J301" s="14"/>
      <c r="K301" s="38"/>
      <c r="L301" s="38"/>
      <c r="M301" s="17"/>
    </row>
    <row r="302" spans="2:13" ht="14.45" customHeight="1" x14ac:dyDescent="0.25">
      <c r="B302" s="17"/>
      <c r="C302" s="14"/>
      <c r="D302" s="14"/>
      <c r="E302" s="18"/>
      <c r="F302" s="61"/>
      <c r="G302" s="73"/>
      <c r="H302" s="79"/>
      <c r="I302" s="79"/>
      <c r="J302" s="14"/>
      <c r="K302" s="38"/>
      <c r="L302" s="38"/>
      <c r="M302" s="17"/>
    </row>
    <row r="303" spans="2:13" ht="14.45" customHeight="1" x14ac:dyDescent="0.25">
      <c r="B303" s="17"/>
      <c r="C303" s="14"/>
      <c r="D303" s="14"/>
      <c r="E303" s="18"/>
      <c r="F303" s="61"/>
      <c r="G303" s="73"/>
      <c r="H303" s="79"/>
      <c r="I303" s="79"/>
      <c r="J303" s="14"/>
      <c r="K303" s="38"/>
      <c r="L303" s="38"/>
      <c r="M303" s="17"/>
    </row>
    <row r="304" spans="2:13" ht="14.45" customHeight="1" x14ac:dyDescent="0.25">
      <c r="B304" s="17"/>
      <c r="C304" s="14"/>
      <c r="D304" s="14"/>
      <c r="E304" s="18"/>
      <c r="F304" s="61"/>
      <c r="G304" s="73"/>
      <c r="H304" s="79"/>
      <c r="I304" s="79"/>
      <c r="J304" s="14"/>
      <c r="K304" s="38"/>
      <c r="L304" s="38"/>
      <c r="M304" s="17"/>
    </row>
    <row r="305" spans="2:13" ht="14.45" customHeight="1" x14ac:dyDescent="0.25">
      <c r="B305" s="17"/>
      <c r="C305" s="14"/>
      <c r="D305" s="14"/>
      <c r="E305" s="18"/>
      <c r="F305" s="61"/>
      <c r="G305" s="73"/>
      <c r="H305" s="79"/>
      <c r="I305" s="79"/>
      <c r="J305" s="14"/>
      <c r="K305" s="38"/>
      <c r="L305" s="38"/>
      <c r="M305" s="17"/>
    </row>
    <row r="306" spans="2:13" ht="14.45" customHeight="1" x14ac:dyDescent="0.25">
      <c r="B306" s="17"/>
      <c r="C306" s="14"/>
      <c r="D306" s="14"/>
      <c r="E306" s="18"/>
      <c r="F306" s="61"/>
      <c r="G306" s="73"/>
      <c r="H306" s="79"/>
      <c r="I306" s="79"/>
      <c r="J306" s="14"/>
      <c r="K306" s="38"/>
      <c r="L306" s="38"/>
      <c r="M306" s="17"/>
    </row>
    <row r="307" spans="2:13" ht="14.45" customHeight="1" x14ac:dyDescent="0.25">
      <c r="B307" s="17"/>
      <c r="C307" s="14"/>
      <c r="D307" s="14"/>
      <c r="E307" s="18"/>
      <c r="F307" s="61"/>
      <c r="G307" s="73"/>
      <c r="H307" s="79"/>
      <c r="I307" s="79"/>
      <c r="J307" s="14"/>
      <c r="K307" s="38"/>
      <c r="L307" s="38"/>
      <c r="M307" s="17"/>
    </row>
    <row r="308" spans="2:13" ht="14.45" customHeight="1" x14ac:dyDescent="0.25">
      <c r="B308" s="17"/>
      <c r="C308" s="14"/>
      <c r="D308" s="14"/>
      <c r="E308" s="18"/>
      <c r="F308" s="61"/>
      <c r="G308" s="73"/>
      <c r="H308" s="79"/>
      <c r="I308" s="79"/>
      <c r="J308" s="14"/>
      <c r="K308" s="38"/>
      <c r="L308" s="38"/>
      <c r="M308" s="17"/>
    </row>
    <row r="309" spans="2:13" ht="14.45" customHeight="1" x14ac:dyDescent="0.25">
      <c r="B309" s="17"/>
      <c r="C309" s="14"/>
      <c r="D309" s="14"/>
      <c r="E309" s="18"/>
      <c r="F309" s="61"/>
      <c r="G309" s="73"/>
      <c r="H309" s="79"/>
      <c r="I309" s="79"/>
      <c r="J309" s="14"/>
      <c r="K309" s="38"/>
      <c r="L309" s="38"/>
      <c r="M309" s="17"/>
    </row>
    <row r="310" spans="2:13" ht="14.45" customHeight="1" x14ac:dyDescent="0.25">
      <c r="B310" s="17"/>
      <c r="C310" s="14"/>
      <c r="D310" s="14"/>
      <c r="E310" s="18"/>
      <c r="F310" s="61"/>
      <c r="G310" s="73"/>
      <c r="H310" s="79"/>
      <c r="I310" s="79"/>
      <c r="J310" s="14"/>
      <c r="K310" s="38"/>
      <c r="L310" s="38"/>
      <c r="M310" s="17"/>
    </row>
    <row r="311" spans="2:13" ht="14.45" customHeight="1" x14ac:dyDescent="0.25">
      <c r="B311" s="17"/>
      <c r="C311" s="14"/>
      <c r="D311" s="14"/>
      <c r="E311" s="18"/>
      <c r="F311" s="61"/>
      <c r="G311" s="73"/>
      <c r="H311" s="79"/>
      <c r="I311" s="79"/>
      <c r="J311" s="14"/>
      <c r="K311" s="38"/>
      <c r="L311" s="38"/>
      <c r="M311" s="17"/>
    </row>
    <row r="312" spans="2:13" ht="14.45" customHeight="1" x14ac:dyDescent="0.25">
      <c r="B312" s="17"/>
      <c r="C312" s="14"/>
      <c r="D312" s="14"/>
      <c r="E312" s="18"/>
      <c r="F312" s="61"/>
      <c r="G312" s="73"/>
      <c r="H312" s="79"/>
      <c r="I312" s="79"/>
      <c r="J312" s="14"/>
      <c r="K312" s="38"/>
      <c r="L312" s="38"/>
      <c r="M312" s="17"/>
    </row>
    <row r="313" spans="2:13" ht="14.45" customHeight="1" x14ac:dyDescent="0.25">
      <c r="B313" s="17"/>
      <c r="C313" s="14"/>
      <c r="D313" s="14"/>
      <c r="E313" s="18"/>
      <c r="F313" s="61"/>
      <c r="G313" s="73"/>
      <c r="H313" s="79"/>
      <c r="I313" s="79"/>
      <c r="J313" s="14"/>
      <c r="K313" s="38"/>
      <c r="L313" s="38"/>
      <c r="M313" s="17"/>
    </row>
    <row r="314" spans="2:13" ht="14.45" customHeight="1" x14ac:dyDescent="0.25">
      <c r="B314" s="17"/>
      <c r="C314" s="14"/>
      <c r="D314" s="14"/>
      <c r="E314" s="18"/>
      <c r="F314" s="61"/>
      <c r="G314" s="73"/>
      <c r="H314" s="79"/>
      <c r="I314" s="79"/>
      <c r="J314" s="14"/>
      <c r="K314" s="38"/>
      <c r="L314" s="38"/>
      <c r="M314" s="17"/>
    </row>
    <row r="315" spans="2:13" ht="14.45" customHeight="1" x14ac:dyDescent="0.25">
      <c r="B315" s="17"/>
      <c r="C315" s="14"/>
      <c r="D315" s="14"/>
      <c r="E315" s="18"/>
      <c r="F315" s="61"/>
      <c r="G315" s="73"/>
      <c r="H315" s="79"/>
      <c r="I315" s="79"/>
      <c r="J315" s="14"/>
      <c r="K315" s="38"/>
      <c r="L315" s="38"/>
      <c r="M315" s="17"/>
    </row>
    <row r="316" spans="2:13" ht="14.45" customHeight="1" x14ac:dyDescent="0.25">
      <c r="B316" s="17"/>
      <c r="C316" s="14"/>
      <c r="D316" s="14"/>
      <c r="E316" s="18"/>
      <c r="F316" s="61"/>
      <c r="G316" s="73"/>
      <c r="H316" s="79"/>
      <c r="I316" s="79"/>
      <c r="J316" s="14"/>
      <c r="K316" s="38"/>
      <c r="L316" s="38"/>
      <c r="M316" s="17"/>
    </row>
    <row r="317" spans="2:13" ht="14.45" customHeight="1" x14ac:dyDescent="0.25">
      <c r="B317" s="17"/>
      <c r="C317" s="14"/>
      <c r="D317" s="14"/>
      <c r="E317" s="18"/>
      <c r="F317" s="61"/>
      <c r="G317" s="73"/>
      <c r="H317" s="79"/>
      <c r="I317" s="79"/>
      <c r="J317" s="14"/>
      <c r="K317" s="38"/>
      <c r="L317" s="38"/>
      <c r="M317" s="17"/>
    </row>
    <row r="318" spans="2:13" ht="14.45" customHeight="1" x14ac:dyDescent="0.25">
      <c r="B318" s="17"/>
      <c r="C318" s="14"/>
      <c r="D318" s="14"/>
      <c r="E318" s="18"/>
      <c r="F318" s="61"/>
      <c r="G318" s="73"/>
      <c r="H318" s="79"/>
      <c r="I318" s="79"/>
      <c r="J318" s="14"/>
      <c r="K318" s="38"/>
      <c r="L318" s="38"/>
      <c r="M318" s="17"/>
    </row>
    <row r="319" spans="2:13" ht="14.45" customHeight="1" x14ac:dyDescent="0.25">
      <c r="B319" s="17"/>
      <c r="C319" s="14"/>
      <c r="D319" s="14"/>
      <c r="E319" s="18"/>
      <c r="F319" s="61"/>
      <c r="G319" s="73"/>
      <c r="H319" s="79"/>
      <c r="I319" s="79"/>
      <c r="J319" s="14"/>
      <c r="K319" s="38"/>
      <c r="L319" s="38"/>
      <c r="M319" s="17"/>
    </row>
    <row r="320" spans="2:13" ht="14.45" customHeight="1" x14ac:dyDescent="0.25">
      <c r="B320" s="17"/>
      <c r="C320" s="14"/>
      <c r="D320" s="14"/>
      <c r="E320" s="18"/>
      <c r="F320" s="61"/>
      <c r="G320" s="73"/>
      <c r="H320" s="79"/>
      <c r="I320" s="79"/>
      <c r="J320" s="14"/>
      <c r="K320" s="38"/>
      <c r="L320" s="38"/>
      <c r="M320" s="17"/>
    </row>
    <row r="321" spans="2:13" ht="14.45" customHeight="1" x14ac:dyDescent="0.25">
      <c r="B321" s="17"/>
      <c r="C321" s="14"/>
      <c r="D321" s="14"/>
      <c r="E321" s="18"/>
      <c r="F321" s="61"/>
      <c r="G321" s="73"/>
      <c r="H321" s="79"/>
      <c r="I321" s="79"/>
      <c r="J321" s="14"/>
      <c r="K321" s="38"/>
      <c r="L321" s="38"/>
      <c r="M321" s="17"/>
    </row>
    <row r="322" spans="2:13" ht="14.45" customHeight="1" x14ac:dyDescent="0.25">
      <c r="B322" s="17"/>
      <c r="C322" s="14"/>
      <c r="D322" s="14"/>
      <c r="E322" s="18"/>
      <c r="F322" s="61"/>
      <c r="G322" s="73"/>
      <c r="H322" s="79"/>
      <c r="I322" s="79"/>
      <c r="J322" s="14"/>
      <c r="K322" s="38"/>
      <c r="L322" s="38"/>
      <c r="M322" s="17"/>
    </row>
    <row r="323" spans="2:13" ht="14.45" customHeight="1" x14ac:dyDescent="0.25">
      <c r="B323" s="17"/>
      <c r="C323" s="14"/>
      <c r="D323" s="14"/>
      <c r="E323" s="18"/>
      <c r="F323" s="61"/>
      <c r="G323" s="73"/>
      <c r="H323" s="79"/>
      <c r="I323" s="79"/>
      <c r="J323" s="14"/>
      <c r="K323" s="38"/>
      <c r="L323" s="38"/>
      <c r="M323" s="17"/>
    </row>
    <row r="324" spans="2:13" ht="14.45" customHeight="1" x14ac:dyDescent="0.25">
      <c r="B324" s="17"/>
      <c r="C324" s="14"/>
      <c r="D324" s="14"/>
      <c r="E324" s="18"/>
      <c r="F324" s="61"/>
      <c r="G324" s="73"/>
      <c r="H324" s="79"/>
      <c r="I324" s="79"/>
      <c r="J324" s="14"/>
      <c r="K324" s="38"/>
      <c r="L324" s="38"/>
      <c r="M324" s="17"/>
    </row>
    <row r="325" spans="2:13" ht="14.45" customHeight="1" x14ac:dyDescent="0.25">
      <c r="B325" s="17"/>
      <c r="C325" s="14"/>
      <c r="D325" s="14"/>
      <c r="E325" s="18"/>
      <c r="F325" s="61"/>
      <c r="G325" s="73"/>
      <c r="H325" s="79"/>
      <c r="I325" s="79"/>
      <c r="J325" s="14"/>
      <c r="K325" s="38"/>
      <c r="L325" s="38"/>
      <c r="M325" s="17"/>
    </row>
    <row r="326" spans="2:13" ht="14.45" customHeight="1" x14ac:dyDescent="0.25">
      <c r="B326" s="17"/>
      <c r="C326" s="14"/>
      <c r="D326" s="14"/>
      <c r="E326" s="18"/>
      <c r="F326" s="61"/>
      <c r="G326" s="73"/>
      <c r="H326" s="79"/>
      <c r="I326" s="79"/>
      <c r="J326" s="14"/>
      <c r="K326" s="38"/>
      <c r="L326" s="38"/>
      <c r="M326" s="17"/>
    </row>
    <row r="327" spans="2:13" ht="14.45" customHeight="1" x14ac:dyDescent="0.25">
      <c r="B327" s="17"/>
      <c r="C327" s="14"/>
      <c r="D327" s="14"/>
      <c r="E327" s="18"/>
      <c r="F327" s="61"/>
      <c r="G327" s="73"/>
      <c r="H327" s="79"/>
      <c r="I327" s="79"/>
      <c r="J327" s="14"/>
      <c r="K327" s="38"/>
      <c r="L327" s="38"/>
      <c r="M327" s="17"/>
    </row>
    <row r="328" spans="2:13" ht="14.45" customHeight="1" x14ac:dyDescent="0.25">
      <c r="B328" s="17"/>
      <c r="C328" s="14"/>
      <c r="D328" s="14"/>
      <c r="E328" s="18"/>
      <c r="F328" s="61"/>
      <c r="G328" s="73"/>
      <c r="H328" s="79"/>
      <c r="I328" s="79"/>
      <c r="J328" s="14"/>
      <c r="K328" s="38"/>
      <c r="L328" s="38"/>
      <c r="M328" s="17"/>
    </row>
    <row r="329" spans="2:13" ht="14.45" customHeight="1" x14ac:dyDescent="0.25">
      <c r="B329" s="17"/>
      <c r="C329" s="14"/>
      <c r="D329" s="14"/>
      <c r="E329" s="18"/>
      <c r="F329" s="61"/>
      <c r="G329" s="73"/>
      <c r="H329" s="79"/>
      <c r="I329" s="79"/>
      <c r="J329" s="14"/>
      <c r="K329" s="38"/>
      <c r="L329" s="38"/>
      <c r="M329" s="17"/>
    </row>
    <row r="330" spans="2:13" ht="14.45" customHeight="1" x14ac:dyDescent="0.25">
      <c r="B330" s="17"/>
      <c r="C330" s="14"/>
      <c r="D330" s="14"/>
      <c r="E330" s="18"/>
      <c r="F330" s="61"/>
      <c r="G330" s="73"/>
      <c r="H330" s="79"/>
      <c r="I330" s="79"/>
      <c r="J330" s="14"/>
      <c r="K330" s="38"/>
      <c r="L330" s="38"/>
      <c r="M330" s="17"/>
    </row>
    <row r="331" spans="2:13" ht="14.45" customHeight="1" x14ac:dyDescent="0.25">
      <c r="B331" s="17"/>
      <c r="C331" s="14"/>
      <c r="D331" s="14"/>
      <c r="E331" s="18"/>
      <c r="F331" s="61"/>
      <c r="G331" s="73"/>
      <c r="H331" s="79"/>
      <c r="I331" s="79"/>
      <c r="J331" s="14"/>
      <c r="K331" s="38"/>
      <c r="L331" s="38"/>
      <c r="M331" s="17"/>
    </row>
    <row r="332" spans="2:13" ht="14.45" customHeight="1" x14ac:dyDescent="0.25">
      <c r="B332" s="17"/>
      <c r="C332" s="14"/>
      <c r="D332" s="14"/>
      <c r="E332" s="18"/>
      <c r="F332" s="61"/>
      <c r="G332" s="73"/>
      <c r="H332" s="79"/>
      <c r="I332" s="79"/>
      <c r="J332" s="14"/>
      <c r="K332" s="38"/>
      <c r="L332" s="38"/>
      <c r="M332" s="17"/>
    </row>
    <row r="333" spans="2:13" ht="14.45" customHeight="1" x14ac:dyDescent="0.25">
      <c r="B333" s="17"/>
      <c r="C333" s="14"/>
      <c r="D333" s="14"/>
      <c r="E333" s="18"/>
      <c r="F333" s="61"/>
      <c r="G333" s="73"/>
      <c r="H333" s="79"/>
      <c r="I333" s="79"/>
      <c r="J333" s="14"/>
      <c r="K333" s="38"/>
      <c r="L333" s="38"/>
      <c r="M333" s="17"/>
    </row>
    <row r="334" spans="2:13" ht="14.45" customHeight="1" x14ac:dyDescent="0.25">
      <c r="B334" s="17"/>
      <c r="C334" s="14"/>
      <c r="D334" s="14"/>
      <c r="E334" s="18"/>
      <c r="F334" s="61"/>
      <c r="G334" s="73"/>
      <c r="H334" s="79"/>
      <c r="I334" s="79"/>
      <c r="J334" s="14"/>
      <c r="K334" s="38"/>
      <c r="L334" s="38"/>
      <c r="M334" s="17"/>
    </row>
    <row r="335" spans="2:13" ht="14.45" customHeight="1" x14ac:dyDescent="0.25">
      <c r="B335" s="17"/>
      <c r="C335" s="14"/>
      <c r="D335" s="14"/>
      <c r="E335" s="18"/>
      <c r="F335" s="61"/>
      <c r="G335" s="73"/>
      <c r="H335" s="79"/>
      <c r="I335" s="79"/>
      <c r="J335" s="14"/>
      <c r="K335" s="38"/>
      <c r="L335" s="38"/>
      <c r="M335" s="17"/>
    </row>
    <row r="336" spans="2:13" ht="14.45" customHeight="1" x14ac:dyDescent="0.25">
      <c r="B336" s="17"/>
      <c r="C336" s="14"/>
      <c r="D336" s="14"/>
      <c r="E336" s="18"/>
      <c r="F336" s="61"/>
      <c r="G336" s="73"/>
      <c r="H336" s="79"/>
      <c r="I336" s="79"/>
      <c r="J336" s="14"/>
      <c r="K336" s="38"/>
      <c r="L336" s="38"/>
      <c r="M336" s="17"/>
    </row>
    <row r="337" spans="2:13" ht="14.45" customHeight="1" x14ac:dyDescent="0.25">
      <c r="B337" s="17"/>
      <c r="C337" s="14"/>
      <c r="D337" s="14"/>
      <c r="E337" s="18"/>
      <c r="F337" s="61"/>
      <c r="G337" s="73"/>
      <c r="H337" s="79"/>
      <c r="I337" s="79"/>
      <c r="J337" s="14"/>
      <c r="K337" s="38"/>
      <c r="L337" s="38"/>
      <c r="M337" s="17"/>
    </row>
    <row r="338" spans="2:13" ht="14.45" customHeight="1" x14ac:dyDescent="0.25">
      <c r="B338" s="17"/>
      <c r="C338" s="14"/>
      <c r="D338" s="14"/>
      <c r="E338" s="18"/>
      <c r="F338" s="61"/>
      <c r="G338" s="73"/>
      <c r="H338" s="79"/>
      <c r="I338" s="79"/>
      <c r="J338" s="14"/>
      <c r="K338" s="38"/>
      <c r="L338" s="38"/>
      <c r="M338" s="17"/>
    </row>
    <row r="339" spans="2:13" ht="14.45" customHeight="1" x14ac:dyDescent="0.25">
      <c r="B339" s="17"/>
      <c r="C339" s="14"/>
      <c r="D339" s="14"/>
      <c r="E339" s="18"/>
      <c r="F339" s="61"/>
      <c r="G339" s="73"/>
      <c r="H339" s="79"/>
      <c r="I339" s="79"/>
      <c r="J339" s="14"/>
      <c r="K339" s="38"/>
      <c r="L339" s="38"/>
      <c r="M339" s="17"/>
    </row>
    <row r="340" spans="2:13" ht="14.45" customHeight="1" x14ac:dyDescent="0.25">
      <c r="B340" s="17"/>
      <c r="C340" s="14"/>
      <c r="D340" s="14"/>
      <c r="E340" s="18"/>
      <c r="F340" s="61"/>
      <c r="G340" s="73"/>
      <c r="H340" s="79"/>
      <c r="I340" s="79"/>
      <c r="J340" s="14"/>
      <c r="K340" s="38"/>
      <c r="L340" s="38"/>
      <c r="M340" s="17"/>
    </row>
    <row r="341" spans="2:13" ht="14.45" customHeight="1" x14ac:dyDescent="0.25">
      <c r="B341" s="17"/>
      <c r="C341" s="14"/>
      <c r="D341" s="14"/>
      <c r="E341" s="18"/>
      <c r="F341" s="61"/>
      <c r="G341" s="73"/>
      <c r="H341" s="79"/>
      <c r="I341" s="79"/>
      <c r="J341" s="14"/>
      <c r="K341" s="38"/>
      <c r="L341" s="38"/>
      <c r="M341" s="17"/>
    </row>
    <row r="342" spans="2:13" ht="14.45" customHeight="1" x14ac:dyDescent="0.25">
      <c r="B342" s="17"/>
      <c r="C342" s="14"/>
      <c r="D342" s="14"/>
      <c r="E342" s="18"/>
      <c r="F342" s="61"/>
      <c r="G342" s="73"/>
      <c r="H342" s="79"/>
      <c r="I342" s="79"/>
      <c r="J342" s="14"/>
      <c r="K342" s="38"/>
      <c r="L342" s="38"/>
      <c r="M342" s="17"/>
    </row>
    <row r="343" spans="2:13" ht="14.45" customHeight="1" x14ac:dyDescent="0.25">
      <c r="B343" s="17"/>
      <c r="C343" s="14"/>
      <c r="D343" s="14"/>
      <c r="E343" s="18"/>
      <c r="F343" s="61"/>
      <c r="G343" s="73"/>
      <c r="H343" s="79"/>
      <c r="I343" s="79"/>
      <c r="J343" s="14"/>
      <c r="K343" s="38"/>
      <c r="L343" s="38"/>
      <c r="M343" s="17"/>
    </row>
    <row r="344" spans="2:13" ht="14.45" customHeight="1" x14ac:dyDescent="0.25">
      <c r="B344" s="17"/>
      <c r="C344" s="14"/>
      <c r="D344" s="14"/>
      <c r="E344" s="18"/>
      <c r="F344" s="61"/>
      <c r="G344" s="73"/>
      <c r="H344" s="79"/>
      <c r="I344" s="79"/>
      <c r="J344" s="14"/>
      <c r="K344" s="38"/>
      <c r="L344" s="38"/>
      <c r="M344" s="17"/>
    </row>
    <row r="345" spans="2:13" ht="14.45" customHeight="1" x14ac:dyDescent="0.25">
      <c r="B345" s="17"/>
      <c r="C345" s="14"/>
      <c r="D345" s="14"/>
      <c r="E345" s="18"/>
      <c r="F345" s="61"/>
      <c r="G345" s="73"/>
      <c r="H345" s="79"/>
      <c r="I345" s="79"/>
      <c r="J345" s="14"/>
      <c r="K345" s="38"/>
      <c r="L345" s="38"/>
      <c r="M345" s="17"/>
    </row>
    <row r="346" spans="2:13" ht="14.45" customHeight="1" x14ac:dyDescent="0.25">
      <c r="B346" s="17"/>
      <c r="C346" s="14"/>
      <c r="D346" s="14"/>
      <c r="E346" s="18"/>
      <c r="F346" s="61"/>
      <c r="G346" s="73"/>
      <c r="H346" s="79"/>
      <c r="I346" s="79"/>
      <c r="J346" s="14"/>
      <c r="K346" s="38"/>
      <c r="L346" s="38"/>
      <c r="M346" s="17"/>
    </row>
    <row r="347" spans="2:13" ht="14.45" customHeight="1" x14ac:dyDescent="0.25">
      <c r="B347" s="17"/>
      <c r="C347" s="14"/>
      <c r="D347" s="14"/>
      <c r="E347" s="18"/>
      <c r="F347" s="61"/>
      <c r="G347" s="73"/>
      <c r="H347" s="79"/>
      <c r="I347" s="79"/>
      <c r="J347" s="14"/>
      <c r="K347" s="38"/>
      <c r="L347" s="38"/>
      <c r="M347" s="17"/>
    </row>
    <row r="348" spans="2:13" ht="14.45" customHeight="1" x14ac:dyDescent="0.25">
      <c r="B348" s="17"/>
      <c r="C348" s="14"/>
      <c r="D348" s="14"/>
      <c r="E348" s="18"/>
      <c r="F348" s="61"/>
      <c r="G348" s="73"/>
      <c r="H348" s="79"/>
      <c r="I348" s="79"/>
      <c r="J348" s="14"/>
      <c r="K348" s="38"/>
      <c r="L348" s="38"/>
      <c r="M348" s="17"/>
    </row>
    <row r="349" spans="2:13" ht="14.45" customHeight="1" x14ac:dyDescent="0.25">
      <c r="B349" s="17"/>
      <c r="C349" s="14"/>
      <c r="D349" s="14"/>
      <c r="E349" s="18"/>
      <c r="F349" s="61"/>
      <c r="G349" s="73"/>
      <c r="H349" s="79"/>
      <c r="I349" s="79"/>
      <c r="J349" s="14"/>
      <c r="K349" s="38"/>
      <c r="L349" s="38"/>
      <c r="M349" s="17"/>
    </row>
    <row r="350" spans="2:13" ht="14.45" customHeight="1" x14ac:dyDescent="0.25">
      <c r="B350" s="17"/>
      <c r="C350" s="14"/>
      <c r="D350" s="14"/>
      <c r="E350" s="18"/>
      <c r="F350" s="61"/>
      <c r="G350" s="73"/>
      <c r="H350" s="79"/>
      <c r="I350" s="79"/>
      <c r="J350" s="14"/>
      <c r="K350" s="38"/>
      <c r="L350" s="38"/>
      <c r="M350" s="17"/>
    </row>
    <row r="351" spans="2:13" ht="14.45" customHeight="1" x14ac:dyDescent="0.25">
      <c r="B351" s="17"/>
      <c r="C351" s="14"/>
      <c r="D351" s="14"/>
      <c r="E351" s="18"/>
      <c r="F351" s="61"/>
      <c r="G351" s="73"/>
      <c r="H351" s="79"/>
      <c r="I351" s="79"/>
      <c r="J351" s="14"/>
      <c r="K351" s="38"/>
      <c r="L351" s="38"/>
      <c r="M351" s="17"/>
    </row>
    <row r="352" spans="2:13" ht="14.45" customHeight="1" x14ac:dyDescent="0.25">
      <c r="B352" s="17"/>
      <c r="C352" s="14"/>
      <c r="D352" s="14"/>
      <c r="E352" s="18"/>
      <c r="F352" s="61"/>
      <c r="G352" s="73"/>
      <c r="H352" s="79"/>
      <c r="I352" s="79"/>
      <c r="J352" s="14"/>
      <c r="K352" s="38"/>
      <c r="L352" s="38"/>
      <c r="M352" s="17"/>
    </row>
    <row r="353" spans="2:13" ht="14.45" customHeight="1" x14ac:dyDescent="0.25">
      <c r="B353" s="17"/>
      <c r="C353" s="14"/>
      <c r="D353" s="14"/>
      <c r="E353" s="18"/>
      <c r="F353" s="61"/>
      <c r="G353" s="73"/>
      <c r="H353" s="79"/>
      <c r="I353" s="79"/>
      <c r="J353" s="14"/>
      <c r="K353" s="38"/>
      <c r="L353" s="38"/>
      <c r="M353" s="17"/>
    </row>
    <row r="354" spans="2:13" ht="14.45" customHeight="1" x14ac:dyDescent="0.25">
      <c r="B354" s="17"/>
      <c r="C354" s="14"/>
      <c r="D354" s="14"/>
      <c r="E354" s="18"/>
      <c r="F354" s="61"/>
      <c r="G354" s="73"/>
      <c r="H354" s="79"/>
      <c r="I354" s="79"/>
      <c r="J354" s="14"/>
      <c r="K354" s="38"/>
      <c r="L354" s="38"/>
      <c r="M354" s="17"/>
    </row>
    <row r="355" spans="2:13" ht="14.45" customHeight="1" x14ac:dyDescent="0.25">
      <c r="B355" s="17"/>
      <c r="C355" s="14"/>
      <c r="D355" s="14"/>
      <c r="E355" s="18"/>
      <c r="F355" s="61"/>
      <c r="G355" s="73"/>
      <c r="H355" s="79"/>
      <c r="I355" s="79"/>
      <c r="J355" s="14"/>
      <c r="K355" s="38"/>
      <c r="L355" s="38"/>
      <c r="M355" s="17"/>
    </row>
    <row r="356" spans="2:13" ht="14.45" customHeight="1" x14ac:dyDescent="0.25">
      <c r="B356" s="17"/>
      <c r="C356" s="14"/>
      <c r="D356" s="14"/>
      <c r="E356" s="18"/>
      <c r="F356" s="61"/>
      <c r="G356" s="73"/>
      <c r="H356" s="79"/>
      <c r="I356" s="79"/>
      <c r="J356" s="14"/>
      <c r="K356" s="38"/>
      <c r="L356" s="38"/>
      <c r="M356" s="17"/>
    </row>
    <row r="357" spans="2:13" ht="14.45" customHeight="1" x14ac:dyDescent="0.25">
      <c r="B357" s="17"/>
      <c r="C357" s="14"/>
      <c r="D357" s="14"/>
      <c r="E357" s="18"/>
      <c r="F357" s="61"/>
      <c r="G357" s="73"/>
      <c r="H357" s="79"/>
      <c r="I357" s="79"/>
      <c r="J357" s="14"/>
      <c r="K357" s="38"/>
      <c r="L357" s="38"/>
      <c r="M357" s="17"/>
    </row>
    <row r="358" spans="2:13" ht="14.45" customHeight="1" x14ac:dyDescent="0.25">
      <c r="B358" s="17"/>
      <c r="C358" s="14"/>
      <c r="D358" s="14"/>
      <c r="E358" s="18"/>
      <c r="F358" s="61"/>
      <c r="G358" s="73"/>
      <c r="H358" s="79"/>
      <c r="I358" s="79"/>
      <c r="J358" s="14"/>
      <c r="K358" s="38"/>
      <c r="L358" s="38"/>
      <c r="M358" s="17"/>
    </row>
    <row r="359" spans="2:13" ht="14.45" customHeight="1" x14ac:dyDescent="0.25">
      <c r="B359" s="17"/>
      <c r="C359" s="14"/>
      <c r="D359" s="14"/>
      <c r="E359" s="18"/>
      <c r="F359" s="61"/>
      <c r="G359" s="73"/>
      <c r="H359" s="79"/>
      <c r="I359" s="79"/>
      <c r="J359" s="14"/>
      <c r="K359" s="38"/>
      <c r="L359" s="38"/>
      <c r="M359" s="17"/>
    </row>
    <row r="360" spans="2:13" ht="14.45" customHeight="1" x14ac:dyDescent="0.25">
      <c r="B360" s="17"/>
      <c r="C360" s="14"/>
      <c r="D360" s="14"/>
      <c r="E360" s="18"/>
      <c r="F360" s="61"/>
      <c r="G360" s="73"/>
      <c r="H360" s="79"/>
      <c r="I360" s="79"/>
      <c r="J360" s="14"/>
      <c r="K360" s="38"/>
      <c r="L360" s="38"/>
      <c r="M360" s="17"/>
    </row>
    <row r="361" spans="2:13" ht="14.45" customHeight="1" x14ac:dyDescent="0.25">
      <c r="B361" s="17"/>
      <c r="C361" s="14"/>
      <c r="D361" s="14"/>
      <c r="E361" s="18"/>
      <c r="F361" s="61"/>
      <c r="G361" s="73"/>
      <c r="H361" s="79"/>
      <c r="I361" s="79"/>
      <c r="J361" s="14"/>
      <c r="K361" s="38"/>
      <c r="L361" s="38"/>
      <c r="M361" s="17"/>
    </row>
    <row r="362" spans="2:13" ht="14.45" customHeight="1" x14ac:dyDescent="0.25">
      <c r="B362" s="17"/>
      <c r="C362" s="14"/>
      <c r="D362" s="14"/>
      <c r="E362" s="18"/>
      <c r="F362" s="61"/>
      <c r="G362" s="73"/>
      <c r="H362" s="79"/>
      <c r="I362" s="79"/>
      <c r="J362" s="14"/>
      <c r="K362" s="38"/>
      <c r="L362" s="38"/>
      <c r="M362" s="17"/>
    </row>
    <row r="363" spans="2:13" ht="14.45" customHeight="1" x14ac:dyDescent="0.25">
      <c r="B363" s="17"/>
      <c r="C363" s="14"/>
      <c r="D363" s="14"/>
      <c r="E363" s="18"/>
      <c r="F363" s="61"/>
      <c r="G363" s="73"/>
      <c r="H363" s="79"/>
      <c r="I363" s="79"/>
      <c r="J363" s="14"/>
      <c r="K363" s="38"/>
      <c r="L363" s="38"/>
      <c r="M363" s="17"/>
    </row>
    <row r="364" spans="2:13" ht="14.45" customHeight="1" x14ac:dyDescent="0.25">
      <c r="B364" s="17"/>
      <c r="C364" s="14"/>
      <c r="D364" s="14"/>
      <c r="E364" s="18"/>
      <c r="F364" s="61"/>
      <c r="G364" s="73"/>
      <c r="H364" s="79"/>
      <c r="I364" s="79"/>
      <c r="J364" s="14"/>
      <c r="K364" s="38"/>
      <c r="L364" s="38"/>
      <c r="M364" s="17"/>
    </row>
    <row r="365" spans="2:13" ht="14.45" customHeight="1" x14ac:dyDescent="0.25">
      <c r="B365" s="17"/>
      <c r="C365" s="14"/>
      <c r="D365" s="14"/>
      <c r="E365" s="18"/>
      <c r="F365" s="61"/>
      <c r="G365" s="73"/>
      <c r="H365" s="79"/>
      <c r="I365" s="79"/>
      <c r="J365" s="14"/>
      <c r="K365" s="38"/>
      <c r="L365" s="38"/>
      <c r="M365" s="17"/>
    </row>
    <row r="366" spans="2:13" ht="14.45" customHeight="1" x14ac:dyDescent="0.25">
      <c r="B366" s="17"/>
      <c r="C366" s="14"/>
      <c r="D366" s="14"/>
      <c r="E366" s="18"/>
      <c r="F366" s="61"/>
      <c r="G366" s="73"/>
      <c r="H366" s="79"/>
      <c r="I366" s="79"/>
      <c r="J366" s="14"/>
      <c r="K366" s="38"/>
      <c r="L366" s="38"/>
      <c r="M366" s="17"/>
    </row>
    <row r="367" spans="2:13" ht="14.45" customHeight="1" x14ac:dyDescent="0.25">
      <c r="B367" s="17"/>
      <c r="C367" s="14"/>
      <c r="D367" s="14"/>
      <c r="E367" s="18"/>
      <c r="F367" s="61"/>
      <c r="G367" s="73"/>
      <c r="H367" s="79"/>
      <c r="I367" s="79"/>
      <c r="J367" s="14"/>
      <c r="K367" s="38"/>
      <c r="L367" s="38"/>
      <c r="M367" s="17"/>
    </row>
    <row r="368" spans="2:13" ht="14.45" customHeight="1" x14ac:dyDescent="0.25">
      <c r="B368" s="17"/>
      <c r="C368" s="14"/>
      <c r="D368" s="14"/>
      <c r="E368" s="18"/>
      <c r="F368" s="61"/>
      <c r="G368" s="73"/>
      <c r="H368" s="79"/>
      <c r="I368" s="79"/>
      <c r="J368" s="14"/>
      <c r="K368" s="38"/>
      <c r="L368" s="38"/>
      <c r="M368" s="17"/>
    </row>
    <row r="369" spans="2:13" ht="14.45" customHeight="1" x14ac:dyDescent="0.25">
      <c r="B369" s="17"/>
      <c r="C369" s="14"/>
      <c r="D369" s="14"/>
      <c r="E369" s="18"/>
      <c r="F369" s="61"/>
      <c r="G369" s="73"/>
      <c r="H369" s="79"/>
      <c r="I369" s="79"/>
      <c r="J369" s="14"/>
      <c r="K369" s="38"/>
      <c r="L369" s="38"/>
      <c r="M369" s="17"/>
    </row>
    <row r="370" spans="2:13" ht="14.45" customHeight="1" x14ac:dyDescent="0.25">
      <c r="B370" s="17"/>
      <c r="C370" s="14"/>
      <c r="D370" s="14"/>
      <c r="E370" s="18"/>
      <c r="F370" s="61"/>
      <c r="G370" s="73"/>
      <c r="H370" s="79"/>
      <c r="I370" s="79"/>
      <c r="J370" s="14"/>
      <c r="K370" s="38"/>
      <c r="L370" s="38"/>
      <c r="M370" s="17"/>
    </row>
    <row r="371" spans="2:13" ht="14.45" customHeight="1" x14ac:dyDescent="0.25">
      <c r="B371" s="17"/>
      <c r="C371" s="14"/>
      <c r="D371" s="14"/>
      <c r="E371" s="18"/>
      <c r="F371" s="61"/>
      <c r="G371" s="73"/>
      <c r="H371" s="79"/>
      <c r="I371" s="79"/>
      <c r="J371" s="14"/>
      <c r="K371" s="38"/>
      <c r="L371" s="38"/>
      <c r="M371" s="17"/>
    </row>
    <row r="372" spans="2:13" ht="14.45" customHeight="1" x14ac:dyDescent="0.25">
      <c r="B372" s="17"/>
      <c r="C372" s="14"/>
      <c r="D372" s="14"/>
      <c r="E372" s="18"/>
      <c r="F372" s="61"/>
      <c r="G372" s="73"/>
      <c r="H372" s="79"/>
      <c r="I372" s="79"/>
      <c r="J372" s="14"/>
      <c r="K372" s="38"/>
      <c r="L372" s="38"/>
      <c r="M372" s="17"/>
    </row>
    <row r="373" spans="2:13" ht="14.45" customHeight="1" x14ac:dyDescent="0.25">
      <c r="B373" s="17"/>
      <c r="C373" s="14"/>
      <c r="D373" s="14"/>
      <c r="E373" s="18"/>
      <c r="F373" s="61"/>
      <c r="G373" s="73"/>
      <c r="H373" s="79"/>
      <c r="I373" s="79"/>
      <c r="J373" s="14"/>
      <c r="K373" s="38"/>
      <c r="L373" s="38"/>
      <c r="M373" s="17"/>
    </row>
    <row r="374" spans="2:13" ht="14.45" customHeight="1" x14ac:dyDescent="0.25">
      <c r="B374" s="17"/>
      <c r="C374" s="14"/>
      <c r="D374" s="14"/>
      <c r="E374" s="18"/>
      <c r="F374" s="61"/>
      <c r="G374" s="73"/>
      <c r="H374" s="79"/>
      <c r="I374" s="79"/>
      <c r="J374" s="14"/>
      <c r="K374" s="38"/>
      <c r="L374" s="38"/>
      <c r="M374" s="17"/>
    </row>
    <row r="375" spans="2:13" ht="14.45" customHeight="1" x14ac:dyDescent="0.25">
      <c r="B375" s="17"/>
      <c r="C375" s="14"/>
      <c r="D375" s="14"/>
      <c r="E375" s="18"/>
      <c r="F375" s="61"/>
      <c r="G375" s="73"/>
      <c r="H375" s="79"/>
      <c r="I375" s="79"/>
      <c r="J375" s="14"/>
      <c r="K375" s="38"/>
      <c r="L375" s="38"/>
      <c r="M375" s="17"/>
    </row>
    <row r="376" spans="2:13" ht="14.45" customHeight="1" x14ac:dyDescent="0.25">
      <c r="B376" s="17"/>
      <c r="C376" s="14"/>
      <c r="D376" s="14"/>
      <c r="E376" s="18"/>
      <c r="F376" s="61"/>
      <c r="G376" s="73"/>
      <c r="H376" s="79"/>
      <c r="I376" s="79"/>
      <c r="J376" s="14"/>
      <c r="K376" s="38"/>
      <c r="L376" s="38"/>
      <c r="M376" s="17"/>
    </row>
    <row r="377" spans="2:13" ht="14.45" customHeight="1" x14ac:dyDescent="0.25">
      <c r="B377" s="17"/>
      <c r="C377" s="14"/>
      <c r="D377" s="14"/>
      <c r="E377" s="18"/>
      <c r="F377" s="61"/>
      <c r="G377" s="73"/>
      <c r="H377" s="79"/>
      <c r="I377" s="79"/>
      <c r="J377" s="14"/>
      <c r="K377" s="38"/>
      <c r="L377" s="38"/>
      <c r="M377" s="17"/>
    </row>
    <row r="378" spans="2:13" ht="14.45" customHeight="1" x14ac:dyDescent="0.25">
      <c r="B378" s="17"/>
      <c r="C378" s="14"/>
      <c r="D378" s="14"/>
      <c r="E378" s="18"/>
      <c r="F378" s="61"/>
      <c r="G378" s="73"/>
      <c r="H378" s="79"/>
      <c r="I378" s="79"/>
      <c r="J378" s="14"/>
      <c r="K378" s="38"/>
      <c r="L378" s="38"/>
      <c r="M378" s="17"/>
    </row>
    <row r="379" spans="2:13" ht="14.45" customHeight="1" x14ac:dyDescent="0.25">
      <c r="B379" s="17"/>
      <c r="C379" s="14"/>
      <c r="D379" s="14"/>
      <c r="E379" s="18"/>
      <c r="F379" s="61"/>
      <c r="G379" s="73"/>
      <c r="H379" s="79"/>
      <c r="I379" s="79"/>
      <c r="J379" s="14"/>
      <c r="K379" s="38"/>
      <c r="L379" s="38"/>
      <c r="M379" s="17"/>
    </row>
    <row r="380" spans="2:13" ht="14.45" customHeight="1" x14ac:dyDescent="0.25">
      <c r="B380" s="17"/>
      <c r="C380" s="14"/>
      <c r="D380" s="14"/>
      <c r="E380" s="18"/>
      <c r="F380" s="61"/>
      <c r="G380" s="73"/>
      <c r="H380" s="79"/>
      <c r="I380" s="79"/>
      <c r="J380" s="14"/>
      <c r="K380" s="38"/>
      <c r="L380" s="38"/>
      <c r="M380" s="17"/>
    </row>
    <row r="381" spans="2:13" ht="14.45" customHeight="1" x14ac:dyDescent="0.25">
      <c r="B381" s="17"/>
      <c r="C381" s="14"/>
      <c r="D381" s="14"/>
      <c r="E381" s="18"/>
      <c r="F381" s="61"/>
      <c r="G381" s="73"/>
      <c r="H381" s="79"/>
      <c r="I381" s="79"/>
      <c r="J381" s="14"/>
      <c r="K381" s="38"/>
      <c r="L381" s="38"/>
      <c r="M381" s="17"/>
    </row>
    <row r="382" spans="2:13" ht="14.45" customHeight="1" x14ac:dyDescent="0.25">
      <c r="B382" s="17"/>
      <c r="C382" s="14"/>
      <c r="D382" s="14"/>
      <c r="E382" s="18"/>
      <c r="F382" s="61"/>
      <c r="G382" s="73"/>
      <c r="H382" s="79"/>
      <c r="I382" s="79"/>
      <c r="J382" s="14"/>
      <c r="K382" s="38"/>
      <c r="L382" s="38"/>
      <c r="M382" s="17"/>
    </row>
    <row r="383" spans="2:13" ht="14.45" customHeight="1" x14ac:dyDescent="0.25">
      <c r="B383" s="17"/>
      <c r="C383" s="14"/>
      <c r="D383" s="14"/>
      <c r="E383" s="18"/>
      <c r="F383" s="61"/>
      <c r="G383" s="73"/>
      <c r="H383" s="79"/>
      <c r="I383" s="79"/>
      <c r="J383" s="14"/>
      <c r="K383" s="38"/>
      <c r="L383" s="38"/>
      <c r="M383" s="17"/>
    </row>
    <row r="384" spans="2:13" ht="14.45" customHeight="1" x14ac:dyDescent="0.25">
      <c r="B384" s="17"/>
      <c r="C384" s="14"/>
      <c r="D384" s="14"/>
      <c r="E384" s="18"/>
      <c r="F384" s="61"/>
      <c r="G384" s="73"/>
      <c r="H384" s="79"/>
      <c r="I384" s="79"/>
      <c r="J384" s="14"/>
      <c r="K384" s="38"/>
      <c r="L384" s="38"/>
      <c r="M384" s="17"/>
    </row>
    <row r="385" spans="2:13" ht="14.45" customHeight="1" x14ac:dyDescent="0.25">
      <c r="B385" s="17"/>
      <c r="C385" s="14"/>
      <c r="D385" s="14"/>
      <c r="E385" s="18"/>
      <c r="F385" s="61"/>
      <c r="G385" s="73"/>
      <c r="H385" s="79"/>
      <c r="I385" s="79"/>
      <c r="J385" s="14"/>
      <c r="K385" s="38"/>
      <c r="L385" s="38"/>
      <c r="M385" s="17"/>
    </row>
    <row r="386" spans="2:13" ht="14.45" customHeight="1" x14ac:dyDescent="0.25">
      <c r="B386" s="17"/>
      <c r="C386" s="14"/>
      <c r="D386" s="14"/>
      <c r="E386" s="18"/>
      <c r="F386" s="61"/>
      <c r="G386" s="73"/>
      <c r="H386" s="79"/>
      <c r="I386" s="79"/>
      <c r="J386" s="14"/>
      <c r="K386" s="38"/>
      <c r="L386" s="38"/>
      <c r="M386" s="17"/>
    </row>
    <row r="387" spans="2:13" ht="14.45" customHeight="1" x14ac:dyDescent="0.25">
      <c r="B387" s="17"/>
      <c r="C387" s="14"/>
      <c r="D387" s="14"/>
      <c r="E387" s="18"/>
      <c r="F387" s="61"/>
      <c r="G387" s="73"/>
      <c r="H387" s="79"/>
      <c r="I387" s="79"/>
      <c r="J387" s="14"/>
      <c r="K387" s="38"/>
      <c r="L387" s="38"/>
      <c r="M387" s="17"/>
    </row>
    <row r="388" spans="2:13" ht="14.45" customHeight="1" x14ac:dyDescent="0.25">
      <c r="B388" s="17"/>
      <c r="C388" s="14"/>
      <c r="D388" s="14"/>
      <c r="E388" s="18"/>
      <c r="F388" s="61"/>
      <c r="G388" s="73"/>
      <c r="H388" s="79"/>
      <c r="I388" s="79"/>
      <c r="J388" s="14"/>
      <c r="K388" s="38"/>
      <c r="L388" s="38"/>
      <c r="M388" s="17"/>
    </row>
    <row r="389" spans="2:13" ht="14.45" customHeight="1" x14ac:dyDescent="0.25">
      <c r="B389" s="17"/>
      <c r="C389" s="14"/>
      <c r="D389" s="14"/>
      <c r="E389" s="18"/>
      <c r="F389" s="61"/>
      <c r="G389" s="73"/>
      <c r="H389" s="79"/>
      <c r="I389" s="79"/>
      <c r="J389" s="14"/>
      <c r="K389" s="38"/>
      <c r="L389" s="38"/>
      <c r="M389" s="17"/>
    </row>
    <row r="390" spans="2:13" ht="14.45" customHeight="1" x14ac:dyDescent="0.25">
      <c r="B390" s="17"/>
      <c r="C390" s="14"/>
      <c r="D390" s="14"/>
      <c r="E390" s="18"/>
      <c r="F390" s="61"/>
      <c r="G390" s="73"/>
      <c r="H390" s="79"/>
      <c r="I390" s="79"/>
      <c r="J390" s="14"/>
      <c r="K390" s="38"/>
      <c r="L390" s="38"/>
      <c r="M390" s="17"/>
    </row>
    <row r="391" spans="2:13" ht="14.45" customHeight="1" x14ac:dyDescent="0.25">
      <c r="B391" s="17"/>
      <c r="C391" s="14"/>
      <c r="D391" s="14"/>
      <c r="E391" s="18"/>
      <c r="F391" s="61"/>
      <c r="G391" s="73"/>
      <c r="H391" s="79"/>
      <c r="I391" s="79"/>
      <c r="J391" s="14"/>
      <c r="K391" s="38"/>
      <c r="L391" s="38"/>
      <c r="M391" s="17"/>
    </row>
    <row r="392" spans="2:13" ht="14.45" customHeight="1" x14ac:dyDescent="0.25">
      <c r="B392" s="17"/>
      <c r="C392" s="14"/>
      <c r="D392" s="14"/>
      <c r="E392" s="18"/>
      <c r="F392" s="61"/>
      <c r="G392" s="73"/>
      <c r="H392" s="79"/>
      <c r="I392" s="79"/>
      <c r="J392" s="14"/>
      <c r="K392" s="38"/>
      <c r="L392" s="38"/>
      <c r="M392" s="17"/>
    </row>
    <row r="393" spans="2:13" ht="14.45" customHeight="1" x14ac:dyDescent="0.25">
      <c r="B393" s="17"/>
      <c r="C393" s="14"/>
      <c r="D393" s="14"/>
      <c r="E393" s="18"/>
      <c r="F393" s="61"/>
      <c r="G393" s="73"/>
      <c r="H393" s="79"/>
      <c r="I393" s="79"/>
      <c r="J393" s="14"/>
      <c r="K393" s="38"/>
      <c r="L393" s="38"/>
      <c r="M393" s="17"/>
    </row>
    <row r="394" spans="2:13" ht="14.45" customHeight="1" x14ac:dyDescent="0.25">
      <c r="B394" s="17"/>
      <c r="C394" s="14"/>
      <c r="D394" s="14"/>
      <c r="E394" s="18"/>
      <c r="F394" s="61"/>
      <c r="G394" s="73"/>
      <c r="H394" s="79"/>
      <c r="I394" s="79"/>
      <c r="J394" s="14"/>
      <c r="K394" s="38"/>
      <c r="L394" s="38"/>
      <c r="M394" s="17"/>
    </row>
    <row r="395" spans="2:13" ht="14.45" customHeight="1" x14ac:dyDescent="0.25">
      <c r="B395" s="17"/>
      <c r="C395" s="14"/>
      <c r="D395" s="14"/>
      <c r="E395" s="18"/>
      <c r="F395" s="61"/>
      <c r="G395" s="73"/>
      <c r="H395" s="79"/>
      <c r="I395" s="79"/>
      <c r="J395" s="14"/>
      <c r="K395" s="38"/>
      <c r="L395" s="38"/>
      <c r="M395" s="17"/>
    </row>
    <row r="396" spans="2:13" ht="14.45" customHeight="1" x14ac:dyDescent="0.25">
      <c r="B396" s="17"/>
      <c r="C396" s="14"/>
      <c r="D396" s="14"/>
      <c r="E396" s="18"/>
      <c r="F396" s="61"/>
      <c r="G396" s="73"/>
      <c r="H396" s="79"/>
      <c r="I396" s="79"/>
      <c r="J396" s="14"/>
      <c r="K396" s="38"/>
      <c r="L396" s="38"/>
      <c r="M396" s="17"/>
    </row>
    <row r="397" spans="2:13" ht="14.45" customHeight="1" x14ac:dyDescent="0.25">
      <c r="B397" s="17"/>
      <c r="C397" s="14"/>
      <c r="D397" s="14"/>
      <c r="E397" s="18"/>
      <c r="F397" s="61"/>
      <c r="G397" s="73"/>
      <c r="H397" s="79"/>
      <c r="I397" s="79"/>
      <c r="J397" s="14"/>
      <c r="K397" s="38"/>
      <c r="L397" s="38"/>
      <c r="M397" s="17"/>
    </row>
    <row r="398" spans="2:13" ht="14.45" customHeight="1" x14ac:dyDescent="0.25">
      <c r="B398" s="17"/>
      <c r="C398" s="14"/>
      <c r="D398" s="14"/>
      <c r="E398" s="18"/>
      <c r="F398" s="61"/>
      <c r="G398" s="73"/>
      <c r="H398" s="79"/>
      <c r="I398" s="79"/>
      <c r="J398" s="14"/>
      <c r="K398" s="38"/>
      <c r="L398" s="38"/>
      <c r="M398" s="17"/>
    </row>
    <row r="399" spans="2:13" ht="14.45" customHeight="1" x14ac:dyDescent="0.25">
      <c r="B399" s="17"/>
      <c r="C399" s="14"/>
      <c r="D399" s="14"/>
      <c r="E399" s="18"/>
      <c r="F399" s="61"/>
      <c r="G399" s="73"/>
      <c r="H399" s="79"/>
      <c r="I399" s="79"/>
      <c r="J399" s="14"/>
      <c r="K399" s="38"/>
      <c r="L399" s="38"/>
      <c r="M399" s="17"/>
    </row>
    <row r="400" spans="2:13" ht="14.45" customHeight="1" x14ac:dyDescent="0.25">
      <c r="B400" s="17"/>
      <c r="C400" s="14"/>
      <c r="D400" s="14"/>
      <c r="E400" s="18"/>
      <c r="F400" s="61"/>
      <c r="G400" s="73"/>
      <c r="H400" s="79"/>
      <c r="I400" s="79"/>
      <c r="J400" s="14"/>
      <c r="K400" s="38"/>
      <c r="L400" s="38"/>
      <c r="M400" s="17"/>
    </row>
    <row r="401" spans="2:13" ht="14.45" customHeight="1" x14ac:dyDescent="0.25">
      <c r="B401" s="17"/>
      <c r="C401" s="14"/>
      <c r="D401" s="14"/>
      <c r="E401" s="18"/>
      <c r="F401" s="61"/>
      <c r="G401" s="73"/>
      <c r="H401" s="79"/>
      <c r="I401" s="79"/>
      <c r="J401" s="14"/>
      <c r="K401" s="38"/>
      <c r="L401" s="38"/>
      <c r="M401" s="17"/>
    </row>
    <row r="402" spans="2:13" ht="14.45" customHeight="1" x14ac:dyDescent="0.25">
      <c r="B402" s="17"/>
      <c r="C402" s="14"/>
      <c r="D402" s="14"/>
      <c r="E402" s="18"/>
      <c r="F402" s="61"/>
      <c r="G402" s="73"/>
      <c r="H402" s="79"/>
      <c r="I402" s="79"/>
      <c r="J402" s="14"/>
      <c r="K402" s="38"/>
      <c r="L402" s="38"/>
      <c r="M402" s="17"/>
    </row>
    <row r="403" spans="2:13" ht="14.45" customHeight="1" x14ac:dyDescent="0.25">
      <c r="B403" s="17"/>
      <c r="C403" s="14"/>
      <c r="D403" s="14"/>
      <c r="E403" s="18"/>
      <c r="F403" s="61"/>
      <c r="G403" s="73"/>
      <c r="H403" s="79"/>
      <c r="I403" s="79"/>
      <c r="J403" s="14"/>
      <c r="K403" s="38"/>
      <c r="L403" s="38"/>
      <c r="M403" s="17"/>
    </row>
    <row r="404" spans="2:13" ht="14.45" customHeight="1" x14ac:dyDescent="0.25">
      <c r="B404" s="17"/>
      <c r="C404" s="14"/>
      <c r="D404" s="14"/>
      <c r="E404" s="18"/>
      <c r="F404" s="61"/>
      <c r="G404" s="73"/>
      <c r="H404" s="79"/>
      <c r="I404" s="79"/>
      <c r="J404" s="14"/>
      <c r="K404" s="38"/>
      <c r="L404" s="38"/>
      <c r="M404" s="17"/>
    </row>
    <row r="405" spans="2:13" ht="14.45" customHeight="1" x14ac:dyDescent="0.25">
      <c r="B405" s="17"/>
      <c r="C405" s="14"/>
      <c r="D405" s="14"/>
      <c r="E405" s="18"/>
      <c r="F405" s="61"/>
      <c r="G405" s="73"/>
      <c r="H405" s="79"/>
      <c r="I405" s="79"/>
      <c r="J405" s="14"/>
      <c r="K405" s="38"/>
      <c r="L405" s="38"/>
      <c r="M405" s="17"/>
    </row>
    <row r="406" spans="2:13" ht="14.45" customHeight="1" x14ac:dyDescent="0.25">
      <c r="B406" s="17"/>
      <c r="C406" s="14"/>
      <c r="D406" s="14"/>
      <c r="E406" s="18"/>
      <c r="F406" s="61"/>
      <c r="G406" s="73"/>
      <c r="H406" s="79"/>
      <c r="I406" s="79"/>
      <c r="J406" s="14"/>
      <c r="K406" s="38"/>
      <c r="L406" s="38"/>
      <c r="M406" s="17"/>
    </row>
    <row r="407" spans="2:13" ht="14.45" customHeight="1" x14ac:dyDescent="0.25">
      <c r="B407" s="17"/>
      <c r="C407" s="14"/>
      <c r="D407" s="14"/>
      <c r="E407" s="18"/>
      <c r="F407" s="61"/>
      <c r="G407" s="73"/>
      <c r="H407" s="79"/>
      <c r="I407" s="79"/>
      <c r="J407" s="14"/>
      <c r="K407" s="38"/>
      <c r="L407" s="38"/>
      <c r="M407" s="17"/>
    </row>
    <row r="408" spans="2:13" ht="14.45" customHeight="1" x14ac:dyDescent="0.25">
      <c r="B408" s="17"/>
      <c r="C408" s="14"/>
      <c r="D408" s="14"/>
      <c r="E408" s="18"/>
      <c r="F408" s="61"/>
      <c r="G408" s="73"/>
      <c r="H408" s="79"/>
      <c r="I408" s="79"/>
      <c r="J408" s="14"/>
      <c r="K408" s="38"/>
      <c r="L408" s="38"/>
      <c r="M408" s="17"/>
    </row>
    <row r="409" spans="2:13" ht="14.45" customHeight="1" x14ac:dyDescent="0.25">
      <c r="B409" s="17"/>
      <c r="C409" s="14"/>
      <c r="D409" s="14"/>
      <c r="E409" s="18"/>
      <c r="F409" s="61"/>
      <c r="G409" s="73"/>
      <c r="H409" s="79"/>
      <c r="I409" s="79"/>
      <c r="J409" s="14"/>
      <c r="K409" s="38"/>
      <c r="L409" s="38"/>
      <c r="M409" s="17"/>
    </row>
    <row r="410" spans="2:13" ht="14.45" customHeight="1" x14ac:dyDescent="0.25">
      <c r="B410" s="17"/>
      <c r="C410" s="14"/>
      <c r="D410" s="14"/>
      <c r="E410" s="18"/>
      <c r="F410" s="61"/>
      <c r="G410" s="73"/>
      <c r="H410" s="79"/>
      <c r="I410" s="79"/>
      <c r="J410" s="14"/>
      <c r="K410" s="38"/>
      <c r="L410" s="38"/>
      <c r="M410" s="17"/>
    </row>
    <row r="411" spans="2:13" ht="14.45" customHeight="1" x14ac:dyDescent="0.25">
      <c r="B411" s="17"/>
      <c r="C411" s="14"/>
      <c r="D411" s="14"/>
      <c r="E411" s="18"/>
      <c r="F411" s="61"/>
      <c r="G411" s="73"/>
      <c r="H411" s="79"/>
      <c r="I411" s="79"/>
      <c r="J411" s="14"/>
      <c r="K411" s="38"/>
      <c r="L411" s="38"/>
      <c r="M411" s="17"/>
    </row>
    <row r="412" spans="2:13" ht="14.45" customHeight="1" x14ac:dyDescent="0.25">
      <c r="B412" s="17"/>
      <c r="C412" s="14"/>
      <c r="D412" s="14"/>
      <c r="E412" s="18"/>
      <c r="F412" s="61"/>
      <c r="G412" s="73"/>
      <c r="H412" s="79"/>
      <c r="I412" s="79"/>
      <c r="J412" s="14"/>
      <c r="K412" s="38"/>
      <c r="L412" s="38"/>
      <c r="M412" s="17"/>
    </row>
    <row r="413" spans="2:13" ht="14.45" customHeight="1" x14ac:dyDescent="0.25">
      <c r="B413" s="17"/>
      <c r="C413" s="14"/>
      <c r="D413" s="14"/>
      <c r="E413" s="18"/>
      <c r="F413" s="61"/>
      <c r="G413" s="73"/>
      <c r="H413" s="79"/>
      <c r="I413" s="79"/>
      <c r="J413" s="14"/>
      <c r="K413" s="38"/>
      <c r="L413" s="38"/>
      <c r="M413" s="17"/>
    </row>
    <row r="414" spans="2:13" ht="14.45" customHeight="1" x14ac:dyDescent="0.25">
      <c r="B414" s="17"/>
      <c r="C414" s="14"/>
      <c r="D414" s="14"/>
      <c r="E414" s="18"/>
      <c r="F414" s="61"/>
      <c r="G414" s="73"/>
      <c r="H414" s="79"/>
      <c r="I414" s="79"/>
      <c r="J414" s="14"/>
      <c r="K414" s="38"/>
      <c r="L414" s="38"/>
      <c r="M414" s="17"/>
    </row>
    <row r="415" spans="2:13" ht="14.45" customHeight="1" x14ac:dyDescent="0.25">
      <c r="B415" s="17"/>
      <c r="C415" s="14"/>
      <c r="D415" s="14"/>
      <c r="E415" s="18"/>
      <c r="F415" s="61"/>
      <c r="G415" s="73"/>
      <c r="H415" s="79"/>
      <c r="I415" s="79"/>
      <c r="J415" s="14"/>
      <c r="K415" s="38"/>
      <c r="L415" s="38"/>
      <c r="M415" s="17"/>
    </row>
    <row r="416" spans="2:13" ht="14.45" customHeight="1" x14ac:dyDescent="0.25">
      <c r="B416" s="17"/>
      <c r="C416" s="14"/>
      <c r="D416" s="14"/>
      <c r="E416" s="18"/>
      <c r="F416" s="61"/>
      <c r="G416" s="73"/>
      <c r="H416" s="79"/>
      <c r="I416" s="79"/>
      <c r="J416" s="14"/>
      <c r="K416" s="38"/>
      <c r="L416" s="38"/>
      <c r="M416" s="17"/>
    </row>
    <row r="417" spans="2:13" ht="14.45" customHeight="1" x14ac:dyDescent="0.25">
      <c r="B417" s="17"/>
      <c r="C417" s="14"/>
      <c r="D417" s="14"/>
      <c r="E417" s="18"/>
      <c r="F417" s="61"/>
      <c r="G417" s="73"/>
      <c r="H417" s="79"/>
      <c r="I417" s="79"/>
      <c r="J417" s="14"/>
      <c r="K417" s="38"/>
      <c r="L417" s="38"/>
      <c r="M417" s="17"/>
    </row>
    <row r="418" spans="2:13" ht="14.45" customHeight="1" x14ac:dyDescent="0.25">
      <c r="B418" s="17"/>
      <c r="C418" s="14"/>
      <c r="D418" s="14"/>
      <c r="E418" s="18"/>
      <c r="F418" s="61"/>
      <c r="G418" s="73"/>
      <c r="H418" s="79"/>
      <c r="I418" s="79"/>
      <c r="J418" s="14"/>
      <c r="K418" s="38"/>
      <c r="L418" s="38"/>
      <c r="M418" s="17"/>
    </row>
    <row r="419" spans="2:13" ht="14.45" customHeight="1" x14ac:dyDescent="0.25">
      <c r="B419" s="17"/>
      <c r="C419" s="14"/>
      <c r="D419" s="14"/>
      <c r="E419" s="18"/>
      <c r="F419" s="61"/>
      <c r="G419" s="73"/>
      <c r="H419" s="79"/>
      <c r="I419" s="79"/>
      <c r="J419" s="14"/>
      <c r="K419" s="38"/>
      <c r="L419" s="38"/>
      <c r="M419" s="17"/>
    </row>
    <row r="420" spans="2:13" ht="14.45" customHeight="1" x14ac:dyDescent="0.25">
      <c r="B420" s="17"/>
      <c r="C420" s="14"/>
      <c r="D420" s="14"/>
      <c r="E420" s="18"/>
      <c r="F420" s="61"/>
      <c r="G420" s="73"/>
      <c r="H420" s="79"/>
      <c r="I420" s="79"/>
      <c r="J420" s="14"/>
      <c r="K420" s="38"/>
      <c r="L420" s="38"/>
      <c r="M420" s="17"/>
    </row>
    <row r="421" spans="2:13" ht="14.45" customHeight="1" x14ac:dyDescent="0.25">
      <c r="B421" s="17"/>
      <c r="C421" s="14"/>
      <c r="D421" s="14"/>
      <c r="E421" s="18"/>
      <c r="F421" s="61"/>
      <c r="G421" s="73"/>
      <c r="H421" s="79"/>
      <c r="I421" s="79"/>
      <c r="J421" s="14"/>
      <c r="K421" s="38"/>
      <c r="L421" s="38"/>
      <c r="M421" s="17"/>
    </row>
    <row r="422" spans="2:13" ht="14.45" customHeight="1" x14ac:dyDescent="0.25">
      <c r="B422" s="17"/>
      <c r="C422" s="14"/>
      <c r="D422" s="14"/>
      <c r="E422" s="18"/>
      <c r="F422" s="61"/>
      <c r="G422" s="73"/>
      <c r="H422" s="79"/>
      <c r="I422" s="79"/>
      <c r="J422" s="14"/>
      <c r="K422" s="38"/>
      <c r="L422" s="38"/>
      <c r="M422" s="17"/>
    </row>
    <row r="423" spans="2:13" ht="14.45" customHeight="1" x14ac:dyDescent="0.25">
      <c r="B423" s="17"/>
      <c r="C423" s="14"/>
      <c r="D423" s="14"/>
      <c r="E423" s="18"/>
      <c r="F423" s="61"/>
      <c r="G423" s="73"/>
      <c r="H423" s="79"/>
      <c r="I423" s="79"/>
      <c r="J423" s="14"/>
      <c r="K423" s="38"/>
      <c r="L423" s="38"/>
      <c r="M423" s="17"/>
    </row>
    <row r="424" spans="2:13" ht="14.45" customHeight="1" x14ac:dyDescent="0.25">
      <c r="B424" s="17"/>
      <c r="C424" s="14"/>
      <c r="D424" s="14"/>
      <c r="E424" s="18"/>
      <c r="F424" s="61"/>
      <c r="G424" s="73"/>
      <c r="H424" s="79"/>
      <c r="I424" s="79"/>
      <c r="J424" s="14"/>
      <c r="K424" s="38"/>
      <c r="L424" s="38"/>
      <c r="M424" s="17"/>
    </row>
    <row r="425" spans="2:13" ht="14.45" customHeight="1" x14ac:dyDescent="0.25">
      <c r="B425" s="17"/>
      <c r="C425" s="14"/>
      <c r="D425" s="14"/>
      <c r="E425" s="18"/>
      <c r="F425" s="61"/>
      <c r="G425" s="73"/>
      <c r="H425" s="79"/>
      <c r="I425" s="79"/>
      <c r="J425" s="14"/>
      <c r="K425" s="38"/>
      <c r="L425" s="38"/>
      <c r="M425" s="17"/>
    </row>
    <row r="426" spans="2:13" ht="14.45" customHeight="1" x14ac:dyDescent="0.25">
      <c r="B426" s="17"/>
      <c r="C426" s="14"/>
      <c r="D426" s="14"/>
      <c r="E426" s="18"/>
      <c r="F426" s="61"/>
      <c r="G426" s="73"/>
      <c r="H426" s="79"/>
      <c r="I426" s="79"/>
      <c r="J426" s="14"/>
      <c r="K426" s="38"/>
      <c r="L426" s="38"/>
      <c r="M426" s="17"/>
    </row>
    <row r="427" spans="2:13" ht="14.45" customHeight="1" x14ac:dyDescent="0.25">
      <c r="B427" s="17"/>
      <c r="C427" s="14"/>
      <c r="D427" s="14"/>
      <c r="E427" s="18"/>
      <c r="F427" s="61"/>
      <c r="G427" s="73"/>
      <c r="H427" s="79"/>
      <c r="I427" s="79"/>
      <c r="J427" s="14"/>
      <c r="K427" s="38"/>
      <c r="L427" s="38"/>
      <c r="M427" s="17"/>
    </row>
    <row r="428" spans="2:13" ht="14.45" customHeight="1" x14ac:dyDescent="0.25">
      <c r="B428" s="17"/>
      <c r="C428" s="14"/>
      <c r="D428" s="14"/>
      <c r="E428" s="18"/>
      <c r="F428" s="61"/>
      <c r="G428" s="73"/>
      <c r="H428" s="79"/>
      <c r="I428" s="79"/>
      <c r="J428" s="14"/>
      <c r="K428" s="38"/>
      <c r="L428" s="38"/>
      <c r="M428" s="17"/>
    </row>
    <row r="429" spans="2:13" ht="14.45" customHeight="1" x14ac:dyDescent="0.25">
      <c r="B429" s="17"/>
      <c r="C429" s="14"/>
      <c r="D429" s="14"/>
      <c r="E429" s="18"/>
      <c r="F429" s="61"/>
      <c r="G429" s="73"/>
      <c r="H429" s="79"/>
      <c r="I429" s="79"/>
      <c r="J429" s="14"/>
      <c r="K429" s="38"/>
      <c r="L429" s="38"/>
      <c r="M429" s="17"/>
    </row>
    <row r="430" spans="2:13" ht="14.45" customHeight="1" x14ac:dyDescent="0.25">
      <c r="B430" s="17"/>
      <c r="C430" s="14"/>
      <c r="D430" s="14"/>
      <c r="E430" s="18"/>
      <c r="F430" s="61"/>
      <c r="G430" s="73"/>
      <c r="H430" s="79"/>
      <c r="I430" s="79"/>
      <c r="J430" s="14"/>
      <c r="K430" s="38"/>
      <c r="L430" s="38"/>
      <c r="M430" s="17"/>
    </row>
    <row r="431" spans="2:13" ht="14.45" customHeight="1" x14ac:dyDescent="0.25">
      <c r="B431" s="17"/>
      <c r="C431" s="14"/>
      <c r="D431" s="14"/>
      <c r="E431" s="18"/>
      <c r="F431" s="61"/>
      <c r="G431" s="73"/>
      <c r="H431" s="79"/>
      <c r="I431" s="79"/>
      <c r="J431" s="14"/>
      <c r="K431" s="38"/>
      <c r="L431" s="38"/>
      <c r="M431" s="17"/>
    </row>
    <row r="432" spans="2:13" ht="14.45" customHeight="1" x14ac:dyDescent="0.25">
      <c r="B432" s="17"/>
      <c r="C432" s="14"/>
      <c r="D432" s="14"/>
      <c r="E432" s="18"/>
      <c r="F432" s="61"/>
      <c r="G432" s="73"/>
      <c r="H432" s="79"/>
      <c r="I432" s="79"/>
      <c r="J432" s="14"/>
      <c r="K432" s="38"/>
      <c r="L432" s="38"/>
      <c r="M432" s="17"/>
    </row>
    <row r="433" spans="2:13" ht="14.45" customHeight="1" x14ac:dyDescent="0.25">
      <c r="B433" s="17"/>
      <c r="C433" s="14"/>
      <c r="D433" s="14"/>
      <c r="E433" s="18"/>
      <c r="F433" s="61"/>
      <c r="G433" s="73"/>
      <c r="H433" s="79"/>
      <c r="I433" s="79"/>
      <c r="J433" s="14"/>
      <c r="K433" s="38"/>
      <c r="L433" s="38"/>
      <c r="M433" s="17"/>
    </row>
    <row r="434" spans="2:13" ht="14.45" customHeight="1" x14ac:dyDescent="0.25">
      <c r="B434" s="17"/>
      <c r="C434" s="14"/>
      <c r="D434" s="14"/>
      <c r="E434" s="18"/>
      <c r="F434" s="61"/>
      <c r="G434" s="73"/>
      <c r="H434" s="79"/>
      <c r="I434" s="79"/>
      <c r="J434" s="14"/>
      <c r="K434" s="38"/>
      <c r="L434" s="38"/>
      <c r="M434" s="17"/>
    </row>
    <row r="435" spans="2:13" ht="14.45" customHeight="1" x14ac:dyDescent="0.25">
      <c r="B435" s="17"/>
      <c r="C435" s="14"/>
      <c r="D435" s="14"/>
      <c r="E435" s="18"/>
      <c r="F435" s="61"/>
      <c r="G435" s="73"/>
      <c r="H435" s="79"/>
      <c r="I435" s="79"/>
      <c r="J435" s="14"/>
      <c r="K435" s="38"/>
      <c r="L435" s="38"/>
      <c r="M435" s="17"/>
    </row>
    <row r="436" spans="2:13" ht="14.45" customHeight="1" x14ac:dyDescent="0.25">
      <c r="B436" s="17"/>
      <c r="C436" s="14"/>
      <c r="D436" s="14"/>
      <c r="E436" s="18"/>
      <c r="F436" s="61"/>
      <c r="G436" s="73"/>
      <c r="H436" s="79"/>
      <c r="I436" s="79"/>
      <c r="J436" s="14"/>
      <c r="K436" s="38"/>
      <c r="L436" s="38"/>
      <c r="M436" s="17"/>
    </row>
    <row r="437" spans="2:13" ht="14.45" customHeight="1" x14ac:dyDescent="0.25">
      <c r="B437" s="17"/>
      <c r="C437" s="14"/>
      <c r="D437" s="14"/>
      <c r="E437" s="18"/>
      <c r="F437" s="61"/>
      <c r="G437" s="73"/>
      <c r="H437" s="79"/>
      <c r="I437" s="79"/>
      <c r="J437" s="14"/>
      <c r="K437" s="38"/>
      <c r="L437" s="38"/>
      <c r="M437" s="17"/>
    </row>
    <row r="438" spans="2:13" ht="14.45" customHeight="1" x14ac:dyDescent="0.25">
      <c r="B438" s="17"/>
      <c r="C438" s="14"/>
      <c r="D438" s="14"/>
      <c r="E438" s="18"/>
      <c r="F438" s="61"/>
      <c r="G438" s="73"/>
      <c r="H438" s="79"/>
      <c r="I438" s="79"/>
      <c r="J438" s="14"/>
      <c r="K438" s="38"/>
      <c r="L438" s="38"/>
      <c r="M438" s="17"/>
    </row>
    <row r="439" spans="2:13" ht="14.45" customHeight="1" x14ac:dyDescent="0.25">
      <c r="B439" s="17"/>
      <c r="C439" s="14"/>
      <c r="D439" s="14"/>
      <c r="E439" s="18"/>
      <c r="F439" s="61"/>
      <c r="G439" s="73"/>
      <c r="H439" s="79"/>
      <c r="I439" s="79"/>
      <c r="J439" s="14"/>
      <c r="K439" s="38"/>
      <c r="L439" s="38"/>
      <c r="M439" s="17"/>
    </row>
    <row r="440" spans="2:13" ht="14.45" customHeight="1" x14ac:dyDescent="0.25">
      <c r="B440" s="17"/>
      <c r="C440" s="14"/>
      <c r="D440" s="14"/>
      <c r="E440" s="18"/>
      <c r="F440" s="61"/>
      <c r="G440" s="73"/>
      <c r="H440" s="79"/>
      <c r="I440" s="79"/>
      <c r="J440" s="14"/>
      <c r="K440" s="38"/>
      <c r="L440" s="38"/>
      <c r="M440" s="17"/>
    </row>
    <row r="441" spans="2:13" ht="14.45" customHeight="1" x14ac:dyDescent="0.25">
      <c r="B441" s="17"/>
      <c r="C441" s="14"/>
      <c r="D441" s="14"/>
      <c r="E441" s="18"/>
      <c r="F441" s="61"/>
      <c r="G441" s="73"/>
      <c r="H441" s="79"/>
      <c r="I441" s="79"/>
      <c r="J441" s="14"/>
      <c r="K441" s="38"/>
      <c r="L441" s="38"/>
      <c r="M441" s="17"/>
    </row>
    <row r="442" spans="2:13" ht="14.45" customHeight="1" x14ac:dyDescent="0.25">
      <c r="B442" s="17"/>
      <c r="C442" s="14"/>
      <c r="D442" s="14"/>
      <c r="E442" s="18"/>
      <c r="F442" s="61"/>
      <c r="G442" s="73"/>
      <c r="H442" s="79"/>
      <c r="I442" s="79"/>
      <c r="J442" s="14"/>
      <c r="K442" s="38"/>
      <c r="L442" s="38"/>
      <c r="M442" s="17"/>
    </row>
    <row r="443" spans="2:13" ht="14.45" customHeight="1" x14ac:dyDescent="0.25">
      <c r="B443" s="17"/>
      <c r="C443" s="14"/>
      <c r="D443" s="14"/>
      <c r="E443" s="18"/>
      <c r="F443" s="61"/>
      <c r="G443" s="73"/>
      <c r="H443" s="79"/>
      <c r="I443" s="79"/>
      <c r="J443" s="14"/>
      <c r="K443" s="38"/>
      <c r="L443" s="38"/>
      <c r="M443" s="17"/>
    </row>
    <row r="444" spans="2:13" ht="14.45" customHeight="1" x14ac:dyDescent="0.25">
      <c r="B444" s="17"/>
      <c r="C444" s="14"/>
      <c r="D444" s="14"/>
      <c r="E444" s="18"/>
      <c r="F444" s="61"/>
      <c r="G444" s="73"/>
      <c r="H444" s="79"/>
      <c r="I444" s="79"/>
      <c r="J444" s="14"/>
      <c r="K444" s="38"/>
      <c r="L444" s="38"/>
      <c r="M444" s="17"/>
    </row>
    <row r="445" spans="2:13" ht="14.45" customHeight="1" x14ac:dyDescent="0.25">
      <c r="B445" s="17"/>
      <c r="C445" s="14"/>
      <c r="D445" s="14"/>
      <c r="E445" s="18"/>
      <c r="F445" s="61"/>
      <c r="G445" s="73"/>
      <c r="H445" s="79"/>
      <c r="I445" s="79"/>
      <c r="J445" s="14"/>
      <c r="K445" s="38"/>
      <c r="L445" s="38"/>
      <c r="M445" s="17"/>
    </row>
    <row r="446" spans="2:13" ht="14.45" customHeight="1" x14ac:dyDescent="0.25">
      <c r="B446" s="17"/>
      <c r="C446" s="14"/>
      <c r="D446" s="14"/>
      <c r="E446" s="18"/>
      <c r="F446" s="61"/>
      <c r="G446" s="73"/>
      <c r="H446" s="79"/>
      <c r="I446" s="79"/>
      <c r="J446" s="14"/>
      <c r="K446" s="38"/>
      <c r="L446" s="38"/>
      <c r="M446" s="17"/>
    </row>
    <row r="447" spans="2:13" ht="14.45" customHeight="1" x14ac:dyDescent="0.25">
      <c r="B447" s="17"/>
      <c r="C447" s="14"/>
      <c r="D447" s="14"/>
      <c r="E447" s="18"/>
      <c r="F447" s="61"/>
      <c r="G447" s="73"/>
      <c r="H447" s="79"/>
      <c r="I447" s="79"/>
      <c r="J447" s="14"/>
      <c r="K447" s="38"/>
      <c r="L447" s="38"/>
      <c r="M447" s="17"/>
    </row>
    <row r="448" spans="2:13" ht="14.45" customHeight="1" x14ac:dyDescent="0.25">
      <c r="B448" s="17"/>
      <c r="C448" s="14"/>
      <c r="D448" s="14"/>
      <c r="E448" s="18"/>
      <c r="F448" s="61"/>
      <c r="G448" s="73"/>
      <c r="H448" s="79"/>
      <c r="I448" s="79"/>
      <c r="J448" s="14"/>
      <c r="K448" s="38"/>
      <c r="L448" s="38"/>
      <c r="M448" s="17"/>
    </row>
    <row r="449" spans="2:13" ht="14.45" customHeight="1" x14ac:dyDescent="0.25">
      <c r="B449" s="17"/>
      <c r="C449" s="14"/>
      <c r="D449" s="14"/>
      <c r="E449" s="18"/>
      <c r="F449" s="61"/>
      <c r="G449" s="73"/>
      <c r="H449" s="79"/>
      <c r="I449" s="79"/>
      <c r="J449" s="14"/>
      <c r="K449" s="38"/>
      <c r="L449" s="38"/>
      <c r="M449" s="17"/>
    </row>
    <row r="450" spans="2:13" ht="14.45" customHeight="1" x14ac:dyDescent="0.25">
      <c r="B450" s="17"/>
      <c r="C450" s="14"/>
      <c r="D450" s="14"/>
      <c r="E450" s="18"/>
      <c r="F450" s="61"/>
      <c r="G450" s="73"/>
      <c r="H450" s="79"/>
      <c r="I450" s="79"/>
      <c r="J450" s="14"/>
      <c r="K450" s="38"/>
      <c r="L450" s="38"/>
      <c r="M450" s="17"/>
    </row>
    <row r="451" spans="2:13" ht="14.45" customHeight="1" x14ac:dyDescent="0.25">
      <c r="B451" s="17"/>
      <c r="C451" s="14"/>
      <c r="D451" s="14"/>
      <c r="E451" s="18"/>
      <c r="F451" s="61"/>
      <c r="G451" s="73"/>
      <c r="H451" s="79"/>
      <c r="I451" s="79"/>
      <c r="J451" s="14"/>
      <c r="K451" s="38"/>
      <c r="L451" s="38"/>
      <c r="M451" s="17"/>
    </row>
    <row r="452" spans="2:13" ht="14.45" customHeight="1" x14ac:dyDescent="0.25">
      <c r="B452" s="17"/>
      <c r="C452" s="14"/>
      <c r="D452" s="14"/>
      <c r="E452" s="18"/>
      <c r="F452" s="61"/>
      <c r="G452" s="73"/>
      <c r="H452" s="79"/>
      <c r="I452" s="79"/>
      <c r="J452" s="14"/>
      <c r="K452" s="38"/>
      <c r="L452" s="38"/>
      <c r="M452" s="17"/>
    </row>
    <row r="453" spans="2:13" ht="14.45" customHeight="1" x14ac:dyDescent="0.25">
      <c r="B453" s="17"/>
      <c r="C453" s="14"/>
      <c r="D453" s="14"/>
      <c r="E453" s="18"/>
      <c r="F453" s="61"/>
      <c r="G453" s="73"/>
      <c r="H453" s="79"/>
      <c r="I453" s="79"/>
      <c r="J453" s="14"/>
      <c r="K453" s="38"/>
      <c r="L453" s="38"/>
      <c r="M453" s="17"/>
    </row>
    <row r="454" spans="2:13" ht="14.45" customHeight="1" x14ac:dyDescent="0.25">
      <c r="B454" s="17"/>
      <c r="C454" s="14"/>
      <c r="D454" s="14"/>
      <c r="E454" s="18"/>
      <c r="F454" s="61"/>
      <c r="G454" s="73"/>
      <c r="H454" s="79"/>
      <c r="I454" s="79"/>
      <c r="J454" s="14"/>
      <c r="K454" s="38"/>
      <c r="L454" s="38"/>
      <c r="M454" s="17"/>
    </row>
    <row r="455" spans="2:13" ht="14.45" customHeight="1" x14ac:dyDescent="0.25">
      <c r="B455" s="17"/>
      <c r="C455" s="14"/>
      <c r="D455" s="14"/>
      <c r="E455" s="18"/>
      <c r="F455" s="61"/>
      <c r="G455" s="73"/>
      <c r="H455" s="79"/>
      <c r="I455" s="79"/>
      <c r="J455" s="14"/>
      <c r="K455" s="38"/>
      <c r="L455" s="38"/>
      <c r="M455" s="17"/>
    </row>
    <row r="456" spans="2:13" ht="14.45" customHeight="1" x14ac:dyDescent="0.25">
      <c r="B456" s="17"/>
      <c r="C456" s="14"/>
      <c r="D456" s="14"/>
      <c r="E456" s="18"/>
      <c r="F456" s="61"/>
      <c r="G456" s="73"/>
      <c r="H456" s="79"/>
      <c r="I456" s="79"/>
      <c r="J456" s="14"/>
      <c r="K456" s="38"/>
      <c r="L456" s="38"/>
      <c r="M456" s="17"/>
    </row>
    <row r="457" spans="2:13" ht="14.45" customHeight="1" x14ac:dyDescent="0.25">
      <c r="B457" s="17"/>
      <c r="C457" s="14"/>
      <c r="D457" s="14"/>
      <c r="E457" s="18"/>
      <c r="F457" s="61"/>
      <c r="G457" s="73"/>
      <c r="H457" s="79"/>
      <c r="I457" s="79"/>
      <c r="J457" s="14"/>
      <c r="K457" s="38"/>
      <c r="L457" s="38"/>
      <c r="M457" s="17"/>
    </row>
    <row r="458" spans="2:13" ht="14.45" customHeight="1" x14ac:dyDescent="0.25">
      <c r="B458" s="17"/>
      <c r="C458" s="14"/>
      <c r="D458" s="14"/>
      <c r="E458" s="18"/>
      <c r="F458" s="61"/>
      <c r="G458" s="73"/>
      <c r="H458" s="79"/>
      <c r="I458" s="79"/>
      <c r="J458" s="14"/>
      <c r="K458" s="38"/>
      <c r="L458" s="38"/>
      <c r="M458" s="17"/>
    </row>
    <row r="459" spans="2:13" ht="14.45" customHeight="1" x14ac:dyDescent="0.25">
      <c r="B459" s="17"/>
      <c r="C459" s="14"/>
      <c r="D459" s="14"/>
      <c r="E459" s="18"/>
      <c r="F459" s="61"/>
      <c r="G459" s="73"/>
      <c r="H459" s="79"/>
      <c r="I459" s="79"/>
      <c r="J459" s="14"/>
      <c r="K459" s="38"/>
      <c r="L459" s="38"/>
      <c r="M459" s="17"/>
    </row>
    <row r="460" spans="2:13" ht="14.45" customHeight="1" x14ac:dyDescent="0.25">
      <c r="B460" s="17"/>
      <c r="C460" s="14"/>
      <c r="D460" s="14"/>
      <c r="E460" s="18"/>
      <c r="F460" s="61"/>
      <c r="G460" s="73"/>
      <c r="H460" s="79"/>
      <c r="I460" s="79"/>
      <c r="J460" s="14"/>
      <c r="K460" s="38"/>
      <c r="L460" s="38"/>
      <c r="M460" s="17"/>
    </row>
    <row r="461" spans="2:13" ht="14.45" customHeight="1" x14ac:dyDescent="0.25">
      <c r="B461" s="17"/>
      <c r="C461" s="14"/>
      <c r="D461" s="14"/>
      <c r="E461" s="18"/>
      <c r="F461" s="61"/>
      <c r="G461" s="73"/>
      <c r="H461" s="79"/>
      <c r="I461" s="79"/>
      <c r="J461" s="14"/>
      <c r="K461" s="38"/>
      <c r="L461" s="38"/>
      <c r="M461" s="17"/>
    </row>
    <row r="462" spans="2:13" ht="14.45" customHeight="1" x14ac:dyDescent="0.25">
      <c r="B462" s="17"/>
      <c r="C462" s="14"/>
      <c r="D462" s="14"/>
      <c r="E462" s="18"/>
      <c r="F462" s="61"/>
      <c r="G462" s="73"/>
      <c r="H462" s="79"/>
      <c r="I462" s="79"/>
      <c r="J462" s="14"/>
      <c r="K462" s="38"/>
      <c r="L462" s="38"/>
      <c r="M462" s="17"/>
    </row>
    <row r="463" spans="2:13" ht="14.45" customHeight="1" x14ac:dyDescent="0.25">
      <c r="B463" s="17"/>
      <c r="C463" s="14"/>
      <c r="D463" s="14"/>
      <c r="E463" s="18"/>
      <c r="F463" s="61"/>
      <c r="G463" s="73"/>
      <c r="H463" s="79"/>
      <c r="I463" s="79"/>
      <c r="J463" s="14"/>
      <c r="K463" s="38"/>
      <c r="L463" s="38"/>
      <c r="M463" s="17"/>
    </row>
    <row r="464" spans="2:13" ht="14.45" customHeight="1" x14ac:dyDescent="0.25">
      <c r="B464" s="17"/>
      <c r="C464" s="14"/>
      <c r="D464" s="14"/>
      <c r="E464" s="18"/>
      <c r="F464" s="61"/>
      <c r="G464" s="73"/>
      <c r="H464" s="79"/>
      <c r="I464" s="79"/>
      <c r="J464" s="14"/>
      <c r="K464" s="38"/>
      <c r="L464" s="38"/>
      <c r="M464" s="17"/>
    </row>
    <row r="465" spans="2:13" ht="14.45" customHeight="1" x14ac:dyDescent="0.25">
      <c r="B465" s="17"/>
      <c r="C465" s="14"/>
      <c r="D465" s="14"/>
      <c r="E465" s="18"/>
      <c r="F465" s="61"/>
      <c r="G465" s="73"/>
      <c r="H465" s="79"/>
      <c r="I465" s="79"/>
      <c r="J465" s="14"/>
      <c r="K465" s="38"/>
      <c r="L465" s="38"/>
      <c r="M465" s="17"/>
    </row>
    <row r="466" spans="2:13" ht="14.45" customHeight="1" x14ac:dyDescent="0.25">
      <c r="B466" s="17"/>
      <c r="C466" s="14"/>
      <c r="D466" s="14"/>
      <c r="E466" s="18"/>
      <c r="F466" s="61"/>
      <c r="G466" s="73"/>
      <c r="H466" s="79"/>
      <c r="I466" s="79"/>
      <c r="J466" s="14"/>
      <c r="K466" s="38"/>
      <c r="L466" s="38"/>
      <c r="M466" s="17"/>
    </row>
    <row r="467" spans="2:13" ht="14.45" customHeight="1" x14ac:dyDescent="0.25">
      <c r="B467" s="17"/>
      <c r="C467" s="14"/>
      <c r="D467" s="14"/>
      <c r="E467" s="18"/>
      <c r="F467" s="61"/>
      <c r="G467" s="73"/>
      <c r="H467" s="79"/>
      <c r="I467" s="79"/>
      <c r="J467" s="14"/>
      <c r="K467" s="38"/>
      <c r="L467" s="38"/>
      <c r="M467" s="17"/>
    </row>
    <row r="468" spans="2:13" ht="14.45" customHeight="1" x14ac:dyDescent="0.25">
      <c r="B468" s="17"/>
      <c r="C468" s="14"/>
      <c r="D468" s="14"/>
      <c r="E468" s="18"/>
      <c r="F468" s="61"/>
      <c r="G468" s="73"/>
      <c r="H468" s="79"/>
      <c r="I468" s="79"/>
      <c r="J468" s="14"/>
      <c r="K468" s="38"/>
      <c r="L468" s="38"/>
      <c r="M468" s="17"/>
    </row>
    <row r="469" spans="2:13" ht="14.45" customHeight="1" x14ac:dyDescent="0.25">
      <c r="B469" s="17"/>
      <c r="C469" s="14"/>
      <c r="D469" s="14"/>
      <c r="E469" s="18"/>
      <c r="F469" s="61"/>
      <c r="G469" s="73"/>
      <c r="H469" s="79"/>
      <c r="I469" s="79"/>
      <c r="J469" s="14"/>
      <c r="K469" s="38"/>
      <c r="L469" s="38"/>
      <c r="M469" s="17"/>
    </row>
    <row r="470" spans="2:13" ht="14.45" customHeight="1" x14ac:dyDescent="0.25">
      <c r="B470" s="17"/>
      <c r="C470" s="14"/>
      <c r="D470" s="14"/>
      <c r="E470" s="18"/>
      <c r="F470" s="61"/>
      <c r="G470" s="73"/>
      <c r="H470" s="79"/>
      <c r="I470" s="79"/>
      <c r="J470" s="14"/>
      <c r="K470" s="38"/>
      <c r="L470" s="38"/>
      <c r="M470" s="17"/>
    </row>
    <row r="471" spans="2:13" ht="14.45" customHeight="1" x14ac:dyDescent="0.25">
      <c r="B471" s="17"/>
      <c r="C471" s="14"/>
      <c r="D471" s="14"/>
      <c r="E471" s="18"/>
      <c r="F471" s="61"/>
      <c r="G471" s="73"/>
      <c r="H471" s="79"/>
      <c r="I471" s="79"/>
      <c r="J471" s="14"/>
      <c r="K471" s="38"/>
      <c r="L471" s="38"/>
      <c r="M471" s="17"/>
    </row>
    <row r="472" spans="2:13" ht="14.45" customHeight="1" x14ac:dyDescent="0.25">
      <c r="B472" s="17"/>
      <c r="C472" s="14"/>
      <c r="D472" s="14"/>
      <c r="E472" s="18"/>
      <c r="F472" s="61"/>
      <c r="G472" s="73"/>
      <c r="H472" s="79"/>
      <c r="I472" s="79"/>
      <c r="J472" s="14"/>
      <c r="K472" s="38"/>
      <c r="L472" s="38"/>
      <c r="M472" s="17"/>
    </row>
    <row r="473" spans="2:13" ht="14.45" customHeight="1" x14ac:dyDescent="0.25">
      <c r="B473" s="17"/>
      <c r="C473" s="14"/>
      <c r="D473" s="14"/>
      <c r="E473" s="18"/>
      <c r="F473" s="61"/>
      <c r="G473" s="73"/>
      <c r="H473" s="79"/>
      <c r="I473" s="79"/>
      <c r="J473" s="14"/>
      <c r="K473" s="38"/>
      <c r="L473" s="38"/>
      <c r="M473" s="17"/>
    </row>
    <row r="474" spans="2:13" ht="14.45" customHeight="1" x14ac:dyDescent="0.25">
      <c r="B474" s="17"/>
      <c r="C474" s="14"/>
      <c r="D474" s="14"/>
      <c r="E474" s="18"/>
      <c r="F474" s="61"/>
      <c r="G474" s="73"/>
      <c r="H474" s="79"/>
      <c r="I474" s="79"/>
      <c r="J474" s="14"/>
      <c r="K474" s="38"/>
      <c r="L474" s="38"/>
      <c r="M474" s="17"/>
    </row>
    <row r="475" spans="2:13" ht="14.45" customHeight="1" x14ac:dyDescent="0.25">
      <c r="B475" s="17"/>
      <c r="C475" s="14"/>
      <c r="D475" s="14"/>
      <c r="E475" s="18"/>
      <c r="F475" s="61"/>
      <c r="G475" s="73"/>
      <c r="H475" s="79"/>
      <c r="I475" s="79"/>
      <c r="J475" s="14"/>
      <c r="K475" s="38"/>
      <c r="L475" s="38"/>
      <c r="M475" s="17"/>
    </row>
    <row r="476" spans="2:13" ht="14.45" customHeight="1" x14ac:dyDescent="0.25">
      <c r="B476" s="17"/>
      <c r="C476" s="14"/>
      <c r="D476" s="14"/>
      <c r="E476" s="18"/>
      <c r="F476" s="61"/>
      <c r="G476" s="73"/>
      <c r="H476" s="79"/>
      <c r="I476" s="79"/>
      <c r="J476" s="14"/>
      <c r="K476" s="38"/>
      <c r="L476" s="38"/>
      <c r="M476" s="17"/>
    </row>
    <row r="477" spans="2:13" ht="14.45" customHeight="1" x14ac:dyDescent="0.25">
      <c r="B477" s="17"/>
      <c r="C477" s="14"/>
      <c r="D477" s="14"/>
      <c r="E477" s="18"/>
      <c r="F477" s="61"/>
      <c r="G477" s="73"/>
      <c r="H477" s="79"/>
      <c r="I477" s="79"/>
      <c r="J477" s="14"/>
      <c r="K477" s="38"/>
      <c r="L477" s="38"/>
      <c r="M477" s="17"/>
    </row>
    <row r="478" spans="2:13" ht="14.45" customHeight="1" x14ac:dyDescent="0.25">
      <c r="B478" s="17"/>
      <c r="C478" s="14"/>
      <c r="D478" s="14"/>
      <c r="E478" s="18"/>
      <c r="F478" s="61"/>
      <c r="G478" s="73"/>
      <c r="H478" s="79"/>
      <c r="I478" s="79"/>
      <c r="J478" s="14"/>
      <c r="K478" s="38"/>
      <c r="L478" s="38"/>
      <c r="M478" s="17"/>
    </row>
    <row r="479" spans="2:13" ht="14.45" customHeight="1" x14ac:dyDescent="0.25">
      <c r="B479" s="17"/>
      <c r="C479" s="14"/>
      <c r="D479" s="14"/>
      <c r="E479" s="18"/>
      <c r="F479" s="61"/>
      <c r="G479" s="73"/>
      <c r="H479" s="79"/>
      <c r="I479" s="79"/>
      <c r="J479" s="14"/>
      <c r="K479" s="38"/>
      <c r="L479" s="38"/>
      <c r="M479" s="17"/>
    </row>
    <row r="480" spans="2:13" ht="14.45" customHeight="1" x14ac:dyDescent="0.25">
      <c r="B480" s="17"/>
      <c r="C480" s="14"/>
      <c r="D480" s="14"/>
      <c r="E480" s="18"/>
      <c r="F480" s="61"/>
      <c r="G480" s="73"/>
      <c r="H480" s="79"/>
      <c r="I480" s="79"/>
      <c r="J480" s="14"/>
      <c r="K480" s="38"/>
      <c r="L480" s="38"/>
      <c r="M480" s="17"/>
    </row>
    <row r="481" spans="2:13" ht="14.45" customHeight="1" x14ac:dyDescent="0.25">
      <c r="B481" s="17"/>
      <c r="C481" s="14"/>
      <c r="D481" s="14"/>
      <c r="E481" s="18"/>
      <c r="F481" s="61"/>
      <c r="G481" s="73"/>
      <c r="H481" s="79"/>
      <c r="I481" s="79"/>
      <c r="J481" s="14"/>
      <c r="K481" s="38"/>
      <c r="L481" s="38"/>
      <c r="M481" s="17"/>
    </row>
    <row r="482" spans="2:13" ht="14.45" customHeight="1" x14ac:dyDescent="0.25">
      <c r="B482" s="17"/>
      <c r="C482" s="14"/>
      <c r="D482" s="14"/>
      <c r="E482" s="18"/>
      <c r="F482" s="61"/>
      <c r="G482" s="73"/>
      <c r="H482" s="79"/>
      <c r="I482" s="79"/>
      <c r="J482" s="14"/>
      <c r="K482" s="38"/>
      <c r="L482" s="38"/>
      <c r="M482" s="17"/>
    </row>
    <row r="483" spans="2:13" ht="14.45" customHeight="1" x14ac:dyDescent="0.25">
      <c r="B483" s="17"/>
      <c r="C483" s="14"/>
      <c r="D483" s="14"/>
      <c r="E483" s="18"/>
      <c r="F483" s="61"/>
      <c r="G483" s="73"/>
      <c r="H483" s="79"/>
      <c r="I483" s="79"/>
      <c r="J483" s="14"/>
      <c r="K483" s="38"/>
      <c r="L483" s="38"/>
      <c r="M483" s="17"/>
    </row>
    <row r="484" spans="2:13" ht="14.45" customHeight="1" x14ac:dyDescent="0.25">
      <c r="B484" s="17"/>
      <c r="C484" s="14"/>
      <c r="D484" s="14"/>
      <c r="E484" s="18"/>
      <c r="F484" s="61"/>
      <c r="G484" s="73"/>
      <c r="H484" s="79"/>
      <c r="I484" s="79"/>
      <c r="J484" s="14"/>
      <c r="K484" s="38"/>
      <c r="L484" s="38"/>
      <c r="M484" s="17"/>
    </row>
    <row r="485" spans="2:13" ht="14.45" customHeight="1" x14ac:dyDescent="0.25">
      <c r="B485" s="17"/>
      <c r="C485" s="14"/>
      <c r="D485" s="14"/>
      <c r="E485" s="18"/>
      <c r="F485" s="61"/>
      <c r="G485" s="73"/>
      <c r="H485" s="79"/>
      <c r="I485" s="79"/>
      <c r="J485" s="14"/>
      <c r="K485" s="38"/>
      <c r="L485" s="38"/>
      <c r="M485" s="17"/>
    </row>
    <row r="486" spans="2:13" ht="14.45" customHeight="1" x14ac:dyDescent="0.25">
      <c r="B486" s="17"/>
      <c r="C486" s="14"/>
      <c r="D486" s="14"/>
      <c r="E486" s="18"/>
      <c r="F486" s="61"/>
      <c r="G486" s="73"/>
      <c r="H486" s="79"/>
      <c r="I486" s="79"/>
      <c r="J486" s="14"/>
      <c r="K486" s="38"/>
      <c r="L486" s="38"/>
      <c r="M486" s="17"/>
    </row>
    <row r="487" spans="2:13" ht="14.45" customHeight="1" x14ac:dyDescent="0.25">
      <c r="B487" s="17"/>
      <c r="C487" s="14"/>
      <c r="D487" s="14"/>
      <c r="E487" s="18"/>
      <c r="F487" s="61"/>
      <c r="G487" s="73"/>
      <c r="H487" s="79"/>
      <c r="I487" s="79"/>
      <c r="J487" s="14"/>
      <c r="K487" s="38"/>
      <c r="L487" s="38"/>
      <c r="M487" s="17"/>
    </row>
    <row r="488" spans="2:13" ht="14.45" customHeight="1" x14ac:dyDescent="0.25">
      <c r="B488" s="17"/>
      <c r="C488" s="14"/>
      <c r="D488" s="14"/>
      <c r="E488" s="18"/>
      <c r="F488" s="61"/>
      <c r="G488" s="73"/>
      <c r="H488" s="79"/>
      <c r="I488" s="79"/>
      <c r="J488" s="14"/>
      <c r="K488" s="38"/>
      <c r="L488" s="38"/>
      <c r="M488" s="17"/>
    </row>
    <row r="489" spans="2:13" ht="14.45" customHeight="1" x14ac:dyDescent="0.25">
      <c r="B489" s="17"/>
      <c r="C489" s="14"/>
      <c r="D489" s="14"/>
      <c r="E489" s="18"/>
      <c r="F489" s="61"/>
      <c r="G489" s="73"/>
      <c r="H489" s="79"/>
      <c r="I489" s="79"/>
      <c r="J489" s="14"/>
      <c r="K489" s="38"/>
      <c r="L489" s="38"/>
      <c r="M489" s="17"/>
    </row>
    <row r="490" spans="2:13" ht="14.45" customHeight="1" x14ac:dyDescent="0.25">
      <c r="B490" s="17"/>
      <c r="C490" s="14"/>
      <c r="D490" s="14"/>
      <c r="E490" s="18"/>
      <c r="F490" s="61"/>
      <c r="G490" s="73"/>
      <c r="H490" s="79"/>
      <c r="I490" s="79"/>
      <c r="J490" s="14"/>
      <c r="K490" s="38"/>
      <c r="L490" s="38"/>
      <c r="M490" s="17"/>
    </row>
    <row r="491" spans="2:13" ht="14.45" customHeight="1" x14ac:dyDescent="0.25">
      <c r="B491" s="17"/>
      <c r="C491" s="14"/>
      <c r="D491" s="14"/>
      <c r="E491" s="18"/>
      <c r="F491" s="61"/>
      <c r="G491" s="73"/>
      <c r="H491" s="79"/>
      <c r="I491" s="79"/>
      <c r="J491" s="14"/>
      <c r="K491" s="38"/>
      <c r="L491" s="38"/>
      <c r="M491" s="17"/>
    </row>
    <row r="492" spans="2:13" ht="14.45" customHeight="1" x14ac:dyDescent="0.25">
      <c r="B492" s="17"/>
      <c r="C492" s="14"/>
      <c r="D492" s="14"/>
      <c r="E492" s="18"/>
      <c r="F492" s="61"/>
      <c r="G492" s="73"/>
      <c r="H492" s="79"/>
      <c r="I492" s="79"/>
      <c r="J492" s="14"/>
      <c r="K492" s="38"/>
      <c r="L492" s="38"/>
      <c r="M492" s="17"/>
    </row>
    <row r="493" spans="2:13" ht="14.45" customHeight="1" x14ac:dyDescent="0.25">
      <c r="B493" s="17"/>
      <c r="C493" s="14"/>
      <c r="D493" s="14"/>
      <c r="E493" s="18"/>
      <c r="F493" s="61"/>
      <c r="G493" s="73"/>
      <c r="H493" s="79"/>
      <c r="I493" s="79"/>
      <c r="J493" s="14"/>
      <c r="K493" s="38"/>
      <c r="L493" s="38"/>
      <c r="M493" s="17"/>
    </row>
    <row r="494" spans="2:13" ht="14.45" customHeight="1" x14ac:dyDescent="0.25">
      <c r="B494" s="17"/>
      <c r="C494" s="14"/>
      <c r="D494" s="14"/>
      <c r="E494" s="18"/>
      <c r="F494" s="61"/>
      <c r="G494" s="73"/>
      <c r="H494" s="79"/>
      <c r="I494" s="79"/>
      <c r="J494" s="14"/>
      <c r="K494" s="38"/>
      <c r="L494" s="38"/>
      <c r="M494" s="17"/>
    </row>
    <row r="495" spans="2:13" ht="14.45" customHeight="1" x14ac:dyDescent="0.25">
      <c r="B495" s="17"/>
      <c r="C495" s="14"/>
      <c r="D495" s="14"/>
      <c r="E495" s="18"/>
      <c r="F495" s="61"/>
      <c r="G495" s="73"/>
      <c r="H495" s="79"/>
      <c r="I495" s="79"/>
      <c r="J495" s="14"/>
      <c r="K495" s="38"/>
      <c r="L495" s="38"/>
      <c r="M495" s="17"/>
    </row>
    <row r="496" spans="2:13" ht="14.45" customHeight="1" x14ac:dyDescent="0.25">
      <c r="B496" s="17"/>
      <c r="C496" s="14"/>
      <c r="D496" s="14"/>
      <c r="E496" s="18"/>
      <c r="F496" s="61"/>
      <c r="G496" s="73"/>
      <c r="H496" s="79"/>
      <c r="I496" s="79"/>
      <c r="J496" s="14"/>
      <c r="K496" s="38"/>
      <c r="L496" s="38"/>
      <c r="M496" s="17"/>
    </row>
    <row r="497" spans="2:13" ht="14.45" customHeight="1" x14ac:dyDescent="0.25">
      <c r="B497" s="17"/>
      <c r="C497" s="14"/>
      <c r="D497" s="14"/>
      <c r="E497" s="18"/>
      <c r="F497" s="61"/>
      <c r="G497" s="73"/>
      <c r="H497" s="79"/>
      <c r="I497" s="79"/>
      <c r="J497" s="14"/>
      <c r="K497" s="38"/>
      <c r="L497" s="38"/>
      <c r="M497" s="17"/>
    </row>
    <row r="498" spans="2:13" ht="14.45" customHeight="1" x14ac:dyDescent="0.25">
      <c r="B498" s="17"/>
      <c r="C498" s="14"/>
      <c r="D498" s="14"/>
      <c r="E498" s="18"/>
      <c r="F498" s="61"/>
      <c r="G498" s="73"/>
      <c r="H498" s="79"/>
      <c r="I498" s="79"/>
      <c r="J498" s="14"/>
      <c r="K498" s="38"/>
      <c r="L498" s="38"/>
      <c r="M498" s="17"/>
    </row>
    <row r="499" spans="2:13" ht="14.45" customHeight="1" x14ac:dyDescent="0.25">
      <c r="B499" s="17"/>
      <c r="C499" s="14"/>
      <c r="D499" s="14"/>
      <c r="E499" s="18"/>
      <c r="F499" s="61"/>
      <c r="G499" s="73"/>
      <c r="H499" s="79"/>
      <c r="I499" s="79"/>
      <c r="J499" s="14"/>
      <c r="K499" s="38"/>
      <c r="L499" s="38"/>
      <c r="M499" s="17"/>
    </row>
    <row r="500" spans="2:13" ht="14.45" customHeight="1" x14ac:dyDescent="0.25">
      <c r="B500" s="17"/>
      <c r="C500" s="14"/>
      <c r="D500" s="14"/>
      <c r="E500" s="18"/>
      <c r="F500" s="61"/>
      <c r="G500" s="73"/>
      <c r="H500" s="79"/>
      <c r="I500" s="79"/>
      <c r="J500" s="14"/>
      <c r="K500" s="38"/>
      <c r="L500" s="38"/>
      <c r="M500" s="17"/>
    </row>
    <row r="501" spans="2:13" ht="14.45" customHeight="1" x14ac:dyDescent="0.25">
      <c r="B501" s="17"/>
      <c r="C501" s="14"/>
      <c r="D501" s="14"/>
      <c r="E501" s="18"/>
      <c r="F501" s="61"/>
      <c r="G501" s="73"/>
      <c r="H501" s="79"/>
      <c r="I501" s="79"/>
      <c r="J501" s="14"/>
      <c r="K501" s="38"/>
      <c r="L501" s="38"/>
      <c r="M501" s="17"/>
    </row>
    <row r="502" spans="2:13" ht="14.45" customHeight="1" x14ac:dyDescent="0.25">
      <c r="B502" s="17"/>
      <c r="C502" s="14"/>
      <c r="D502" s="14"/>
      <c r="E502" s="18"/>
      <c r="F502" s="61"/>
      <c r="G502" s="73"/>
      <c r="H502" s="79"/>
      <c r="I502" s="79"/>
      <c r="J502" s="14"/>
      <c r="K502" s="38"/>
      <c r="L502" s="38"/>
      <c r="M502" s="17"/>
    </row>
    <row r="503" spans="2:13" ht="14.45" customHeight="1" x14ac:dyDescent="0.25">
      <c r="B503" s="17"/>
      <c r="C503" s="14"/>
      <c r="D503" s="14"/>
      <c r="E503" s="18"/>
      <c r="F503" s="61"/>
      <c r="G503" s="73"/>
      <c r="H503" s="79"/>
      <c r="I503" s="79"/>
      <c r="J503" s="14"/>
      <c r="K503" s="38"/>
      <c r="L503" s="38"/>
      <c r="M503" s="17"/>
    </row>
    <row r="504" spans="2:13" ht="14.45" customHeight="1" x14ac:dyDescent="0.25">
      <c r="B504" s="17"/>
      <c r="C504" s="14"/>
      <c r="D504" s="14"/>
      <c r="E504" s="18"/>
      <c r="F504" s="61"/>
      <c r="G504" s="73"/>
      <c r="H504" s="79"/>
      <c r="I504" s="79"/>
      <c r="J504" s="14"/>
      <c r="K504" s="38"/>
      <c r="L504" s="38"/>
      <c r="M504" s="17"/>
    </row>
    <row r="505" spans="2:13" ht="14.45" customHeight="1" x14ac:dyDescent="0.25">
      <c r="B505" s="17"/>
      <c r="C505" s="14"/>
      <c r="D505" s="14"/>
      <c r="E505" s="18"/>
      <c r="F505" s="61"/>
      <c r="G505" s="73"/>
      <c r="H505" s="79"/>
      <c r="I505" s="79"/>
      <c r="J505" s="14"/>
      <c r="K505" s="38"/>
      <c r="L505" s="38"/>
      <c r="M505" s="17"/>
    </row>
    <row r="506" spans="2:13" ht="14.45" customHeight="1" x14ac:dyDescent="0.25">
      <c r="B506" s="17"/>
      <c r="C506" s="14"/>
      <c r="D506" s="14"/>
      <c r="E506" s="18"/>
      <c r="F506" s="61"/>
      <c r="G506" s="73"/>
      <c r="H506" s="79"/>
      <c r="I506" s="79"/>
      <c r="J506" s="14"/>
      <c r="K506" s="38"/>
      <c r="L506" s="38"/>
      <c r="M506" s="17"/>
    </row>
    <row r="507" spans="2:13" ht="14.45" customHeight="1" x14ac:dyDescent="0.25">
      <c r="B507" s="17"/>
      <c r="C507" s="14"/>
      <c r="D507" s="14"/>
      <c r="E507" s="18"/>
      <c r="F507" s="61"/>
      <c r="G507" s="73"/>
      <c r="H507" s="79"/>
      <c r="I507" s="79"/>
      <c r="J507" s="14"/>
      <c r="K507" s="38"/>
      <c r="L507" s="38"/>
      <c r="M507" s="17"/>
    </row>
    <row r="508" spans="2:13" ht="14.45" customHeight="1" x14ac:dyDescent="0.25">
      <c r="B508" s="17"/>
      <c r="C508" s="14"/>
      <c r="D508" s="14"/>
      <c r="E508" s="18"/>
      <c r="F508" s="61"/>
      <c r="G508" s="73"/>
      <c r="H508" s="79"/>
      <c r="I508" s="79"/>
      <c r="J508" s="14"/>
      <c r="K508" s="38"/>
      <c r="L508" s="38"/>
      <c r="M508" s="17"/>
    </row>
    <row r="509" spans="2:13" ht="14.45" customHeight="1" x14ac:dyDescent="0.25">
      <c r="B509" s="17"/>
      <c r="C509" s="14"/>
      <c r="D509" s="14"/>
      <c r="E509" s="18"/>
      <c r="F509" s="61"/>
      <c r="G509" s="73"/>
      <c r="H509" s="79"/>
      <c r="I509" s="79"/>
      <c r="J509" s="14"/>
      <c r="K509" s="38"/>
      <c r="L509" s="38"/>
      <c r="M509" s="17"/>
    </row>
    <row r="510" spans="2:13" ht="14.45" customHeight="1" x14ac:dyDescent="0.25">
      <c r="B510" s="17"/>
      <c r="C510" s="14"/>
      <c r="D510" s="14"/>
      <c r="E510" s="18"/>
      <c r="F510" s="61"/>
      <c r="G510" s="73"/>
      <c r="H510" s="79"/>
      <c r="I510" s="79"/>
      <c r="J510" s="14"/>
      <c r="K510" s="38"/>
      <c r="L510" s="38"/>
      <c r="M510" s="17"/>
    </row>
    <row r="511" spans="2:13" ht="14.45" customHeight="1" x14ac:dyDescent="0.25">
      <c r="B511" s="17"/>
      <c r="C511" s="14"/>
      <c r="D511" s="14"/>
      <c r="E511" s="18"/>
      <c r="F511" s="61"/>
      <c r="G511" s="73"/>
      <c r="H511" s="79"/>
      <c r="I511" s="79"/>
      <c r="J511" s="14"/>
      <c r="K511" s="38"/>
      <c r="L511" s="38"/>
      <c r="M511" s="17"/>
    </row>
    <row r="512" spans="2:13" ht="14.45" customHeight="1" x14ac:dyDescent="0.25">
      <c r="B512" s="17"/>
      <c r="C512" s="14"/>
      <c r="D512" s="14"/>
      <c r="E512" s="18"/>
      <c r="F512" s="61"/>
      <c r="G512" s="73"/>
      <c r="H512" s="79"/>
      <c r="I512" s="79"/>
      <c r="J512" s="14"/>
      <c r="K512" s="38"/>
      <c r="L512" s="38"/>
      <c r="M512" s="17"/>
    </row>
    <row r="513" spans="2:13" ht="14.45" customHeight="1" x14ac:dyDescent="0.25">
      <c r="B513" s="17"/>
      <c r="C513" s="14"/>
      <c r="D513" s="14"/>
      <c r="E513" s="18"/>
      <c r="F513" s="61"/>
      <c r="G513" s="73"/>
      <c r="H513" s="79"/>
      <c r="I513" s="79"/>
      <c r="J513" s="14"/>
      <c r="K513" s="38"/>
      <c r="L513" s="38"/>
      <c r="M513" s="17"/>
    </row>
    <row r="514" spans="2:13" ht="14.45" customHeight="1" x14ac:dyDescent="0.25">
      <c r="B514" s="17"/>
      <c r="C514" s="14"/>
      <c r="D514" s="14"/>
      <c r="E514" s="18"/>
      <c r="F514" s="61"/>
      <c r="G514" s="73"/>
      <c r="H514" s="79"/>
      <c r="I514" s="79"/>
      <c r="J514" s="14"/>
      <c r="K514" s="38"/>
      <c r="L514" s="38"/>
      <c r="M514" s="17"/>
    </row>
    <row r="515" spans="2:13" ht="14.45" customHeight="1" x14ac:dyDescent="0.25">
      <c r="B515" s="17"/>
      <c r="C515" s="14"/>
      <c r="D515" s="14"/>
      <c r="E515" s="18"/>
      <c r="F515" s="61"/>
      <c r="G515" s="73"/>
      <c r="H515" s="79"/>
      <c r="I515" s="79"/>
      <c r="J515" s="14"/>
      <c r="K515" s="38"/>
      <c r="L515" s="38"/>
      <c r="M515" s="17"/>
    </row>
    <row r="516" spans="2:13" ht="14.45" customHeight="1" x14ac:dyDescent="0.25">
      <c r="B516" s="17"/>
      <c r="C516" s="14"/>
      <c r="D516" s="14"/>
      <c r="E516" s="18"/>
      <c r="F516" s="61"/>
      <c r="G516" s="73"/>
      <c r="H516" s="79"/>
      <c r="I516" s="79"/>
      <c r="J516" s="14"/>
      <c r="K516" s="38"/>
      <c r="L516" s="38"/>
      <c r="M516" s="17"/>
    </row>
    <row r="517" spans="2:13" ht="14.45" customHeight="1" x14ac:dyDescent="0.25">
      <c r="B517" s="17"/>
      <c r="C517" s="14"/>
      <c r="D517" s="14"/>
      <c r="E517" s="18"/>
      <c r="F517" s="61"/>
      <c r="G517" s="73"/>
      <c r="H517" s="79"/>
      <c r="I517" s="79"/>
      <c r="J517" s="14"/>
      <c r="K517" s="38"/>
      <c r="L517" s="38"/>
      <c r="M517" s="17"/>
    </row>
    <row r="518" spans="2:13" ht="14.45" customHeight="1" x14ac:dyDescent="0.25">
      <c r="B518" s="17"/>
      <c r="C518" s="14"/>
      <c r="D518" s="14"/>
      <c r="E518" s="18"/>
      <c r="F518" s="61"/>
      <c r="G518" s="73"/>
      <c r="H518" s="79"/>
      <c r="I518" s="79"/>
      <c r="J518" s="14"/>
      <c r="K518" s="38"/>
      <c r="L518" s="38"/>
      <c r="M518" s="17"/>
    </row>
    <row r="519" spans="2:13" ht="14.45" customHeight="1" x14ac:dyDescent="0.25">
      <c r="B519" s="17"/>
      <c r="C519" s="14"/>
      <c r="D519" s="14"/>
      <c r="E519" s="18"/>
      <c r="F519" s="61"/>
      <c r="G519" s="73"/>
      <c r="H519" s="79"/>
      <c r="I519" s="79"/>
      <c r="J519" s="14"/>
      <c r="K519" s="38"/>
      <c r="L519" s="38"/>
      <c r="M519" s="17"/>
    </row>
    <row r="520" spans="2:13" ht="14.45" customHeight="1" x14ac:dyDescent="0.25">
      <c r="B520" s="17"/>
      <c r="C520" s="14"/>
      <c r="D520" s="14"/>
      <c r="E520" s="18"/>
      <c r="F520" s="61"/>
      <c r="G520" s="73"/>
      <c r="H520" s="79"/>
      <c r="I520" s="79"/>
      <c r="J520" s="14"/>
      <c r="K520" s="38"/>
      <c r="L520" s="38"/>
      <c r="M520" s="17"/>
    </row>
    <row r="521" spans="2:13" ht="14.45" customHeight="1" x14ac:dyDescent="0.25">
      <c r="B521" s="17"/>
      <c r="C521" s="14"/>
      <c r="D521" s="14"/>
      <c r="E521" s="18"/>
      <c r="F521" s="61"/>
      <c r="G521" s="73"/>
      <c r="H521" s="79"/>
      <c r="I521" s="79"/>
      <c r="J521" s="14"/>
      <c r="K521" s="38"/>
      <c r="L521" s="38"/>
      <c r="M521" s="17"/>
    </row>
    <row r="522" spans="2:13" ht="14.45" customHeight="1" x14ac:dyDescent="0.25">
      <c r="B522" s="17"/>
      <c r="C522" s="14"/>
      <c r="D522" s="14"/>
      <c r="E522" s="18"/>
      <c r="F522" s="61"/>
      <c r="G522" s="73"/>
      <c r="H522" s="79"/>
      <c r="I522" s="79"/>
      <c r="J522" s="14"/>
      <c r="K522" s="38"/>
      <c r="L522" s="38"/>
      <c r="M522" s="17"/>
    </row>
    <row r="523" spans="2:13" ht="14.45" customHeight="1" x14ac:dyDescent="0.25">
      <c r="B523" s="17"/>
      <c r="C523" s="14"/>
      <c r="D523" s="14"/>
      <c r="E523" s="18"/>
      <c r="F523" s="61"/>
      <c r="G523" s="73"/>
      <c r="H523" s="79"/>
      <c r="I523" s="79"/>
      <c r="J523" s="14"/>
      <c r="K523" s="38"/>
      <c r="L523" s="38"/>
      <c r="M523" s="17"/>
    </row>
    <row r="524" spans="2:13" ht="14.45" customHeight="1" x14ac:dyDescent="0.25">
      <c r="B524" s="17"/>
      <c r="C524" s="14"/>
      <c r="D524" s="14"/>
      <c r="E524" s="18"/>
      <c r="F524" s="61"/>
      <c r="G524" s="73"/>
      <c r="H524" s="79"/>
      <c r="I524" s="79"/>
      <c r="J524" s="14"/>
      <c r="K524" s="38"/>
      <c r="L524" s="38"/>
      <c r="M524" s="17"/>
    </row>
    <row r="525" spans="2:13" ht="14.45" customHeight="1" x14ac:dyDescent="0.25">
      <c r="B525" s="17"/>
      <c r="C525" s="14"/>
      <c r="D525" s="14"/>
      <c r="E525" s="18"/>
      <c r="F525" s="61"/>
      <c r="G525" s="73"/>
      <c r="H525" s="79"/>
      <c r="I525" s="79"/>
      <c r="J525" s="14"/>
      <c r="K525" s="38"/>
      <c r="L525" s="38"/>
      <c r="M525" s="17"/>
    </row>
    <row r="526" spans="2:13" ht="14.45" customHeight="1" x14ac:dyDescent="0.25">
      <c r="B526" s="17"/>
      <c r="C526" s="14"/>
      <c r="D526" s="14"/>
      <c r="E526" s="18"/>
      <c r="F526" s="61"/>
      <c r="G526" s="73"/>
      <c r="H526" s="79"/>
      <c r="I526" s="79"/>
      <c r="J526" s="14"/>
      <c r="K526" s="38"/>
      <c r="L526" s="38"/>
      <c r="M526" s="17"/>
    </row>
    <row r="527" spans="2:13" ht="14.45" customHeight="1" x14ac:dyDescent="0.25">
      <c r="B527" s="17"/>
      <c r="C527" s="14"/>
      <c r="D527" s="14"/>
      <c r="E527" s="18"/>
      <c r="F527" s="61"/>
      <c r="G527" s="73"/>
      <c r="H527" s="79"/>
      <c r="I527" s="79"/>
      <c r="J527" s="14"/>
      <c r="K527" s="38"/>
      <c r="L527" s="38"/>
      <c r="M527" s="17"/>
    </row>
    <row r="528" spans="2:13" ht="14.45" customHeight="1" x14ac:dyDescent="0.25">
      <c r="B528" s="17"/>
      <c r="C528" s="14"/>
      <c r="D528" s="14"/>
      <c r="E528" s="18"/>
      <c r="F528" s="61"/>
      <c r="G528" s="73"/>
      <c r="H528" s="79"/>
      <c r="I528" s="79"/>
      <c r="J528" s="14"/>
      <c r="K528" s="38"/>
      <c r="L528" s="38"/>
      <c r="M528" s="17"/>
    </row>
    <row r="529" spans="2:13" ht="14.45" customHeight="1" x14ac:dyDescent="0.25">
      <c r="B529" s="17"/>
      <c r="C529" s="14"/>
      <c r="D529" s="14"/>
      <c r="E529" s="18"/>
      <c r="F529" s="61"/>
      <c r="G529" s="73"/>
      <c r="H529" s="79"/>
      <c r="I529" s="79"/>
      <c r="J529" s="14"/>
      <c r="K529" s="38"/>
      <c r="L529" s="38"/>
      <c r="M529" s="17"/>
    </row>
    <row r="530" spans="2:13" ht="14.45" customHeight="1" x14ac:dyDescent="0.25">
      <c r="B530" s="17"/>
      <c r="C530" s="14"/>
      <c r="D530" s="14"/>
      <c r="E530" s="18"/>
      <c r="F530" s="61"/>
      <c r="G530" s="73"/>
      <c r="H530" s="79"/>
      <c r="I530" s="79"/>
      <c r="J530" s="14"/>
      <c r="K530" s="38"/>
      <c r="L530" s="38"/>
      <c r="M530" s="17"/>
    </row>
    <row r="531" spans="2:13" ht="14.45" customHeight="1" x14ac:dyDescent="0.25">
      <c r="B531" s="17"/>
      <c r="C531" s="14"/>
      <c r="D531" s="14"/>
      <c r="E531" s="18"/>
      <c r="F531" s="61"/>
      <c r="G531" s="73"/>
      <c r="H531" s="79"/>
      <c r="I531" s="79"/>
      <c r="J531" s="14"/>
      <c r="K531" s="38"/>
      <c r="L531" s="38"/>
      <c r="M531" s="17"/>
    </row>
    <row r="532" spans="2:13" ht="14.45" customHeight="1" x14ac:dyDescent="0.25">
      <c r="B532" s="17"/>
      <c r="C532" s="14"/>
      <c r="D532" s="14"/>
      <c r="E532" s="18"/>
      <c r="F532" s="61"/>
      <c r="G532" s="73"/>
      <c r="H532" s="79"/>
      <c r="I532" s="79"/>
      <c r="J532" s="14"/>
      <c r="K532" s="38"/>
      <c r="L532" s="38"/>
      <c r="M532" s="17"/>
    </row>
    <row r="533" spans="2:13" ht="14.45" customHeight="1" x14ac:dyDescent="0.25">
      <c r="B533" s="17"/>
      <c r="C533" s="14"/>
      <c r="D533" s="14"/>
      <c r="E533" s="18"/>
      <c r="F533" s="61"/>
      <c r="G533" s="73"/>
      <c r="H533" s="79"/>
      <c r="I533" s="79"/>
      <c r="J533" s="14"/>
      <c r="K533" s="38"/>
      <c r="L533" s="38"/>
      <c r="M533" s="17"/>
    </row>
    <row r="534" spans="2:13" ht="14.45" customHeight="1" x14ac:dyDescent="0.25">
      <c r="B534" s="17"/>
      <c r="C534" s="14"/>
      <c r="D534" s="14"/>
      <c r="E534" s="18"/>
      <c r="F534" s="61"/>
      <c r="G534" s="73"/>
      <c r="H534" s="79"/>
      <c r="I534" s="79"/>
      <c r="J534" s="14"/>
      <c r="K534" s="38"/>
      <c r="L534" s="38"/>
      <c r="M534" s="17"/>
    </row>
    <row r="535" spans="2:13" ht="14.45" customHeight="1" x14ac:dyDescent="0.25">
      <c r="B535" s="17"/>
      <c r="C535" s="14"/>
      <c r="D535" s="14"/>
      <c r="E535" s="18"/>
      <c r="F535" s="61"/>
      <c r="G535" s="73"/>
      <c r="H535" s="79"/>
      <c r="I535" s="79"/>
      <c r="J535" s="14"/>
      <c r="K535" s="38"/>
      <c r="L535" s="38"/>
      <c r="M535" s="17"/>
    </row>
    <row r="536" spans="2:13" ht="14.45" customHeight="1" x14ac:dyDescent="0.25">
      <c r="B536" s="17"/>
      <c r="C536" s="14"/>
      <c r="D536" s="14"/>
      <c r="E536" s="18"/>
      <c r="F536" s="61"/>
      <c r="G536" s="73"/>
      <c r="H536" s="79"/>
      <c r="I536" s="79"/>
      <c r="J536" s="14"/>
      <c r="K536" s="38"/>
      <c r="L536" s="38"/>
      <c r="M536" s="17"/>
    </row>
    <row r="537" spans="2:13" ht="14.45" customHeight="1" x14ac:dyDescent="0.25">
      <c r="B537" s="17"/>
      <c r="C537" s="14"/>
      <c r="D537" s="14"/>
      <c r="E537" s="18"/>
      <c r="F537" s="61"/>
      <c r="G537" s="73"/>
      <c r="H537" s="79"/>
      <c r="I537" s="79"/>
      <c r="J537" s="14"/>
      <c r="K537" s="38"/>
      <c r="L537" s="38"/>
      <c r="M537" s="17"/>
    </row>
    <row r="538" spans="2:13" ht="14.45" customHeight="1" x14ac:dyDescent="0.25">
      <c r="B538" s="17"/>
      <c r="C538" s="14"/>
      <c r="D538" s="14"/>
      <c r="E538" s="18"/>
      <c r="F538" s="61"/>
      <c r="G538" s="73"/>
      <c r="H538" s="79"/>
      <c r="I538" s="79"/>
      <c r="J538" s="14"/>
      <c r="K538" s="38"/>
      <c r="L538" s="38"/>
      <c r="M538" s="17"/>
    </row>
    <row r="539" spans="2:13" ht="14.45" customHeight="1" x14ac:dyDescent="0.25">
      <c r="B539" s="17"/>
      <c r="C539" s="14"/>
      <c r="D539" s="14"/>
      <c r="E539" s="18"/>
      <c r="F539" s="61"/>
      <c r="G539" s="73"/>
      <c r="H539" s="79"/>
      <c r="I539" s="79"/>
      <c r="J539" s="14"/>
      <c r="K539" s="38"/>
      <c r="L539" s="38"/>
      <c r="M539" s="17"/>
    </row>
    <row r="540" spans="2:13" ht="14.45" customHeight="1" x14ac:dyDescent="0.25">
      <c r="B540" s="17"/>
      <c r="C540" s="14"/>
      <c r="D540" s="14"/>
      <c r="E540" s="18"/>
      <c r="F540" s="61"/>
      <c r="G540" s="73"/>
      <c r="H540" s="79"/>
      <c r="I540" s="79"/>
      <c r="J540" s="14"/>
      <c r="K540" s="38"/>
      <c r="L540" s="38"/>
      <c r="M540" s="17"/>
    </row>
    <row r="541" spans="2:13" ht="14.45" customHeight="1" x14ac:dyDescent="0.25">
      <c r="B541" s="17"/>
      <c r="C541" s="14"/>
      <c r="D541" s="14"/>
      <c r="E541" s="18"/>
      <c r="F541" s="61"/>
      <c r="G541" s="73"/>
      <c r="H541" s="79"/>
      <c r="I541" s="79"/>
      <c r="J541" s="14"/>
      <c r="K541" s="38"/>
      <c r="L541" s="38"/>
      <c r="M541" s="17"/>
    </row>
    <row r="542" spans="2:13" ht="14.45" customHeight="1" x14ac:dyDescent="0.25">
      <c r="B542" s="17"/>
      <c r="C542" s="14"/>
      <c r="D542" s="14"/>
      <c r="E542" s="18"/>
      <c r="F542" s="61"/>
      <c r="G542" s="73"/>
      <c r="H542" s="79"/>
      <c r="I542" s="79"/>
      <c r="J542" s="14"/>
      <c r="K542" s="38"/>
      <c r="L542" s="38"/>
      <c r="M542" s="17"/>
    </row>
    <row r="543" spans="2:13" ht="14.45" customHeight="1" x14ac:dyDescent="0.25">
      <c r="B543" s="17"/>
      <c r="C543" s="14"/>
      <c r="D543" s="14"/>
      <c r="E543" s="18"/>
      <c r="F543" s="61"/>
      <c r="G543" s="73"/>
      <c r="H543" s="79"/>
      <c r="I543" s="79"/>
      <c r="J543" s="14"/>
      <c r="K543" s="38"/>
      <c r="L543" s="38"/>
      <c r="M543" s="17"/>
    </row>
    <row r="544" spans="2:13" ht="14.45" customHeight="1" x14ac:dyDescent="0.25">
      <c r="B544" s="17"/>
      <c r="C544" s="14"/>
      <c r="D544" s="14"/>
      <c r="E544" s="18"/>
      <c r="F544" s="61"/>
      <c r="G544" s="73"/>
      <c r="H544" s="79"/>
      <c r="I544" s="79"/>
      <c r="J544" s="14"/>
      <c r="K544" s="38"/>
      <c r="L544" s="38"/>
      <c r="M544" s="17"/>
    </row>
    <row r="545" spans="2:13" ht="14.45" customHeight="1" x14ac:dyDescent="0.25">
      <c r="B545" s="17"/>
      <c r="C545" s="14"/>
      <c r="D545" s="14"/>
      <c r="E545" s="18"/>
      <c r="F545" s="61"/>
      <c r="G545" s="73"/>
      <c r="H545" s="79"/>
      <c r="I545" s="79"/>
      <c r="J545" s="14"/>
      <c r="K545" s="38"/>
      <c r="L545" s="38"/>
      <c r="M545" s="17"/>
    </row>
    <row r="546" spans="2:13" ht="14.45" customHeight="1" x14ac:dyDescent="0.25">
      <c r="B546" s="17"/>
      <c r="C546" s="14"/>
      <c r="D546" s="14"/>
      <c r="E546" s="18"/>
      <c r="F546" s="61"/>
      <c r="G546" s="73"/>
      <c r="H546" s="79"/>
      <c r="I546" s="79"/>
      <c r="J546" s="14"/>
      <c r="K546" s="38"/>
      <c r="L546" s="38"/>
      <c r="M546" s="17"/>
    </row>
    <row r="547" spans="2:13" ht="14.45" customHeight="1" x14ac:dyDescent="0.25">
      <c r="B547" s="17"/>
      <c r="C547" s="14"/>
      <c r="D547" s="14"/>
      <c r="E547" s="18"/>
      <c r="F547" s="61"/>
      <c r="G547" s="73"/>
      <c r="H547" s="79"/>
      <c r="I547" s="79"/>
      <c r="J547" s="14"/>
      <c r="K547" s="38"/>
      <c r="L547" s="38"/>
      <c r="M547" s="17"/>
    </row>
    <row r="548" spans="2:13" ht="14.45" customHeight="1" x14ac:dyDescent="0.25">
      <c r="B548" s="17"/>
      <c r="C548" s="14"/>
      <c r="D548" s="14"/>
      <c r="E548" s="18"/>
      <c r="F548" s="61"/>
      <c r="G548" s="73"/>
      <c r="H548" s="79"/>
      <c r="I548" s="79"/>
      <c r="J548" s="14"/>
      <c r="K548" s="38"/>
      <c r="L548" s="38"/>
      <c r="M548" s="17"/>
    </row>
    <row r="549" spans="2:13" ht="14.45" customHeight="1" x14ac:dyDescent="0.25">
      <c r="B549" s="17"/>
      <c r="C549" s="14"/>
      <c r="D549" s="14"/>
      <c r="E549" s="18"/>
      <c r="F549" s="61"/>
      <c r="G549" s="73"/>
      <c r="H549" s="79"/>
      <c r="I549" s="79"/>
      <c r="J549" s="14"/>
      <c r="K549" s="38"/>
      <c r="L549" s="38"/>
      <c r="M549" s="17"/>
    </row>
    <row r="550" spans="2:13" ht="14.45" customHeight="1" x14ac:dyDescent="0.25">
      <c r="B550" s="17"/>
      <c r="C550" s="14"/>
      <c r="D550" s="14"/>
      <c r="E550" s="18"/>
      <c r="F550" s="61"/>
      <c r="G550" s="73"/>
      <c r="H550" s="79"/>
      <c r="I550" s="79"/>
      <c r="J550" s="14"/>
      <c r="K550" s="38"/>
      <c r="L550" s="38"/>
      <c r="M550" s="17"/>
    </row>
    <row r="551" spans="2:13" ht="14.45" customHeight="1" x14ac:dyDescent="0.25">
      <c r="B551" s="17"/>
      <c r="C551" s="14"/>
      <c r="D551" s="14"/>
      <c r="E551" s="18"/>
      <c r="F551" s="61"/>
      <c r="G551" s="73"/>
      <c r="H551" s="79"/>
      <c r="I551" s="79"/>
      <c r="J551" s="14"/>
      <c r="K551" s="38"/>
      <c r="L551" s="38"/>
      <c r="M551" s="17"/>
    </row>
    <row r="552" spans="2:13" ht="14.45" customHeight="1" x14ac:dyDescent="0.25">
      <c r="B552" s="17"/>
      <c r="C552" s="14"/>
      <c r="D552" s="14"/>
      <c r="E552" s="18"/>
      <c r="F552" s="61"/>
      <c r="G552" s="73"/>
      <c r="H552" s="79"/>
      <c r="I552" s="79"/>
      <c r="J552" s="14"/>
      <c r="K552" s="38"/>
      <c r="L552" s="38"/>
      <c r="M552" s="17"/>
    </row>
    <row r="553" spans="2:13" ht="14.45" customHeight="1" x14ac:dyDescent="0.25">
      <c r="B553" s="17"/>
      <c r="C553" s="14"/>
      <c r="D553" s="14"/>
      <c r="E553" s="18"/>
      <c r="F553" s="61"/>
      <c r="G553" s="73"/>
      <c r="H553" s="79"/>
      <c r="I553" s="79"/>
      <c r="J553" s="14"/>
      <c r="K553" s="38"/>
      <c r="L553" s="38"/>
      <c r="M553" s="17"/>
    </row>
    <row r="554" spans="2:13" ht="14.45" customHeight="1" x14ac:dyDescent="0.25">
      <c r="B554" s="17"/>
      <c r="C554" s="14"/>
      <c r="D554" s="14"/>
      <c r="E554" s="18"/>
      <c r="F554" s="61"/>
      <c r="G554" s="73"/>
      <c r="H554" s="79"/>
      <c r="I554" s="79"/>
      <c r="J554" s="14"/>
      <c r="K554" s="38"/>
      <c r="L554" s="38"/>
      <c r="M554" s="17"/>
    </row>
    <row r="555" spans="2:13" ht="14.45" customHeight="1" x14ac:dyDescent="0.25">
      <c r="B555" s="17"/>
      <c r="C555" s="14"/>
      <c r="D555" s="14"/>
      <c r="E555" s="18"/>
      <c r="F555" s="61"/>
      <c r="G555" s="73"/>
      <c r="H555" s="79"/>
      <c r="I555" s="79"/>
      <c r="J555" s="14"/>
      <c r="K555" s="38"/>
      <c r="L555" s="38"/>
      <c r="M555" s="17"/>
    </row>
    <row r="556" spans="2:13" ht="14.45" customHeight="1" x14ac:dyDescent="0.25">
      <c r="B556" s="17"/>
      <c r="C556" s="14"/>
      <c r="D556" s="14"/>
      <c r="E556" s="18"/>
      <c r="F556" s="61"/>
      <c r="G556" s="73"/>
      <c r="H556" s="79"/>
      <c r="I556" s="79"/>
      <c r="J556" s="14"/>
      <c r="K556" s="38"/>
      <c r="L556" s="38"/>
      <c r="M556" s="17"/>
    </row>
    <row r="557" spans="2:13" ht="14.45" customHeight="1" x14ac:dyDescent="0.25">
      <c r="B557" s="17"/>
      <c r="C557" s="14"/>
      <c r="D557" s="14"/>
      <c r="E557" s="18"/>
      <c r="F557" s="61"/>
      <c r="G557" s="73"/>
      <c r="H557" s="79"/>
      <c r="I557" s="79"/>
      <c r="J557" s="14"/>
      <c r="K557" s="38"/>
      <c r="L557" s="38"/>
      <c r="M557" s="17"/>
    </row>
    <row r="558" spans="2:13" ht="14.45" customHeight="1" x14ac:dyDescent="0.25">
      <c r="B558" s="17"/>
      <c r="C558" s="14"/>
      <c r="D558" s="14"/>
      <c r="E558" s="18"/>
      <c r="F558" s="61"/>
      <c r="G558" s="73"/>
      <c r="H558" s="79"/>
      <c r="I558" s="79"/>
      <c r="J558" s="14"/>
      <c r="K558" s="38"/>
      <c r="L558" s="38"/>
      <c r="M558" s="17"/>
    </row>
    <row r="559" spans="2:13" ht="14.45" customHeight="1" x14ac:dyDescent="0.25">
      <c r="B559" s="17"/>
      <c r="C559" s="14"/>
      <c r="D559" s="14"/>
      <c r="E559" s="18"/>
      <c r="F559" s="61"/>
      <c r="G559" s="73"/>
      <c r="H559" s="79"/>
      <c r="I559" s="79"/>
      <c r="J559" s="14"/>
      <c r="K559" s="38"/>
      <c r="L559" s="38"/>
      <c r="M559" s="17"/>
    </row>
    <row r="560" spans="2:13" ht="14.45" customHeight="1" x14ac:dyDescent="0.25">
      <c r="B560" s="17"/>
      <c r="C560" s="14"/>
      <c r="D560" s="14"/>
      <c r="E560" s="18"/>
      <c r="F560" s="61"/>
      <c r="G560" s="73"/>
      <c r="H560" s="79"/>
      <c r="I560" s="79"/>
      <c r="J560" s="14"/>
      <c r="K560" s="38"/>
      <c r="L560" s="38"/>
      <c r="M560" s="17"/>
    </row>
    <row r="561" spans="2:13" ht="14.45" customHeight="1" x14ac:dyDescent="0.25">
      <c r="B561" s="17"/>
      <c r="C561" s="14"/>
      <c r="D561" s="14"/>
      <c r="E561" s="18"/>
      <c r="F561" s="61"/>
      <c r="G561" s="73"/>
      <c r="H561" s="79"/>
      <c r="I561" s="79"/>
      <c r="J561" s="14"/>
      <c r="K561" s="38"/>
      <c r="L561" s="38"/>
      <c r="M561" s="17"/>
    </row>
    <row r="562" spans="2:13" ht="14.45" customHeight="1" x14ac:dyDescent="0.25">
      <c r="B562" s="17"/>
      <c r="C562" s="14"/>
      <c r="D562" s="14"/>
      <c r="E562" s="18"/>
      <c r="F562" s="61"/>
      <c r="G562" s="73"/>
      <c r="H562" s="79"/>
      <c r="I562" s="79"/>
      <c r="J562" s="14"/>
      <c r="K562" s="38"/>
      <c r="L562" s="38"/>
      <c r="M562" s="17"/>
    </row>
    <row r="563" spans="2:13" ht="14.45" customHeight="1" x14ac:dyDescent="0.25">
      <c r="B563" s="17"/>
      <c r="C563" s="14"/>
      <c r="D563" s="14"/>
      <c r="E563" s="18"/>
      <c r="F563" s="61"/>
      <c r="G563" s="73"/>
      <c r="H563" s="79"/>
      <c r="I563" s="79"/>
      <c r="J563" s="14"/>
      <c r="K563" s="38"/>
      <c r="L563" s="38"/>
      <c r="M563" s="17"/>
    </row>
    <row r="564" spans="2:13" ht="14.45" customHeight="1" x14ac:dyDescent="0.25">
      <c r="B564" s="17"/>
      <c r="C564" s="14"/>
      <c r="D564" s="14"/>
      <c r="E564" s="18"/>
      <c r="F564" s="61"/>
      <c r="G564" s="73"/>
      <c r="H564" s="79"/>
      <c r="I564" s="79"/>
      <c r="J564" s="14"/>
      <c r="K564" s="38"/>
      <c r="L564" s="38"/>
      <c r="M564" s="17"/>
    </row>
    <row r="565" spans="2:13" ht="14.45" customHeight="1" x14ac:dyDescent="0.25">
      <c r="B565" s="17"/>
      <c r="C565" s="14"/>
      <c r="D565" s="14"/>
      <c r="E565" s="18"/>
      <c r="F565" s="61"/>
      <c r="G565" s="73"/>
      <c r="H565" s="79"/>
      <c r="I565" s="79"/>
      <c r="J565" s="14"/>
      <c r="K565" s="38"/>
      <c r="L565" s="38"/>
      <c r="M565" s="17"/>
    </row>
    <row r="566" spans="2:13" ht="14.45" customHeight="1" x14ac:dyDescent="0.25">
      <c r="B566" s="17"/>
      <c r="C566" s="14"/>
      <c r="D566" s="14"/>
      <c r="E566" s="18"/>
      <c r="F566" s="61"/>
      <c r="G566" s="73"/>
      <c r="H566" s="79"/>
      <c r="I566" s="79"/>
      <c r="J566" s="14"/>
      <c r="K566" s="38"/>
      <c r="L566" s="38"/>
      <c r="M566" s="17"/>
    </row>
    <row r="567" spans="2:13" ht="14.45" customHeight="1" x14ac:dyDescent="0.25">
      <c r="B567" s="17"/>
      <c r="C567" s="14"/>
      <c r="D567" s="14"/>
      <c r="E567" s="18"/>
      <c r="F567" s="61"/>
      <c r="G567" s="73"/>
      <c r="H567" s="79"/>
      <c r="I567" s="79"/>
      <c r="J567" s="14"/>
      <c r="K567" s="38"/>
      <c r="L567" s="38"/>
      <c r="M567" s="17"/>
    </row>
    <row r="568" spans="2:13" ht="14.45" customHeight="1" x14ac:dyDescent="0.25">
      <c r="B568" s="17"/>
      <c r="C568" s="14"/>
      <c r="D568" s="14"/>
      <c r="E568" s="18"/>
      <c r="F568" s="61"/>
      <c r="G568" s="73"/>
      <c r="H568" s="79"/>
      <c r="I568" s="79"/>
      <c r="J568" s="14"/>
      <c r="K568" s="38"/>
      <c r="L568" s="38"/>
      <c r="M568" s="17"/>
    </row>
    <row r="569" spans="2:13" ht="14.45" customHeight="1" x14ac:dyDescent="0.25">
      <c r="B569" s="17"/>
      <c r="C569" s="14"/>
      <c r="D569" s="14"/>
      <c r="E569" s="18"/>
      <c r="F569" s="61"/>
      <c r="G569" s="73"/>
      <c r="H569" s="79"/>
      <c r="I569" s="79"/>
      <c r="J569" s="14"/>
      <c r="K569" s="38"/>
      <c r="L569" s="38"/>
      <c r="M569" s="17"/>
    </row>
    <row r="570" spans="2:13" ht="14.45" customHeight="1" x14ac:dyDescent="0.25">
      <c r="B570" s="17"/>
      <c r="C570" s="14"/>
      <c r="D570" s="14"/>
      <c r="E570" s="18"/>
      <c r="F570" s="61"/>
      <c r="G570" s="73"/>
      <c r="H570" s="79"/>
      <c r="I570" s="79"/>
      <c r="J570" s="14"/>
      <c r="K570" s="38"/>
      <c r="L570" s="38"/>
      <c r="M570" s="17"/>
    </row>
    <row r="571" spans="2:13" ht="14.45" customHeight="1" x14ac:dyDescent="0.25">
      <c r="B571" s="17"/>
      <c r="C571" s="14"/>
      <c r="D571" s="14"/>
      <c r="E571" s="18"/>
      <c r="F571" s="61"/>
      <c r="G571" s="73"/>
      <c r="H571" s="79"/>
      <c r="I571" s="79"/>
      <c r="J571" s="14"/>
      <c r="K571" s="38"/>
      <c r="L571" s="38"/>
      <c r="M571" s="17"/>
    </row>
    <row r="572" spans="2:13" ht="14.45" customHeight="1" x14ac:dyDescent="0.25">
      <c r="B572" s="17"/>
      <c r="C572" s="14"/>
      <c r="D572" s="14"/>
      <c r="E572" s="18"/>
      <c r="F572" s="61"/>
      <c r="G572" s="73"/>
      <c r="H572" s="79"/>
      <c r="I572" s="79"/>
      <c r="J572" s="14"/>
      <c r="K572" s="38"/>
      <c r="L572" s="38"/>
      <c r="M572" s="17"/>
    </row>
    <row r="573" spans="2:13" ht="14.45" customHeight="1" x14ac:dyDescent="0.25">
      <c r="B573" s="17"/>
      <c r="C573" s="14"/>
      <c r="D573" s="14"/>
      <c r="E573" s="18"/>
      <c r="F573" s="61"/>
      <c r="G573" s="73"/>
      <c r="H573" s="79"/>
      <c r="I573" s="79"/>
      <c r="J573" s="14"/>
      <c r="K573" s="38"/>
      <c r="L573" s="38"/>
      <c r="M573" s="17"/>
    </row>
    <row r="574" spans="2:13" ht="14.45" customHeight="1" x14ac:dyDescent="0.25">
      <c r="B574" s="17"/>
      <c r="C574" s="14"/>
      <c r="D574" s="14"/>
      <c r="E574" s="18"/>
      <c r="F574" s="61"/>
      <c r="G574" s="73"/>
      <c r="H574" s="79"/>
      <c r="I574" s="79"/>
      <c r="J574" s="14"/>
      <c r="K574" s="38"/>
      <c r="L574" s="38"/>
      <c r="M574" s="17"/>
    </row>
    <row r="575" spans="2:13" ht="14.45" customHeight="1" x14ac:dyDescent="0.25">
      <c r="B575" s="17"/>
      <c r="C575" s="14"/>
      <c r="D575" s="14"/>
      <c r="E575" s="18"/>
      <c r="F575" s="61"/>
      <c r="G575" s="73"/>
      <c r="H575" s="79"/>
      <c r="I575" s="79"/>
      <c r="J575" s="14"/>
      <c r="K575" s="38"/>
      <c r="L575" s="38"/>
      <c r="M575" s="17"/>
    </row>
    <row r="576" spans="2:13" ht="14.45" customHeight="1" x14ac:dyDescent="0.25">
      <c r="B576" s="17"/>
      <c r="C576" s="14"/>
      <c r="D576" s="14"/>
      <c r="E576" s="18"/>
      <c r="F576" s="61"/>
      <c r="G576" s="73"/>
      <c r="H576" s="79"/>
      <c r="I576" s="79"/>
      <c r="J576" s="14"/>
      <c r="K576" s="38"/>
      <c r="L576" s="38"/>
      <c r="M576" s="17"/>
    </row>
    <row r="577" spans="2:13" ht="14.45" customHeight="1" x14ac:dyDescent="0.25">
      <c r="B577" s="17"/>
      <c r="C577" s="14"/>
      <c r="D577" s="14"/>
      <c r="E577" s="18"/>
      <c r="F577" s="61"/>
      <c r="G577" s="73"/>
      <c r="H577" s="79"/>
      <c r="I577" s="79"/>
      <c r="J577" s="14"/>
      <c r="K577" s="38"/>
      <c r="L577" s="38"/>
      <c r="M577" s="17"/>
    </row>
    <row r="578" spans="2:13" ht="14.45" customHeight="1" x14ac:dyDescent="0.25">
      <c r="B578" s="17"/>
      <c r="C578" s="14"/>
      <c r="D578" s="14"/>
      <c r="E578" s="18"/>
      <c r="F578" s="61"/>
      <c r="G578" s="73"/>
      <c r="H578" s="79"/>
      <c r="I578" s="79"/>
      <c r="J578" s="14"/>
      <c r="K578" s="38"/>
      <c r="L578" s="38"/>
      <c r="M578" s="17"/>
    </row>
    <row r="579" spans="2:13" ht="14.45" customHeight="1" x14ac:dyDescent="0.25">
      <c r="B579" s="17"/>
      <c r="C579" s="14"/>
      <c r="D579" s="14"/>
      <c r="E579" s="18"/>
      <c r="F579" s="61"/>
      <c r="G579" s="73"/>
      <c r="H579" s="79"/>
      <c r="I579" s="79"/>
      <c r="J579" s="14"/>
      <c r="K579" s="38"/>
      <c r="L579" s="38"/>
      <c r="M579" s="17"/>
    </row>
    <row r="580" spans="2:13" ht="14.45" customHeight="1" x14ac:dyDescent="0.25">
      <c r="B580" s="17"/>
      <c r="C580" s="14"/>
      <c r="D580" s="14"/>
      <c r="E580" s="18"/>
      <c r="F580" s="61"/>
      <c r="G580" s="73"/>
      <c r="H580" s="79"/>
      <c r="I580" s="79"/>
      <c r="J580" s="14"/>
      <c r="K580" s="38"/>
      <c r="L580" s="38"/>
      <c r="M580" s="17"/>
    </row>
    <row r="581" spans="2:13" ht="14.45" customHeight="1" x14ac:dyDescent="0.25">
      <c r="B581" s="17"/>
      <c r="C581" s="14"/>
      <c r="D581" s="14"/>
      <c r="E581" s="18"/>
      <c r="F581" s="61"/>
      <c r="G581" s="73"/>
      <c r="H581" s="79"/>
      <c r="I581" s="79"/>
      <c r="J581" s="14"/>
      <c r="K581" s="38"/>
      <c r="L581" s="38"/>
      <c r="M581" s="17"/>
    </row>
    <row r="582" spans="2:13" ht="14.45" customHeight="1" x14ac:dyDescent="0.25">
      <c r="B582" s="17"/>
      <c r="C582" s="14"/>
      <c r="D582" s="14"/>
      <c r="E582" s="18"/>
      <c r="F582" s="61"/>
      <c r="G582" s="73"/>
      <c r="H582" s="79"/>
      <c r="I582" s="79"/>
      <c r="J582" s="14"/>
      <c r="K582" s="38"/>
      <c r="L582" s="38"/>
      <c r="M582" s="17"/>
    </row>
    <row r="583" spans="2:13" ht="14.45" customHeight="1" x14ac:dyDescent="0.25">
      <c r="B583" s="17"/>
      <c r="C583" s="14"/>
      <c r="D583" s="14"/>
      <c r="E583" s="18"/>
      <c r="F583" s="61"/>
      <c r="G583" s="73"/>
      <c r="H583" s="79"/>
      <c r="I583" s="79"/>
      <c r="J583" s="14"/>
      <c r="K583" s="38"/>
      <c r="L583" s="38"/>
      <c r="M583" s="17"/>
    </row>
    <row r="584" spans="2:13" ht="14.45" customHeight="1" x14ac:dyDescent="0.25">
      <c r="B584" s="17"/>
      <c r="C584" s="14"/>
      <c r="D584" s="14"/>
      <c r="E584" s="18"/>
      <c r="F584" s="61"/>
      <c r="G584" s="73"/>
      <c r="H584" s="79"/>
      <c r="I584" s="79"/>
      <c r="J584" s="14"/>
      <c r="K584" s="38"/>
      <c r="L584" s="38"/>
      <c r="M584" s="17"/>
    </row>
    <row r="585" spans="2:13" ht="14.45" customHeight="1" x14ac:dyDescent="0.25">
      <c r="B585" s="17"/>
      <c r="C585" s="14"/>
      <c r="D585" s="14"/>
      <c r="E585" s="18"/>
      <c r="F585" s="61"/>
      <c r="G585" s="73"/>
      <c r="H585" s="79"/>
      <c r="I585" s="79"/>
      <c r="J585" s="14"/>
      <c r="K585" s="38"/>
      <c r="L585" s="38"/>
      <c r="M585" s="17"/>
    </row>
    <row r="586" spans="2:13" ht="14.45" customHeight="1" x14ac:dyDescent="0.25">
      <c r="B586" s="17"/>
      <c r="C586" s="14"/>
      <c r="D586" s="14"/>
      <c r="E586" s="18"/>
      <c r="F586" s="61"/>
      <c r="G586" s="73"/>
      <c r="H586" s="79"/>
      <c r="I586" s="79"/>
      <c r="J586" s="14"/>
      <c r="K586" s="38"/>
      <c r="L586" s="38"/>
      <c r="M586" s="17"/>
    </row>
    <row r="587" spans="2:13" ht="14.45" customHeight="1" x14ac:dyDescent="0.25">
      <c r="B587" s="17"/>
      <c r="C587" s="14"/>
      <c r="D587" s="14"/>
      <c r="E587" s="18"/>
      <c r="F587" s="61"/>
      <c r="G587" s="73"/>
      <c r="H587" s="79"/>
      <c r="I587" s="79"/>
      <c r="J587" s="14"/>
      <c r="K587" s="38"/>
      <c r="L587" s="38"/>
      <c r="M587" s="17"/>
    </row>
    <row r="588" spans="2:13" ht="14.45" customHeight="1" x14ac:dyDescent="0.25">
      <c r="B588" s="17"/>
      <c r="C588" s="14"/>
      <c r="D588" s="14"/>
      <c r="E588" s="18"/>
      <c r="F588" s="61"/>
      <c r="G588" s="73"/>
      <c r="H588" s="79"/>
      <c r="I588" s="79"/>
      <c r="J588" s="14"/>
      <c r="K588" s="38"/>
      <c r="L588" s="38"/>
      <c r="M588" s="17"/>
    </row>
    <row r="589" spans="2:13" ht="14.45" customHeight="1" x14ac:dyDescent="0.25">
      <c r="B589" s="17"/>
      <c r="C589" s="14"/>
      <c r="D589" s="14"/>
      <c r="E589" s="18"/>
      <c r="F589" s="61"/>
      <c r="G589" s="73"/>
      <c r="H589" s="79"/>
      <c r="I589" s="79"/>
      <c r="J589" s="14"/>
      <c r="K589" s="38"/>
      <c r="L589" s="38"/>
      <c r="M589" s="17"/>
    </row>
    <row r="590" spans="2:13" ht="14.45" customHeight="1" x14ac:dyDescent="0.25">
      <c r="B590" s="17"/>
      <c r="C590" s="14"/>
      <c r="D590" s="14"/>
      <c r="E590" s="18"/>
      <c r="F590" s="61"/>
      <c r="G590" s="73"/>
      <c r="H590" s="79"/>
      <c r="I590" s="79"/>
      <c r="J590" s="14"/>
      <c r="K590" s="38"/>
      <c r="L590" s="38"/>
      <c r="M590" s="17"/>
    </row>
    <row r="591" spans="2:13" ht="14.45" customHeight="1" x14ac:dyDescent="0.25">
      <c r="B591" s="17"/>
      <c r="C591" s="14"/>
      <c r="D591" s="14"/>
      <c r="E591" s="18"/>
      <c r="F591" s="61"/>
      <c r="G591" s="73"/>
      <c r="H591" s="79"/>
      <c r="I591" s="79"/>
      <c r="J591" s="14"/>
      <c r="K591" s="38"/>
      <c r="L591" s="38"/>
      <c r="M591" s="17"/>
    </row>
    <row r="592" spans="2:13" ht="14.45" customHeight="1" x14ac:dyDescent="0.25">
      <c r="B592" s="17"/>
      <c r="C592" s="14"/>
      <c r="D592" s="14"/>
      <c r="E592" s="18"/>
      <c r="F592" s="61"/>
      <c r="G592" s="73"/>
      <c r="H592" s="79"/>
      <c r="I592" s="79"/>
      <c r="J592" s="14"/>
      <c r="K592" s="38"/>
      <c r="L592" s="38"/>
      <c r="M592" s="17"/>
    </row>
    <row r="593" spans="2:13" ht="14.45" customHeight="1" x14ac:dyDescent="0.25">
      <c r="B593" s="17"/>
      <c r="C593" s="14"/>
      <c r="D593" s="14"/>
      <c r="E593" s="18"/>
      <c r="F593" s="61"/>
      <c r="G593" s="73"/>
      <c r="H593" s="79"/>
      <c r="I593" s="79"/>
      <c r="J593" s="14"/>
      <c r="K593" s="38"/>
      <c r="L593" s="38"/>
      <c r="M593" s="17"/>
    </row>
    <row r="594" spans="2:13" ht="14.45" customHeight="1" x14ac:dyDescent="0.25">
      <c r="B594" s="17"/>
      <c r="C594" s="14"/>
      <c r="D594" s="14"/>
      <c r="E594" s="18"/>
      <c r="F594" s="61"/>
      <c r="G594" s="73"/>
      <c r="H594" s="79"/>
      <c r="I594" s="79"/>
      <c r="J594" s="14"/>
      <c r="K594" s="38"/>
      <c r="L594" s="38"/>
      <c r="M594" s="17"/>
    </row>
    <row r="595" spans="2:13" ht="14.45" customHeight="1" x14ac:dyDescent="0.25">
      <c r="B595" s="17"/>
      <c r="C595" s="14"/>
      <c r="D595" s="14"/>
      <c r="E595" s="18"/>
      <c r="F595" s="61"/>
      <c r="G595" s="73"/>
      <c r="H595" s="79"/>
      <c r="I595" s="79"/>
      <c r="J595" s="14"/>
      <c r="K595" s="38"/>
      <c r="L595" s="38"/>
      <c r="M595" s="17"/>
    </row>
    <row r="596" spans="2:13" ht="14.45" customHeight="1" x14ac:dyDescent="0.25">
      <c r="B596" s="17"/>
      <c r="C596" s="14"/>
      <c r="D596" s="14"/>
      <c r="E596" s="18"/>
      <c r="F596" s="61"/>
      <c r="G596" s="73"/>
      <c r="H596" s="79"/>
      <c r="I596" s="79"/>
      <c r="J596" s="14"/>
      <c r="K596" s="38"/>
      <c r="L596" s="38"/>
      <c r="M596" s="17"/>
    </row>
    <row r="597" spans="2:13" ht="14.45" customHeight="1" x14ac:dyDescent="0.25">
      <c r="B597" s="17"/>
      <c r="C597" s="14"/>
      <c r="D597" s="14"/>
      <c r="E597" s="18"/>
      <c r="F597" s="61"/>
      <c r="G597" s="73"/>
      <c r="H597" s="79"/>
      <c r="I597" s="79"/>
      <c r="J597" s="14"/>
      <c r="K597" s="38"/>
      <c r="L597" s="38"/>
      <c r="M597" s="17"/>
    </row>
    <row r="598" spans="2:13" ht="14.45" customHeight="1" x14ac:dyDescent="0.25">
      <c r="B598" s="17"/>
      <c r="C598" s="14"/>
      <c r="D598" s="14"/>
      <c r="E598" s="18"/>
      <c r="F598" s="61"/>
      <c r="G598" s="73"/>
      <c r="H598" s="79"/>
      <c r="I598" s="79"/>
      <c r="J598" s="14"/>
      <c r="K598" s="38"/>
      <c r="L598" s="38"/>
      <c r="M598" s="17"/>
    </row>
    <row r="599" spans="2:13" ht="14.45" customHeight="1" x14ac:dyDescent="0.25">
      <c r="B599" s="17"/>
      <c r="C599" s="14"/>
      <c r="D599" s="14"/>
      <c r="E599" s="18"/>
      <c r="F599" s="61"/>
      <c r="G599" s="73"/>
      <c r="H599" s="79"/>
      <c r="I599" s="79"/>
      <c r="J599" s="14"/>
      <c r="K599" s="38"/>
      <c r="L599" s="38"/>
      <c r="M599" s="17"/>
    </row>
    <row r="600" spans="2:13" ht="14.45" customHeight="1" x14ac:dyDescent="0.25">
      <c r="B600" s="17"/>
      <c r="C600" s="14"/>
      <c r="D600" s="14"/>
      <c r="E600" s="18"/>
      <c r="F600" s="61"/>
      <c r="G600" s="73"/>
      <c r="H600" s="79"/>
      <c r="I600" s="79"/>
      <c r="J600" s="14"/>
      <c r="K600" s="38"/>
      <c r="L600" s="38"/>
      <c r="M600" s="17"/>
    </row>
    <row r="601" spans="2:13" ht="14.45" customHeight="1" x14ac:dyDescent="0.25">
      <c r="B601" s="17"/>
      <c r="C601" s="14"/>
      <c r="D601" s="14"/>
      <c r="E601" s="18"/>
      <c r="F601" s="61"/>
      <c r="G601" s="73"/>
      <c r="H601" s="79"/>
      <c r="I601" s="79"/>
      <c r="J601" s="14"/>
      <c r="K601" s="38"/>
      <c r="L601" s="38"/>
      <c r="M601" s="17"/>
    </row>
    <row r="602" spans="2:13" ht="14.45" customHeight="1" x14ac:dyDescent="0.25">
      <c r="B602" s="17"/>
      <c r="C602" s="14"/>
      <c r="D602" s="14"/>
      <c r="E602" s="18"/>
      <c r="F602" s="61"/>
      <c r="G602" s="73"/>
      <c r="H602" s="79"/>
      <c r="I602" s="79"/>
      <c r="J602" s="14"/>
      <c r="K602" s="38"/>
      <c r="L602" s="38"/>
      <c r="M602" s="17"/>
    </row>
    <row r="603" spans="2:13" ht="14.45" customHeight="1" x14ac:dyDescent="0.25">
      <c r="B603" s="17"/>
      <c r="C603" s="14"/>
      <c r="D603" s="14"/>
      <c r="E603" s="18"/>
      <c r="F603" s="61"/>
      <c r="G603" s="73"/>
      <c r="H603" s="79"/>
      <c r="I603" s="79"/>
      <c r="J603" s="14"/>
      <c r="K603" s="38"/>
      <c r="L603" s="38"/>
      <c r="M603" s="17"/>
    </row>
    <row r="604" spans="2:13" ht="14.45" customHeight="1" x14ac:dyDescent="0.25">
      <c r="B604" s="17"/>
      <c r="C604" s="14"/>
      <c r="D604" s="14"/>
      <c r="E604" s="18"/>
      <c r="F604" s="61"/>
      <c r="G604" s="73"/>
      <c r="H604" s="79"/>
      <c r="I604" s="79"/>
      <c r="J604" s="14"/>
      <c r="K604" s="38"/>
      <c r="L604" s="38"/>
      <c r="M604" s="17"/>
    </row>
    <row r="605" spans="2:13" ht="14.45" customHeight="1" x14ac:dyDescent="0.25">
      <c r="B605" s="17"/>
      <c r="C605" s="14"/>
      <c r="D605" s="14"/>
      <c r="E605" s="18"/>
      <c r="F605" s="61"/>
      <c r="G605" s="73"/>
      <c r="H605" s="79"/>
      <c r="I605" s="79"/>
      <c r="J605" s="14"/>
      <c r="K605" s="38"/>
      <c r="L605" s="38"/>
      <c r="M605" s="17"/>
    </row>
    <row r="606" spans="2:13" ht="14.45" customHeight="1" x14ac:dyDescent="0.25">
      <c r="B606" s="17"/>
      <c r="C606" s="14"/>
      <c r="D606" s="14"/>
      <c r="E606" s="18"/>
      <c r="F606" s="61"/>
      <c r="G606" s="73"/>
      <c r="H606" s="79"/>
      <c r="I606" s="79"/>
      <c r="J606" s="14"/>
      <c r="K606" s="38"/>
      <c r="L606" s="38"/>
      <c r="M606" s="17"/>
    </row>
    <row r="607" spans="2:13" ht="14.45" customHeight="1" x14ac:dyDescent="0.25">
      <c r="B607" s="17"/>
      <c r="C607" s="14"/>
      <c r="D607" s="14"/>
      <c r="E607" s="18"/>
      <c r="F607" s="61"/>
      <c r="G607" s="73"/>
      <c r="H607" s="79"/>
      <c r="I607" s="79"/>
      <c r="J607" s="14"/>
      <c r="K607" s="38"/>
      <c r="L607" s="38"/>
      <c r="M607" s="17"/>
    </row>
    <row r="608" spans="2:13" ht="14.45" customHeight="1" x14ac:dyDescent="0.25">
      <c r="B608" s="17"/>
      <c r="C608" s="14"/>
      <c r="D608" s="14"/>
      <c r="E608" s="18"/>
      <c r="F608" s="61"/>
      <c r="G608" s="73"/>
      <c r="H608" s="79"/>
      <c r="I608" s="79"/>
      <c r="J608" s="14"/>
      <c r="K608" s="38"/>
      <c r="L608" s="38"/>
      <c r="M608" s="17"/>
    </row>
    <row r="609" spans="2:13" ht="14.45" customHeight="1" x14ac:dyDescent="0.25">
      <c r="B609" s="17"/>
      <c r="C609" s="14"/>
      <c r="D609" s="14"/>
      <c r="E609" s="18"/>
      <c r="F609" s="61"/>
      <c r="G609" s="73"/>
      <c r="H609" s="79"/>
      <c r="I609" s="79"/>
      <c r="J609" s="14"/>
      <c r="K609" s="38"/>
      <c r="L609" s="38"/>
      <c r="M609" s="17"/>
    </row>
    <row r="610" spans="2:13" ht="14.45" customHeight="1" x14ac:dyDescent="0.25">
      <c r="B610" s="17"/>
      <c r="C610" s="14"/>
      <c r="D610" s="14"/>
      <c r="E610" s="18"/>
      <c r="F610" s="61"/>
      <c r="G610" s="73"/>
      <c r="H610" s="79"/>
      <c r="I610" s="79"/>
      <c r="J610" s="14"/>
      <c r="K610" s="38"/>
      <c r="L610" s="38"/>
      <c r="M610" s="17"/>
    </row>
    <row r="611" spans="2:13" ht="14.45" customHeight="1" x14ac:dyDescent="0.25">
      <c r="B611" s="17"/>
      <c r="C611" s="14"/>
      <c r="D611" s="14"/>
      <c r="E611" s="18"/>
      <c r="F611" s="61"/>
      <c r="G611" s="73"/>
      <c r="H611" s="79"/>
      <c r="I611" s="79"/>
      <c r="J611" s="14"/>
      <c r="K611" s="38"/>
      <c r="L611" s="38"/>
      <c r="M611" s="17"/>
    </row>
    <row r="612" spans="2:13" ht="14.45" customHeight="1" x14ac:dyDescent="0.25">
      <c r="B612" s="17"/>
      <c r="C612" s="14"/>
      <c r="D612" s="14"/>
      <c r="E612" s="18"/>
      <c r="F612" s="61"/>
      <c r="G612" s="73"/>
      <c r="H612" s="79"/>
      <c r="I612" s="79"/>
      <c r="J612" s="14"/>
      <c r="K612" s="38"/>
      <c r="L612" s="38"/>
      <c r="M612" s="17"/>
    </row>
    <row r="613" spans="2:13" ht="14.45" customHeight="1" x14ac:dyDescent="0.25">
      <c r="B613" s="17"/>
      <c r="C613" s="14"/>
      <c r="D613" s="14"/>
      <c r="E613" s="18"/>
      <c r="F613" s="61"/>
      <c r="G613" s="73"/>
      <c r="H613" s="79"/>
      <c r="I613" s="79"/>
      <c r="J613" s="14"/>
      <c r="K613" s="38"/>
      <c r="L613" s="38"/>
      <c r="M613" s="17"/>
    </row>
    <row r="614" spans="2:13" ht="14.45" customHeight="1" x14ac:dyDescent="0.25">
      <c r="B614" s="17"/>
      <c r="C614" s="14"/>
      <c r="D614" s="14"/>
      <c r="E614" s="18"/>
      <c r="F614" s="61"/>
      <c r="G614" s="73"/>
      <c r="H614" s="79"/>
      <c r="I614" s="79"/>
      <c r="J614" s="14"/>
      <c r="K614" s="38"/>
      <c r="L614" s="38"/>
      <c r="M614" s="17"/>
    </row>
    <row r="615" spans="2:13" ht="14.45" customHeight="1" x14ac:dyDescent="0.25">
      <c r="B615" s="17"/>
      <c r="C615" s="14"/>
      <c r="D615" s="14"/>
      <c r="E615" s="18"/>
      <c r="F615" s="61"/>
      <c r="G615" s="73"/>
      <c r="H615" s="79"/>
      <c r="I615" s="79"/>
      <c r="J615" s="14"/>
      <c r="K615" s="38"/>
      <c r="L615" s="38"/>
      <c r="M615" s="17"/>
    </row>
    <row r="616" spans="2:13" ht="14.45" customHeight="1" x14ac:dyDescent="0.25">
      <c r="B616" s="17"/>
      <c r="C616" s="14"/>
      <c r="D616" s="14"/>
      <c r="E616" s="18"/>
      <c r="F616" s="61"/>
      <c r="G616" s="73"/>
      <c r="H616" s="79"/>
      <c r="I616" s="79"/>
      <c r="J616" s="14"/>
      <c r="K616" s="38"/>
      <c r="L616" s="38"/>
      <c r="M616" s="17"/>
    </row>
    <row r="617" spans="2:13" ht="14.45" customHeight="1" x14ac:dyDescent="0.25">
      <c r="B617" s="17"/>
      <c r="C617" s="14"/>
      <c r="D617" s="14"/>
      <c r="E617" s="18"/>
      <c r="F617" s="61"/>
      <c r="G617" s="73"/>
      <c r="H617" s="79"/>
      <c r="I617" s="79"/>
      <c r="J617" s="14"/>
      <c r="K617" s="38"/>
      <c r="L617" s="38"/>
      <c r="M617" s="17"/>
    </row>
    <row r="618" spans="2:13" ht="14.45" customHeight="1" x14ac:dyDescent="0.25">
      <c r="B618" s="17"/>
      <c r="C618" s="14"/>
      <c r="D618" s="14"/>
      <c r="E618" s="18"/>
      <c r="F618" s="61"/>
      <c r="G618" s="73"/>
      <c r="H618" s="79"/>
      <c r="I618" s="79"/>
      <c r="J618" s="14"/>
      <c r="K618" s="38"/>
      <c r="L618" s="38"/>
      <c r="M618" s="17"/>
    </row>
    <row r="619" spans="2:13" ht="14.45" customHeight="1" x14ac:dyDescent="0.25">
      <c r="B619" s="17"/>
      <c r="C619" s="14"/>
      <c r="D619" s="14"/>
      <c r="E619" s="18"/>
      <c r="F619" s="61"/>
      <c r="G619" s="73"/>
      <c r="H619" s="79"/>
      <c r="I619" s="79"/>
      <c r="J619" s="14"/>
      <c r="K619" s="38"/>
      <c r="L619" s="38"/>
      <c r="M619" s="17"/>
    </row>
    <row r="620" spans="2:13" ht="14.45" customHeight="1" x14ac:dyDescent="0.25">
      <c r="B620" s="17"/>
      <c r="C620" s="14"/>
      <c r="D620" s="14"/>
      <c r="E620" s="18"/>
      <c r="F620" s="61"/>
      <c r="G620" s="73"/>
      <c r="H620" s="79"/>
      <c r="I620" s="79"/>
      <c r="J620" s="14"/>
      <c r="K620" s="38"/>
      <c r="L620" s="38"/>
      <c r="M620" s="17"/>
    </row>
    <row r="621" spans="2:13" ht="14.45" customHeight="1" x14ac:dyDescent="0.25">
      <c r="B621" s="17"/>
      <c r="C621" s="14"/>
      <c r="D621" s="14"/>
      <c r="E621" s="18"/>
      <c r="F621" s="61"/>
      <c r="G621" s="73"/>
      <c r="H621" s="79"/>
      <c r="I621" s="79"/>
      <c r="J621" s="14"/>
      <c r="K621" s="38"/>
      <c r="L621" s="38"/>
      <c r="M621" s="17"/>
    </row>
    <row r="622" spans="2:13" ht="14.45" customHeight="1" x14ac:dyDescent="0.25">
      <c r="B622" s="17"/>
      <c r="C622" s="14"/>
      <c r="D622" s="14"/>
      <c r="E622" s="18"/>
      <c r="F622" s="61"/>
      <c r="G622" s="73"/>
      <c r="H622" s="79"/>
      <c r="I622" s="79"/>
      <c r="J622" s="14"/>
      <c r="K622" s="38"/>
      <c r="L622" s="38"/>
      <c r="M622" s="17"/>
    </row>
    <row r="623" spans="2:13" ht="14.45" customHeight="1" x14ac:dyDescent="0.25">
      <c r="B623" s="17"/>
      <c r="C623" s="14"/>
      <c r="D623" s="14"/>
      <c r="E623" s="18"/>
      <c r="F623" s="61"/>
      <c r="G623" s="73"/>
      <c r="H623" s="79"/>
      <c r="I623" s="79"/>
      <c r="J623" s="14"/>
      <c r="K623" s="38"/>
      <c r="L623" s="38"/>
      <c r="M623" s="17"/>
    </row>
    <row r="624" spans="2:13" ht="14.45" customHeight="1" x14ac:dyDescent="0.25">
      <c r="B624" s="17"/>
      <c r="C624" s="14"/>
      <c r="D624" s="14"/>
      <c r="E624" s="18"/>
      <c r="F624" s="61"/>
      <c r="G624" s="73"/>
      <c r="H624" s="79"/>
      <c r="I624" s="79"/>
      <c r="J624" s="14"/>
      <c r="K624" s="38"/>
      <c r="L624" s="38"/>
      <c r="M624" s="17"/>
    </row>
    <row r="625" spans="2:13" ht="14.45" customHeight="1" x14ac:dyDescent="0.25">
      <c r="B625" s="17"/>
      <c r="C625" s="14"/>
      <c r="D625" s="14"/>
      <c r="E625" s="18"/>
      <c r="F625" s="61"/>
      <c r="G625" s="73"/>
      <c r="H625" s="79"/>
      <c r="I625" s="79"/>
      <c r="J625" s="14"/>
      <c r="K625" s="38"/>
      <c r="L625" s="38"/>
      <c r="M625" s="17"/>
    </row>
    <row r="626" spans="2:13" ht="14.45" customHeight="1" x14ac:dyDescent="0.25">
      <c r="B626" s="17"/>
      <c r="C626" s="14"/>
      <c r="D626" s="14"/>
      <c r="E626" s="18"/>
      <c r="F626" s="61"/>
      <c r="G626" s="73"/>
      <c r="H626" s="79"/>
      <c r="I626" s="79"/>
      <c r="J626" s="14"/>
      <c r="K626" s="38"/>
      <c r="L626" s="38"/>
      <c r="M626" s="17"/>
    </row>
    <row r="627" spans="2:13" ht="14.45" customHeight="1" x14ac:dyDescent="0.25">
      <c r="B627" s="17"/>
      <c r="C627" s="14"/>
      <c r="D627" s="14"/>
      <c r="E627" s="18"/>
      <c r="F627" s="61"/>
      <c r="G627" s="73"/>
      <c r="H627" s="79"/>
      <c r="I627" s="79"/>
      <c r="J627" s="14"/>
      <c r="K627" s="38"/>
      <c r="L627" s="38"/>
      <c r="M627" s="17"/>
    </row>
    <row r="628" spans="2:13" ht="14.45" customHeight="1" x14ac:dyDescent="0.25">
      <c r="B628" s="17"/>
      <c r="C628" s="14"/>
      <c r="D628" s="14"/>
      <c r="E628" s="18"/>
      <c r="F628" s="61"/>
      <c r="G628" s="73"/>
      <c r="H628" s="79"/>
      <c r="I628" s="79"/>
      <c r="J628" s="14"/>
      <c r="K628" s="38"/>
      <c r="L628" s="38"/>
      <c r="M628" s="17"/>
    </row>
    <row r="629" spans="2:13" ht="14.45" customHeight="1" x14ac:dyDescent="0.25">
      <c r="B629" s="17"/>
      <c r="C629" s="14"/>
      <c r="D629" s="14"/>
      <c r="E629" s="18"/>
      <c r="F629" s="61"/>
      <c r="G629" s="73"/>
      <c r="H629" s="79"/>
      <c r="I629" s="79"/>
      <c r="J629" s="14"/>
      <c r="K629" s="38"/>
      <c r="L629" s="38"/>
      <c r="M629" s="17"/>
    </row>
    <row r="630" spans="2:13" ht="14.45" customHeight="1" x14ac:dyDescent="0.25">
      <c r="B630" s="17"/>
      <c r="C630" s="14"/>
      <c r="D630" s="14"/>
      <c r="E630" s="18"/>
      <c r="F630" s="61"/>
      <c r="G630" s="73"/>
      <c r="H630" s="79"/>
      <c r="I630" s="79"/>
      <c r="J630" s="14"/>
      <c r="K630" s="38"/>
      <c r="L630" s="38"/>
      <c r="M630" s="17"/>
    </row>
    <row r="631" spans="2:13" ht="14.45" customHeight="1" x14ac:dyDescent="0.25">
      <c r="B631" s="17"/>
      <c r="C631" s="14"/>
      <c r="D631" s="14"/>
      <c r="E631" s="18"/>
      <c r="F631" s="61"/>
      <c r="G631" s="73"/>
      <c r="H631" s="79"/>
      <c r="I631" s="79"/>
      <c r="J631" s="14"/>
      <c r="K631" s="38"/>
      <c r="L631" s="38"/>
      <c r="M631" s="17"/>
    </row>
    <row r="632" spans="2:13" ht="14.45" customHeight="1" x14ac:dyDescent="0.25">
      <c r="B632" s="17"/>
      <c r="C632" s="14"/>
      <c r="D632" s="14"/>
      <c r="E632" s="18"/>
      <c r="F632" s="61"/>
      <c r="G632" s="73"/>
      <c r="H632" s="79"/>
      <c r="I632" s="79"/>
      <c r="J632" s="14"/>
      <c r="K632" s="38"/>
      <c r="L632" s="38"/>
      <c r="M632" s="17"/>
    </row>
    <row r="633" spans="2:13" ht="14.45" customHeight="1" x14ac:dyDescent="0.25">
      <c r="B633" s="17"/>
      <c r="C633" s="14"/>
      <c r="D633" s="14"/>
      <c r="E633" s="18"/>
      <c r="F633" s="61"/>
      <c r="G633" s="73"/>
      <c r="H633" s="79"/>
      <c r="I633" s="79"/>
      <c r="J633" s="14"/>
      <c r="K633" s="38"/>
      <c r="L633" s="38"/>
      <c r="M633" s="17"/>
    </row>
    <row r="634" spans="2:13" ht="14.45" customHeight="1" x14ac:dyDescent="0.25">
      <c r="B634" s="17"/>
      <c r="C634" s="14"/>
      <c r="D634" s="14"/>
      <c r="E634" s="18"/>
      <c r="F634" s="61"/>
      <c r="G634" s="73"/>
      <c r="H634" s="79"/>
      <c r="I634" s="79"/>
      <c r="J634" s="14"/>
      <c r="K634" s="38"/>
      <c r="L634" s="38"/>
      <c r="M634" s="17"/>
    </row>
    <row r="635" spans="2:13" ht="14.45" customHeight="1" x14ac:dyDescent="0.25">
      <c r="B635" s="17"/>
      <c r="C635" s="14"/>
      <c r="D635" s="14"/>
      <c r="E635" s="18"/>
      <c r="F635" s="61"/>
      <c r="G635" s="73"/>
      <c r="H635" s="79"/>
      <c r="I635" s="79"/>
      <c r="J635" s="14"/>
      <c r="K635" s="38"/>
      <c r="L635" s="38"/>
      <c r="M635" s="17"/>
    </row>
    <row r="636" spans="2:13" ht="14.45" customHeight="1" x14ac:dyDescent="0.25">
      <c r="B636" s="17"/>
      <c r="C636" s="14"/>
      <c r="D636" s="14"/>
      <c r="E636" s="18"/>
      <c r="F636" s="61"/>
      <c r="G636" s="73"/>
      <c r="H636" s="79"/>
      <c r="I636" s="79"/>
      <c r="J636" s="14"/>
      <c r="K636" s="38"/>
      <c r="L636" s="38"/>
      <c r="M636" s="17"/>
    </row>
    <row r="637" spans="2:13" ht="14.45" customHeight="1" x14ac:dyDescent="0.25">
      <c r="B637" s="17"/>
      <c r="C637" s="14"/>
      <c r="D637" s="14"/>
      <c r="E637" s="18"/>
      <c r="F637" s="61"/>
      <c r="G637" s="73"/>
      <c r="H637" s="79"/>
      <c r="I637" s="79"/>
      <c r="J637" s="14"/>
      <c r="K637" s="38"/>
      <c r="L637" s="38"/>
      <c r="M637" s="17"/>
    </row>
    <row r="638" spans="2:13" ht="14.45" customHeight="1" x14ac:dyDescent="0.25">
      <c r="B638" s="17"/>
      <c r="C638" s="14"/>
      <c r="D638" s="14"/>
      <c r="E638" s="18"/>
      <c r="F638" s="61"/>
      <c r="G638" s="73"/>
      <c r="H638" s="79"/>
      <c r="I638" s="79"/>
      <c r="J638" s="14"/>
      <c r="K638" s="38"/>
      <c r="L638" s="38"/>
      <c r="M638" s="17"/>
    </row>
    <row r="639" spans="2:13" ht="14.45" customHeight="1" x14ac:dyDescent="0.25">
      <c r="B639" s="17"/>
      <c r="C639" s="14"/>
      <c r="D639" s="14"/>
      <c r="E639" s="18"/>
      <c r="F639" s="61"/>
      <c r="G639" s="73"/>
      <c r="H639" s="79"/>
      <c r="I639" s="79"/>
      <c r="J639" s="14"/>
      <c r="K639" s="38"/>
      <c r="L639" s="38"/>
      <c r="M639" s="17"/>
    </row>
    <row r="640" spans="2:13" ht="14.45" customHeight="1" x14ac:dyDescent="0.25">
      <c r="B640" s="17"/>
      <c r="C640" s="14"/>
      <c r="D640" s="14"/>
      <c r="E640" s="18"/>
      <c r="F640" s="61"/>
      <c r="G640" s="73"/>
      <c r="H640" s="79"/>
      <c r="I640" s="79"/>
      <c r="J640" s="14"/>
      <c r="K640" s="38"/>
      <c r="L640" s="38"/>
      <c r="M640" s="17"/>
    </row>
    <row r="641" spans="2:13" ht="14.45" customHeight="1" x14ac:dyDescent="0.25">
      <c r="B641" s="17"/>
      <c r="C641" s="14"/>
      <c r="D641" s="14"/>
      <c r="E641" s="18"/>
      <c r="F641" s="61"/>
      <c r="G641" s="73"/>
      <c r="H641" s="79"/>
      <c r="I641" s="79"/>
      <c r="J641" s="14"/>
      <c r="K641" s="38"/>
      <c r="L641" s="38"/>
      <c r="M641" s="17"/>
    </row>
    <row r="642" spans="2:13" ht="14.45" customHeight="1" x14ac:dyDescent="0.25">
      <c r="B642" s="17"/>
      <c r="C642" s="14"/>
      <c r="D642" s="14"/>
      <c r="E642" s="18"/>
      <c r="F642" s="61"/>
      <c r="G642" s="73"/>
      <c r="H642" s="79"/>
      <c r="I642" s="79"/>
      <c r="J642" s="14"/>
      <c r="K642" s="38"/>
      <c r="L642" s="38"/>
      <c r="M642" s="17"/>
    </row>
    <row r="643" spans="2:13" ht="14.45" customHeight="1" x14ac:dyDescent="0.25">
      <c r="B643" s="17"/>
      <c r="C643" s="14"/>
      <c r="D643" s="14"/>
      <c r="E643" s="18"/>
      <c r="F643" s="61"/>
      <c r="G643" s="73"/>
      <c r="H643" s="79"/>
      <c r="I643" s="79"/>
      <c r="J643" s="14"/>
      <c r="K643" s="38"/>
      <c r="L643" s="38"/>
      <c r="M643" s="17"/>
    </row>
    <row r="644" spans="2:13" ht="14.45" customHeight="1" x14ac:dyDescent="0.25">
      <c r="B644" s="17"/>
      <c r="C644" s="14"/>
      <c r="D644" s="14"/>
      <c r="E644" s="18"/>
      <c r="F644" s="61"/>
      <c r="G644" s="73"/>
      <c r="H644" s="79"/>
      <c r="I644" s="79"/>
      <c r="J644" s="14"/>
      <c r="K644" s="38"/>
      <c r="L644" s="38"/>
      <c r="M644" s="17"/>
    </row>
    <row r="645" spans="2:13" ht="14.45" customHeight="1" x14ac:dyDescent="0.25">
      <c r="B645" s="17"/>
      <c r="C645" s="14"/>
      <c r="D645" s="14"/>
      <c r="E645" s="18"/>
      <c r="F645" s="61"/>
      <c r="G645" s="73"/>
      <c r="H645" s="79"/>
      <c r="I645" s="79"/>
      <c r="J645" s="14"/>
      <c r="K645" s="38"/>
      <c r="L645" s="38"/>
      <c r="M645" s="17"/>
    </row>
    <row r="646" spans="2:13" ht="14.45" customHeight="1" x14ac:dyDescent="0.25">
      <c r="B646" s="17"/>
      <c r="C646" s="14"/>
      <c r="D646" s="14"/>
      <c r="E646" s="18"/>
      <c r="F646" s="61"/>
      <c r="G646" s="73"/>
      <c r="H646" s="79"/>
      <c r="I646" s="79"/>
      <c r="J646" s="14"/>
      <c r="K646" s="38"/>
      <c r="L646" s="38"/>
      <c r="M646" s="17"/>
    </row>
    <row r="647" spans="2:13" ht="14.45" customHeight="1" x14ac:dyDescent="0.25">
      <c r="B647" s="17"/>
      <c r="C647" s="14"/>
      <c r="D647" s="14"/>
      <c r="E647" s="18"/>
      <c r="F647" s="61"/>
      <c r="G647" s="73"/>
      <c r="H647" s="79"/>
      <c r="I647" s="79"/>
      <c r="J647" s="14"/>
      <c r="K647" s="38"/>
      <c r="L647" s="38"/>
      <c r="M647" s="17"/>
    </row>
    <row r="648" spans="2:13" ht="14.45" customHeight="1" x14ac:dyDescent="0.25">
      <c r="B648" s="17"/>
      <c r="C648" s="14"/>
      <c r="D648" s="14"/>
      <c r="E648" s="18"/>
      <c r="F648" s="61"/>
      <c r="G648" s="73"/>
      <c r="H648" s="79"/>
      <c r="I648" s="79"/>
      <c r="J648" s="14"/>
      <c r="K648" s="38"/>
      <c r="L648" s="38"/>
      <c r="M648" s="17"/>
    </row>
    <row r="649" spans="2:13" ht="14.45" customHeight="1" x14ac:dyDescent="0.25">
      <c r="B649" s="17"/>
      <c r="C649" s="14"/>
      <c r="D649" s="14"/>
      <c r="E649" s="18"/>
      <c r="F649" s="61"/>
      <c r="G649" s="73"/>
      <c r="H649" s="79"/>
      <c r="I649" s="79"/>
      <c r="J649" s="14"/>
      <c r="K649" s="38"/>
      <c r="L649" s="38"/>
      <c r="M649" s="17"/>
    </row>
    <row r="650" spans="2:13" ht="14.45" customHeight="1" x14ac:dyDescent="0.25">
      <c r="B650" s="17"/>
      <c r="C650" s="14"/>
      <c r="D650" s="14"/>
      <c r="E650" s="18"/>
      <c r="F650" s="61"/>
      <c r="G650" s="73"/>
      <c r="H650" s="79"/>
      <c r="I650" s="79"/>
      <c r="J650" s="14"/>
      <c r="K650" s="38"/>
      <c r="L650" s="38"/>
      <c r="M650" s="17"/>
    </row>
    <row r="651" spans="2:13" ht="14.45" customHeight="1" x14ac:dyDescent="0.25">
      <c r="B651" s="17"/>
      <c r="C651" s="14"/>
      <c r="D651" s="14"/>
      <c r="E651" s="18"/>
      <c r="F651" s="61"/>
      <c r="G651" s="73"/>
      <c r="H651" s="79"/>
      <c r="I651" s="79"/>
      <c r="J651" s="14"/>
      <c r="K651" s="38"/>
      <c r="L651" s="38"/>
      <c r="M651" s="17"/>
    </row>
    <row r="652" spans="2:13" ht="14.45" customHeight="1" x14ac:dyDescent="0.25">
      <c r="B652" s="17"/>
      <c r="C652" s="14"/>
      <c r="D652" s="14"/>
      <c r="E652" s="18"/>
      <c r="F652" s="61"/>
      <c r="G652" s="73"/>
      <c r="H652" s="79"/>
      <c r="I652" s="79"/>
      <c r="J652" s="14"/>
      <c r="K652" s="38"/>
      <c r="L652" s="38"/>
      <c r="M652" s="17"/>
    </row>
    <row r="653" spans="2:13" ht="14.45" customHeight="1" x14ac:dyDescent="0.25">
      <c r="B653" s="17"/>
      <c r="C653" s="14"/>
      <c r="D653" s="14"/>
      <c r="E653" s="18"/>
      <c r="F653" s="61"/>
      <c r="G653" s="73"/>
      <c r="H653" s="79"/>
      <c r="I653" s="79"/>
      <c r="J653" s="14"/>
      <c r="K653" s="38"/>
      <c r="L653" s="38"/>
      <c r="M653" s="17"/>
    </row>
    <row r="654" spans="2:13" ht="14.45" customHeight="1" x14ac:dyDescent="0.25">
      <c r="B654" s="17"/>
      <c r="C654" s="14"/>
      <c r="D654" s="14"/>
      <c r="E654" s="18"/>
      <c r="F654" s="61"/>
      <c r="G654" s="73"/>
      <c r="H654" s="79"/>
      <c r="I654" s="79"/>
      <c r="J654" s="14"/>
      <c r="K654" s="38"/>
      <c r="L654" s="38"/>
      <c r="M654" s="17"/>
    </row>
    <row r="655" spans="2:13" ht="14.45" customHeight="1" x14ac:dyDescent="0.25">
      <c r="B655" s="17"/>
      <c r="C655" s="14"/>
      <c r="D655" s="14"/>
      <c r="E655" s="18"/>
      <c r="F655" s="61"/>
      <c r="G655" s="73"/>
      <c r="H655" s="79"/>
      <c r="I655" s="79"/>
      <c r="J655" s="14"/>
      <c r="K655" s="38"/>
      <c r="L655" s="38"/>
      <c r="M655" s="17"/>
    </row>
    <row r="656" spans="2:13" ht="14.45" customHeight="1" x14ac:dyDescent="0.25">
      <c r="B656" s="17"/>
      <c r="C656" s="14"/>
      <c r="D656" s="14"/>
      <c r="E656" s="18"/>
      <c r="F656" s="61"/>
      <c r="G656" s="73"/>
      <c r="H656" s="79"/>
      <c r="I656" s="79"/>
      <c r="J656" s="14"/>
      <c r="K656" s="38"/>
      <c r="L656" s="38"/>
      <c r="M656" s="17"/>
    </row>
    <row r="657" spans="2:13" ht="14.45" customHeight="1" x14ac:dyDescent="0.25">
      <c r="B657" s="17"/>
      <c r="C657" s="14"/>
      <c r="D657" s="14"/>
      <c r="E657" s="18"/>
      <c r="F657" s="61"/>
      <c r="G657" s="73"/>
      <c r="H657" s="79"/>
      <c r="I657" s="79"/>
      <c r="J657" s="14"/>
      <c r="K657" s="38"/>
      <c r="L657" s="38"/>
      <c r="M657" s="17"/>
    </row>
    <row r="658" spans="2:13" ht="14.45" customHeight="1" x14ac:dyDescent="0.25">
      <c r="B658" s="17"/>
      <c r="C658" s="14"/>
      <c r="D658" s="14"/>
      <c r="E658" s="18"/>
      <c r="F658" s="61"/>
      <c r="G658" s="73"/>
      <c r="H658" s="79"/>
      <c r="I658" s="79"/>
      <c r="J658" s="14"/>
      <c r="K658" s="38"/>
      <c r="L658" s="38"/>
      <c r="M658" s="17"/>
    </row>
    <row r="659" spans="2:13" ht="14.45" customHeight="1" x14ac:dyDescent="0.25">
      <c r="B659" s="17"/>
      <c r="C659" s="14"/>
      <c r="D659" s="14"/>
      <c r="E659" s="18"/>
      <c r="F659" s="61"/>
      <c r="G659" s="73"/>
      <c r="H659" s="79"/>
      <c r="I659" s="79"/>
      <c r="J659" s="14"/>
      <c r="K659" s="38"/>
      <c r="L659" s="38"/>
      <c r="M659" s="17"/>
    </row>
    <row r="660" spans="2:13" ht="14.45" customHeight="1" x14ac:dyDescent="0.25">
      <c r="B660" s="17"/>
      <c r="C660" s="14"/>
      <c r="D660" s="14"/>
      <c r="E660" s="18"/>
      <c r="F660" s="61"/>
      <c r="G660" s="73"/>
      <c r="H660" s="79"/>
      <c r="I660" s="79"/>
      <c r="J660" s="14"/>
      <c r="K660" s="38"/>
      <c r="L660" s="38"/>
      <c r="M660" s="17"/>
    </row>
    <row r="661" spans="2:13" ht="14.45" customHeight="1" x14ac:dyDescent="0.25">
      <c r="B661" s="17"/>
      <c r="C661" s="14"/>
      <c r="D661" s="14"/>
      <c r="E661" s="18"/>
      <c r="F661" s="61"/>
      <c r="G661" s="73"/>
      <c r="H661" s="79"/>
      <c r="I661" s="79"/>
      <c r="J661" s="14"/>
      <c r="K661" s="38"/>
      <c r="L661" s="38"/>
      <c r="M661" s="17"/>
    </row>
    <row r="662" spans="2:13" ht="14.45" customHeight="1" x14ac:dyDescent="0.25">
      <c r="B662" s="17"/>
      <c r="C662" s="14"/>
      <c r="D662" s="14"/>
      <c r="E662" s="18"/>
      <c r="F662" s="61"/>
      <c r="G662" s="73"/>
      <c r="H662" s="79"/>
      <c r="I662" s="79"/>
      <c r="J662" s="14"/>
      <c r="K662" s="38"/>
      <c r="L662" s="38"/>
      <c r="M662" s="17"/>
    </row>
    <row r="663" spans="2:13" ht="14.45" customHeight="1" x14ac:dyDescent="0.25">
      <c r="B663" s="17"/>
      <c r="C663" s="14"/>
      <c r="D663" s="14"/>
      <c r="E663" s="18"/>
      <c r="F663" s="61"/>
      <c r="G663" s="73"/>
      <c r="H663" s="79"/>
      <c r="I663" s="79"/>
      <c r="J663" s="14"/>
      <c r="K663" s="38"/>
      <c r="L663" s="38"/>
      <c r="M663" s="17"/>
    </row>
    <row r="664" spans="2:13" ht="14.45" customHeight="1" x14ac:dyDescent="0.25">
      <c r="B664" s="17"/>
      <c r="C664" s="14"/>
      <c r="D664" s="14"/>
      <c r="E664" s="18"/>
      <c r="F664" s="61"/>
      <c r="G664" s="73"/>
      <c r="H664" s="79"/>
      <c r="I664" s="79"/>
      <c r="J664" s="14"/>
      <c r="K664" s="38"/>
      <c r="L664" s="38"/>
      <c r="M664" s="17"/>
    </row>
    <row r="665" spans="2:13" ht="14.45" customHeight="1" x14ac:dyDescent="0.25">
      <c r="B665" s="17"/>
      <c r="C665" s="14"/>
      <c r="D665" s="14"/>
      <c r="E665" s="18"/>
      <c r="F665" s="61"/>
      <c r="G665" s="73"/>
      <c r="H665" s="79"/>
      <c r="I665" s="79"/>
      <c r="J665" s="14"/>
      <c r="K665" s="38"/>
      <c r="L665" s="38"/>
      <c r="M665" s="17"/>
    </row>
    <row r="666" spans="2:13" ht="14.45" customHeight="1" x14ac:dyDescent="0.25">
      <c r="B666" s="17"/>
      <c r="C666" s="14"/>
      <c r="D666" s="14"/>
      <c r="E666" s="18"/>
      <c r="F666" s="61"/>
      <c r="G666" s="73"/>
      <c r="H666" s="79"/>
      <c r="I666" s="79"/>
      <c r="J666" s="14"/>
      <c r="K666" s="38"/>
      <c r="L666" s="38"/>
      <c r="M666" s="17"/>
    </row>
    <row r="667" spans="2:13" ht="14.45" customHeight="1" x14ac:dyDescent="0.25">
      <c r="B667" s="17"/>
      <c r="C667" s="14"/>
      <c r="D667" s="14"/>
      <c r="E667" s="18"/>
      <c r="F667" s="61"/>
      <c r="G667" s="73"/>
      <c r="H667" s="79"/>
      <c r="I667" s="79"/>
      <c r="J667" s="14"/>
      <c r="K667" s="38"/>
      <c r="L667" s="38"/>
      <c r="M667" s="17"/>
    </row>
    <row r="668" spans="2:13" ht="14.45" customHeight="1" x14ac:dyDescent="0.25">
      <c r="B668" s="17"/>
      <c r="C668" s="14"/>
      <c r="D668" s="14"/>
      <c r="E668" s="18"/>
      <c r="F668" s="61"/>
      <c r="G668" s="73"/>
      <c r="H668" s="79"/>
      <c r="I668" s="79"/>
      <c r="J668" s="14"/>
      <c r="K668" s="38"/>
      <c r="L668" s="38"/>
      <c r="M668" s="17"/>
    </row>
    <row r="669" spans="2:13" ht="14.45" customHeight="1" x14ac:dyDescent="0.25">
      <c r="B669" s="17"/>
      <c r="C669" s="14"/>
      <c r="D669" s="14"/>
      <c r="E669" s="18"/>
      <c r="F669" s="61"/>
      <c r="G669" s="73"/>
      <c r="H669" s="79"/>
      <c r="I669" s="79"/>
      <c r="J669" s="14"/>
      <c r="K669" s="38"/>
      <c r="L669" s="38"/>
      <c r="M669" s="17"/>
    </row>
    <row r="670" spans="2:13" ht="14.45" customHeight="1" x14ac:dyDescent="0.25">
      <c r="B670" s="17"/>
      <c r="C670" s="14"/>
      <c r="D670" s="14"/>
      <c r="E670" s="18"/>
      <c r="F670" s="61"/>
      <c r="G670" s="73"/>
      <c r="H670" s="79"/>
      <c r="I670" s="79"/>
      <c r="J670" s="14"/>
      <c r="K670" s="38"/>
      <c r="L670" s="38"/>
      <c r="M670" s="17"/>
    </row>
    <row r="671" spans="2:13" ht="14.45" customHeight="1" x14ac:dyDescent="0.25">
      <c r="B671" s="17"/>
      <c r="C671" s="14"/>
      <c r="D671" s="14"/>
      <c r="E671" s="18"/>
      <c r="F671" s="61"/>
      <c r="G671" s="73"/>
      <c r="H671" s="79"/>
      <c r="I671" s="79"/>
      <c r="J671" s="14"/>
      <c r="K671" s="38"/>
      <c r="L671" s="38"/>
      <c r="M671" s="17"/>
    </row>
    <row r="672" spans="2:13" ht="14.45" customHeight="1" x14ac:dyDescent="0.25">
      <c r="B672" s="17"/>
      <c r="C672" s="14"/>
      <c r="D672" s="14"/>
      <c r="E672" s="18"/>
      <c r="F672" s="61"/>
      <c r="G672" s="73"/>
      <c r="H672" s="79"/>
      <c r="I672" s="79"/>
      <c r="J672" s="14"/>
      <c r="K672" s="38"/>
      <c r="L672" s="38"/>
      <c r="M672" s="17"/>
    </row>
    <row r="673" spans="2:13" ht="14.45" customHeight="1" x14ac:dyDescent="0.25">
      <c r="B673" s="17"/>
      <c r="C673" s="14"/>
      <c r="D673" s="14"/>
      <c r="E673" s="18"/>
      <c r="F673" s="61"/>
      <c r="G673" s="73"/>
      <c r="H673" s="79"/>
      <c r="I673" s="79"/>
      <c r="J673" s="14"/>
      <c r="K673" s="38"/>
      <c r="L673" s="38"/>
      <c r="M673" s="17"/>
    </row>
    <row r="674" spans="2:13" ht="14.45" customHeight="1" x14ac:dyDescent="0.25">
      <c r="B674" s="17"/>
      <c r="C674" s="14"/>
      <c r="D674" s="14"/>
      <c r="E674" s="18"/>
      <c r="F674" s="61"/>
      <c r="G674" s="73"/>
      <c r="H674" s="79"/>
      <c r="I674" s="79"/>
      <c r="J674" s="14"/>
      <c r="K674" s="38"/>
      <c r="L674" s="38"/>
      <c r="M674" s="17"/>
    </row>
    <row r="675" spans="2:13" ht="14.45" customHeight="1" x14ac:dyDescent="0.25">
      <c r="B675" s="17"/>
      <c r="C675" s="14"/>
      <c r="D675" s="14"/>
      <c r="E675" s="18"/>
      <c r="F675" s="61"/>
      <c r="G675" s="73"/>
      <c r="H675" s="79"/>
      <c r="I675" s="79"/>
      <c r="J675" s="14"/>
      <c r="K675" s="38"/>
      <c r="L675" s="38"/>
      <c r="M675" s="17"/>
    </row>
    <row r="676" spans="2:13" ht="14.45" customHeight="1" x14ac:dyDescent="0.25">
      <c r="B676" s="17"/>
      <c r="C676" s="14"/>
      <c r="D676" s="14"/>
      <c r="E676" s="18"/>
      <c r="F676" s="61"/>
      <c r="G676" s="73"/>
      <c r="H676" s="79"/>
      <c r="I676" s="79"/>
      <c r="J676" s="14"/>
      <c r="K676" s="38"/>
      <c r="L676" s="38"/>
      <c r="M676" s="17"/>
    </row>
    <row r="677" spans="2:13" ht="14.45" customHeight="1" x14ac:dyDescent="0.25">
      <c r="B677" s="17"/>
      <c r="C677" s="14"/>
      <c r="D677" s="14"/>
      <c r="E677" s="18"/>
      <c r="F677" s="61"/>
      <c r="G677" s="73"/>
      <c r="H677" s="79"/>
      <c r="I677" s="79"/>
      <c r="J677" s="14"/>
      <c r="K677" s="38"/>
      <c r="L677" s="38"/>
      <c r="M677" s="17"/>
    </row>
    <row r="678" spans="2:13" ht="14.45" customHeight="1" x14ac:dyDescent="0.25">
      <c r="B678" s="17"/>
      <c r="C678" s="14"/>
      <c r="D678" s="14"/>
      <c r="E678" s="18"/>
      <c r="F678" s="61"/>
      <c r="G678" s="73"/>
      <c r="H678" s="79"/>
      <c r="I678" s="79"/>
      <c r="J678" s="14"/>
      <c r="K678" s="38"/>
      <c r="L678" s="38"/>
      <c r="M678" s="17"/>
    </row>
    <row r="679" spans="2:13" ht="14.45" customHeight="1" x14ac:dyDescent="0.25">
      <c r="B679" s="17"/>
      <c r="C679" s="14"/>
      <c r="D679" s="14"/>
      <c r="E679" s="18"/>
      <c r="F679" s="61"/>
      <c r="G679" s="73"/>
      <c r="H679" s="79"/>
      <c r="I679" s="79"/>
      <c r="J679" s="14"/>
      <c r="K679" s="38"/>
      <c r="L679" s="38"/>
      <c r="M679" s="17"/>
    </row>
    <row r="680" spans="2:13" ht="14.45" customHeight="1" x14ac:dyDescent="0.25">
      <c r="B680" s="17"/>
      <c r="C680" s="14"/>
      <c r="D680" s="14"/>
      <c r="E680" s="18"/>
      <c r="F680" s="61"/>
      <c r="G680" s="73"/>
      <c r="H680" s="79"/>
      <c r="I680" s="79"/>
      <c r="J680" s="14"/>
      <c r="K680" s="38"/>
      <c r="L680" s="38"/>
      <c r="M680" s="17"/>
    </row>
    <row r="681" spans="2:13" ht="14.45" customHeight="1" x14ac:dyDescent="0.25">
      <c r="B681" s="17"/>
      <c r="C681" s="14"/>
      <c r="D681" s="14"/>
      <c r="E681" s="18"/>
      <c r="F681" s="61"/>
      <c r="G681" s="73"/>
      <c r="H681" s="79"/>
      <c r="I681" s="79"/>
      <c r="J681" s="14"/>
      <c r="K681" s="38"/>
      <c r="L681" s="38"/>
      <c r="M681" s="17"/>
    </row>
    <row r="682" spans="2:13" ht="14.45" customHeight="1" x14ac:dyDescent="0.25">
      <c r="B682" s="17"/>
      <c r="C682" s="14"/>
      <c r="D682" s="14"/>
      <c r="E682" s="18"/>
      <c r="F682" s="61"/>
      <c r="G682" s="73"/>
      <c r="H682" s="79"/>
      <c r="I682" s="79"/>
      <c r="J682" s="14"/>
      <c r="K682" s="38"/>
      <c r="L682" s="38"/>
      <c r="M682" s="17"/>
    </row>
    <row r="683" spans="2:13" ht="14.45" customHeight="1" x14ac:dyDescent="0.25">
      <c r="B683" s="17"/>
      <c r="C683" s="14"/>
      <c r="D683" s="14"/>
      <c r="E683" s="18"/>
      <c r="F683" s="61"/>
      <c r="G683" s="73"/>
      <c r="H683" s="79"/>
      <c r="I683" s="79"/>
      <c r="J683" s="14"/>
      <c r="K683" s="38"/>
      <c r="L683" s="38"/>
      <c r="M683" s="17"/>
    </row>
    <row r="684" spans="2:13" ht="14.45" customHeight="1" x14ac:dyDescent="0.25">
      <c r="B684" s="17"/>
      <c r="C684" s="14"/>
      <c r="D684" s="14"/>
      <c r="E684" s="18"/>
      <c r="F684" s="61"/>
      <c r="G684" s="73"/>
      <c r="H684" s="79"/>
      <c r="I684" s="79"/>
      <c r="J684" s="14"/>
      <c r="K684" s="38"/>
      <c r="L684" s="38"/>
      <c r="M684" s="17"/>
    </row>
    <row r="685" spans="2:13" ht="14.45" customHeight="1" x14ac:dyDescent="0.25">
      <c r="B685" s="17"/>
      <c r="C685" s="14"/>
      <c r="D685" s="14"/>
      <c r="E685" s="18"/>
      <c r="F685" s="61"/>
      <c r="G685" s="73"/>
      <c r="H685" s="79"/>
      <c r="I685" s="79"/>
      <c r="J685" s="14"/>
      <c r="K685" s="38"/>
      <c r="L685" s="38"/>
      <c r="M685" s="17"/>
    </row>
    <row r="686" spans="2:13" ht="14.45" customHeight="1" x14ac:dyDescent="0.25">
      <c r="B686" s="17"/>
      <c r="C686" s="14"/>
      <c r="D686" s="14"/>
      <c r="E686" s="18"/>
      <c r="F686" s="61"/>
      <c r="G686" s="73"/>
      <c r="H686" s="79"/>
      <c r="I686" s="79"/>
      <c r="J686" s="14"/>
      <c r="K686" s="38"/>
      <c r="L686" s="38"/>
      <c r="M686" s="17"/>
    </row>
    <row r="687" spans="2:13" ht="14.45" customHeight="1" x14ac:dyDescent="0.25">
      <c r="B687" s="17"/>
      <c r="C687" s="14"/>
      <c r="D687" s="14"/>
      <c r="E687" s="18"/>
      <c r="F687" s="61"/>
      <c r="G687" s="73"/>
      <c r="H687" s="79"/>
      <c r="I687" s="79"/>
      <c r="J687" s="14"/>
      <c r="K687" s="38"/>
      <c r="L687" s="38"/>
      <c r="M687" s="17"/>
    </row>
    <row r="688" spans="2:13" ht="14.45" customHeight="1" x14ac:dyDescent="0.25">
      <c r="B688" s="17"/>
      <c r="C688" s="14"/>
      <c r="D688" s="14"/>
      <c r="E688" s="18"/>
      <c r="F688" s="61"/>
      <c r="G688" s="73"/>
      <c r="H688" s="79"/>
      <c r="I688" s="79"/>
      <c r="J688" s="14"/>
      <c r="K688" s="38"/>
      <c r="L688" s="38"/>
      <c r="M688" s="17"/>
    </row>
    <row r="689" spans="2:13" ht="14.45" customHeight="1" x14ac:dyDescent="0.25">
      <c r="B689" s="17"/>
      <c r="C689" s="14"/>
      <c r="D689" s="14"/>
      <c r="E689" s="18"/>
      <c r="F689" s="61"/>
      <c r="G689" s="73"/>
      <c r="H689" s="79"/>
      <c r="I689" s="79"/>
      <c r="J689" s="14"/>
      <c r="K689" s="38"/>
      <c r="L689" s="38"/>
      <c r="M689" s="17"/>
    </row>
    <row r="690" spans="2:13" ht="14.45" customHeight="1" x14ac:dyDescent="0.25">
      <c r="B690" s="17"/>
      <c r="C690" s="14"/>
      <c r="D690" s="14"/>
      <c r="E690" s="18"/>
      <c r="F690" s="61"/>
      <c r="G690" s="73"/>
      <c r="H690" s="79"/>
      <c r="I690" s="79"/>
      <c r="J690" s="14"/>
      <c r="K690" s="38"/>
      <c r="L690" s="38"/>
      <c r="M690" s="17"/>
    </row>
    <row r="691" spans="2:13" ht="14.45" customHeight="1" x14ac:dyDescent="0.25">
      <c r="B691" s="17"/>
      <c r="C691" s="14"/>
      <c r="D691" s="14"/>
      <c r="E691" s="18"/>
      <c r="F691" s="61"/>
      <c r="G691" s="73"/>
      <c r="H691" s="79"/>
      <c r="I691" s="79"/>
      <c r="J691" s="14"/>
      <c r="K691" s="38"/>
      <c r="L691" s="38"/>
      <c r="M691" s="17"/>
    </row>
    <row r="692" spans="2:13" ht="14.45" customHeight="1" x14ac:dyDescent="0.25">
      <c r="B692" s="17"/>
      <c r="C692" s="14"/>
      <c r="D692" s="14"/>
      <c r="E692" s="18"/>
      <c r="F692" s="61"/>
      <c r="G692" s="73"/>
      <c r="H692" s="79"/>
      <c r="I692" s="79"/>
      <c r="J692" s="14"/>
      <c r="K692" s="38"/>
      <c r="L692" s="38"/>
      <c r="M692" s="17"/>
    </row>
    <row r="693" spans="2:13" ht="14.45" customHeight="1" x14ac:dyDescent="0.25">
      <c r="B693" s="17"/>
      <c r="C693" s="14"/>
      <c r="D693" s="14"/>
      <c r="E693" s="18"/>
      <c r="F693" s="61"/>
      <c r="G693" s="73"/>
      <c r="H693" s="79"/>
      <c r="I693" s="79"/>
      <c r="J693" s="14"/>
      <c r="K693" s="38"/>
      <c r="L693" s="38"/>
      <c r="M693" s="17"/>
    </row>
    <row r="694" spans="2:13" ht="14.45" customHeight="1" x14ac:dyDescent="0.25">
      <c r="B694" s="17"/>
      <c r="C694" s="14"/>
      <c r="D694" s="14"/>
      <c r="E694" s="18"/>
      <c r="F694" s="61"/>
      <c r="G694" s="73"/>
      <c r="H694" s="79"/>
      <c r="I694" s="79"/>
      <c r="J694" s="14"/>
      <c r="K694" s="38"/>
      <c r="L694" s="38"/>
      <c r="M694" s="17"/>
    </row>
    <row r="695" spans="2:13" ht="14.45" customHeight="1" x14ac:dyDescent="0.25">
      <c r="B695" s="17"/>
      <c r="C695" s="14"/>
      <c r="D695" s="14"/>
      <c r="E695" s="18"/>
      <c r="F695" s="61"/>
      <c r="G695" s="73"/>
      <c r="H695" s="79"/>
      <c r="I695" s="79"/>
      <c r="J695" s="14"/>
      <c r="K695" s="38"/>
      <c r="L695" s="38"/>
      <c r="M695" s="17"/>
    </row>
    <row r="696" spans="2:13" ht="14.45" customHeight="1" x14ac:dyDescent="0.25">
      <c r="B696" s="17"/>
      <c r="C696" s="14"/>
      <c r="D696" s="14"/>
      <c r="E696" s="18"/>
      <c r="F696" s="61"/>
      <c r="G696" s="73"/>
      <c r="H696" s="79"/>
      <c r="I696" s="79"/>
      <c r="J696" s="14"/>
      <c r="K696" s="38"/>
      <c r="L696" s="38"/>
      <c r="M696" s="17"/>
    </row>
    <row r="697" spans="2:13" ht="14.45" customHeight="1" x14ac:dyDescent="0.25">
      <c r="B697" s="17"/>
      <c r="C697" s="14"/>
      <c r="D697" s="14"/>
      <c r="E697" s="18"/>
      <c r="F697" s="61"/>
      <c r="G697" s="73"/>
      <c r="H697" s="79"/>
      <c r="I697" s="79"/>
      <c r="J697" s="14"/>
      <c r="K697" s="38"/>
      <c r="L697" s="38"/>
      <c r="M697" s="17"/>
    </row>
    <row r="698" spans="2:13" ht="14.45" customHeight="1" x14ac:dyDescent="0.25">
      <c r="B698" s="17"/>
      <c r="C698" s="14"/>
      <c r="D698" s="14"/>
      <c r="E698" s="18"/>
      <c r="F698" s="61"/>
      <c r="G698" s="73"/>
      <c r="H698" s="79"/>
      <c r="I698" s="79"/>
      <c r="J698" s="14"/>
      <c r="K698" s="38"/>
      <c r="L698" s="38"/>
      <c r="M698" s="17"/>
    </row>
    <row r="699" spans="2:13" ht="14.45" customHeight="1" x14ac:dyDescent="0.25">
      <c r="B699" s="17"/>
      <c r="C699" s="14"/>
      <c r="D699" s="14"/>
      <c r="E699" s="18"/>
      <c r="F699" s="61"/>
      <c r="G699" s="73"/>
      <c r="H699" s="79"/>
      <c r="I699" s="79"/>
      <c r="J699" s="14"/>
      <c r="K699" s="38"/>
      <c r="L699" s="38"/>
      <c r="M699" s="17"/>
    </row>
    <row r="700" spans="2:13" ht="14.45" customHeight="1" x14ac:dyDescent="0.25">
      <c r="B700" s="17"/>
      <c r="C700" s="14"/>
      <c r="D700" s="14"/>
      <c r="E700" s="18"/>
      <c r="F700" s="61"/>
      <c r="G700" s="73"/>
      <c r="H700" s="79"/>
      <c r="I700" s="79"/>
      <c r="J700" s="14"/>
      <c r="K700" s="38"/>
      <c r="L700" s="38"/>
      <c r="M700" s="17"/>
    </row>
    <row r="701" spans="2:13" ht="14.45" customHeight="1" x14ac:dyDescent="0.25">
      <c r="B701" s="17"/>
      <c r="C701" s="14"/>
      <c r="D701" s="14"/>
      <c r="E701" s="18"/>
      <c r="F701" s="61"/>
      <c r="G701" s="73"/>
      <c r="H701" s="79"/>
      <c r="I701" s="79"/>
      <c r="J701" s="14"/>
      <c r="K701" s="38"/>
      <c r="L701" s="38"/>
      <c r="M701" s="17"/>
    </row>
    <row r="702" spans="2:13" ht="14.45" customHeight="1" x14ac:dyDescent="0.25">
      <c r="B702" s="17"/>
      <c r="C702" s="14"/>
      <c r="D702" s="14"/>
      <c r="E702" s="18"/>
      <c r="F702" s="61"/>
      <c r="G702" s="73"/>
      <c r="H702" s="79"/>
      <c r="I702" s="79"/>
      <c r="J702" s="14"/>
      <c r="K702" s="38"/>
      <c r="L702" s="38"/>
      <c r="M702" s="17"/>
    </row>
    <row r="703" spans="2:13" ht="14.45" customHeight="1" x14ac:dyDescent="0.25">
      <c r="B703" s="17"/>
      <c r="C703" s="14"/>
      <c r="D703" s="14"/>
      <c r="E703" s="18"/>
      <c r="F703" s="61"/>
      <c r="G703" s="73"/>
      <c r="H703" s="79"/>
      <c r="I703" s="79"/>
      <c r="J703" s="14"/>
      <c r="K703" s="38"/>
      <c r="L703" s="38"/>
      <c r="M703" s="17"/>
    </row>
    <row r="704" spans="2:13" ht="14.45" customHeight="1" x14ac:dyDescent="0.25">
      <c r="B704" s="17"/>
      <c r="C704" s="14"/>
      <c r="D704" s="14"/>
      <c r="E704" s="18"/>
      <c r="F704" s="61"/>
      <c r="G704" s="73"/>
      <c r="H704" s="79"/>
      <c r="I704" s="79"/>
      <c r="J704" s="14"/>
      <c r="K704" s="38"/>
      <c r="L704" s="38"/>
      <c r="M704" s="17"/>
    </row>
    <row r="705" spans="2:13" ht="14.45" customHeight="1" x14ac:dyDescent="0.25">
      <c r="B705" s="17"/>
      <c r="C705" s="14"/>
      <c r="D705" s="14"/>
      <c r="E705" s="18"/>
      <c r="F705" s="61"/>
      <c r="G705" s="73"/>
      <c r="H705" s="79"/>
      <c r="I705" s="79"/>
      <c r="J705" s="14"/>
      <c r="K705" s="38"/>
      <c r="L705" s="38"/>
      <c r="M705" s="17"/>
    </row>
    <row r="706" spans="2:13" ht="14.45" customHeight="1" x14ac:dyDescent="0.25">
      <c r="B706" s="17"/>
      <c r="C706" s="14"/>
      <c r="D706" s="14"/>
      <c r="E706" s="18"/>
      <c r="F706" s="61"/>
      <c r="G706" s="73"/>
      <c r="H706" s="79"/>
      <c r="I706" s="79"/>
      <c r="J706" s="14"/>
      <c r="K706" s="38"/>
      <c r="L706" s="38"/>
      <c r="M706" s="17"/>
    </row>
    <row r="707" spans="2:13" ht="14.45" customHeight="1" x14ac:dyDescent="0.25">
      <c r="B707" s="17"/>
      <c r="C707" s="14"/>
      <c r="D707" s="14"/>
      <c r="E707" s="18"/>
      <c r="F707" s="61"/>
      <c r="G707" s="73"/>
      <c r="H707" s="79"/>
      <c r="I707" s="79"/>
      <c r="J707" s="14"/>
      <c r="K707" s="38"/>
      <c r="L707" s="38"/>
      <c r="M707" s="17"/>
    </row>
    <row r="708" spans="2:13" ht="14.45" customHeight="1" x14ac:dyDescent="0.25">
      <c r="B708" s="17"/>
      <c r="C708" s="14"/>
      <c r="D708" s="14"/>
      <c r="E708" s="18"/>
      <c r="F708" s="61"/>
      <c r="G708" s="73"/>
      <c r="H708" s="79"/>
      <c r="I708" s="79"/>
      <c r="J708" s="14"/>
      <c r="K708" s="38"/>
      <c r="L708" s="38"/>
      <c r="M708" s="17"/>
    </row>
    <row r="709" spans="2:13" ht="14.45" customHeight="1" x14ac:dyDescent="0.25">
      <c r="B709" s="17"/>
      <c r="C709" s="14"/>
      <c r="D709" s="14"/>
      <c r="E709" s="18"/>
      <c r="F709" s="61"/>
      <c r="G709" s="73"/>
      <c r="H709" s="79"/>
      <c r="I709" s="79"/>
      <c r="J709" s="14"/>
      <c r="K709" s="38"/>
      <c r="L709" s="38"/>
      <c r="M709" s="17"/>
    </row>
    <row r="710" spans="2:13" ht="14.45" customHeight="1" x14ac:dyDescent="0.25">
      <c r="B710" s="17"/>
      <c r="C710" s="14"/>
      <c r="D710" s="14"/>
      <c r="E710" s="18"/>
      <c r="F710" s="61"/>
      <c r="G710" s="73"/>
      <c r="H710" s="79"/>
      <c r="I710" s="79"/>
      <c r="J710" s="14"/>
      <c r="K710" s="38"/>
      <c r="L710" s="38"/>
      <c r="M710" s="17"/>
    </row>
    <row r="711" spans="2:13" ht="14.45" customHeight="1" x14ac:dyDescent="0.25">
      <c r="B711" s="17"/>
      <c r="C711" s="14"/>
      <c r="D711" s="14"/>
      <c r="E711" s="18"/>
      <c r="F711" s="61"/>
      <c r="G711" s="73"/>
      <c r="H711" s="79"/>
      <c r="I711" s="79"/>
      <c r="J711" s="14"/>
      <c r="K711" s="38"/>
      <c r="L711" s="38"/>
      <c r="M711" s="17"/>
    </row>
    <row r="712" spans="2:13" ht="14.45" customHeight="1" x14ac:dyDescent="0.25">
      <c r="B712" s="17"/>
      <c r="C712" s="14"/>
      <c r="D712" s="14"/>
      <c r="E712" s="18"/>
      <c r="F712" s="61"/>
      <c r="G712" s="73"/>
      <c r="H712" s="79"/>
      <c r="I712" s="79"/>
      <c r="J712" s="14"/>
      <c r="K712" s="38"/>
      <c r="L712" s="38"/>
      <c r="M712" s="17"/>
    </row>
    <row r="713" spans="2:13" ht="14.45" customHeight="1" x14ac:dyDescent="0.25">
      <c r="B713" s="17"/>
      <c r="C713" s="14"/>
      <c r="D713" s="14"/>
      <c r="E713" s="18"/>
      <c r="F713" s="61"/>
      <c r="G713" s="73"/>
      <c r="H713" s="79"/>
      <c r="I713" s="79"/>
      <c r="J713" s="14"/>
      <c r="K713" s="38"/>
      <c r="L713" s="38"/>
      <c r="M713" s="17"/>
    </row>
    <row r="714" spans="2:13" ht="14.45" customHeight="1" x14ac:dyDescent="0.25">
      <c r="B714" s="17"/>
      <c r="C714" s="14"/>
      <c r="D714" s="14"/>
      <c r="E714" s="18"/>
      <c r="F714" s="61"/>
      <c r="G714" s="73"/>
      <c r="H714" s="79"/>
      <c r="I714" s="79"/>
      <c r="J714" s="14"/>
      <c r="K714" s="38"/>
      <c r="L714" s="38"/>
      <c r="M714" s="17"/>
    </row>
    <row r="715" spans="2:13" ht="14.45" customHeight="1" x14ac:dyDescent="0.25">
      <c r="B715" s="17"/>
      <c r="C715" s="14"/>
      <c r="D715" s="14"/>
      <c r="E715" s="18"/>
      <c r="F715" s="61"/>
      <c r="G715" s="73"/>
      <c r="H715" s="79"/>
      <c r="I715" s="79"/>
      <c r="J715" s="14"/>
      <c r="K715" s="38"/>
      <c r="L715" s="38"/>
      <c r="M715" s="17"/>
    </row>
    <row r="716" spans="2:13" ht="14.45" customHeight="1" x14ac:dyDescent="0.25">
      <c r="B716" s="17"/>
      <c r="C716" s="14"/>
      <c r="D716" s="14"/>
      <c r="E716" s="18"/>
      <c r="F716" s="61"/>
      <c r="G716" s="73"/>
      <c r="H716" s="79"/>
      <c r="I716" s="79"/>
      <c r="J716" s="14"/>
      <c r="K716" s="38"/>
      <c r="L716" s="38"/>
      <c r="M716" s="17"/>
    </row>
    <row r="717" spans="2:13" ht="14.45" customHeight="1" x14ac:dyDescent="0.25">
      <c r="B717" s="17"/>
      <c r="C717" s="14"/>
      <c r="D717" s="14"/>
      <c r="E717" s="18"/>
      <c r="F717" s="61"/>
      <c r="G717" s="73"/>
      <c r="H717" s="79"/>
      <c r="I717" s="79"/>
      <c r="J717" s="14"/>
      <c r="K717" s="38"/>
      <c r="L717" s="38"/>
      <c r="M717" s="17"/>
    </row>
    <row r="718" spans="2:13" ht="14.45" customHeight="1" x14ac:dyDescent="0.25">
      <c r="B718" s="17"/>
      <c r="C718" s="14"/>
      <c r="D718" s="14"/>
      <c r="E718" s="18"/>
      <c r="F718" s="61"/>
      <c r="G718" s="73"/>
      <c r="H718" s="79"/>
      <c r="I718" s="79"/>
      <c r="J718" s="14"/>
      <c r="K718" s="38"/>
      <c r="L718" s="38"/>
      <c r="M718" s="17"/>
    </row>
    <row r="719" spans="2:13" ht="14.45" customHeight="1" x14ac:dyDescent="0.25">
      <c r="B719" s="17"/>
      <c r="C719" s="14"/>
      <c r="D719" s="14"/>
      <c r="E719" s="18"/>
      <c r="F719" s="61"/>
      <c r="G719" s="73"/>
      <c r="H719" s="79"/>
      <c r="I719" s="79"/>
      <c r="J719" s="14"/>
      <c r="K719" s="38"/>
      <c r="L719" s="38"/>
      <c r="M719" s="17"/>
    </row>
    <row r="720" spans="2:13" ht="14.45" customHeight="1" x14ac:dyDescent="0.25">
      <c r="B720" s="17"/>
      <c r="C720" s="14"/>
      <c r="D720" s="14"/>
      <c r="E720" s="18"/>
      <c r="F720" s="61"/>
      <c r="G720" s="73"/>
      <c r="H720" s="79"/>
      <c r="I720" s="79"/>
      <c r="J720" s="14"/>
      <c r="K720" s="38"/>
      <c r="L720" s="38"/>
      <c r="M720" s="17"/>
    </row>
    <row r="721" spans="2:13" ht="14.45" customHeight="1" x14ac:dyDescent="0.25">
      <c r="B721" s="17"/>
      <c r="C721" s="14"/>
      <c r="D721" s="14"/>
      <c r="E721" s="18"/>
      <c r="F721" s="61"/>
      <c r="G721" s="73"/>
      <c r="H721" s="79"/>
      <c r="I721" s="79"/>
      <c r="J721" s="14"/>
      <c r="K721" s="38"/>
      <c r="L721" s="38"/>
      <c r="M721" s="17"/>
    </row>
    <row r="722" spans="2:13" ht="14.45" customHeight="1" x14ac:dyDescent="0.25">
      <c r="B722" s="17"/>
      <c r="C722" s="14"/>
      <c r="D722" s="14"/>
      <c r="E722" s="18"/>
      <c r="F722" s="61"/>
      <c r="G722" s="73"/>
      <c r="H722" s="79"/>
      <c r="I722" s="79"/>
      <c r="J722" s="14"/>
      <c r="K722" s="38"/>
      <c r="L722" s="38"/>
      <c r="M722" s="17"/>
    </row>
    <row r="723" spans="2:13" ht="14.45" customHeight="1" x14ac:dyDescent="0.25">
      <c r="B723" s="17"/>
      <c r="C723" s="14"/>
      <c r="D723" s="14"/>
      <c r="E723" s="18"/>
      <c r="F723" s="61"/>
      <c r="G723" s="73"/>
      <c r="H723" s="79"/>
      <c r="I723" s="79"/>
      <c r="J723" s="14"/>
      <c r="K723" s="38"/>
      <c r="L723" s="38"/>
      <c r="M723" s="17"/>
    </row>
    <row r="724" spans="2:13" ht="14.45" customHeight="1" x14ac:dyDescent="0.25">
      <c r="B724" s="17"/>
      <c r="C724" s="14"/>
      <c r="D724" s="14"/>
      <c r="E724" s="18"/>
      <c r="F724" s="61"/>
      <c r="G724" s="73"/>
      <c r="H724" s="79"/>
      <c r="I724" s="79"/>
      <c r="J724" s="14"/>
      <c r="K724" s="38"/>
      <c r="L724" s="38"/>
      <c r="M724" s="17"/>
    </row>
    <row r="725" spans="2:13" ht="14.45" customHeight="1" x14ac:dyDescent="0.25">
      <c r="B725" s="17"/>
      <c r="C725" s="14"/>
      <c r="D725" s="14"/>
      <c r="E725" s="18"/>
      <c r="F725" s="61"/>
      <c r="G725" s="73"/>
      <c r="H725" s="79"/>
      <c r="I725" s="79"/>
      <c r="J725" s="14"/>
      <c r="K725" s="38"/>
      <c r="L725" s="38"/>
      <c r="M725" s="17"/>
    </row>
    <row r="726" spans="2:13" ht="14.45" customHeight="1" x14ac:dyDescent="0.25">
      <c r="B726" s="17"/>
      <c r="C726" s="14"/>
      <c r="D726" s="14"/>
      <c r="E726" s="18"/>
      <c r="F726" s="61"/>
      <c r="G726" s="73"/>
      <c r="H726" s="79"/>
      <c r="I726" s="79"/>
      <c r="J726" s="14"/>
      <c r="K726" s="38"/>
      <c r="L726" s="38"/>
      <c r="M726" s="17"/>
    </row>
    <row r="727" spans="2:13" ht="14.45" customHeight="1" x14ac:dyDescent="0.25">
      <c r="B727" s="17"/>
      <c r="C727" s="14"/>
      <c r="D727" s="14"/>
      <c r="E727" s="18"/>
      <c r="F727" s="61"/>
      <c r="G727" s="73"/>
      <c r="H727" s="79"/>
      <c r="I727" s="79"/>
      <c r="J727" s="14"/>
      <c r="K727" s="38"/>
      <c r="L727" s="38"/>
      <c r="M727" s="17"/>
    </row>
    <row r="728" spans="2:13" ht="14.45" customHeight="1" x14ac:dyDescent="0.25">
      <c r="B728" s="17"/>
      <c r="C728" s="14"/>
      <c r="D728" s="14"/>
      <c r="E728" s="18"/>
      <c r="F728" s="61"/>
      <c r="G728" s="73"/>
      <c r="H728" s="79"/>
      <c r="I728" s="79"/>
      <c r="J728" s="14"/>
      <c r="K728" s="38"/>
      <c r="L728" s="38"/>
      <c r="M728" s="17"/>
    </row>
    <row r="729" spans="2:13" ht="14.45" customHeight="1" x14ac:dyDescent="0.25">
      <c r="B729" s="17"/>
      <c r="C729" s="14"/>
      <c r="D729" s="14"/>
      <c r="E729" s="18"/>
      <c r="F729" s="61"/>
      <c r="G729" s="73"/>
      <c r="H729" s="79"/>
      <c r="I729" s="79"/>
      <c r="J729" s="14"/>
      <c r="K729" s="38"/>
      <c r="L729" s="38"/>
      <c r="M729" s="17"/>
    </row>
    <row r="730" spans="2:13" ht="14.45" customHeight="1" x14ac:dyDescent="0.25">
      <c r="B730" s="17"/>
      <c r="C730" s="14"/>
      <c r="D730" s="14"/>
      <c r="E730" s="18"/>
      <c r="F730" s="61"/>
      <c r="G730" s="73"/>
      <c r="H730" s="79"/>
      <c r="I730" s="79"/>
      <c r="J730" s="14"/>
      <c r="K730" s="38"/>
      <c r="L730" s="38"/>
      <c r="M730" s="17"/>
    </row>
    <row r="731" spans="2:13" ht="14.45" customHeight="1" x14ac:dyDescent="0.25">
      <c r="B731" s="17"/>
      <c r="C731" s="14"/>
      <c r="D731" s="14"/>
      <c r="E731" s="18"/>
      <c r="F731" s="61"/>
      <c r="G731" s="73"/>
      <c r="H731" s="79"/>
      <c r="I731" s="79"/>
      <c r="J731" s="14"/>
      <c r="K731" s="38"/>
      <c r="L731" s="38"/>
      <c r="M731" s="17"/>
    </row>
    <row r="732" spans="2:13" ht="14.45" customHeight="1" x14ac:dyDescent="0.25">
      <c r="B732" s="17"/>
      <c r="C732" s="14"/>
      <c r="D732" s="14"/>
      <c r="E732" s="18"/>
      <c r="F732" s="61"/>
      <c r="G732" s="73"/>
      <c r="H732" s="79"/>
      <c r="I732" s="79"/>
      <c r="J732" s="14"/>
      <c r="K732" s="38"/>
      <c r="L732" s="38"/>
      <c r="M732" s="17"/>
    </row>
    <row r="733" spans="2:13" ht="14.45" customHeight="1" x14ac:dyDescent="0.25">
      <c r="B733" s="17"/>
      <c r="C733" s="14"/>
      <c r="D733" s="14"/>
      <c r="E733" s="18"/>
      <c r="F733" s="61"/>
      <c r="G733" s="73"/>
      <c r="H733" s="79"/>
      <c r="I733" s="79"/>
      <c r="J733" s="14"/>
      <c r="K733" s="38"/>
      <c r="L733" s="38"/>
      <c r="M733" s="17"/>
    </row>
    <row r="734" spans="2:13" ht="14.45" customHeight="1" x14ac:dyDescent="0.25">
      <c r="B734" s="17"/>
      <c r="C734" s="14"/>
      <c r="D734" s="14"/>
      <c r="E734" s="18"/>
      <c r="F734" s="61"/>
      <c r="G734" s="73"/>
      <c r="H734" s="79"/>
      <c r="I734" s="79"/>
      <c r="J734" s="14"/>
      <c r="K734" s="38"/>
      <c r="L734" s="38"/>
      <c r="M734" s="17"/>
    </row>
    <row r="735" spans="2:13" ht="14.45" customHeight="1" x14ac:dyDescent="0.25">
      <c r="B735" s="17"/>
      <c r="C735" s="14"/>
      <c r="D735" s="14"/>
      <c r="E735" s="18"/>
      <c r="F735" s="61"/>
      <c r="G735" s="73"/>
      <c r="H735" s="79"/>
      <c r="I735" s="79"/>
      <c r="J735" s="14"/>
      <c r="K735" s="38"/>
      <c r="L735" s="38"/>
      <c r="M735" s="17"/>
    </row>
    <row r="736" spans="2:13" ht="14.45" customHeight="1" x14ac:dyDescent="0.25">
      <c r="B736" s="17"/>
      <c r="C736" s="14"/>
      <c r="D736" s="14"/>
      <c r="E736" s="18"/>
      <c r="F736" s="61"/>
      <c r="G736" s="73"/>
      <c r="H736" s="79"/>
      <c r="I736" s="79"/>
      <c r="J736" s="14"/>
      <c r="K736" s="38"/>
      <c r="L736" s="38"/>
      <c r="M736" s="17"/>
    </row>
    <row r="737" spans="2:13" ht="14.45" customHeight="1" x14ac:dyDescent="0.25">
      <c r="B737" s="17"/>
      <c r="C737" s="14"/>
      <c r="D737" s="14"/>
      <c r="E737" s="18"/>
      <c r="F737" s="61"/>
      <c r="G737" s="73"/>
      <c r="H737" s="79"/>
      <c r="I737" s="79"/>
      <c r="J737" s="14"/>
      <c r="K737" s="38"/>
      <c r="L737" s="38"/>
      <c r="M737" s="17"/>
    </row>
    <row r="738" spans="2:13" ht="14.45" customHeight="1" x14ac:dyDescent="0.25">
      <c r="B738" s="17"/>
      <c r="C738" s="14"/>
      <c r="D738" s="14"/>
      <c r="E738" s="18"/>
      <c r="F738" s="61"/>
      <c r="G738" s="73"/>
      <c r="H738" s="79"/>
      <c r="I738" s="79"/>
      <c r="J738" s="14"/>
      <c r="K738" s="38"/>
      <c r="L738" s="38"/>
      <c r="M738" s="17"/>
    </row>
    <row r="739" spans="2:13" ht="14.45" customHeight="1" x14ac:dyDescent="0.25">
      <c r="B739" s="17"/>
      <c r="C739" s="14"/>
      <c r="D739" s="14"/>
      <c r="E739" s="18"/>
      <c r="F739" s="61"/>
      <c r="G739" s="73"/>
      <c r="H739" s="79"/>
      <c r="I739" s="79"/>
      <c r="J739" s="14"/>
      <c r="K739" s="38"/>
      <c r="L739" s="38"/>
      <c r="M739" s="17"/>
    </row>
    <row r="740" spans="2:13" ht="14.45" customHeight="1" x14ac:dyDescent="0.25">
      <c r="B740" s="17"/>
      <c r="C740" s="14"/>
      <c r="D740" s="14"/>
      <c r="E740" s="18"/>
      <c r="F740" s="61"/>
      <c r="G740" s="73"/>
      <c r="H740" s="79"/>
      <c r="I740" s="79"/>
      <c r="J740" s="14"/>
      <c r="K740" s="38"/>
      <c r="L740" s="38"/>
      <c r="M740" s="17"/>
    </row>
    <row r="741" spans="2:13" ht="14.45" customHeight="1" x14ac:dyDescent="0.25">
      <c r="B741" s="17"/>
      <c r="C741" s="14"/>
      <c r="D741" s="14"/>
      <c r="E741" s="18"/>
      <c r="F741" s="61"/>
      <c r="G741" s="73"/>
      <c r="H741" s="79"/>
      <c r="I741" s="79"/>
      <c r="J741" s="14"/>
      <c r="K741" s="38"/>
      <c r="L741" s="38"/>
      <c r="M741" s="17"/>
    </row>
    <row r="742" spans="2:13" ht="14.45" customHeight="1" x14ac:dyDescent="0.25">
      <c r="B742" s="17"/>
      <c r="C742" s="14"/>
      <c r="D742" s="14"/>
      <c r="E742" s="18"/>
      <c r="F742" s="61"/>
      <c r="G742" s="73"/>
      <c r="H742" s="79"/>
      <c r="I742" s="79"/>
      <c r="J742" s="14"/>
      <c r="K742" s="38"/>
      <c r="L742" s="38"/>
      <c r="M742" s="17"/>
    </row>
    <row r="743" spans="2:13" ht="14.45" customHeight="1" x14ac:dyDescent="0.25">
      <c r="B743" s="17"/>
      <c r="C743" s="14"/>
      <c r="D743" s="14"/>
      <c r="E743" s="18"/>
      <c r="F743" s="61"/>
      <c r="G743" s="73"/>
      <c r="H743" s="79"/>
      <c r="I743" s="79"/>
      <c r="J743" s="14"/>
      <c r="K743" s="38"/>
      <c r="L743" s="38"/>
      <c r="M743" s="17"/>
    </row>
    <row r="744" spans="2:13" ht="14.45" customHeight="1" x14ac:dyDescent="0.25">
      <c r="B744" s="17"/>
      <c r="C744" s="14"/>
      <c r="D744" s="14"/>
      <c r="E744" s="18"/>
      <c r="F744" s="61"/>
      <c r="G744" s="73"/>
      <c r="H744" s="79"/>
      <c r="I744" s="79"/>
      <c r="J744" s="14"/>
      <c r="K744" s="38"/>
      <c r="L744" s="38"/>
      <c r="M744" s="17"/>
    </row>
    <row r="745" spans="2:13" ht="14.45" customHeight="1" x14ac:dyDescent="0.25">
      <c r="B745" s="17"/>
      <c r="C745" s="14"/>
      <c r="D745" s="14"/>
      <c r="E745" s="18"/>
      <c r="F745" s="61"/>
      <c r="G745" s="73"/>
      <c r="H745" s="79"/>
      <c r="I745" s="79"/>
      <c r="J745" s="14"/>
      <c r="K745" s="38"/>
      <c r="L745" s="38"/>
      <c r="M745" s="17"/>
    </row>
    <row r="746" spans="2:13" ht="14.45" customHeight="1" x14ac:dyDescent="0.25">
      <c r="B746" s="17"/>
      <c r="C746" s="14"/>
      <c r="D746" s="14"/>
      <c r="E746" s="18"/>
      <c r="F746" s="61"/>
      <c r="G746" s="73"/>
      <c r="H746" s="79"/>
      <c r="I746" s="79"/>
      <c r="J746" s="14"/>
      <c r="K746" s="38"/>
      <c r="L746" s="38"/>
      <c r="M746" s="17"/>
    </row>
    <row r="747" spans="2:13" ht="14.45" customHeight="1" x14ac:dyDescent="0.25">
      <c r="B747" s="17"/>
      <c r="C747" s="14"/>
      <c r="D747" s="14"/>
      <c r="E747" s="18"/>
      <c r="F747" s="61"/>
      <c r="G747" s="73"/>
      <c r="H747" s="79"/>
      <c r="I747" s="79"/>
      <c r="J747" s="14"/>
      <c r="K747" s="38"/>
      <c r="L747" s="38"/>
      <c r="M747" s="17"/>
    </row>
    <row r="748" spans="2:13" ht="14.45" customHeight="1" x14ac:dyDescent="0.25">
      <c r="B748" s="17"/>
      <c r="C748" s="14"/>
      <c r="D748" s="14"/>
      <c r="E748" s="18"/>
      <c r="F748" s="61"/>
      <c r="G748" s="73"/>
      <c r="H748" s="79"/>
      <c r="I748" s="79"/>
      <c r="J748" s="14"/>
      <c r="K748" s="38"/>
      <c r="L748" s="38"/>
      <c r="M748" s="17"/>
    </row>
    <row r="749" spans="2:13" ht="14.45" customHeight="1" x14ac:dyDescent="0.25">
      <c r="B749" s="17"/>
      <c r="C749" s="14"/>
      <c r="D749" s="14"/>
      <c r="E749" s="18"/>
      <c r="F749" s="61"/>
      <c r="G749" s="73"/>
      <c r="H749" s="79"/>
      <c r="I749" s="79"/>
      <c r="J749" s="14"/>
      <c r="K749" s="38"/>
      <c r="L749" s="38"/>
      <c r="M749" s="17"/>
    </row>
    <row r="750" spans="2:13" ht="14.45" customHeight="1" x14ac:dyDescent="0.25">
      <c r="B750" s="17"/>
      <c r="C750" s="14"/>
      <c r="D750" s="14"/>
      <c r="E750" s="18"/>
      <c r="F750" s="61"/>
      <c r="G750" s="73"/>
      <c r="H750" s="79"/>
      <c r="I750" s="79"/>
      <c r="J750" s="14"/>
      <c r="K750" s="38"/>
      <c r="L750" s="38"/>
      <c r="M750" s="17"/>
    </row>
    <row r="751" spans="2:13" ht="14.45" customHeight="1" x14ac:dyDescent="0.25">
      <c r="B751" s="17"/>
      <c r="C751" s="14"/>
      <c r="D751" s="14"/>
      <c r="E751" s="18"/>
      <c r="F751" s="61"/>
      <c r="G751" s="73"/>
      <c r="H751" s="79"/>
      <c r="I751" s="79"/>
      <c r="J751" s="14"/>
      <c r="K751" s="38"/>
      <c r="L751" s="38"/>
      <c r="M751" s="17"/>
    </row>
    <row r="752" spans="2:13" ht="14.45" customHeight="1" x14ac:dyDescent="0.25">
      <c r="B752" s="17"/>
      <c r="C752" s="14"/>
      <c r="D752" s="14"/>
      <c r="E752" s="18"/>
      <c r="F752" s="61"/>
      <c r="G752" s="73"/>
      <c r="H752" s="79"/>
      <c r="I752" s="79"/>
      <c r="J752" s="14"/>
      <c r="K752" s="38"/>
      <c r="L752" s="38"/>
      <c r="M752" s="17"/>
    </row>
    <row r="753" spans="2:13" ht="14.45" customHeight="1" x14ac:dyDescent="0.25">
      <c r="B753" s="17"/>
      <c r="C753" s="14"/>
      <c r="D753" s="14"/>
      <c r="E753" s="18"/>
      <c r="F753" s="61"/>
      <c r="G753" s="73"/>
      <c r="H753" s="79"/>
      <c r="I753" s="79"/>
      <c r="J753" s="14"/>
      <c r="K753" s="38"/>
      <c r="L753" s="38"/>
      <c r="M753" s="17"/>
    </row>
    <row r="754" spans="2:13" ht="14.45" customHeight="1" x14ac:dyDescent="0.25">
      <c r="B754" s="17"/>
      <c r="C754" s="14"/>
      <c r="D754" s="14"/>
      <c r="E754" s="18"/>
      <c r="F754" s="61"/>
      <c r="G754" s="73"/>
      <c r="H754" s="79"/>
      <c r="I754" s="79"/>
      <c r="J754" s="14"/>
      <c r="K754" s="38"/>
      <c r="L754" s="38"/>
      <c r="M754" s="17"/>
    </row>
    <row r="755" spans="2:13" ht="14.45" customHeight="1" x14ac:dyDescent="0.25">
      <c r="B755" s="17"/>
      <c r="C755" s="14"/>
      <c r="D755" s="14"/>
      <c r="E755" s="18"/>
      <c r="F755" s="61"/>
      <c r="G755" s="73"/>
      <c r="H755" s="79"/>
      <c r="I755" s="79"/>
      <c r="J755" s="14"/>
      <c r="K755" s="38"/>
      <c r="L755" s="38"/>
      <c r="M755" s="17"/>
    </row>
    <row r="756" spans="2:13" ht="14.45" customHeight="1" x14ac:dyDescent="0.25">
      <c r="B756" s="17"/>
      <c r="C756" s="14"/>
      <c r="D756" s="14"/>
      <c r="E756" s="18"/>
      <c r="F756" s="61"/>
      <c r="G756" s="73"/>
      <c r="H756" s="79"/>
      <c r="I756" s="79"/>
      <c r="J756" s="14"/>
      <c r="K756" s="38"/>
      <c r="L756" s="38"/>
      <c r="M756" s="17"/>
    </row>
    <row r="757" spans="2:13" ht="14.45" customHeight="1" x14ac:dyDescent="0.25">
      <c r="B757" s="17"/>
      <c r="C757" s="14"/>
      <c r="D757" s="14"/>
      <c r="E757" s="18"/>
      <c r="F757" s="61"/>
      <c r="G757" s="73"/>
      <c r="H757" s="79"/>
      <c r="I757" s="79"/>
      <c r="J757" s="14"/>
      <c r="K757" s="38"/>
      <c r="L757" s="38"/>
      <c r="M757" s="17"/>
    </row>
    <row r="758" spans="2:13" ht="14.45" customHeight="1" x14ac:dyDescent="0.25">
      <c r="B758" s="17"/>
      <c r="C758" s="14"/>
      <c r="D758" s="14"/>
      <c r="E758" s="18"/>
      <c r="F758" s="61"/>
      <c r="G758" s="73"/>
      <c r="H758" s="79"/>
      <c r="I758" s="79"/>
      <c r="J758" s="14"/>
      <c r="K758" s="38"/>
      <c r="L758" s="38"/>
      <c r="M758" s="17"/>
    </row>
    <row r="759" spans="2:13" ht="14.45" customHeight="1" x14ac:dyDescent="0.25">
      <c r="B759" s="17"/>
      <c r="C759" s="14"/>
      <c r="D759" s="14"/>
      <c r="E759" s="18"/>
      <c r="F759" s="61"/>
      <c r="G759" s="73"/>
      <c r="H759" s="79"/>
      <c r="I759" s="79"/>
      <c r="J759" s="14"/>
      <c r="K759" s="38"/>
      <c r="L759" s="38"/>
      <c r="M759" s="17"/>
    </row>
    <row r="760" spans="2:13" ht="14.45" customHeight="1" x14ac:dyDescent="0.25">
      <c r="B760" s="17"/>
      <c r="C760" s="14"/>
      <c r="D760" s="14"/>
      <c r="E760" s="18"/>
      <c r="F760" s="61"/>
      <c r="G760" s="73"/>
      <c r="H760" s="79"/>
      <c r="I760" s="79"/>
      <c r="J760" s="14"/>
      <c r="K760" s="38"/>
      <c r="L760" s="38"/>
      <c r="M760" s="17"/>
    </row>
    <row r="761" spans="2:13" ht="14.45" customHeight="1" x14ac:dyDescent="0.25">
      <c r="B761" s="17"/>
      <c r="C761" s="14"/>
      <c r="D761" s="14"/>
      <c r="E761" s="18"/>
      <c r="F761" s="61"/>
      <c r="G761" s="73"/>
      <c r="H761" s="79"/>
      <c r="I761" s="79"/>
      <c r="J761" s="14"/>
      <c r="K761" s="38"/>
      <c r="L761" s="38"/>
      <c r="M761" s="17"/>
    </row>
    <row r="762" spans="2:13" ht="14.45" customHeight="1" x14ac:dyDescent="0.25">
      <c r="B762" s="17"/>
      <c r="C762" s="14"/>
      <c r="D762" s="14"/>
      <c r="E762" s="18"/>
      <c r="F762" s="61"/>
      <c r="G762" s="73"/>
      <c r="H762" s="79"/>
      <c r="I762" s="79"/>
      <c r="J762" s="14"/>
      <c r="K762" s="38"/>
      <c r="L762" s="38"/>
      <c r="M762" s="17"/>
    </row>
    <row r="763" spans="2:13" ht="14.45" customHeight="1" x14ac:dyDescent="0.25">
      <c r="B763" s="17"/>
      <c r="C763" s="14"/>
      <c r="D763" s="14"/>
      <c r="E763" s="18"/>
      <c r="F763" s="61"/>
      <c r="G763" s="73"/>
      <c r="H763" s="79"/>
      <c r="I763" s="79"/>
      <c r="J763" s="14"/>
      <c r="K763" s="38"/>
      <c r="L763" s="38"/>
      <c r="M763" s="17"/>
    </row>
    <row r="764" spans="2:13" ht="14.45" customHeight="1" x14ac:dyDescent="0.25">
      <c r="B764" s="17"/>
      <c r="C764" s="14"/>
      <c r="D764" s="14"/>
      <c r="E764" s="18"/>
      <c r="F764" s="61"/>
      <c r="G764" s="73"/>
      <c r="H764" s="79"/>
      <c r="I764" s="79"/>
      <c r="J764" s="14"/>
      <c r="K764" s="38"/>
      <c r="L764" s="38"/>
      <c r="M764" s="17"/>
    </row>
    <row r="765" spans="2:13" ht="14.45" customHeight="1" x14ac:dyDescent="0.25">
      <c r="B765" s="17"/>
      <c r="C765" s="14"/>
      <c r="D765" s="14"/>
      <c r="E765" s="18"/>
      <c r="F765" s="61"/>
      <c r="G765" s="73"/>
      <c r="H765" s="79"/>
      <c r="I765" s="79"/>
      <c r="J765" s="14"/>
      <c r="K765" s="38"/>
      <c r="L765" s="38"/>
      <c r="M765" s="17"/>
    </row>
    <row r="766" spans="2:13" ht="14.45" customHeight="1" x14ac:dyDescent="0.25">
      <c r="B766" s="17"/>
      <c r="C766" s="14"/>
      <c r="D766" s="14"/>
      <c r="E766" s="18"/>
      <c r="F766" s="61"/>
      <c r="G766" s="73"/>
      <c r="H766" s="79"/>
      <c r="I766" s="79"/>
      <c r="J766" s="14"/>
      <c r="K766" s="38"/>
      <c r="L766" s="38"/>
      <c r="M766" s="17"/>
    </row>
    <row r="767" spans="2:13" ht="14.45" customHeight="1" x14ac:dyDescent="0.25">
      <c r="B767" s="17"/>
      <c r="C767" s="14"/>
      <c r="D767" s="14"/>
      <c r="E767" s="18"/>
      <c r="F767" s="61"/>
      <c r="G767" s="73"/>
      <c r="H767" s="79"/>
      <c r="I767" s="79"/>
      <c r="J767" s="14"/>
      <c r="K767" s="38"/>
      <c r="L767" s="38"/>
      <c r="M767" s="17"/>
    </row>
    <row r="768" spans="2:13" ht="14.45" customHeight="1" x14ac:dyDescent="0.25">
      <c r="B768" s="17"/>
      <c r="C768" s="14"/>
      <c r="D768" s="14"/>
      <c r="E768" s="18"/>
      <c r="F768" s="61"/>
      <c r="G768" s="73"/>
      <c r="H768" s="79"/>
      <c r="I768" s="79"/>
      <c r="J768" s="14"/>
      <c r="K768" s="38"/>
      <c r="L768" s="38"/>
      <c r="M768" s="17"/>
    </row>
    <row r="769" spans="2:13" ht="14.45" customHeight="1" x14ac:dyDescent="0.25">
      <c r="B769" s="17"/>
      <c r="C769" s="14"/>
      <c r="D769" s="14"/>
      <c r="E769" s="18"/>
      <c r="F769" s="61"/>
      <c r="G769" s="73"/>
      <c r="H769" s="79"/>
      <c r="I769" s="79"/>
      <c r="J769" s="14"/>
      <c r="K769" s="38"/>
      <c r="L769" s="38"/>
      <c r="M769" s="17"/>
    </row>
    <row r="770" spans="2:13" ht="14.45" customHeight="1" x14ac:dyDescent="0.25">
      <c r="B770" s="17"/>
      <c r="C770" s="14"/>
      <c r="D770" s="14"/>
      <c r="E770" s="18"/>
      <c r="F770" s="61"/>
      <c r="G770" s="73"/>
      <c r="H770" s="79"/>
      <c r="I770" s="79"/>
      <c r="J770" s="14"/>
      <c r="K770" s="38"/>
      <c r="L770" s="38"/>
      <c r="M770" s="17"/>
    </row>
    <row r="771" spans="2:13" ht="14.45" customHeight="1" x14ac:dyDescent="0.25">
      <c r="B771" s="17"/>
      <c r="C771" s="14"/>
      <c r="D771" s="14"/>
      <c r="E771" s="18"/>
      <c r="F771" s="61"/>
      <c r="G771" s="73"/>
      <c r="H771" s="79"/>
      <c r="I771" s="79"/>
      <c r="J771" s="14"/>
      <c r="K771" s="38"/>
      <c r="L771" s="38"/>
      <c r="M771" s="17"/>
    </row>
    <row r="772" spans="2:13" ht="14.45" customHeight="1" x14ac:dyDescent="0.25">
      <c r="B772" s="17"/>
      <c r="C772" s="14"/>
      <c r="D772" s="14"/>
      <c r="E772" s="18"/>
      <c r="F772" s="61"/>
      <c r="G772" s="73"/>
      <c r="H772" s="79"/>
      <c r="I772" s="79"/>
      <c r="J772" s="14"/>
      <c r="K772" s="38"/>
      <c r="L772" s="38"/>
      <c r="M772" s="17"/>
    </row>
    <row r="773" spans="2:13" ht="14.45" customHeight="1" x14ac:dyDescent="0.25">
      <c r="B773" s="17"/>
      <c r="C773" s="14"/>
      <c r="D773" s="14"/>
      <c r="E773" s="18"/>
      <c r="F773" s="61"/>
      <c r="G773" s="73"/>
      <c r="H773" s="79"/>
      <c r="I773" s="79"/>
      <c r="J773" s="14"/>
      <c r="K773" s="38"/>
      <c r="L773" s="38"/>
      <c r="M773" s="17"/>
    </row>
    <row r="774" spans="2:13" ht="14.45" customHeight="1" x14ac:dyDescent="0.25">
      <c r="B774" s="17"/>
      <c r="C774" s="14"/>
      <c r="D774" s="14"/>
      <c r="E774" s="18"/>
      <c r="F774" s="61"/>
      <c r="G774" s="73"/>
      <c r="H774" s="79"/>
      <c r="I774" s="79"/>
      <c r="J774" s="14"/>
      <c r="K774" s="38"/>
      <c r="L774" s="38"/>
      <c r="M774" s="17"/>
    </row>
    <row r="775" spans="2:13" ht="14.45" customHeight="1" x14ac:dyDescent="0.25">
      <c r="B775" s="17"/>
      <c r="C775" s="14"/>
      <c r="D775" s="14"/>
      <c r="E775" s="18"/>
      <c r="F775" s="61"/>
      <c r="G775" s="73"/>
      <c r="H775" s="79"/>
      <c r="I775" s="79"/>
      <c r="J775" s="14"/>
      <c r="K775" s="38"/>
      <c r="L775" s="38"/>
      <c r="M775" s="17"/>
    </row>
    <row r="776" spans="2:13" ht="14.45" customHeight="1" x14ac:dyDescent="0.25">
      <c r="B776" s="17"/>
      <c r="C776" s="14"/>
      <c r="D776" s="14"/>
      <c r="E776" s="18"/>
      <c r="F776" s="61"/>
      <c r="G776" s="73"/>
      <c r="H776" s="79"/>
      <c r="I776" s="79"/>
      <c r="J776" s="14"/>
      <c r="K776" s="38"/>
      <c r="L776" s="38"/>
      <c r="M776" s="17"/>
    </row>
    <row r="777" spans="2:13" ht="14.45" customHeight="1" x14ac:dyDescent="0.25">
      <c r="B777" s="17"/>
      <c r="C777" s="14"/>
      <c r="D777" s="14"/>
      <c r="E777" s="18"/>
      <c r="F777" s="61"/>
      <c r="G777" s="73"/>
      <c r="H777" s="79"/>
      <c r="I777" s="79"/>
      <c r="J777" s="14"/>
      <c r="K777" s="38"/>
      <c r="L777" s="38"/>
      <c r="M777" s="17"/>
    </row>
    <row r="778" spans="2:13" ht="14.45" customHeight="1" x14ac:dyDescent="0.25">
      <c r="B778" s="17"/>
      <c r="C778" s="14"/>
      <c r="D778" s="14"/>
      <c r="E778" s="18"/>
      <c r="F778" s="61"/>
      <c r="G778" s="73"/>
      <c r="H778" s="79"/>
      <c r="I778" s="79"/>
      <c r="J778" s="14"/>
      <c r="K778" s="38"/>
      <c r="L778" s="38"/>
      <c r="M778" s="17"/>
    </row>
    <row r="779" spans="2:13" ht="14.45" customHeight="1" x14ac:dyDescent="0.25">
      <c r="B779" s="17"/>
      <c r="C779" s="14"/>
      <c r="D779" s="14"/>
      <c r="E779" s="18"/>
      <c r="F779" s="61"/>
      <c r="G779" s="73"/>
      <c r="H779" s="79"/>
      <c r="I779" s="79"/>
      <c r="J779" s="14"/>
      <c r="K779" s="38"/>
      <c r="L779" s="38"/>
      <c r="M779" s="17"/>
    </row>
    <row r="780" spans="2:13" ht="14.45" customHeight="1" x14ac:dyDescent="0.25">
      <c r="B780" s="17"/>
      <c r="C780" s="14"/>
      <c r="D780" s="14"/>
      <c r="E780" s="18"/>
      <c r="F780" s="61"/>
      <c r="G780" s="73"/>
      <c r="H780" s="79"/>
      <c r="I780" s="79"/>
      <c r="J780" s="14"/>
      <c r="K780" s="38"/>
      <c r="L780" s="38"/>
      <c r="M780" s="17"/>
    </row>
    <row r="781" spans="2:13" ht="14.45" customHeight="1" x14ac:dyDescent="0.25">
      <c r="B781" s="17"/>
      <c r="C781" s="14"/>
      <c r="D781" s="14"/>
      <c r="E781" s="18"/>
      <c r="F781" s="61"/>
      <c r="G781" s="73"/>
      <c r="H781" s="79"/>
      <c r="I781" s="79"/>
      <c r="J781" s="14"/>
      <c r="K781" s="38"/>
      <c r="L781" s="38"/>
      <c r="M781" s="17"/>
    </row>
    <row r="782" spans="2:13" ht="14.45" customHeight="1" x14ac:dyDescent="0.25">
      <c r="B782" s="17"/>
      <c r="C782" s="14"/>
      <c r="D782" s="14"/>
      <c r="E782" s="18"/>
      <c r="F782" s="61"/>
      <c r="G782" s="73"/>
      <c r="H782" s="79"/>
      <c r="I782" s="79"/>
      <c r="J782" s="14"/>
      <c r="K782" s="38"/>
      <c r="L782" s="38"/>
      <c r="M782" s="17"/>
    </row>
    <row r="783" spans="2:13" ht="14.45" customHeight="1" x14ac:dyDescent="0.25">
      <c r="B783" s="17"/>
      <c r="C783" s="14"/>
      <c r="D783" s="14"/>
      <c r="E783" s="18"/>
      <c r="F783" s="61"/>
      <c r="G783" s="73"/>
      <c r="H783" s="79"/>
      <c r="I783" s="79"/>
      <c r="J783" s="14"/>
      <c r="K783" s="38"/>
      <c r="L783" s="38"/>
      <c r="M783" s="17"/>
    </row>
    <row r="784" spans="2:13" ht="14.45" customHeight="1" x14ac:dyDescent="0.25">
      <c r="B784" s="17"/>
      <c r="C784" s="14"/>
      <c r="D784" s="14"/>
      <c r="E784" s="18"/>
      <c r="F784" s="61"/>
      <c r="G784" s="73"/>
      <c r="H784" s="79"/>
      <c r="I784" s="79"/>
      <c r="J784" s="14"/>
      <c r="K784" s="38"/>
      <c r="L784" s="38"/>
      <c r="M784" s="17"/>
    </row>
    <row r="785" spans="2:13" ht="14.45" customHeight="1" x14ac:dyDescent="0.25">
      <c r="B785" s="17"/>
      <c r="C785" s="14"/>
      <c r="D785" s="14"/>
      <c r="E785" s="18"/>
      <c r="F785" s="61"/>
      <c r="G785" s="73"/>
      <c r="H785" s="79"/>
      <c r="I785" s="79"/>
      <c r="J785" s="14"/>
      <c r="K785" s="38"/>
      <c r="L785" s="38"/>
      <c r="M785" s="17"/>
    </row>
    <row r="786" spans="2:13" ht="14.45" customHeight="1" x14ac:dyDescent="0.25">
      <c r="B786" s="17"/>
      <c r="C786" s="14"/>
      <c r="D786" s="14"/>
      <c r="E786" s="18"/>
      <c r="F786" s="61"/>
      <c r="G786" s="73"/>
      <c r="H786" s="79"/>
      <c r="I786" s="79"/>
      <c r="J786" s="14"/>
      <c r="K786" s="38"/>
      <c r="L786" s="38"/>
      <c r="M786" s="17"/>
    </row>
    <row r="787" spans="2:13" ht="14.45" customHeight="1" x14ac:dyDescent="0.25">
      <c r="B787" s="17"/>
      <c r="C787" s="14"/>
      <c r="D787" s="14"/>
      <c r="E787" s="18"/>
      <c r="F787" s="61"/>
      <c r="G787" s="73"/>
      <c r="H787" s="79"/>
      <c r="I787" s="79"/>
      <c r="J787" s="14"/>
      <c r="K787" s="38"/>
      <c r="L787" s="38"/>
      <c r="M787" s="17"/>
    </row>
    <row r="788" spans="2:13" ht="14.45" customHeight="1" x14ac:dyDescent="0.25">
      <c r="B788" s="17"/>
      <c r="C788" s="14"/>
      <c r="D788" s="14"/>
      <c r="E788" s="18"/>
      <c r="F788" s="61"/>
      <c r="G788" s="73"/>
      <c r="H788" s="79"/>
      <c r="I788" s="79"/>
      <c r="J788" s="14"/>
      <c r="K788" s="38"/>
      <c r="L788" s="38"/>
      <c r="M788" s="17"/>
    </row>
    <row r="789" spans="2:13" ht="14.45" customHeight="1" x14ac:dyDescent="0.25">
      <c r="B789" s="17"/>
      <c r="C789" s="14"/>
      <c r="D789" s="14"/>
      <c r="E789" s="18"/>
      <c r="F789" s="61"/>
      <c r="G789" s="73"/>
      <c r="H789" s="79"/>
      <c r="I789" s="79"/>
      <c r="J789" s="14"/>
      <c r="K789" s="38"/>
      <c r="L789" s="38"/>
      <c r="M789" s="17"/>
    </row>
    <row r="790" spans="2:13" ht="14.45" customHeight="1" x14ac:dyDescent="0.25">
      <c r="B790" s="17"/>
      <c r="C790" s="14"/>
      <c r="D790" s="14"/>
      <c r="E790" s="18"/>
      <c r="F790" s="61"/>
      <c r="G790" s="73"/>
      <c r="H790" s="79"/>
      <c r="I790" s="79"/>
      <c r="J790" s="14"/>
      <c r="K790" s="38"/>
      <c r="L790" s="38"/>
      <c r="M790" s="17"/>
    </row>
    <row r="791" spans="2:13" ht="14.45" customHeight="1" x14ac:dyDescent="0.25">
      <c r="B791" s="17"/>
      <c r="C791" s="14"/>
      <c r="D791" s="14"/>
      <c r="E791" s="18"/>
      <c r="F791" s="61"/>
      <c r="G791" s="73"/>
      <c r="H791" s="79"/>
      <c r="I791" s="79"/>
      <c r="J791" s="14"/>
      <c r="K791" s="38"/>
      <c r="L791" s="38"/>
      <c r="M791" s="17"/>
    </row>
    <row r="792" spans="2:13" ht="14.45" customHeight="1" x14ac:dyDescent="0.25">
      <c r="B792" s="17"/>
      <c r="C792" s="14"/>
      <c r="D792" s="14"/>
      <c r="E792" s="18"/>
      <c r="F792" s="61"/>
      <c r="G792" s="73"/>
      <c r="H792" s="79"/>
      <c r="I792" s="79"/>
      <c r="J792" s="14"/>
      <c r="K792" s="38"/>
      <c r="L792" s="38"/>
      <c r="M792" s="17"/>
    </row>
    <row r="793" spans="2:13" ht="14.45" customHeight="1" x14ac:dyDescent="0.25">
      <c r="B793" s="17"/>
      <c r="C793" s="14"/>
      <c r="D793" s="14"/>
      <c r="E793" s="18"/>
      <c r="F793" s="61"/>
      <c r="G793" s="73"/>
      <c r="H793" s="79"/>
      <c r="I793" s="79"/>
      <c r="J793" s="14"/>
      <c r="K793" s="38"/>
      <c r="L793" s="38"/>
      <c r="M793" s="17"/>
    </row>
    <row r="794" spans="2:13" ht="14.45" customHeight="1" x14ac:dyDescent="0.25">
      <c r="B794" s="17"/>
      <c r="C794" s="14"/>
      <c r="D794" s="14"/>
      <c r="E794" s="18"/>
      <c r="F794" s="61"/>
      <c r="G794" s="73"/>
      <c r="H794" s="79"/>
      <c r="I794" s="79"/>
      <c r="J794" s="14"/>
      <c r="K794" s="38"/>
      <c r="L794" s="38"/>
      <c r="M794" s="17"/>
    </row>
    <row r="795" spans="2:13" ht="14.45" customHeight="1" x14ac:dyDescent="0.25">
      <c r="B795" s="17"/>
      <c r="C795" s="14"/>
      <c r="D795" s="14"/>
      <c r="E795" s="18"/>
      <c r="F795" s="61"/>
      <c r="G795" s="73"/>
      <c r="H795" s="79"/>
      <c r="I795" s="79"/>
      <c r="J795" s="14"/>
      <c r="K795" s="38"/>
      <c r="L795" s="38"/>
      <c r="M795" s="17"/>
    </row>
    <row r="796" spans="2:13" ht="14.45" customHeight="1" x14ac:dyDescent="0.25">
      <c r="B796" s="17"/>
      <c r="C796" s="14"/>
      <c r="D796" s="14"/>
      <c r="E796" s="18"/>
      <c r="F796" s="61"/>
      <c r="G796" s="73"/>
      <c r="H796" s="79"/>
      <c r="I796" s="79"/>
      <c r="J796" s="14"/>
      <c r="K796" s="38"/>
      <c r="L796" s="38"/>
      <c r="M796" s="17"/>
    </row>
    <row r="797" spans="2:13" ht="14.45" customHeight="1" x14ac:dyDescent="0.25">
      <c r="B797" s="17"/>
      <c r="C797" s="14"/>
      <c r="D797" s="14"/>
      <c r="E797" s="18"/>
      <c r="F797" s="61"/>
      <c r="G797" s="73"/>
      <c r="H797" s="79"/>
      <c r="I797" s="79"/>
      <c r="J797" s="14"/>
      <c r="K797" s="38"/>
      <c r="L797" s="38"/>
      <c r="M797" s="17"/>
    </row>
    <row r="798" spans="2:13" ht="14.45" customHeight="1" x14ac:dyDescent="0.25">
      <c r="B798" s="17"/>
      <c r="C798" s="14"/>
      <c r="D798" s="14"/>
      <c r="E798" s="18"/>
      <c r="F798" s="61"/>
      <c r="G798" s="73"/>
      <c r="H798" s="79"/>
      <c r="I798" s="79"/>
      <c r="J798" s="14"/>
      <c r="K798" s="38"/>
      <c r="L798" s="38"/>
      <c r="M798" s="17"/>
    </row>
    <row r="799" spans="2:13" ht="14.45" customHeight="1" x14ac:dyDescent="0.25">
      <c r="B799" s="17"/>
      <c r="C799" s="14"/>
      <c r="D799" s="14"/>
      <c r="E799" s="18"/>
      <c r="F799" s="61"/>
      <c r="G799" s="73"/>
      <c r="H799" s="79"/>
      <c r="I799" s="79"/>
      <c r="J799" s="14"/>
      <c r="K799" s="38"/>
      <c r="L799" s="38"/>
      <c r="M799" s="17"/>
    </row>
    <row r="800" spans="2:13" ht="14.45" customHeight="1" x14ac:dyDescent="0.25">
      <c r="B800" s="17"/>
      <c r="C800" s="14"/>
      <c r="D800" s="14"/>
      <c r="E800" s="18"/>
      <c r="F800" s="61"/>
      <c r="G800" s="73"/>
      <c r="H800" s="79"/>
      <c r="I800" s="79"/>
      <c r="J800" s="14"/>
      <c r="K800" s="38"/>
      <c r="L800" s="38"/>
      <c r="M800" s="17"/>
    </row>
    <row r="801" spans="2:13" ht="14.45" customHeight="1" x14ac:dyDescent="0.25">
      <c r="B801" s="17"/>
      <c r="C801" s="14"/>
      <c r="D801" s="14"/>
      <c r="E801" s="18"/>
      <c r="F801" s="61"/>
      <c r="G801" s="73"/>
      <c r="H801" s="79"/>
      <c r="I801" s="79"/>
      <c r="J801" s="14"/>
      <c r="K801" s="38"/>
      <c r="L801" s="38"/>
      <c r="M801" s="17"/>
    </row>
    <row r="802" spans="2:13" ht="14.45" customHeight="1" x14ac:dyDescent="0.25">
      <c r="B802" s="17"/>
      <c r="C802" s="14"/>
      <c r="D802" s="14"/>
      <c r="E802" s="18"/>
      <c r="F802" s="61"/>
      <c r="G802" s="73"/>
      <c r="H802" s="79"/>
      <c r="I802" s="79"/>
      <c r="J802" s="14"/>
      <c r="K802" s="38"/>
      <c r="L802" s="38"/>
      <c r="M802" s="17"/>
    </row>
    <row r="803" spans="2:13" ht="14.45" customHeight="1" x14ac:dyDescent="0.25">
      <c r="B803" s="17"/>
      <c r="C803" s="14"/>
      <c r="D803" s="14"/>
      <c r="E803" s="18"/>
      <c r="F803" s="61"/>
      <c r="G803" s="73"/>
      <c r="H803" s="79"/>
      <c r="I803" s="79"/>
      <c r="J803" s="14"/>
      <c r="K803" s="38"/>
      <c r="L803" s="38"/>
      <c r="M803" s="17"/>
    </row>
    <row r="804" spans="2:13" ht="14.45" customHeight="1" x14ac:dyDescent="0.25">
      <c r="B804" s="17"/>
      <c r="C804" s="14"/>
      <c r="D804" s="14"/>
      <c r="E804" s="18"/>
      <c r="F804" s="61"/>
      <c r="G804" s="73"/>
      <c r="H804" s="79"/>
      <c r="I804" s="79"/>
      <c r="J804" s="14"/>
      <c r="K804" s="38"/>
      <c r="L804" s="38"/>
      <c r="M804" s="17"/>
    </row>
    <row r="805" spans="2:13" ht="14.45" customHeight="1" x14ac:dyDescent="0.25">
      <c r="B805" s="17"/>
      <c r="C805" s="14"/>
      <c r="D805" s="14"/>
      <c r="E805" s="18"/>
      <c r="F805" s="61"/>
      <c r="G805" s="73"/>
      <c r="H805" s="79"/>
      <c r="I805" s="79"/>
      <c r="J805" s="14"/>
      <c r="K805" s="38"/>
      <c r="L805" s="38"/>
      <c r="M805" s="17"/>
    </row>
    <row r="806" spans="2:13" ht="14.45" customHeight="1" x14ac:dyDescent="0.25">
      <c r="B806" s="17"/>
      <c r="C806" s="14"/>
      <c r="D806" s="14"/>
      <c r="E806" s="18"/>
      <c r="F806" s="61"/>
      <c r="G806" s="73"/>
      <c r="H806" s="79"/>
      <c r="I806" s="79"/>
      <c r="J806" s="14"/>
      <c r="K806" s="38"/>
      <c r="L806" s="38"/>
      <c r="M806" s="17"/>
    </row>
    <row r="807" spans="2:13" ht="14.45" customHeight="1" x14ac:dyDescent="0.25">
      <c r="B807" s="17"/>
      <c r="C807" s="14"/>
      <c r="D807" s="14"/>
      <c r="E807" s="18"/>
      <c r="F807" s="61"/>
      <c r="G807" s="73"/>
      <c r="H807" s="79"/>
      <c r="I807" s="79"/>
      <c r="J807" s="14"/>
      <c r="K807" s="38"/>
      <c r="L807" s="38"/>
      <c r="M807" s="17"/>
    </row>
    <row r="808" spans="2:13" ht="14.45" customHeight="1" x14ac:dyDescent="0.25">
      <c r="B808" s="17"/>
      <c r="C808" s="14"/>
      <c r="D808" s="14"/>
      <c r="E808" s="18"/>
      <c r="F808" s="61"/>
      <c r="G808" s="73"/>
      <c r="H808" s="79"/>
      <c r="I808" s="79"/>
      <c r="J808" s="14"/>
      <c r="K808" s="38"/>
      <c r="L808" s="38"/>
      <c r="M808" s="17"/>
    </row>
    <row r="809" spans="2:13" ht="14.45" customHeight="1" x14ac:dyDescent="0.25">
      <c r="B809" s="17"/>
      <c r="C809" s="14"/>
      <c r="D809" s="14"/>
      <c r="E809" s="18"/>
      <c r="F809" s="61"/>
      <c r="G809" s="73"/>
      <c r="H809" s="79"/>
      <c r="I809" s="79"/>
      <c r="J809" s="14"/>
      <c r="K809" s="38"/>
      <c r="L809" s="38"/>
      <c r="M809" s="17"/>
    </row>
    <row r="810" spans="2:13" ht="14.45" customHeight="1" x14ac:dyDescent="0.25">
      <c r="B810" s="17"/>
      <c r="C810" s="14"/>
      <c r="D810" s="14"/>
      <c r="E810" s="18"/>
      <c r="F810" s="61"/>
      <c r="G810" s="73"/>
      <c r="H810" s="79"/>
      <c r="I810" s="79"/>
      <c r="J810" s="14"/>
      <c r="K810" s="38"/>
      <c r="L810" s="38"/>
      <c r="M810" s="17"/>
    </row>
    <row r="811" spans="2:13" ht="14.45" customHeight="1" x14ac:dyDescent="0.25">
      <c r="B811" s="17"/>
      <c r="C811" s="14"/>
      <c r="D811" s="14"/>
      <c r="E811" s="18"/>
      <c r="F811" s="61"/>
      <c r="G811" s="73"/>
      <c r="H811" s="79"/>
      <c r="I811" s="79"/>
      <c r="J811" s="14"/>
      <c r="K811" s="38"/>
      <c r="L811" s="38"/>
      <c r="M811" s="17"/>
    </row>
    <row r="812" spans="2:13" ht="14.45" customHeight="1" x14ac:dyDescent="0.25">
      <c r="B812" s="17"/>
      <c r="C812" s="14"/>
      <c r="D812" s="14"/>
      <c r="E812" s="18"/>
      <c r="F812" s="61"/>
      <c r="G812" s="73"/>
      <c r="H812" s="79"/>
      <c r="I812" s="79"/>
      <c r="J812" s="14"/>
      <c r="K812" s="38"/>
      <c r="L812" s="38"/>
      <c r="M812" s="17"/>
    </row>
    <row r="813" spans="2:13" ht="14.45" customHeight="1" x14ac:dyDescent="0.25">
      <c r="B813" s="17"/>
      <c r="C813" s="14"/>
      <c r="D813" s="14"/>
      <c r="E813" s="18"/>
      <c r="F813" s="61"/>
      <c r="G813" s="73"/>
      <c r="H813" s="79"/>
      <c r="I813" s="79"/>
      <c r="J813" s="14"/>
      <c r="K813" s="38"/>
      <c r="L813" s="38"/>
      <c r="M813" s="17"/>
    </row>
    <row r="814" spans="2:13" ht="14.45" customHeight="1" x14ac:dyDescent="0.25">
      <c r="B814" s="17"/>
      <c r="C814" s="14"/>
      <c r="D814" s="14"/>
      <c r="E814" s="18"/>
      <c r="F814" s="61"/>
      <c r="G814" s="73"/>
      <c r="H814" s="79"/>
      <c r="I814" s="79"/>
      <c r="J814" s="14"/>
      <c r="K814" s="38"/>
      <c r="L814" s="38"/>
      <c r="M814" s="17"/>
    </row>
    <row r="815" spans="2:13" ht="14.45" customHeight="1" x14ac:dyDescent="0.25">
      <c r="B815" s="17"/>
      <c r="C815" s="14"/>
      <c r="D815" s="14"/>
      <c r="E815" s="18"/>
      <c r="F815" s="61"/>
      <c r="G815" s="73"/>
      <c r="H815" s="79"/>
      <c r="I815" s="79"/>
      <c r="J815" s="14"/>
      <c r="K815" s="38"/>
      <c r="L815" s="38"/>
      <c r="M815" s="17"/>
    </row>
    <row r="816" spans="2:13" ht="14.45" customHeight="1" x14ac:dyDescent="0.25">
      <c r="B816" s="17"/>
      <c r="C816" s="14"/>
      <c r="D816" s="14"/>
      <c r="E816" s="18"/>
      <c r="F816" s="61"/>
      <c r="G816" s="73"/>
      <c r="H816" s="79"/>
      <c r="I816" s="79"/>
      <c r="J816" s="14"/>
      <c r="K816" s="38"/>
      <c r="L816" s="38"/>
      <c r="M816" s="17"/>
    </row>
    <row r="817" spans="2:13" ht="14.45" customHeight="1" x14ac:dyDescent="0.25">
      <c r="B817" s="17"/>
      <c r="C817" s="14"/>
      <c r="D817" s="14"/>
      <c r="E817" s="18"/>
      <c r="F817" s="61"/>
      <c r="G817" s="73"/>
      <c r="H817" s="79"/>
      <c r="I817" s="79"/>
      <c r="J817" s="14"/>
      <c r="K817" s="38"/>
      <c r="L817" s="38"/>
      <c r="M817" s="17"/>
    </row>
    <row r="818" spans="2:13" ht="14.45" customHeight="1" x14ac:dyDescent="0.25">
      <c r="B818" s="17"/>
      <c r="C818" s="14"/>
      <c r="D818" s="14"/>
      <c r="E818" s="18"/>
      <c r="F818" s="61"/>
      <c r="G818" s="73"/>
      <c r="H818" s="79"/>
      <c r="I818" s="79"/>
      <c r="J818" s="14"/>
      <c r="K818" s="38"/>
      <c r="L818" s="38"/>
      <c r="M818" s="17"/>
    </row>
    <row r="819" spans="2:13" ht="14.45" customHeight="1" x14ac:dyDescent="0.25">
      <c r="B819" s="17"/>
      <c r="C819" s="14"/>
      <c r="D819" s="14"/>
      <c r="E819" s="18"/>
      <c r="F819" s="61"/>
      <c r="G819" s="73"/>
      <c r="H819" s="79"/>
      <c r="I819" s="79"/>
      <c r="J819" s="14"/>
      <c r="K819" s="38"/>
      <c r="L819" s="38"/>
      <c r="M819" s="17"/>
    </row>
    <row r="820" spans="2:13" ht="14.45" customHeight="1" x14ac:dyDescent="0.25">
      <c r="B820" s="17"/>
      <c r="C820" s="14"/>
      <c r="D820" s="14"/>
      <c r="E820" s="18"/>
      <c r="F820" s="61"/>
      <c r="G820" s="73"/>
      <c r="H820" s="79"/>
      <c r="I820" s="79"/>
      <c r="J820" s="14"/>
      <c r="K820" s="38"/>
      <c r="L820" s="38"/>
      <c r="M820" s="17"/>
    </row>
    <row r="821" spans="2:13" ht="14.45" customHeight="1" x14ac:dyDescent="0.25">
      <c r="B821" s="17"/>
      <c r="C821" s="14"/>
      <c r="D821" s="14"/>
      <c r="E821" s="18"/>
      <c r="F821" s="61"/>
      <c r="G821" s="73"/>
      <c r="H821" s="79"/>
      <c r="I821" s="79"/>
      <c r="J821" s="14"/>
      <c r="K821" s="38"/>
      <c r="L821" s="38"/>
      <c r="M821" s="17"/>
    </row>
    <row r="822" spans="2:13" ht="14.45" customHeight="1" x14ac:dyDescent="0.25">
      <c r="B822" s="17"/>
      <c r="C822" s="14"/>
      <c r="D822" s="14"/>
      <c r="E822" s="18"/>
      <c r="F822" s="61"/>
      <c r="G822" s="73"/>
      <c r="H822" s="79"/>
      <c r="I822" s="79"/>
      <c r="J822" s="14"/>
      <c r="K822" s="38"/>
      <c r="L822" s="38"/>
      <c r="M822" s="17"/>
    </row>
    <row r="823" spans="2:13" ht="14.45" customHeight="1" x14ac:dyDescent="0.25">
      <c r="B823" s="17"/>
      <c r="C823" s="14"/>
      <c r="D823" s="14"/>
      <c r="E823" s="18"/>
      <c r="F823" s="61"/>
      <c r="G823" s="73"/>
      <c r="H823" s="79"/>
      <c r="I823" s="79"/>
      <c r="J823" s="14"/>
      <c r="K823" s="38"/>
      <c r="L823" s="38"/>
      <c r="M823" s="17"/>
    </row>
    <row r="824" spans="2:13" ht="14.45" customHeight="1" x14ac:dyDescent="0.25">
      <c r="B824" s="17"/>
      <c r="C824" s="14"/>
      <c r="D824" s="14"/>
      <c r="E824" s="18"/>
      <c r="F824" s="61"/>
      <c r="G824" s="73"/>
      <c r="H824" s="79"/>
      <c r="I824" s="79"/>
      <c r="J824" s="14"/>
      <c r="K824" s="38"/>
      <c r="L824" s="38"/>
      <c r="M824" s="17"/>
    </row>
    <row r="825" spans="2:13" ht="14.45" customHeight="1" x14ac:dyDescent="0.25">
      <c r="B825" s="17"/>
      <c r="C825" s="14"/>
      <c r="D825" s="14"/>
      <c r="E825" s="18"/>
      <c r="F825" s="61"/>
      <c r="G825" s="73"/>
      <c r="H825" s="79"/>
      <c r="I825" s="79"/>
      <c r="J825" s="14"/>
      <c r="K825" s="38"/>
      <c r="L825" s="38"/>
      <c r="M825" s="17"/>
    </row>
    <row r="826" spans="2:13" ht="14.45" customHeight="1" x14ac:dyDescent="0.25">
      <c r="B826" s="17"/>
      <c r="C826" s="14"/>
      <c r="D826" s="14"/>
      <c r="E826" s="18"/>
      <c r="F826" s="61"/>
      <c r="G826" s="73"/>
      <c r="H826" s="79"/>
      <c r="I826" s="79"/>
      <c r="J826" s="14"/>
      <c r="K826" s="38"/>
      <c r="L826" s="38"/>
      <c r="M826" s="17"/>
    </row>
    <row r="827" spans="2:13" ht="14.45" customHeight="1" x14ac:dyDescent="0.25">
      <c r="B827" s="17"/>
      <c r="C827" s="14"/>
      <c r="D827" s="14"/>
      <c r="E827" s="18"/>
      <c r="F827" s="61"/>
      <c r="G827" s="73"/>
      <c r="H827" s="79"/>
      <c r="I827" s="79"/>
      <c r="J827" s="14"/>
      <c r="K827" s="38"/>
      <c r="L827" s="38"/>
      <c r="M827" s="17"/>
    </row>
    <row r="828" spans="2:13" ht="14.45" customHeight="1" x14ac:dyDescent="0.25">
      <c r="B828" s="17"/>
      <c r="C828" s="14"/>
      <c r="D828" s="14"/>
      <c r="E828" s="18"/>
      <c r="F828" s="61"/>
      <c r="G828" s="73"/>
      <c r="H828" s="79"/>
      <c r="I828" s="79"/>
      <c r="J828" s="14"/>
      <c r="K828" s="38"/>
      <c r="L828" s="38"/>
      <c r="M828" s="17"/>
    </row>
    <row r="829" spans="2:13" ht="14.45" customHeight="1" x14ac:dyDescent="0.25">
      <c r="B829" s="17"/>
      <c r="C829" s="14"/>
      <c r="D829" s="14"/>
      <c r="E829" s="18"/>
      <c r="F829" s="61"/>
      <c r="G829" s="73"/>
      <c r="H829" s="79"/>
      <c r="I829" s="79"/>
      <c r="J829" s="14"/>
      <c r="K829" s="38"/>
      <c r="L829" s="38"/>
      <c r="M829" s="17"/>
    </row>
    <row r="830" spans="2:13" ht="14.45" customHeight="1" x14ac:dyDescent="0.25">
      <c r="B830" s="17"/>
      <c r="C830" s="14"/>
      <c r="D830" s="14"/>
      <c r="E830" s="18"/>
      <c r="F830" s="61"/>
      <c r="G830" s="73"/>
      <c r="H830" s="79"/>
      <c r="I830" s="79"/>
      <c r="J830" s="14"/>
      <c r="K830" s="38"/>
      <c r="L830" s="38"/>
      <c r="M830" s="17"/>
    </row>
    <row r="831" spans="2:13" ht="14.45" customHeight="1" x14ac:dyDescent="0.25">
      <c r="B831" s="17"/>
      <c r="C831" s="14"/>
      <c r="D831" s="14"/>
      <c r="E831" s="18"/>
      <c r="F831" s="61"/>
      <c r="G831" s="73"/>
      <c r="H831" s="79"/>
      <c r="I831" s="79"/>
      <c r="J831" s="14"/>
      <c r="K831" s="38"/>
      <c r="L831" s="38"/>
      <c r="M831" s="17"/>
    </row>
    <row r="832" spans="2:13" ht="14.45" customHeight="1" x14ac:dyDescent="0.25">
      <c r="B832" s="17"/>
      <c r="C832" s="14"/>
      <c r="D832" s="14"/>
      <c r="E832" s="18"/>
      <c r="F832" s="61"/>
      <c r="G832" s="73"/>
      <c r="H832" s="79"/>
      <c r="I832" s="79"/>
      <c r="J832" s="14"/>
      <c r="K832" s="38"/>
      <c r="L832" s="38"/>
      <c r="M832" s="17"/>
    </row>
    <row r="833" spans="2:13" ht="14.45" customHeight="1" x14ac:dyDescent="0.25">
      <c r="B833" s="17"/>
      <c r="C833" s="14"/>
      <c r="D833" s="14"/>
      <c r="E833" s="18"/>
      <c r="F833" s="61"/>
      <c r="G833" s="73"/>
      <c r="H833" s="79"/>
      <c r="I833" s="79"/>
      <c r="J833" s="14"/>
      <c r="K833" s="38"/>
      <c r="L833" s="38"/>
      <c r="M833" s="17"/>
    </row>
    <row r="834" spans="2:13" ht="14.45" customHeight="1" x14ac:dyDescent="0.25">
      <c r="B834" s="17"/>
      <c r="C834" s="14"/>
      <c r="D834" s="14"/>
      <c r="E834" s="18"/>
      <c r="F834" s="61"/>
      <c r="G834" s="73"/>
      <c r="H834" s="79"/>
      <c r="I834" s="79"/>
      <c r="J834" s="14"/>
      <c r="K834" s="38"/>
      <c r="L834" s="38"/>
      <c r="M834" s="17"/>
    </row>
    <row r="835" spans="2:13" ht="14.45" customHeight="1" x14ac:dyDescent="0.25">
      <c r="B835" s="17"/>
      <c r="C835" s="14"/>
      <c r="D835" s="14"/>
      <c r="E835" s="18"/>
      <c r="F835" s="61"/>
      <c r="G835" s="73"/>
      <c r="H835" s="79"/>
      <c r="I835" s="79"/>
      <c r="J835" s="14"/>
      <c r="K835" s="38"/>
      <c r="L835" s="38"/>
      <c r="M835" s="17"/>
    </row>
    <row r="836" spans="2:13" ht="14.45" customHeight="1" x14ac:dyDescent="0.25">
      <c r="B836" s="17"/>
      <c r="C836" s="14"/>
      <c r="D836" s="14"/>
      <c r="E836" s="18"/>
      <c r="F836" s="61"/>
      <c r="G836" s="73"/>
      <c r="H836" s="79"/>
      <c r="I836" s="79"/>
      <c r="J836" s="14"/>
      <c r="K836" s="38"/>
      <c r="L836" s="38"/>
      <c r="M836" s="17"/>
    </row>
    <row r="837" spans="2:13" ht="14.45" customHeight="1" x14ac:dyDescent="0.25">
      <c r="B837" s="17"/>
      <c r="C837" s="14"/>
      <c r="D837" s="14"/>
      <c r="E837" s="18"/>
      <c r="F837" s="61"/>
      <c r="G837" s="73"/>
      <c r="H837" s="79"/>
      <c r="I837" s="79"/>
      <c r="J837" s="14"/>
      <c r="K837" s="38"/>
      <c r="L837" s="38"/>
      <c r="M837" s="17"/>
    </row>
    <row r="838" spans="2:13" ht="14.45" customHeight="1" x14ac:dyDescent="0.25">
      <c r="B838" s="17"/>
      <c r="C838" s="14"/>
      <c r="D838" s="14"/>
      <c r="E838" s="18"/>
      <c r="F838" s="61"/>
      <c r="G838" s="73"/>
      <c r="H838" s="79"/>
      <c r="I838" s="79"/>
      <c r="J838" s="14"/>
      <c r="K838" s="38"/>
      <c r="L838" s="38"/>
      <c r="M838" s="17"/>
    </row>
    <row r="839" spans="2:13" ht="14.45" customHeight="1" x14ac:dyDescent="0.25">
      <c r="B839" s="17"/>
      <c r="C839" s="14"/>
      <c r="D839" s="14"/>
      <c r="E839" s="18"/>
      <c r="F839" s="61"/>
      <c r="G839" s="73"/>
      <c r="H839" s="79"/>
      <c r="I839" s="79"/>
      <c r="J839" s="14"/>
      <c r="K839" s="38"/>
      <c r="L839" s="38"/>
      <c r="M839" s="17"/>
    </row>
    <row r="840" spans="2:13" ht="14.45" customHeight="1" x14ac:dyDescent="0.25">
      <c r="B840" s="17"/>
      <c r="C840" s="14"/>
      <c r="D840" s="14"/>
      <c r="E840" s="18"/>
      <c r="F840" s="61"/>
      <c r="G840" s="73"/>
      <c r="H840" s="79"/>
      <c r="I840" s="79"/>
      <c r="J840" s="14"/>
      <c r="K840" s="38"/>
      <c r="L840" s="38"/>
      <c r="M840" s="17"/>
    </row>
    <row r="841" spans="2:13" ht="14.45" customHeight="1" x14ac:dyDescent="0.25">
      <c r="B841" s="17"/>
      <c r="C841" s="14"/>
      <c r="D841" s="14"/>
      <c r="E841" s="18"/>
      <c r="F841" s="61"/>
      <c r="G841" s="73"/>
      <c r="H841" s="79"/>
      <c r="I841" s="79"/>
      <c r="J841" s="14"/>
      <c r="K841" s="38"/>
      <c r="L841" s="38"/>
      <c r="M841" s="17"/>
    </row>
    <row r="842" spans="2:13" ht="14.45" customHeight="1" x14ac:dyDescent="0.25">
      <c r="B842" s="17"/>
      <c r="C842" s="14"/>
      <c r="D842" s="14"/>
      <c r="E842" s="18"/>
      <c r="F842" s="61"/>
      <c r="G842" s="73"/>
      <c r="H842" s="79"/>
      <c r="I842" s="79"/>
      <c r="J842" s="14"/>
      <c r="K842" s="38"/>
      <c r="L842" s="38"/>
      <c r="M842" s="17"/>
    </row>
    <row r="843" spans="2:13" ht="14.45" customHeight="1" x14ac:dyDescent="0.25">
      <c r="B843" s="17"/>
      <c r="C843" s="14"/>
      <c r="D843" s="14"/>
      <c r="E843" s="18"/>
      <c r="F843" s="61"/>
      <c r="G843" s="73"/>
      <c r="H843" s="79"/>
      <c r="I843" s="79"/>
      <c r="J843" s="14"/>
      <c r="K843" s="38"/>
      <c r="L843" s="38"/>
      <c r="M843" s="17"/>
    </row>
    <row r="844" spans="2:13" ht="14.45" customHeight="1" x14ac:dyDescent="0.25">
      <c r="B844" s="17"/>
      <c r="C844" s="14"/>
      <c r="D844" s="14"/>
      <c r="E844" s="18"/>
      <c r="F844" s="61"/>
      <c r="G844" s="73"/>
      <c r="H844" s="79"/>
      <c r="I844" s="79"/>
      <c r="J844" s="14"/>
      <c r="K844" s="38"/>
      <c r="L844" s="38"/>
      <c r="M844" s="17"/>
    </row>
    <row r="845" spans="2:13" ht="14.45" customHeight="1" x14ac:dyDescent="0.25">
      <c r="B845" s="17"/>
      <c r="C845" s="14"/>
      <c r="D845" s="14"/>
      <c r="E845" s="18"/>
      <c r="F845" s="61"/>
      <c r="G845" s="73"/>
      <c r="H845" s="79"/>
      <c r="I845" s="79"/>
      <c r="J845" s="14"/>
      <c r="K845" s="38"/>
      <c r="L845" s="38"/>
      <c r="M845" s="17"/>
    </row>
    <row r="846" spans="2:13" ht="14.45" customHeight="1" x14ac:dyDescent="0.25">
      <c r="B846" s="17"/>
      <c r="C846" s="14"/>
      <c r="D846" s="14"/>
      <c r="E846" s="18"/>
      <c r="F846" s="61"/>
      <c r="G846" s="73"/>
      <c r="H846" s="79"/>
      <c r="I846" s="79"/>
      <c r="J846" s="14"/>
      <c r="K846" s="38"/>
      <c r="L846" s="38"/>
      <c r="M846" s="17"/>
    </row>
    <row r="847" spans="2:13" ht="14.45" customHeight="1" x14ac:dyDescent="0.25">
      <c r="B847" s="17"/>
      <c r="C847" s="14"/>
      <c r="D847" s="14"/>
      <c r="E847" s="18"/>
      <c r="F847" s="61"/>
      <c r="G847" s="73"/>
      <c r="H847" s="79"/>
      <c r="I847" s="79"/>
      <c r="J847" s="14"/>
      <c r="K847" s="38"/>
      <c r="L847" s="38"/>
      <c r="M847" s="17"/>
    </row>
    <row r="848" spans="2:13" ht="14.45" customHeight="1" x14ac:dyDescent="0.25">
      <c r="B848" s="17"/>
      <c r="C848" s="14"/>
      <c r="D848" s="14"/>
      <c r="E848" s="18"/>
      <c r="F848" s="61"/>
      <c r="G848" s="73"/>
      <c r="H848" s="79"/>
      <c r="I848" s="79"/>
      <c r="J848" s="14"/>
      <c r="K848" s="38"/>
      <c r="L848" s="38"/>
      <c r="M848" s="17"/>
    </row>
    <row r="849" spans="2:13" ht="14.45" customHeight="1" x14ac:dyDescent="0.25">
      <c r="B849" s="17"/>
      <c r="C849" s="14"/>
      <c r="D849" s="14"/>
      <c r="E849" s="18"/>
      <c r="F849" s="61"/>
      <c r="G849" s="73"/>
      <c r="H849" s="79"/>
      <c r="I849" s="79"/>
      <c r="J849" s="14"/>
      <c r="K849" s="38"/>
      <c r="L849" s="38"/>
      <c r="M849" s="17"/>
    </row>
    <row r="850" spans="2:13" ht="14.45" customHeight="1" x14ac:dyDescent="0.25">
      <c r="B850" s="17"/>
      <c r="C850" s="14"/>
      <c r="D850" s="14"/>
      <c r="E850" s="18"/>
      <c r="F850" s="61"/>
      <c r="G850" s="73"/>
      <c r="H850" s="79"/>
      <c r="I850" s="79"/>
      <c r="J850" s="14"/>
      <c r="K850" s="38"/>
      <c r="L850" s="38"/>
      <c r="M850" s="17"/>
    </row>
    <row r="851" spans="2:13" ht="14.45" customHeight="1" x14ac:dyDescent="0.25">
      <c r="B851" s="17"/>
      <c r="C851" s="14"/>
      <c r="D851" s="14"/>
      <c r="E851" s="18"/>
      <c r="F851" s="61"/>
      <c r="G851" s="73"/>
      <c r="H851" s="79"/>
      <c r="I851" s="79"/>
      <c r="J851" s="14"/>
      <c r="K851" s="38"/>
      <c r="L851" s="38"/>
      <c r="M851" s="17"/>
    </row>
    <row r="852" spans="2:13" ht="14.45" customHeight="1" x14ac:dyDescent="0.25">
      <c r="B852" s="17"/>
      <c r="C852" s="14"/>
      <c r="D852" s="14"/>
      <c r="E852" s="18"/>
      <c r="F852" s="61"/>
      <c r="G852" s="73"/>
      <c r="H852" s="79"/>
      <c r="I852" s="79"/>
      <c r="J852" s="14"/>
      <c r="K852" s="38"/>
      <c r="L852" s="38"/>
      <c r="M852" s="17"/>
    </row>
    <row r="853" spans="2:13" ht="14.45" customHeight="1" x14ac:dyDescent="0.25">
      <c r="B853" s="17"/>
      <c r="C853" s="14"/>
      <c r="D853" s="14"/>
      <c r="E853" s="18"/>
      <c r="F853" s="61"/>
      <c r="G853" s="73"/>
      <c r="H853" s="79"/>
      <c r="I853" s="79"/>
      <c r="J853" s="14"/>
      <c r="K853" s="38"/>
      <c r="L853" s="38"/>
      <c r="M853" s="17"/>
    </row>
    <row r="854" spans="2:13" ht="14.45" customHeight="1" x14ac:dyDescent="0.25">
      <c r="B854" s="17"/>
      <c r="C854" s="14"/>
      <c r="D854" s="14"/>
      <c r="E854" s="18"/>
      <c r="F854" s="61"/>
      <c r="G854" s="73"/>
      <c r="H854" s="79"/>
      <c r="I854" s="79"/>
      <c r="J854" s="14"/>
      <c r="K854" s="38"/>
      <c r="L854" s="38"/>
      <c r="M854" s="17"/>
    </row>
    <row r="855" spans="2:13" ht="14.45" customHeight="1" x14ac:dyDescent="0.25">
      <c r="B855" s="17"/>
      <c r="C855" s="14"/>
      <c r="D855" s="14"/>
      <c r="E855" s="18"/>
      <c r="F855" s="61"/>
      <c r="G855" s="73"/>
      <c r="H855" s="79"/>
      <c r="I855" s="79"/>
      <c r="J855" s="14"/>
      <c r="K855" s="38"/>
      <c r="L855" s="38"/>
      <c r="M855" s="17"/>
    </row>
    <row r="856" spans="2:13" ht="14.45" customHeight="1" x14ac:dyDescent="0.25">
      <c r="B856" s="17"/>
      <c r="C856" s="14"/>
      <c r="D856" s="14"/>
      <c r="E856" s="18"/>
      <c r="F856" s="61"/>
      <c r="G856" s="73"/>
      <c r="H856" s="79"/>
      <c r="I856" s="79"/>
      <c r="J856" s="14"/>
      <c r="K856" s="38"/>
      <c r="L856" s="38"/>
      <c r="M856" s="17"/>
    </row>
    <row r="857" spans="2:13" ht="14.45" customHeight="1" x14ac:dyDescent="0.25">
      <c r="B857" s="17"/>
      <c r="C857" s="14"/>
      <c r="D857" s="14"/>
      <c r="E857" s="18"/>
      <c r="F857" s="61"/>
      <c r="G857" s="73"/>
      <c r="H857" s="79"/>
      <c r="I857" s="79"/>
      <c r="J857" s="14"/>
      <c r="K857" s="38"/>
      <c r="L857" s="38"/>
      <c r="M857" s="17"/>
    </row>
    <row r="858" spans="2:13" ht="14.45" customHeight="1" x14ac:dyDescent="0.25">
      <c r="B858" s="17"/>
      <c r="C858" s="14"/>
      <c r="D858" s="14"/>
      <c r="E858" s="18"/>
      <c r="F858" s="61"/>
      <c r="G858" s="73"/>
      <c r="H858" s="79"/>
      <c r="I858" s="79"/>
      <c r="J858" s="14"/>
      <c r="K858" s="38"/>
      <c r="L858" s="38"/>
      <c r="M858" s="17"/>
    </row>
    <row r="859" spans="2:13" ht="14.45" customHeight="1" x14ac:dyDescent="0.25">
      <c r="B859" s="17"/>
      <c r="C859" s="14"/>
      <c r="D859" s="14"/>
      <c r="E859" s="18"/>
      <c r="F859" s="61"/>
      <c r="G859" s="73"/>
      <c r="H859" s="79"/>
      <c r="I859" s="79"/>
      <c r="J859" s="14"/>
      <c r="K859" s="38"/>
      <c r="L859" s="38"/>
      <c r="M859" s="17"/>
    </row>
    <row r="860" spans="2:13" ht="14.45" customHeight="1" x14ac:dyDescent="0.25">
      <c r="B860" s="17"/>
      <c r="C860" s="14"/>
      <c r="D860" s="14"/>
      <c r="E860" s="18"/>
      <c r="F860" s="61"/>
      <c r="G860" s="73"/>
      <c r="H860" s="79"/>
      <c r="I860" s="79"/>
      <c r="J860" s="14"/>
      <c r="K860" s="38"/>
      <c r="L860" s="38"/>
      <c r="M860" s="17"/>
    </row>
    <row r="861" spans="2:13" ht="14.45" customHeight="1" x14ac:dyDescent="0.25">
      <c r="B861" s="17"/>
      <c r="C861" s="14"/>
      <c r="D861" s="14"/>
      <c r="E861" s="18"/>
      <c r="F861" s="61"/>
      <c r="G861" s="73"/>
      <c r="H861" s="79"/>
      <c r="I861" s="79"/>
      <c r="J861" s="14"/>
      <c r="K861" s="38"/>
      <c r="L861" s="38"/>
      <c r="M861" s="17"/>
    </row>
    <row r="862" spans="2:13" ht="14.45" customHeight="1" x14ac:dyDescent="0.25">
      <c r="B862" s="17"/>
      <c r="C862" s="14"/>
      <c r="D862" s="14"/>
      <c r="E862" s="18"/>
      <c r="F862" s="61"/>
      <c r="G862" s="73"/>
      <c r="H862" s="79"/>
      <c r="I862" s="79"/>
      <c r="J862" s="14"/>
      <c r="K862" s="38"/>
      <c r="L862" s="38"/>
      <c r="M862" s="17"/>
    </row>
    <row r="863" spans="2:13" ht="14.45" customHeight="1" x14ac:dyDescent="0.25">
      <c r="B863" s="17"/>
      <c r="C863" s="14"/>
      <c r="D863" s="14"/>
      <c r="E863" s="18"/>
      <c r="F863" s="61"/>
      <c r="G863" s="73"/>
      <c r="H863" s="79"/>
      <c r="I863" s="79"/>
      <c r="J863" s="14"/>
      <c r="K863" s="38"/>
      <c r="L863" s="38"/>
      <c r="M863" s="17"/>
    </row>
    <row r="864" spans="2:13" ht="14.45" customHeight="1" x14ac:dyDescent="0.25">
      <c r="B864" s="17"/>
      <c r="C864" s="14"/>
      <c r="D864" s="14"/>
      <c r="E864" s="18"/>
      <c r="F864" s="61"/>
      <c r="G864" s="73"/>
      <c r="H864" s="79"/>
      <c r="I864" s="79"/>
      <c r="J864" s="14"/>
      <c r="K864" s="38"/>
      <c r="L864" s="38"/>
      <c r="M864" s="17"/>
    </row>
    <row r="865" spans="2:13" ht="14.45" customHeight="1" x14ac:dyDescent="0.25">
      <c r="B865" s="17"/>
      <c r="C865" s="14"/>
      <c r="D865" s="14"/>
      <c r="E865" s="18"/>
      <c r="F865" s="61"/>
      <c r="G865" s="73"/>
      <c r="H865" s="79"/>
      <c r="I865" s="79"/>
      <c r="J865" s="14"/>
      <c r="K865" s="38"/>
      <c r="L865" s="38"/>
      <c r="M865" s="17"/>
    </row>
    <row r="866" spans="2:13" ht="14.45" customHeight="1" x14ac:dyDescent="0.25">
      <c r="B866" s="17"/>
      <c r="C866" s="14"/>
      <c r="D866" s="14"/>
      <c r="E866" s="18"/>
      <c r="F866" s="61"/>
      <c r="G866" s="73"/>
      <c r="H866" s="79"/>
      <c r="I866" s="79"/>
      <c r="J866" s="14"/>
      <c r="K866" s="38"/>
      <c r="L866" s="38"/>
      <c r="M866" s="17"/>
    </row>
    <row r="867" spans="2:13" ht="14.45" customHeight="1" x14ac:dyDescent="0.25">
      <c r="B867" s="17"/>
      <c r="C867" s="14"/>
      <c r="D867" s="14"/>
      <c r="E867" s="18"/>
      <c r="F867" s="61"/>
      <c r="G867" s="73"/>
      <c r="H867" s="79"/>
      <c r="I867" s="79"/>
      <c r="J867" s="14"/>
      <c r="K867" s="38"/>
      <c r="L867" s="38"/>
      <c r="M867" s="17"/>
    </row>
    <row r="868" spans="2:13" ht="14.45" customHeight="1" x14ac:dyDescent="0.25">
      <c r="B868" s="17"/>
      <c r="C868" s="14"/>
      <c r="D868" s="14"/>
      <c r="E868" s="18"/>
      <c r="F868" s="61"/>
      <c r="G868" s="73"/>
      <c r="H868" s="79"/>
      <c r="I868" s="79"/>
      <c r="J868" s="14"/>
      <c r="K868" s="38"/>
      <c r="L868" s="38"/>
      <c r="M868" s="17"/>
    </row>
    <row r="869" spans="2:13" ht="14.45" customHeight="1" x14ac:dyDescent="0.25">
      <c r="B869" s="17"/>
      <c r="C869" s="14"/>
      <c r="D869" s="14"/>
      <c r="E869" s="18"/>
      <c r="F869" s="61"/>
      <c r="G869" s="73"/>
      <c r="H869" s="79"/>
      <c r="I869" s="79"/>
      <c r="J869" s="14"/>
      <c r="K869" s="38"/>
      <c r="L869" s="38"/>
      <c r="M869" s="17"/>
    </row>
    <row r="870" spans="2:13" ht="14.45" customHeight="1" x14ac:dyDescent="0.25">
      <c r="B870" s="17"/>
      <c r="C870" s="14"/>
      <c r="D870" s="14"/>
      <c r="E870" s="18"/>
      <c r="F870" s="61"/>
      <c r="G870" s="73"/>
      <c r="H870" s="79"/>
      <c r="I870" s="79"/>
      <c r="J870" s="14"/>
      <c r="K870" s="38"/>
      <c r="L870" s="38"/>
      <c r="M870" s="17"/>
    </row>
    <row r="871" spans="2:13" ht="14.45" customHeight="1" x14ac:dyDescent="0.25">
      <c r="B871" s="17"/>
      <c r="C871" s="14"/>
      <c r="D871" s="14"/>
      <c r="E871" s="18"/>
      <c r="F871" s="61"/>
      <c r="G871" s="73"/>
      <c r="H871" s="79"/>
      <c r="I871" s="79"/>
      <c r="J871" s="14"/>
      <c r="K871" s="38"/>
      <c r="L871" s="38"/>
      <c r="M871" s="17"/>
    </row>
    <row r="872" spans="2:13" ht="14.45" customHeight="1" x14ac:dyDescent="0.25">
      <c r="B872" s="17"/>
      <c r="C872" s="14"/>
      <c r="D872" s="14"/>
      <c r="E872" s="18"/>
      <c r="F872" s="61"/>
      <c r="G872" s="73"/>
      <c r="H872" s="79"/>
      <c r="I872" s="79"/>
      <c r="J872" s="14"/>
      <c r="K872" s="38"/>
      <c r="L872" s="38"/>
      <c r="M872" s="17"/>
    </row>
    <row r="873" spans="2:13" ht="14.45" customHeight="1" x14ac:dyDescent="0.25">
      <c r="B873" s="17"/>
      <c r="C873" s="14"/>
      <c r="D873" s="14"/>
      <c r="E873" s="18"/>
      <c r="F873" s="61"/>
      <c r="G873" s="73"/>
      <c r="H873" s="79"/>
      <c r="I873" s="79"/>
      <c r="J873" s="14"/>
      <c r="K873" s="38"/>
      <c r="L873" s="38"/>
      <c r="M873" s="17"/>
    </row>
    <row r="874" spans="2:13" ht="14.45" customHeight="1" x14ac:dyDescent="0.25">
      <c r="B874" s="17"/>
      <c r="C874" s="14"/>
      <c r="D874" s="14"/>
      <c r="E874" s="18"/>
      <c r="F874" s="61"/>
      <c r="G874" s="73"/>
      <c r="H874" s="79"/>
      <c r="I874" s="79"/>
      <c r="J874" s="14"/>
      <c r="K874" s="38"/>
      <c r="L874" s="38"/>
      <c r="M874" s="17"/>
    </row>
    <row r="875" spans="2:13" ht="14.45" customHeight="1" x14ac:dyDescent="0.25">
      <c r="B875" s="17"/>
      <c r="C875" s="14"/>
      <c r="D875" s="14"/>
      <c r="E875" s="18"/>
      <c r="F875" s="61"/>
      <c r="G875" s="73"/>
      <c r="H875" s="79"/>
      <c r="I875" s="79"/>
      <c r="J875" s="14"/>
      <c r="K875" s="38"/>
      <c r="L875" s="38"/>
      <c r="M875" s="17"/>
    </row>
    <row r="876" spans="2:13" ht="14.45" customHeight="1" x14ac:dyDescent="0.25">
      <c r="B876" s="17"/>
      <c r="C876" s="14"/>
      <c r="D876" s="14"/>
      <c r="E876" s="18"/>
      <c r="F876" s="61"/>
      <c r="G876" s="73"/>
      <c r="H876" s="79"/>
      <c r="I876" s="79"/>
      <c r="J876" s="14"/>
      <c r="K876" s="38"/>
      <c r="L876" s="38"/>
      <c r="M876" s="17"/>
    </row>
    <row r="877" spans="2:13" ht="14.45" customHeight="1" x14ac:dyDescent="0.25">
      <c r="B877" s="17"/>
      <c r="C877" s="14"/>
      <c r="D877" s="14"/>
      <c r="E877" s="18"/>
      <c r="F877" s="61"/>
      <c r="G877" s="73"/>
      <c r="H877" s="79"/>
      <c r="I877" s="79"/>
      <c r="J877" s="14"/>
      <c r="K877" s="38"/>
      <c r="L877" s="38"/>
      <c r="M877" s="17"/>
    </row>
    <row r="878" spans="2:13" ht="14.45" customHeight="1" x14ac:dyDescent="0.25">
      <c r="B878" s="17"/>
      <c r="C878" s="14"/>
      <c r="D878" s="14"/>
      <c r="E878" s="18"/>
      <c r="F878" s="61"/>
      <c r="G878" s="73"/>
      <c r="H878" s="79"/>
      <c r="I878" s="79"/>
      <c r="J878" s="14"/>
      <c r="K878" s="38"/>
      <c r="L878" s="38"/>
      <c r="M878" s="17"/>
    </row>
    <row r="879" spans="2:13" ht="14.45" customHeight="1" x14ac:dyDescent="0.25">
      <c r="B879" s="17"/>
      <c r="C879" s="14"/>
      <c r="D879" s="14"/>
      <c r="E879" s="18"/>
      <c r="F879" s="61"/>
      <c r="G879" s="73"/>
      <c r="H879" s="79"/>
      <c r="I879" s="79"/>
      <c r="J879" s="14"/>
      <c r="K879" s="38"/>
      <c r="L879" s="38"/>
      <c r="M879" s="17"/>
    </row>
    <row r="880" spans="2:13" ht="14.45" customHeight="1" x14ac:dyDescent="0.25">
      <c r="B880" s="17"/>
      <c r="C880" s="14"/>
      <c r="D880" s="14"/>
      <c r="E880" s="18"/>
      <c r="F880" s="61"/>
      <c r="G880" s="73"/>
      <c r="H880" s="79"/>
      <c r="I880" s="79"/>
      <c r="J880" s="14"/>
      <c r="K880" s="38"/>
      <c r="L880" s="38"/>
      <c r="M880" s="17"/>
    </row>
    <row r="881" spans="2:13" ht="14.45" customHeight="1" x14ac:dyDescent="0.25">
      <c r="B881" s="17"/>
      <c r="C881" s="14"/>
      <c r="D881" s="14"/>
      <c r="E881" s="18"/>
      <c r="F881" s="61"/>
      <c r="G881" s="73"/>
      <c r="H881" s="79"/>
      <c r="I881" s="79"/>
      <c r="J881" s="14"/>
      <c r="K881" s="38"/>
      <c r="L881" s="38"/>
      <c r="M881" s="17"/>
    </row>
    <row r="882" spans="2:13" ht="14.45" customHeight="1" x14ac:dyDescent="0.25">
      <c r="B882" s="17"/>
      <c r="C882" s="14"/>
      <c r="D882" s="14"/>
      <c r="E882" s="18"/>
      <c r="F882" s="61"/>
      <c r="G882" s="73"/>
      <c r="H882" s="79"/>
      <c r="I882" s="79"/>
      <c r="J882" s="14"/>
      <c r="K882" s="38"/>
      <c r="L882" s="38"/>
      <c r="M882" s="17"/>
    </row>
    <row r="883" spans="2:13" ht="14.45" customHeight="1" x14ac:dyDescent="0.25">
      <c r="B883" s="17"/>
      <c r="C883" s="14"/>
      <c r="D883" s="14"/>
      <c r="E883" s="18"/>
      <c r="F883" s="61"/>
      <c r="G883" s="73"/>
      <c r="H883" s="79"/>
      <c r="I883" s="79"/>
      <c r="J883" s="14"/>
      <c r="K883" s="38"/>
      <c r="L883" s="38"/>
      <c r="M883" s="17"/>
    </row>
    <row r="884" spans="2:13" ht="14.45" customHeight="1" x14ac:dyDescent="0.25">
      <c r="B884" s="17"/>
      <c r="C884" s="14"/>
      <c r="D884" s="14"/>
      <c r="E884" s="18"/>
      <c r="F884" s="61"/>
      <c r="G884" s="73"/>
      <c r="H884" s="79"/>
      <c r="I884" s="79"/>
      <c r="J884" s="14"/>
      <c r="K884" s="38"/>
      <c r="L884" s="38"/>
      <c r="M884" s="17"/>
    </row>
    <row r="885" spans="2:13" ht="14.45" customHeight="1" x14ac:dyDescent="0.25">
      <c r="B885" s="17"/>
      <c r="C885" s="14"/>
      <c r="D885" s="14"/>
      <c r="E885" s="18"/>
      <c r="F885" s="61"/>
      <c r="G885" s="73"/>
      <c r="H885" s="79"/>
      <c r="I885" s="79"/>
      <c r="J885" s="14"/>
      <c r="K885" s="38"/>
      <c r="L885" s="38"/>
      <c r="M885" s="17"/>
    </row>
    <row r="886" spans="2:13" ht="14.45" customHeight="1" x14ac:dyDescent="0.25">
      <c r="B886" s="17"/>
      <c r="C886" s="14"/>
      <c r="D886" s="14"/>
      <c r="E886" s="18"/>
      <c r="F886" s="61"/>
      <c r="G886" s="73"/>
      <c r="H886" s="79"/>
      <c r="I886" s="79"/>
      <c r="J886" s="14"/>
      <c r="K886" s="38"/>
      <c r="L886" s="38"/>
      <c r="M886" s="17"/>
    </row>
    <row r="887" spans="2:13" ht="14.45" customHeight="1" x14ac:dyDescent="0.25">
      <c r="B887" s="17"/>
      <c r="C887" s="14"/>
      <c r="D887" s="14"/>
      <c r="E887" s="18"/>
      <c r="F887" s="61"/>
      <c r="G887" s="73"/>
      <c r="H887" s="79"/>
      <c r="I887" s="79"/>
      <c r="J887" s="14"/>
      <c r="K887" s="38"/>
      <c r="L887" s="38"/>
      <c r="M887" s="17"/>
    </row>
    <row r="888" spans="2:13" ht="14.45" customHeight="1" x14ac:dyDescent="0.25">
      <c r="B888" s="17"/>
      <c r="C888" s="14"/>
      <c r="D888" s="14"/>
      <c r="E888" s="18"/>
      <c r="F888" s="61"/>
      <c r="G888" s="73"/>
      <c r="H888" s="79"/>
      <c r="I888" s="79"/>
      <c r="J888" s="14"/>
      <c r="K888" s="38"/>
      <c r="L888" s="38"/>
      <c r="M888" s="17"/>
    </row>
    <row r="889" spans="2:13" ht="14.45" customHeight="1" x14ac:dyDescent="0.25">
      <c r="B889" s="17"/>
      <c r="C889" s="14"/>
      <c r="D889" s="14"/>
      <c r="E889" s="18"/>
      <c r="F889" s="61"/>
      <c r="G889" s="73"/>
      <c r="H889" s="79"/>
      <c r="I889" s="79"/>
      <c r="J889" s="14"/>
      <c r="K889" s="38"/>
      <c r="L889" s="38"/>
      <c r="M889" s="17"/>
    </row>
    <row r="890" spans="2:13" ht="14.45" customHeight="1" x14ac:dyDescent="0.25">
      <c r="B890" s="17"/>
      <c r="C890" s="14"/>
      <c r="D890" s="14"/>
      <c r="E890" s="18"/>
      <c r="F890" s="61"/>
      <c r="G890" s="73"/>
      <c r="H890" s="79"/>
      <c r="I890" s="79"/>
      <c r="J890" s="14"/>
      <c r="K890" s="38"/>
      <c r="L890" s="38"/>
      <c r="M890" s="17"/>
    </row>
    <row r="891" spans="2:13" ht="14.45" customHeight="1" x14ac:dyDescent="0.25">
      <c r="B891" s="17"/>
      <c r="C891" s="14"/>
      <c r="D891" s="14"/>
      <c r="E891" s="18"/>
      <c r="F891" s="61"/>
      <c r="G891" s="73"/>
      <c r="H891" s="79"/>
      <c r="I891" s="79"/>
      <c r="J891" s="14"/>
      <c r="K891" s="38"/>
      <c r="L891" s="38"/>
      <c r="M891" s="17"/>
    </row>
    <row r="892" spans="2:13" ht="14.45" customHeight="1" x14ac:dyDescent="0.25">
      <c r="B892" s="17"/>
      <c r="C892" s="14"/>
      <c r="D892" s="14"/>
      <c r="E892" s="18"/>
      <c r="F892" s="61"/>
      <c r="G892" s="73"/>
      <c r="H892" s="79"/>
      <c r="I892" s="79"/>
      <c r="J892" s="14"/>
      <c r="K892" s="38"/>
      <c r="L892" s="38"/>
      <c r="M892" s="17"/>
    </row>
    <row r="893" spans="2:13" ht="14.45" customHeight="1" x14ac:dyDescent="0.25">
      <c r="B893" s="17"/>
      <c r="C893" s="14"/>
      <c r="D893" s="14"/>
      <c r="E893" s="18"/>
      <c r="F893" s="61"/>
      <c r="G893" s="73"/>
      <c r="H893" s="79"/>
      <c r="I893" s="79"/>
      <c r="J893" s="14"/>
      <c r="K893" s="38"/>
      <c r="L893" s="38"/>
      <c r="M893" s="17"/>
    </row>
    <row r="894" spans="2:13" ht="14.45" customHeight="1" x14ac:dyDescent="0.25">
      <c r="B894" s="17"/>
      <c r="C894" s="14"/>
      <c r="D894" s="14"/>
      <c r="E894" s="18"/>
      <c r="F894" s="61"/>
      <c r="G894" s="73"/>
      <c r="H894" s="79"/>
      <c r="I894" s="79"/>
      <c r="J894" s="14"/>
      <c r="K894" s="38"/>
      <c r="L894" s="38"/>
      <c r="M894" s="17"/>
    </row>
    <row r="895" spans="2:13" ht="14.45" customHeight="1" x14ac:dyDescent="0.25">
      <c r="B895" s="17"/>
      <c r="C895" s="14"/>
      <c r="D895" s="14"/>
      <c r="E895" s="18"/>
      <c r="F895" s="61"/>
      <c r="G895" s="73"/>
      <c r="H895" s="79"/>
      <c r="I895" s="79"/>
      <c r="J895" s="14"/>
      <c r="K895" s="38"/>
      <c r="L895" s="38"/>
      <c r="M895" s="17"/>
    </row>
    <row r="896" spans="2:13" ht="14.45" customHeight="1" x14ac:dyDescent="0.25">
      <c r="B896" s="17"/>
      <c r="C896" s="14"/>
      <c r="D896" s="14"/>
      <c r="E896" s="18"/>
      <c r="F896" s="61"/>
      <c r="G896" s="73"/>
      <c r="H896" s="79"/>
      <c r="I896" s="79"/>
      <c r="J896" s="14"/>
      <c r="K896" s="38"/>
      <c r="L896" s="38"/>
      <c r="M896" s="17"/>
    </row>
    <row r="897" spans="2:13" ht="14.45" customHeight="1" x14ac:dyDescent="0.25">
      <c r="B897" s="17"/>
      <c r="C897" s="14"/>
      <c r="D897" s="14"/>
      <c r="E897" s="18"/>
      <c r="F897" s="61"/>
      <c r="G897" s="73"/>
      <c r="H897" s="79"/>
      <c r="I897" s="79"/>
      <c r="J897" s="14"/>
      <c r="K897" s="38"/>
      <c r="L897" s="38"/>
      <c r="M897" s="17"/>
    </row>
    <row r="898" spans="2:13" ht="14.45" customHeight="1" x14ac:dyDescent="0.25">
      <c r="B898" s="17"/>
      <c r="C898" s="14"/>
      <c r="D898" s="14"/>
      <c r="E898" s="18"/>
      <c r="F898" s="61"/>
      <c r="G898" s="73"/>
      <c r="H898" s="79"/>
      <c r="I898" s="79"/>
      <c r="J898" s="14"/>
      <c r="K898" s="38"/>
      <c r="L898" s="38"/>
      <c r="M898" s="17"/>
    </row>
    <row r="899" spans="2:13" ht="14.45" customHeight="1" x14ac:dyDescent="0.25">
      <c r="B899" s="17"/>
      <c r="C899" s="14"/>
      <c r="D899" s="14"/>
      <c r="E899" s="18"/>
      <c r="F899" s="61"/>
      <c r="G899" s="73"/>
      <c r="H899" s="79"/>
      <c r="I899" s="79"/>
      <c r="J899" s="14"/>
      <c r="K899" s="38"/>
      <c r="L899" s="38"/>
      <c r="M899" s="17"/>
    </row>
    <row r="900" spans="2:13" ht="14.45" customHeight="1" x14ac:dyDescent="0.25">
      <c r="B900" s="17"/>
      <c r="C900" s="14"/>
      <c r="D900" s="14"/>
      <c r="E900" s="18"/>
      <c r="F900" s="61"/>
      <c r="G900" s="73"/>
      <c r="H900" s="79"/>
      <c r="I900" s="79"/>
      <c r="J900" s="14"/>
      <c r="K900" s="38"/>
      <c r="L900" s="38"/>
      <c r="M900" s="17"/>
    </row>
    <row r="901" spans="2:13" ht="14.45" customHeight="1" x14ac:dyDescent="0.25">
      <c r="B901" s="17"/>
      <c r="C901" s="14"/>
      <c r="D901" s="14"/>
      <c r="E901" s="18"/>
      <c r="F901" s="61"/>
      <c r="G901" s="73"/>
      <c r="H901" s="79"/>
      <c r="I901" s="79"/>
      <c r="J901" s="14"/>
      <c r="K901" s="38"/>
      <c r="L901" s="38"/>
      <c r="M901" s="17"/>
    </row>
    <row r="902" spans="2:13" ht="14.45" customHeight="1" x14ac:dyDescent="0.25">
      <c r="B902" s="17"/>
      <c r="C902" s="14"/>
      <c r="D902" s="14"/>
      <c r="E902" s="18"/>
      <c r="F902" s="61"/>
      <c r="G902" s="73"/>
      <c r="H902" s="79"/>
      <c r="I902" s="79"/>
      <c r="J902" s="14"/>
      <c r="K902" s="38"/>
      <c r="L902" s="38"/>
      <c r="M902" s="17"/>
    </row>
    <row r="903" spans="2:13" ht="14.45" customHeight="1" x14ac:dyDescent="0.25">
      <c r="B903" s="17"/>
      <c r="C903" s="14"/>
      <c r="D903" s="14"/>
      <c r="E903" s="18"/>
      <c r="F903" s="61"/>
      <c r="G903" s="73"/>
      <c r="H903" s="79"/>
      <c r="I903" s="79"/>
      <c r="J903" s="14"/>
      <c r="K903" s="38"/>
      <c r="L903" s="38"/>
      <c r="M903" s="17"/>
    </row>
    <row r="904" spans="2:13" ht="14.45" customHeight="1" x14ac:dyDescent="0.25">
      <c r="B904" s="17"/>
      <c r="C904" s="14"/>
      <c r="D904" s="14"/>
      <c r="E904" s="18"/>
      <c r="F904" s="61"/>
      <c r="G904" s="73"/>
      <c r="H904" s="79"/>
      <c r="I904" s="79"/>
      <c r="J904" s="14"/>
      <c r="K904" s="38"/>
      <c r="L904" s="38"/>
      <c r="M904" s="17"/>
    </row>
    <row r="905" spans="2:13" ht="14.45" customHeight="1" x14ac:dyDescent="0.25">
      <c r="B905" s="17"/>
      <c r="C905" s="14"/>
      <c r="D905" s="14"/>
      <c r="E905" s="18"/>
      <c r="F905" s="61"/>
      <c r="G905" s="73"/>
      <c r="H905" s="79"/>
      <c r="I905" s="79"/>
      <c r="J905" s="14"/>
      <c r="K905" s="38"/>
      <c r="L905" s="38"/>
      <c r="M905" s="17"/>
    </row>
    <row r="906" spans="2:13" ht="14.45" customHeight="1" x14ac:dyDescent="0.25">
      <c r="B906" s="17"/>
      <c r="C906" s="14"/>
      <c r="D906" s="14"/>
      <c r="E906" s="18"/>
      <c r="F906" s="61"/>
      <c r="G906" s="73"/>
      <c r="H906" s="79"/>
      <c r="I906" s="79"/>
      <c r="J906" s="14"/>
      <c r="K906" s="38"/>
      <c r="L906" s="38"/>
      <c r="M906" s="17"/>
    </row>
    <row r="907" spans="2:13" ht="14.45" customHeight="1" x14ac:dyDescent="0.25">
      <c r="B907" s="17"/>
      <c r="C907" s="14"/>
      <c r="D907" s="14"/>
      <c r="E907" s="18"/>
      <c r="F907" s="61"/>
      <c r="G907" s="73"/>
      <c r="H907" s="79"/>
      <c r="I907" s="79"/>
      <c r="J907" s="14"/>
      <c r="K907" s="38"/>
      <c r="L907" s="38"/>
      <c r="M907" s="17"/>
    </row>
    <row r="908" spans="2:13" ht="14.45" customHeight="1" x14ac:dyDescent="0.25">
      <c r="B908" s="17"/>
      <c r="C908" s="14"/>
      <c r="D908" s="14"/>
      <c r="E908" s="18"/>
      <c r="F908" s="61"/>
      <c r="G908" s="73"/>
      <c r="H908" s="79"/>
      <c r="I908" s="79"/>
      <c r="J908" s="14"/>
      <c r="K908" s="38"/>
      <c r="L908" s="38"/>
      <c r="M908" s="17"/>
    </row>
    <row r="909" spans="2:13" ht="14.45" customHeight="1" x14ac:dyDescent="0.25">
      <c r="B909" s="17"/>
      <c r="C909" s="14"/>
      <c r="D909" s="14"/>
      <c r="E909" s="18"/>
      <c r="F909" s="61"/>
      <c r="G909" s="73"/>
      <c r="H909" s="79"/>
      <c r="I909" s="79"/>
      <c r="J909" s="14"/>
      <c r="K909" s="38"/>
      <c r="L909" s="38"/>
      <c r="M909" s="17"/>
    </row>
    <row r="910" spans="2:13" ht="14.45" customHeight="1" x14ac:dyDescent="0.25">
      <c r="B910" s="17"/>
      <c r="C910" s="14"/>
      <c r="D910" s="14"/>
      <c r="E910" s="18"/>
      <c r="F910" s="61"/>
      <c r="G910" s="73"/>
      <c r="H910" s="79"/>
      <c r="I910" s="79"/>
      <c r="J910" s="14"/>
      <c r="K910" s="38"/>
      <c r="L910" s="38"/>
      <c r="M910" s="17"/>
    </row>
    <row r="911" spans="2:13" ht="14.45" customHeight="1" x14ac:dyDescent="0.25">
      <c r="B911" s="17"/>
      <c r="C911" s="14"/>
      <c r="D911" s="14"/>
      <c r="E911" s="18"/>
      <c r="F911" s="61"/>
      <c r="G911" s="73"/>
      <c r="H911" s="79"/>
      <c r="I911" s="79"/>
      <c r="J911" s="14"/>
      <c r="K911" s="38"/>
      <c r="L911" s="38"/>
      <c r="M911" s="17"/>
    </row>
    <row r="912" spans="2:13" ht="14.45" customHeight="1" x14ac:dyDescent="0.25">
      <c r="B912" s="17"/>
      <c r="C912" s="14"/>
      <c r="D912" s="14"/>
      <c r="E912" s="18"/>
      <c r="F912" s="61"/>
      <c r="G912" s="73"/>
      <c r="H912" s="79"/>
      <c r="I912" s="79"/>
      <c r="J912" s="14"/>
      <c r="K912" s="38"/>
      <c r="L912" s="38"/>
      <c r="M912" s="17"/>
    </row>
    <row r="913" spans="2:13" ht="14.45" customHeight="1" x14ac:dyDescent="0.25">
      <c r="B913" s="17"/>
      <c r="C913" s="14"/>
      <c r="D913" s="14"/>
      <c r="E913" s="18"/>
      <c r="F913" s="61"/>
      <c r="G913" s="73"/>
      <c r="H913" s="79"/>
      <c r="I913" s="79"/>
      <c r="J913" s="14"/>
      <c r="K913" s="38"/>
      <c r="L913" s="38"/>
      <c r="M913" s="17"/>
    </row>
    <row r="914" spans="2:13" ht="14.45" customHeight="1" x14ac:dyDescent="0.25">
      <c r="B914" s="17"/>
      <c r="C914" s="14"/>
      <c r="D914" s="14"/>
      <c r="E914" s="18"/>
      <c r="F914" s="61"/>
      <c r="G914" s="73"/>
      <c r="H914" s="79"/>
      <c r="I914" s="79"/>
      <c r="J914" s="14"/>
      <c r="K914" s="38"/>
      <c r="L914" s="38"/>
      <c r="M914" s="17"/>
    </row>
    <row r="915" spans="2:13" ht="14.45" customHeight="1" x14ac:dyDescent="0.25">
      <c r="B915" s="17"/>
      <c r="C915" s="14"/>
      <c r="D915" s="14"/>
      <c r="E915" s="18"/>
      <c r="F915" s="61"/>
      <c r="G915" s="73"/>
      <c r="H915" s="79"/>
      <c r="I915" s="79"/>
      <c r="J915" s="14"/>
      <c r="K915" s="38"/>
      <c r="L915" s="38"/>
      <c r="M915" s="17"/>
    </row>
    <row r="916" spans="2:13" ht="14.45" customHeight="1" x14ac:dyDescent="0.25">
      <c r="B916" s="17"/>
      <c r="C916" s="14"/>
      <c r="D916" s="14"/>
      <c r="E916" s="18"/>
      <c r="F916" s="61"/>
      <c r="G916" s="73"/>
      <c r="H916" s="79"/>
      <c r="I916" s="79"/>
      <c r="J916" s="14"/>
      <c r="K916" s="38"/>
      <c r="L916" s="38"/>
      <c r="M916" s="17"/>
    </row>
    <row r="917" spans="2:13" ht="14.45" customHeight="1" x14ac:dyDescent="0.25">
      <c r="B917" s="17"/>
      <c r="C917" s="14"/>
      <c r="D917" s="14"/>
      <c r="E917" s="18"/>
      <c r="F917" s="61"/>
      <c r="G917" s="73"/>
      <c r="H917" s="79"/>
      <c r="I917" s="79"/>
      <c r="J917" s="14"/>
      <c r="K917" s="38"/>
      <c r="L917" s="38"/>
      <c r="M917" s="17"/>
    </row>
    <row r="918" spans="2:13" ht="14.45" customHeight="1" x14ac:dyDescent="0.25">
      <c r="B918" s="17"/>
      <c r="C918" s="14"/>
      <c r="D918" s="14"/>
      <c r="E918" s="18"/>
      <c r="F918" s="61"/>
      <c r="G918" s="73"/>
      <c r="H918" s="79"/>
      <c r="I918" s="79"/>
      <c r="J918" s="14"/>
      <c r="K918" s="38"/>
      <c r="L918" s="38"/>
      <c r="M918" s="17"/>
    </row>
    <row r="919" spans="2:13" ht="14.45" customHeight="1" x14ac:dyDescent="0.25">
      <c r="B919" s="17"/>
      <c r="C919" s="14"/>
      <c r="D919" s="14"/>
      <c r="E919" s="18"/>
      <c r="F919" s="61"/>
      <c r="G919" s="73"/>
      <c r="H919" s="79"/>
      <c r="I919" s="79"/>
      <c r="J919" s="14"/>
      <c r="K919" s="38"/>
      <c r="L919" s="38"/>
      <c r="M919" s="17"/>
    </row>
    <row r="920" spans="2:13" ht="14.45" customHeight="1" x14ac:dyDescent="0.25">
      <c r="B920" s="17"/>
      <c r="C920" s="14"/>
      <c r="D920" s="14"/>
      <c r="E920" s="18"/>
      <c r="F920" s="61"/>
      <c r="G920" s="73"/>
      <c r="H920" s="79"/>
      <c r="I920" s="79"/>
      <c r="J920" s="14"/>
      <c r="K920" s="38"/>
      <c r="L920" s="38"/>
      <c r="M920" s="17"/>
    </row>
    <row r="921" spans="2:13" ht="14.45" customHeight="1" x14ac:dyDescent="0.25">
      <c r="B921" s="17"/>
      <c r="C921" s="14"/>
      <c r="D921" s="14"/>
      <c r="E921" s="18"/>
      <c r="F921" s="61"/>
      <c r="G921" s="73"/>
      <c r="H921" s="79"/>
      <c r="I921" s="79"/>
      <c r="J921" s="14"/>
      <c r="K921" s="38"/>
      <c r="L921" s="38"/>
      <c r="M921" s="17"/>
    </row>
    <row r="922" spans="2:13" ht="14.45" customHeight="1" x14ac:dyDescent="0.25">
      <c r="B922" s="17"/>
      <c r="C922" s="14"/>
      <c r="D922" s="14"/>
      <c r="E922" s="18"/>
      <c r="F922" s="61"/>
      <c r="G922" s="73"/>
      <c r="H922" s="79"/>
      <c r="I922" s="79"/>
      <c r="J922" s="14"/>
      <c r="K922" s="38"/>
      <c r="L922" s="38"/>
      <c r="M922" s="17"/>
    </row>
    <row r="923" spans="2:13" ht="14.45" customHeight="1" x14ac:dyDescent="0.25">
      <c r="B923" s="17"/>
      <c r="C923" s="14"/>
      <c r="D923" s="14"/>
      <c r="E923" s="18"/>
      <c r="F923" s="61"/>
      <c r="G923" s="73"/>
      <c r="H923" s="79"/>
      <c r="I923" s="79"/>
      <c r="J923" s="14"/>
      <c r="K923" s="38"/>
      <c r="L923" s="38"/>
      <c r="M923" s="17"/>
    </row>
    <row r="924" spans="2:13" ht="14.45" customHeight="1" x14ac:dyDescent="0.25">
      <c r="B924" s="17"/>
      <c r="C924" s="14"/>
      <c r="D924" s="14"/>
      <c r="E924" s="18"/>
      <c r="F924" s="61"/>
      <c r="G924" s="73"/>
      <c r="H924" s="79"/>
      <c r="I924" s="79"/>
      <c r="J924" s="14"/>
      <c r="K924" s="38"/>
      <c r="L924" s="38"/>
      <c r="M924" s="17"/>
    </row>
    <row r="925" spans="2:13" ht="14.45" customHeight="1" x14ac:dyDescent="0.25">
      <c r="B925" s="17"/>
      <c r="C925" s="14"/>
      <c r="D925" s="14"/>
      <c r="E925" s="18"/>
      <c r="F925" s="61"/>
      <c r="G925" s="73"/>
      <c r="H925" s="79"/>
      <c r="I925" s="79"/>
      <c r="J925" s="14"/>
      <c r="K925" s="38"/>
      <c r="L925" s="38"/>
      <c r="M925" s="17"/>
    </row>
    <row r="926" spans="2:13" ht="14.45" customHeight="1" x14ac:dyDescent="0.25">
      <c r="B926" s="17"/>
      <c r="C926" s="14"/>
      <c r="D926" s="14"/>
      <c r="E926" s="18"/>
      <c r="F926" s="61"/>
      <c r="G926" s="73"/>
      <c r="H926" s="79"/>
      <c r="I926" s="79"/>
      <c r="J926" s="14"/>
      <c r="K926" s="38"/>
      <c r="L926" s="38"/>
      <c r="M926" s="17"/>
    </row>
    <row r="927" spans="2:13" ht="14.45" customHeight="1" x14ac:dyDescent="0.25">
      <c r="B927" s="17"/>
      <c r="C927" s="14"/>
      <c r="D927" s="14"/>
      <c r="E927" s="18"/>
      <c r="F927" s="61"/>
      <c r="G927" s="73"/>
      <c r="H927" s="79"/>
      <c r="I927" s="79"/>
      <c r="J927" s="14"/>
      <c r="K927" s="38"/>
      <c r="L927" s="38"/>
      <c r="M927" s="17"/>
    </row>
    <row r="928" spans="2:13" ht="14.45" customHeight="1" x14ac:dyDescent="0.25">
      <c r="B928" s="17"/>
      <c r="C928" s="14"/>
      <c r="D928" s="14"/>
      <c r="E928" s="18"/>
      <c r="F928" s="61"/>
      <c r="G928" s="73"/>
      <c r="H928" s="79"/>
      <c r="I928" s="79"/>
      <c r="J928" s="14"/>
      <c r="K928" s="38"/>
      <c r="L928" s="38"/>
      <c r="M928" s="17"/>
    </row>
    <row r="929" spans="2:13" ht="14.45" customHeight="1" x14ac:dyDescent="0.25">
      <c r="B929" s="17"/>
      <c r="C929" s="14"/>
      <c r="D929" s="14"/>
      <c r="E929" s="18"/>
      <c r="F929" s="61"/>
      <c r="G929" s="73"/>
      <c r="H929" s="79"/>
      <c r="I929" s="79"/>
      <c r="J929" s="14"/>
      <c r="K929" s="38"/>
      <c r="L929" s="38"/>
      <c r="M929" s="17"/>
    </row>
    <row r="930" spans="2:13" ht="14.45" customHeight="1" x14ac:dyDescent="0.25">
      <c r="B930" s="17"/>
      <c r="C930" s="14"/>
      <c r="D930" s="14"/>
      <c r="E930" s="18"/>
      <c r="F930" s="61"/>
      <c r="G930" s="73"/>
      <c r="H930" s="79"/>
      <c r="I930" s="79"/>
      <c r="J930" s="14"/>
      <c r="K930" s="38"/>
      <c r="L930" s="38"/>
      <c r="M930" s="17"/>
    </row>
    <row r="931" spans="2:13" ht="14.45" customHeight="1" x14ac:dyDescent="0.25">
      <c r="B931" s="17"/>
      <c r="C931" s="14"/>
      <c r="D931" s="14"/>
      <c r="E931" s="18"/>
      <c r="F931" s="61"/>
      <c r="G931" s="73"/>
      <c r="H931" s="79"/>
      <c r="I931" s="79"/>
      <c r="J931" s="14"/>
      <c r="K931" s="38"/>
      <c r="L931" s="38"/>
      <c r="M931" s="17"/>
    </row>
    <row r="932" spans="2:13" ht="14.45" customHeight="1" x14ac:dyDescent="0.25">
      <c r="B932" s="17"/>
      <c r="C932" s="14"/>
      <c r="D932" s="14"/>
      <c r="E932" s="18"/>
      <c r="F932" s="61"/>
      <c r="G932" s="73"/>
      <c r="H932" s="79"/>
      <c r="I932" s="79"/>
      <c r="J932" s="14"/>
      <c r="K932" s="38"/>
      <c r="L932" s="38"/>
      <c r="M932" s="17"/>
    </row>
    <row r="933" spans="2:13" ht="14.45" customHeight="1" x14ac:dyDescent="0.25">
      <c r="B933" s="17"/>
      <c r="C933" s="14"/>
      <c r="D933" s="14"/>
      <c r="E933" s="18"/>
      <c r="F933" s="61"/>
      <c r="G933" s="73"/>
      <c r="H933" s="79"/>
      <c r="I933" s="79"/>
      <c r="J933" s="14"/>
      <c r="K933" s="38"/>
      <c r="L933" s="38"/>
      <c r="M933" s="17"/>
    </row>
    <row r="934" spans="2:13" ht="14.45" customHeight="1" x14ac:dyDescent="0.25">
      <c r="B934" s="17"/>
      <c r="C934" s="14"/>
      <c r="D934" s="14"/>
      <c r="E934" s="18"/>
      <c r="F934" s="61"/>
      <c r="G934" s="73"/>
      <c r="H934" s="79"/>
      <c r="I934" s="79"/>
      <c r="J934" s="14"/>
      <c r="K934" s="38"/>
      <c r="L934" s="38"/>
      <c r="M934" s="17"/>
    </row>
    <row r="935" spans="2:13" ht="14.45" customHeight="1" x14ac:dyDescent="0.25">
      <c r="B935" s="17"/>
      <c r="C935" s="14"/>
      <c r="D935" s="14"/>
      <c r="E935" s="18"/>
      <c r="F935" s="61"/>
      <c r="G935" s="73"/>
      <c r="H935" s="79"/>
      <c r="I935" s="79"/>
      <c r="J935" s="14"/>
      <c r="K935" s="38"/>
      <c r="L935" s="38"/>
      <c r="M935" s="17"/>
    </row>
    <row r="936" spans="2:13" ht="14.45" customHeight="1" x14ac:dyDescent="0.25">
      <c r="B936" s="17"/>
      <c r="C936" s="14"/>
      <c r="D936" s="14"/>
      <c r="E936" s="18"/>
      <c r="F936" s="61"/>
      <c r="G936" s="73"/>
      <c r="H936" s="79"/>
      <c r="I936" s="79"/>
      <c r="J936" s="14"/>
      <c r="K936" s="38"/>
      <c r="L936" s="38"/>
      <c r="M936" s="17"/>
    </row>
    <row r="937" spans="2:13" ht="14.45" customHeight="1" x14ac:dyDescent="0.25">
      <c r="B937" s="17"/>
      <c r="C937" s="14"/>
      <c r="D937" s="14"/>
      <c r="E937" s="18"/>
      <c r="F937" s="61"/>
      <c r="G937" s="73"/>
      <c r="H937" s="79"/>
      <c r="I937" s="79"/>
      <c r="J937" s="14"/>
      <c r="K937" s="38"/>
      <c r="L937" s="38"/>
      <c r="M937" s="17"/>
    </row>
    <row r="938" spans="2:13" ht="14.45" customHeight="1" x14ac:dyDescent="0.25">
      <c r="B938" s="17"/>
      <c r="C938" s="14"/>
      <c r="D938" s="14"/>
      <c r="E938" s="18"/>
      <c r="F938" s="61"/>
      <c r="G938" s="73"/>
      <c r="H938" s="79"/>
      <c r="I938" s="79"/>
      <c r="J938" s="14"/>
      <c r="K938" s="38"/>
      <c r="L938" s="38"/>
      <c r="M938" s="17"/>
    </row>
    <row r="939" spans="2:13" ht="14.45" customHeight="1" x14ac:dyDescent="0.25">
      <c r="B939" s="17"/>
      <c r="C939" s="14"/>
      <c r="D939" s="14"/>
      <c r="E939" s="18"/>
      <c r="F939" s="61"/>
      <c r="G939" s="73"/>
      <c r="H939" s="79"/>
      <c r="I939" s="79"/>
      <c r="J939" s="14"/>
      <c r="K939" s="38"/>
      <c r="L939" s="38"/>
      <c r="M939" s="17"/>
    </row>
    <row r="940" spans="2:13" ht="14.45" customHeight="1" x14ac:dyDescent="0.25">
      <c r="B940" s="17"/>
      <c r="C940" s="14"/>
      <c r="D940" s="14"/>
      <c r="E940" s="18"/>
      <c r="F940" s="61"/>
      <c r="G940" s="73"/>
      <c r="H940" s="79"/>
      <c r="I940" s="79"/>
      <c r="J940" s="14"/>
      <c r="K940" s="38"/>
      <c r="L940" s="38"/>
      <c r="M940" s="17"/>
    </row>
    <row r="941" spans="2:13" ht="14.45" customHeight="1" x14ac:dyDescent="0.25">
      <c r="B941" s="17"/>
      <c r="C941" s="14"/>
      <c r="D941" s="14"/>
      <c r="E941" s="18"/>
      <c r="F941" s="61"/>
      <c r="G941" s="73"/>
      <c r="H941" s="79"/>
      <c r="I941" s="79"/>
      <c r="J941" s="14"/>
      <c r="K941" s="38"/>
      <c r="L941" s="38"/>
      <c r="M941" s="17"/>
    </row>
    <row r="942" spans="2:13" ht="14.45" customHeight="1" x14ac:dyDescent="0.25">
      <c r="B942" s="17"/>
      <c r="C942" s="14"/>
      <c r="D942" s="14"/>
      <c r="E942" s="18"/>
      <c r="F942" s="61"/>
      <c r="G942" s="73"/>
      <c r="H942" s="79"/>
      <c r="I942" s="79"/>
      <c r="J942" s="14"/>
      <c r="K942" s="38"/>
      <c r="L942" s="38"/>
      <c r="M942" s="17"/>
    </row>
    <row r="943" spans="2:13" ht="14.45" customHeight="1" x14ac:dyDescent="0.25">
      <c r="B943" s="17"/>
      <c r="C943" s="14"/>
      <c r="D943" s="14"/>
      <c r="E943" s="18"/>
      <c r="F943" s="61"/>
      <c r="G943" s="73"/>
      <c r="H943" s="79"/>
      <c r="I943" s="79"/>
      <c r="J943" s="14"/>
      <c r="K943" s="38"/>
      <c r="L943" s="38"/>
      <c r="M943" s="17"/>
    </row>
    <row r="944" spans="2:13" ht="14.45" customHeight="1" x14ac:dyDescent="0.25">
      <c r="B944" s="17"/>
      <c r="C944" s="14"/>
      <c r="D944" s="14"/>
      <c r="E944" s="18"/>
      <c r="F944" s="61"/>
      <c r="G944" s="73"/>
      <c r="H944" s="79"/>
      <c r="I944" s="79"/>
      <c r="J944" s="14"/>
      <c r="K944" s="38"/>
      <c r="L944" s="38"/>
      <c r="M944" s="17"/>
    </row>
    <row r="945" spans="2:13" ht="14.45" customHeight="1" x14ac:dyDescent="0.25">
      <c r="B945" s="17"/>
      <c r="C945" s="14"/>
      <c r="D945" s="14"/>
      <c r="E945" s="18"/>
      <c r="F945" s="61"/>
      <c r="G945" s="73"/>
      <c r="H945" s="79"/>
      <c r="I945" s="79"/>
      <c r="J945" s="14"/>
      <c r="K945" s="38"/>
      <c r="L945" s="38"/>
      <c r="M945" s="17"/>
    </row>
    <row r="946" spans="2:13" ht="14.45" customHeight="1" x14ac:dyDescent="0.25">
      <c r="B946" s="17"/>
      <c r="C946" s="14"/>
      <c r="D946" s="14"/>
      <c r="E946" s="18"/>
      <c r="F946" s="61"/>
      <c r="G946" s="73"/>
      <c r="H946" s="79"/>
      <c r="I946" s="79"/>
      <c r="J946" s="14"/>
      <c r="K946" s="38"/>
      <c r="L946" s="38"/>
      <c r="M946" s="17"/>
    </row>
    <row r="947" spans="2:13" ht="14.45" customHeight="1" x14ac:dyDescent="0.25">
      <c r="B947" s="17"/>
      <c r="C947" s="14"/>
      <c r="D947" s="14"/>
      <c r="E947" s="18"/>
      <c r="F947" s="61"/>
      <c r="G947" s="73"/>
      <c r="H947" s="79"/>
      <c r="I947" s="79"/>
      <c r="J947" s="14"/>
      <c r="K947" s="38"/>
      <c r="L947" s="38"/>
      <c r="M947" s="17"/>
    </row>
    <row r="948" spans="2:13" ht="14.45" customHeight="1" x14ac:dyDescent="0.25">
      <c r="B948" s="17"/>
      <c r="C948" s="14"/>
      <c r="D948" s="14"/>
      <c r="E948" s="18"/>
      <c r="F948" s="61"/>
      <c r="G948" s="73"/>
      <c r="H948" s="79"/>
      <c r="I948" s="79"/>
      <c r="J948" s="14"/>
      <c r="K948" s="38"/>
      <c r="L948" s="38"/>
      <c r="M948" s="17"/>
    </row>
    <row r="949" spans="2:13" ht="14.45" customHeight="1" x14ac:dyDescent="0.25">
      <c r="B949" s="17"/>
      <c r="C949" s="14"/>
      <c r="D949" s="14"/>
      <c r="E949" s="18"/>
      <c r="F949" s="61"/>
      <c r="G949" s="73"/>
      <c r="H949" s="79"/>
      <c r="I949" s="79"/>
      <c r="J949" s="14"/>
      <c r="K949" s="38"/>
      <c r="L949" s="38"/>
      <c r="M949" s="17"/>
    </row>
    <row r="950" spans="2:13" ht="14.45" customHeight="1" x14ac:dyDescent="0.25">
      <c r="B950" s="17"/>
      <c r="C950" s="14"/>
      <c r="D950" s="14"/>
      <c r="E950" s="18"/>
      <c r="F950" s="61"/>
      <c r="G950" s="73"/>
      <c r="H950" s="79"/>
      <c r="I950" s="79"/>
      <c r="J950" s="14"/>
      <c r="K950" s="38"/>
      <c r="L950" s="38"/>
      <c r="M950" s="17"/>
    </row>
    <row r="951" spans="2:13" ht="14.45" customHeight="1" x14ac:dyDescent="0.25">
      <c r="B951" s="17"/>
      <c r="C951" s="14"/>
      <c r="D951" s="14"/>
      <c r="E951" s="18"/>
      <c r="F951" s="61"/>
      <c r="G951" s="73"/>
      <c r="H951" s="79"/>
      <c r="I951" s="79"/>
      <c r="J951" s="14"/>
      <c r="K951" s="38"/>
      <c r="L951" s="38"/>
      <c r="M951" s="17"/>
    </row>
    <row r="952" spans="2:13" ht="14.45" customHeight="1" x14ac:dyDescent="0.25">
      <c r="B952" s="17"/>
      <c r="C952" s="14"/>
      <c r="D952" s="14"/>
      <c r="E952" s="18"/>
      <c r="F952" s="61"/>
      <c r="G952" s="73"/>
      <c r="H952" s="79"/>
      <c r="I952" s="79"/>
      <c r="J952" s="14"/>
      <c r="K952" s="38"/>
      <c r="L952" s="38"/>
      <c r="M952" s="17"/>
    </row>
    <row r="953" spans="2:13" ht="14.45" customHeight="1" x14ac:dyDescent="0.25">
      <c r="B953" s="17"/>
      <c r="C953" s="14"/>
      <c r="D953" s="14"/>
      <c r="E953" s="18"/>
      <c r="F953" s="61"/>
      <c r="G953" s="73"/>
      <c r="H953" s="79"/>
      <c r="I953" s="79"/>
      <c r="J953" s="14"/>
      <c r="K953" s="38"/>
      <c r="L953" s="38"/>
      <c r="M953" s="17"/>
    </row>
    <row r="954" spans="2:13" ht="14.45" customHeight="1" x14ac:dyDescent="0.25">
      <c r="B954" s="17"/>
      <c r="C954" s="14"/>
      <c r="D954" s="14"/>
      <c r="E954" s="18"/>
      <c r="F954" s="61"/>
      <c r="G954" s="73"/>
      <c r="H954" s="79"/>
      <c r="I954" s="79"/>
      <c r="J954" s="14"/>
      <c r="K954" s="38"/>
      <c r="L954" s="38"/>
      <c r="M954" s="17"/>
    </row>
    <row r="955" spans="2:13" ht="14.45" customHeight="1" x14ac:dyDescent="0.25">
      <c r="B955" s="17"/>
      <c r="C955" s="14"/>
      <c r="D955" s="14"/>
      <c r="E955" s="18"/>
      <c r="F955" s="61"/>
      <c r="G955" s="73"/>
      <c r="H955" s="79"/>
      <c r="I955" s="79"/>
      <c r="J955" s="14"/>
      <c r="K955" s="38"/>
      <c r="L955" s="38"/>
      <c r="M955" s="17"/>
    </row>
    <row r="956" spans="2:13" ht="14.45" customHeight="1" x14ac:dyDescent="0.25">
      <c r="B956" s="17"/>
      <c r="C956" s="14"/>
      <c r="D956" s="14"/>
      <c r="E956" s="18"/>
      <c r="F956" s="61"/>
      <c r="G956" s="73"/>
      <c r="H956" s="79"/>
      <c r="I956" s="79"/>
      <c r="J956" s="14"/>
      <c r="K956" s="38"/>
      <c r="L956" s="38"/>
      <c r="M956" s="17"/>
    </row>
    <row r="957" spans="2:13" ht="14.45" customHeight="1" x14ac:dyDescent="0.25">
      <c r="B957" s="17"/>
      <c r="C957" s="14"/>
      <c r="D957" s="14"/>
      <c r="E957" s="18"/>
      <c r="F957" s="61"/>
      <c r="G957" s="73"/>
      <c r="H957" s="79"/>
      <c r="I957" s="79"/>
      <c r="J957" s="14"/>
      <c r="K957" s="38"/>
      <c r="L957" s="38"/>
      <c r="M957" s="17"/>
    </row>
    <row r="958" spans="2:13" ht="14.45" customHeight="1" x14ac:dyDescent="0.25">
      <c r="B958" s="17"/>
      <c r="C958" s="14"/>
      <c r="D958" s="14"/>
      <c r="E958" s="18"/>
      <c r="F958" s="61"/>
      <c r="G958" s="73"/>
      <c r="H958" s="79"/>
      <c r="I958" s="79"/>
      <c r="J958" s="14"/>
      <c r="K958" s="38"/>
      <c r="L958" s="38"/>
      <c r="M958" s="17"/>
    </row>
    <row r="959" spans="2:13" ht="14.45" customHeight="1" x14ac:dyDescent="0.25">
      <c r="B959" s="17"/>
      <c r="C959" s="14"/>
      <c r="D959" s="14"/>
      <c r="E959" s="18"/>
      <c r="F959" s="61"/>
      <c r="G959" s="73"/>
      <c r="H959" s="79"/>
      <c r="I959" s="79"/>
      <c r="J959" s="14"/>
      <c r="K959" s="38"/>
      <c r="L959" s="38"/>
      <c r="M959" s="17"/>
    </row>
    <row r="960" spans="2:13" ht="14.45" customHeight="1" x14ac:dyDescent="0.25">
      <c r="B960" s="17"/>
      <c r="C960" s="14"/>
      <c r="D960" s="14"/>
      <c r="E960" s="18"/>
      <c r="F960" s="61"/>
      <c r="G960" s="73"/>
      <c r="H960" s="79"/>
      <c r="I960" s="79"/>
      <c r="J960" s="14"/>
      <c r="K960" s="38"/>
      <c r="L960" s="38"/>
      <c r="M960" s="17"/>
    </row>
    <row r="961" spans="2:13" ht="14.45" customHeight="1" x14ac:dyDescent="0.25">
      <c r="B961" s="17"/>
      <c r="C961" s="14"/>
      <c r="D961" s="14"/>
      <c r="E961" s="18"/>
      <c r="F961" s="61"/>
      <c r="G961" s="73"/>
      <c r="H961" s="79"/>
      <c r="I961" s="79"/>
      <c r="J961" s="14"/>
      <c r="K961" s="38"/>
      <c r="L961" s="38"/>
      <c r="M961" s="17"/>
    </row>
    <row r="962" spans="2:13" ht="14.45" customHeight="1" x14ac:dyDescent="0.25">
      <c r="B962" s="17"/>
      <c r="C962" s="14"/>
      <c r="D962" s="14"/>
      <c r="E962" s="18"/>
      <c r="F962" s="61"/>
      <c r="G962" s="73"/>
      <c r="H962" s="79"/>
      <c r="I962" s="79"/>
      <c r="J962" s="14"/>
      <c r="K962" s="38"/>
      <c r="L962" s="38"/>
      <c r="M962" s="17"/>
    </row>
    <row r="963" spans="2:13" ht="14.45" customHeight="1" x14ac:dyDescent="0.25">
      <c r="B963" s="17"/>
      <c r="C963" s="14"/>
      <c r="D963" s="14"/>
      <c r="E963" s="18"/>
      <c r="F963" s="61"/>
      <c r="G963" s="73"/>
      <c r="H963" s="79"/>
      <c r="I963" s="79"/>
      <c r="J963" s="14"/>
      <c r="K963" s="38"/>
      <c r="L963" s="38"/>
      <c r="M963" s="17"/>
    </row>
    <row r="964" spans="2:13" ht="14.45" customHeight="1" x14ac:dyDescent="0.25">
      <c r="B964" s="17"/>
      <c r="C964" s="14"/>
      <c r="D964" s="14"/>
      <c r="E964" s="18"/>
      <c r="F964" s="61"/>
      <c r="G964" s="73"/>
      <c r="H964" s="79"/>
      <c r="I964" s="79"/>
      <c r="J964" s="14"/>
      <c r="K964" s="38"/>
      <c r="L964" s="38"/>
      <c r="M964" s="17"/>
    </row>
    <row r="965" spans="2:13" ht="14.45" customHeight="1" x14ac:dyDescent="0.25">
      <c r="B965" s="17"/>
      <c r="C965" s="14"/>
      <c r="D965" s="14"/>
      <c r="E965" s="18"/>
      <c r="F965" s="61"/>
      <c r="G965" s="73"/>
      <c r="H965" s="79"/>
      <c r="I965" s="79"/>
      <c r="J965" s="14"/>
      <c r="K965" s="38"/>
      <c r="L965" s="38"/>
      <c r="M965" s="17"/>
    </row>
    <row r="966" spans="2:13" ht="14.45" customHeight="1" x14ac:dyDescent="0.25">
      <c r="B966" s="17"/>
      <c r="C966" s="14"/>
      <c r="D966" s="14"/>
      <c r="E966" s="18"/>
      <c r="F966" s="61"/>
      <c r="G966" s="73"/>
      <c r="H966" s="79"/>
      <c r="I966" s="79"/>
      <c r="J966" s="14"/>
      <c r="K966" s="38"/>
      <c r="L966" s="38"/>
      <c r="M966" s="17"/>
    </row>
    <row r="967" spans="2:13" ht="14.45" customHeight="1" x14ac:dyDescent="0.25">
      <c r="B967" s="17"/>
      <c r="C967" s="14"/>
      <c r="D967" s="14"/>
      <c r="E967" s="18"/>
      <c r="F967" s="61"/>
      <c r="G967" s="73"/>
      <c r="H967" s="79"/>
      <c r="I967" s="79"/>
      <c r="J967" s="14"/>
      <c r="K967" s="38"/>
      <c r="L967" s="38"/>
      <c r="M967" s="17"/>
    </row>
    <row r="968" spans="2:13" ht="14.45" customHeight="1" x14ac:dyDescent="0.25">
      <c r="B968" s="17"/>
      <c r="C968" s="14"/>
      <c r="D968" s="14"/>
      <c r="E968" s="18"/>
      <c r="F968" s="61"/>
      <c r="G968" s="73"/>
      <c r="H968" s="79"/>
      <c r="I968" s="79"/>
      <c r="J968" s="14"/>
      <c r="K968" s="38"/>
      <c r="L968" s="38"/>
      <c r="M968" s="17"/>
    </row>
    <row r="969" spans="2:13" ht="14.45" customHeight="1" x14ac:dyDescent="0.25">
      <c r="B969" s="17"/>
      <c r="C969" s="14"/>
      <c r="D969" s="14"/>
      <c r="E969" s="18"/>
      <c r="F969" s="61"/>
      <c r="G969" s="73"/>
      <c r="H969" s="79"/>
      <c r="I969" s="79"/>
      <c r="J969" s="14"/>
      <c r="K969" s="38"/>
      <c r="L969" s="38"/>
      <c r="M969" s="17"/>
    </row>
    <row r="970" spans="2:13" ht="14.45" customHeight="1" x14ac:dyDescent="0.25">
      <c r="B970" s="17"/>
      <c r="C970" s="14"/>
      <c r="D970" s="14"/>
      <c r="E970" s="18"/>
      <c r="F970" s="61"/>
      <c r="G970" s="73"/>
      <c r="H970" s="79"/>
      <c r="I970" s="79"/>
      <c r="J970" s="14"/>
      <c r="K970" s="38"/>
      <c r="L970" s="38"/>
      <c r="M970" s="17"/>
    </row>
    <row r="971" spans="2:13" ht="14.45" customHeight="1" x14ac:dyDescent="0.25">
      <c r="B971" s="17"/>
      <c r="C971" s="14"/>
      <c r="D971" s="14"/>
      <c r="E971" s="18"/>
      <c r="F971" s="61"/>
      <c r="G971" s="73"/>
      <c r="H971" s="79"/>
      <c r="I971" s="79"/>
      <c r="J971" s="14"/>
      <c r="K971" s="38"/>
      <c r="L971" s="38"/>
      <c r="M971" s="17"/>
    </row>
    <row r="972" spans="2:13" ht="14.45" customHeight="1" x14ac:dyDescent="0.25">
      <c r="B972" s="17"/>
      <c r="C972" s="14"/>
      <c r="D972" s="14"/>
      <c r="E972" s="18"/>
      <c r="F972" s="61"/>
      <c r="G972" s="73"/>
      <c r="H972" s="79"/>
      <c r="I972" s="79"/>
      <c r="J972" s="14"/>
      <c r="K972" s="38"/>
      <c r="L972" s="38"/>
      <c r="M972" s="17"/>
    </row>
    <row r="973" spans="2:13" ht="14.45" customHeight="1" x14ac:dyDescent="0.25">
      <c r="B973" s="17"/>
      <c r="C973" s="14"/>
      <c r="D973" s="14"/>
      <c r="E973" s="18"/>
      <c r="F973" s="61"/>
      <c r="G973" s="73"/>
      <c r="H973" s="79"/>
      <c r="I973" s="79"/>
      <c r="J973" s="14"/>
      <c r="K973" s="38"/>
      <c r="L973" s="38"/>
      <c r="M973" s="17"/>
    </row>
    <row r="974" spans="2:13" ht="14.45" customHeight="1" x14ac:dyDescent="0.25">
      <c r="B974" s="17"/>
      <c r="C974" s="14"/>
      <c r="D974" s="14"/>
      <c r="E974" s="18"/>
      <c r="F974" s="61"/>
      <c r="G974" s="73"/>
      <c r="H974" s="79"/>
      <c r="I974" s="79"/>
      <c r="J974" s="14"/>
      <c r="K974" s="38"/>
      <c r="L974" s="38"/>
      <c r="M974" s="17"/>
    </row>
    <row r="975" spans="2:13" ht="14.45" customHeight="1" x14ac:dyDescent="0.25">
      <c r="B975" s="17"/>
      <c r="C975" s="14"/>
      <c r="D975" s="14"/>
      <c r="E975" s="18"/>
      <c r="F975" s="61"/>
      <c r="G975" s="73"/>
      <c r="H975" s="79"/>
      <c r="I975" s="79"/>
      <c r="J975" s="14"/>
      <c r="K975" s="38"/>
      <c r="L975" s="38"/>
      <c r="M975" s="17"/>
    </row>
    <row r="976" spans="2:13" ht="14.45" customHeight="1" x14ac:dyDescent="0.25">
      <c r="B976" s="17"/>
      <c r="C976" s="14"/>
      <c r="D976" s="14"/>
      <c r="E976" s="18"/>
      <c r="F976" s="61"/>
      <c r="G976" s="73"/>
      <c r="H976" s="79"/>
      <c r="I976" s="79"/>
      <c r="J976" s="14"/>
      <c r="K976" s="38"/>
      <c r="L976" s="38"/>
      <c r="M976" s="17"/>
    </row>
    <row r="977" spans="2:13" ht="14.45" customHeight="1" x14ac:dyDescent="0.25">
      <c r="B977" s="17"/>
      <c r="C977" s="14"/>
      <c r="D977" s="14"/>
      <c r="E977" s="18"/>
      <c r="F977" s="61"/>
      <c r="G977" s="73"/>
      <c r="H977" s="79"/>
      <c r="I977" s="79"/>
      <c r="J977" s="14"/>
      <c r="K977" s="38"/>
      <c r="L977" s="38"/>
      <c r="M977" s="17"/>
    </row>
    <row r="978" spans="2:13" ht="14.45" customHeight="1" x14ac:dyDescent="0.25">
      <c r="B978" s="17"/>
      <c r="C978" s="14"/>
      <c r="D978" s="14"/>
      <c r="E978" s="18"/>
      <c r="F978" s="61"/>
      <c r="G978" s="73"/>
      <c r="H978" s="79"/>
      <c r="I978" s="79"/>
      <c r="J978" s="14"/>
      <c r="K978" s="38"/>
      <c r="L978" s="38"/>
      <c r="M978" s="17"/>
    </row>
    <row r="979" spans="2:13" ht="14.45" customHeight="1" x14ac:dyDescent="0.25">
      <c r="B979" s="17"/>
      <c r="C979" s="14"/>
      <c r="D979" s="14"/>
      <c r="E979" s="18"/>
      <c r="F979" s="61"/>
      <c r="G979" s="73"/>
      <c r="H979" s="79"/>
      <c r="I979" s="79"/>
      <c r="J979" s="14"/>
      <c r="K979" s="38"/>
      <c r="L979" s="38"/>
      <c r="M979" s="17"/>
    </row>
    <row r="980" spans="2:13" ht="14.45" customHeight="1" x14ac:dyDescent="0.25">
      <c r="B980" s="17"/>
      <c r="C980" s="14"/>
      <c r="D980" s="14"/>
      <c r="E980" s="18"/>
      <c r="F980" s="61"/>
      <c r="G980" s="73"/>
      <c r="H980" s="79"/>
      <c r="I980" s="79"/>
      <c r="J980" s="14"/>
      <c r="K980" s="38"/>
      <c r="L980" s="38"/>
      <c r="M980" s="17"/>
    </row>
    <row r="981" spans="2:13" ht="14.45" customHeight="1" x14ac:dyDescent="0.25">
      <c r="B981" s="17"/>
      <c r="C981" s="14"/>
      <c r="D981" s="14"/>
      <c r="E981" s="18"/>
      <c r="F981" s="61"/>
      <c r="G981" s="73"/>
      <c r="H981" s="79"/>
      <c r="I981" s="79"/>
      <c r="J981" s="14"/>
      <c r="K981" s="38"/>
      <c r="L981" s="38"/>
      <c r="M981" s="17"/>
    </row>
    <row r="982" spans="2:13" ht="14.45" customHeight="1" x14ac:dyDescent="0.25">
      <c r="B982" s="17"/>
      <c r="C982" s="14"/>
      <c r="D982" s="14"/>
      <c r="E982" s="18"/>
      <c r="F982" s="61"/>
      <c r="G982" s="73"/>
      <c r="H982" s="79"/>
      <c r="I982" s="79"/>
      <c r="J982" s="14"/>
      <c r="K982" s="38"/>
      <c r="L982" s="38"/>
      <c r="M982" s="17"/>
    </row>
    <row r="983" spans="2:13" ht="14.45" customHeight="1" x14ac:dyDescent="0.25">
      <c r="B983" s="17"/>
      <c r="C983" s="14"/>
      <c r="D983" s="14"/>
      <c r="E983" s="18"/>
      <c r="F983" s="61"/>
      <c r="G983" s="73"/>
      <c r="H983" s="79"/>
      <c r="I983" s="79"/>
      <c r="J983" s="14"/>
      <c r="K983" s="38"/>
      <c r="L983" s="38"/>
      <c r="M983" s="17"/>
    </row>
    <row r="984" spans="2:13" ht="14.45" customHeight="1" x14ac:dyDescent="0.25">
      <c r="B984" s="17"/>
      <c r="C984" s="14"/>
      <c r="D984" s="14"/>
      <c r="E984" s="18"/>
      <c r="F984" s="61"/>
      <c r="G984" s="73"/>
      <c r="H984" s="79"/>
      <c r="I984" s="79"/>
      <c r="J984" s="14"/>
      <c r="K984" s="38"/>
      <c r="L984" s="38"/>
      <c r="M984" s="17"/>
    </row>
    <row r="985" spans="2:13" ht="14.45" customHeight="1" x14ac:dyDescent="0.25">
      <c r="B985" s="17"/>
      <c r="C985" s="14"/>
      <c r="D985" s="14"/>
      <c r="E985" s="18"/>
      <c r="F985" s="61"/>
      <c r="G985" s="73"/>
      <c r="H985" s="79"/>
      <c r="I985" s="79"/>
      <c r="J985" s="14"/>
      <c r="K985" s="38"/>
      <c r="L985" s="38"/>
      <c r="M985" s="17"/>
    </row>
    <row r="986" spans="2:13" ht="14.45" customHeight="1" x14ac:dyDescent="0.25">
      <c r="B986" s="17"/>
      <c r="C986" s="14"/>
      <c r="D986" s="14"/>
      <c r="E986" s="18"/>
      <c r="F986" s="61"/>
      <c r="G986" s="73"/>
      <c r="H986" s="79"/>
      <c r="I986" s="79"/>
      <c r="J986" s="14"/>
      <c r="K986" s="38"/>
      <c r="L986" s="38"/>
      <c r="M986" s="17"/>
    </row>
    <row r="987" spans="2:13" ht="14.45" customHeight="1" x14ac:dyDescent="0.25">
      <c r="B987" s="17"/>
      <c r="C987" s="14"/>
      <c r="D987" s="14"/>
      <c r="E987" s="18"/>
      <c r="F987" s="61"/>
      <c r="G987" s="73"/>
      <c r="H987" s="79"/>
      <c r="I987" s="79"/>
      <c r="J987" s="14"/>
      <c r="K987" s="38"/>
      <c r="L987" s="38"/>
      <c r="M987" s="17"/>
    </row>
    <row r="988" spans="2:13" ht="14.45" customHeight="1" x14ac:dyDescent="0.25">
      <c r="B988" s="17"/>
      <c r="C988" s="14"/>
      <c r="D988" s="14"/>
      <c r="E988" s="18"/>
      <c r="F988" s="61"/>
      <c r="G988" s="73"/>
      <c r="H988" s="79"/>
      <c r="I988" s="79"/>
      <c r="J988" s="14"/>
      <c r="K988" s="38"/>
      <c r="L988" s="38"/>
      <c r="M988" s="17"/>
    </row>
    <row r="989" spans="2:13" ht="14.45" customHeight="1" x14ac:dyDescent="0.25">
      <c r="B989" s="17"/>
      <c r="C989" s="14"/>
      <c r="D989" s="14"/>
      <c r="E989" s="18"/>
      <c r="F989" s="61"/>
      <c r="G989" s="73"/>
      <c r="H989" s="79"/>
      <c r="I989" s="79"/>
      <c r="J989" s="14"/>
      <c r="K989" s="38"/>
      <c r="L989" s="38"/>
      <c r="M989" s="17"/>
    </row>
    <row r="990" spans="2:13" ht="14.45" customHeight="1" x14ac:dyDescent="0.25">
      <c r="B990" s="17"/>
      <c r="C990" s="14"/>
      <c r="D990" s="14"/>
      <c r="E990" s="18"/>
      <c r="F990" s="61"/>
      <c r="G990" s="73"/>
      <c r="H990" s="79"/>
      <c r="I990" s="79"/>
      <c r="J990" s="14"/>
      <c r="K990" s="38"/>
      <c r="L990" s="38"/>
      <c r="M990" s="17"/>
    </row>
    <row r="991" spans="2:13" ht="14.45" customHeight="1" x14ac:dyDescent="0.25">
      <c r="B991" s="17"/>
      <c r="C991" s="14"/>
      <c r="D991" s="14"/>
      <c r="E991" s="18"/>
      <c r="F991" s="61"/>
      <c r="G991" s="73"/>
      <c r="H991" s="79"/>
      <c r="I991" s="79"/>
      <c r="J991" s="14"/>
      <c r="K991" s="38"/>
      <c r="L991" s="38"/>
      <c r="M991" s="17"/>
    </row>
    <row r="992" spans="2:13" ht="14.45" customHeight="1" x14ac:dyDescent="0.25">
      <c r="B992" s="17"/>
      <c r="C992" s="14"/>
      <c r="D992" s="14"/>
      <c r="E992" s="18"/>
      <c r="F992" s="61"/>
      <c r="G992" s="73"/>
      <c r="H992" s="79"/>
      <c r="I992" s="79"/>
      <c r="J992" s="14"/>
      <c r="K992" s="38"/>
      <c r="L992" s="38"/>
      <c r="M992" s="17"/>
    </row>
    <row r="993" spans="2:13" ht="14.45" customHeight="1" x14ac:dyDescent="0.25">
      <c r="B993" s="17"/>
      <c r="C993" s="14"/>
      <c r="D993" s="14"/>
      <c r="E993" s="18"/>
      <c r="F993" s="61"/>
      <c r="G993" s="73"/>
      <c r="H993" s="79"/>
      <c r="I993" s="79"/>
      <c r="J993" s="14"/>
      <c r="K993" s="38"/>
      <c r="L993" s="38"/>
      <c r="M993" s="17"/>
    </row>
    <row r="994" spans="2:13" ht="14.45" customHeight="1" x14ac:dyDescent="0.25">
      <c r="B994" s="17"/>
      <c r="C994" s="14"/>
      <c r="D994" s="14"/>
      <c r="E994" s="18"/>
      <c r="F994" s="61"/>
      <c r="G994" s="73"/>
      <c r="H994" s="79"/>
      <c r="I994" s="79"/>
      <c r="J994" s="14"/>
      <c r="K994" s="38"/>
      <c r="L994" s="38"/>
      <c r="M994" s="17"/>
    </row>
    <row r="995" spans="2:13" ht="14.45" customHeight="1" x14ac:dyDescent="0.25">
      <c r="B995" s="17"/>
      <c r="C995" s="14"/>
      <c r="D995" s="14"/>
      <c r="E995" s="18"/>
      <c r="F995" s="61"/>
      <c r="G995" s="73"/>
      <c r="H995" s="79"/>
      <c r="I995" s="79"/>
      <c r="J995" s="14"/>
      <c r="K995" s="38"/>
      <c r="L995" s="38"/>
      <c r="M995" s="17"/>
    </row>
    <row r="996" spans="2:13" ht="14.45" customHeight="1" x14ac:dyDescent="0.25">
      <c r="B996" s="17"/>
      <c r="C996" s="14"/>
      <c r="D996" s="14"/>
      <c r="E996" s="18"/>
      <c r="F996" s="61"/>
      <c r="G996" s="73"/>
      <c r="H996" s="79"/>
      <c r="I996" s="79"/>
      <c r="J996" s="14"/>
      <c r="K996" s="38"/>
      <c r="L996" s="38"/>
      <c r="M996" s="17"/>
    </row>
    <row r="997" spans="2:13" ht="14.45" customHeight="1" x14ac:dyDescent="0.25">
      <c r="B997" s="17"/>
      <c r="C997" s="14"/>
      <c r="D997" s="14"/>
      <c r="E997" s="18"/>
      <c r="F997" s="61"/>
      <c r="G997" s="73"/>
      <c r="H997" s="79"/>
      <c r="I997" s="79"/>
      <c r="J997" s="14"/>
      <c r="K997" s="38"/>
      <c r="L997" s="38"/>
      <c r="M997" s="17"/>
    </row>
    <row r="998" spans="2:13" ht="14.45" customHeight="1" x14ac:dyDescent="0.25">
      <c r="B998" s="17"/>
      <c r="C998" s="14"/>
      <c r="D998" s="14"/>
      <c r="E998" s="18"/>
      <c r="F998" s="61"/>
      <c r="G998" s="73"/>
      <c r="H998" s="79"/>
      <c r="I998" s="79"/>
      <c r="J998" s="14"/>
      <c r="K998" s="38"/>
      <c r="L998" s="38"/>
      <c r="M998" s="17"/>
    </row>
    <row r="999" spans="2:13" ht="14.45" customHeight="1" x14ac:dyDescent="0.25">
      <c r="B999" s="17"/>
      <c r="C999" s="14"/>
      <c r="D999" s="14"/>
      <c r="E999" s="18"/>
      <c r="F999" s="61"/>
      <c r="G999" s="73"/>
      <c r="H999" s="79"/>
      <c r="I999" s="79"/>
      <c r="J999" s="14"/>
      <c r="K999" s="38"/>
      <c r="L999" s="38"/>
      <c r="M999" s="17"/>
    </row>
    <row r="1000" spans="2:13" ht="14.45" customHeight="1" x14ac:dyDescent="0.25">
      <c r="B1000" s="17"/>
      <c r="C1000" s="14"/>
      <c r="D1000" s="14"/>
      <c r="E1000" s="18"/>
      <c r="F1000" s="61"/>
      <c r="G1000" s="73"/>
      <c r="H1000" s="79"/>
      <c r="I1000" s="79"/>
      <c r="J1000" s="14"/>
      <c r="K1000" s="38"/>
      <c r="L1000" s="38"/>
      <c r="M1000" s="17"/>
    </row>
  </sheetData>
  <sheetProtection algorithmName="SHA-512" hashValue="QcKZVoOgmm/uIFK0jRS1i5JbDAbJZ9YQi6YAAxDf8KlG3imOT03Js2pAKYRvpetjRq/Vkiupd8L4TmFCoSv+LQ==" saltValue="hNZsXp6Ax2ODdJdE2GT9Eg==" spinCount="100000" sheet="1" objects="1" scenarios="1"/>
  <mergeCells count="2">
    <mergeCell ref="C10:F10"/>
    <mergeCell ref="H10:I10"/>
  </mergeCells>
  <conditionalFormatting sqref="M10 H10">
    <cfRule type="cellIs" dxfId="191" priority="2" operator="greaterThanOrEqual">
      <formula>6750</formula>
    </cfRule>
  </conditionalFormatting>
  <conditionalFormatting sqref="K13:K1000">
    <cfRule type="cellIs" dxfId="190" priority="1" operator="lessThan">
      <formula>0</formula>
    </cfRule>
  </conditionalFormatting>
  <dataValidations count="1">
    <dataValidation type="list" allowBlank="1" showInputMessage="1" showErrorMessage="1" sqref="H13:H1000" xr:uid="{210D260E-0F1E-4F62-8D77-69DEB5011DBA}">
      <formula1>"Ativa,Cancelada"</formula1>
    </dataValidation>
  </dataValidations>
  <printOptions horizontalCentered="1"/>
  <pageMargins left="0.19685039370078741" right="0.19685039370078741" top="0.39370078740157483" bottom="0.78740157480314965" header="0.31496062992125984" footer="0.31496062992125984"/>
  <pageSetup paperSize="9" scale="54" fitToHeight="50" orientation="portrait" r:id="rId1"/>
  <headerFooter>
    <oddHeader>&amp;L&amp;"Calibri"&amp;12&amp;K008000 Documento Público&amp;1#_x000D_</oddHeader>
    <oddFooter>Página &amp;P de &amp;N</oddFooter>
  </headerFooter>
  <rowBreaks count="1" manualBreakCount="1">
    <brk id="63" min="1" max="5" man="1"/>
  </rowBreaks>
  <drawing r:id="rId2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CE9171-D946-45F3-BBE7-B0FDC6CB15E1}">
  <sheetPr codeName="Planilha8">
    <tabColor theme="8" tint="-0.499984740745262"/>
    <pageSetUpPr fitToPage="1"/>
  </sheetPr>
  <dimension ref="A1:Q1000"/>
  <sheetViews>
    <sheetView showGridLines="0" showRowColHeaders="0" zoomScaleNormal="100" workbookViewId="0">
      <pane ySplit="12" topLeftCell="A13" activePane="bottomLeft" state="frozen"/>
      <selection activeCell="D23" sqref="D23"/>
      <selection pane="bottomLeft"/>
    </sheetView>
  </sheetViews>
  <sheetFormatPr defaultColWidth="0" defaultRowHeight="14.45" customHeight="1" x14ac:dyDescent="0.25"/>
  <cols>
    <col min="1" max="1" width="1.7109375" customWidth="1"/>
    <col min="2" max="2" width="15.28515625" customWidth="1"/>
    <col min="3" max="3" width="35.85546875" customWidth="1"/>
    <col min="4" max="4" width="20.7109375" customWidth="1"/>
    <col min="5" max="5" width="42.28515625" customWidth="1"/>
    <col min="6" max="6" width="25.7109375" customWidth="1"/>
    <col min="7" max="7" width="12.28515625" bestFit="1" customWidth="1"/>
    <col min="8" max="8" width="12.28515625" customWidth="1"/>
    <col min="9" max="9" width="21.42578125" bestFit="1" customWidth="1"/>
    <col min="10" max="10" width="16.140625" customWidth="1"/>
    <col min="11" max="11" width="13" customWidth="1"/>
    <col min="12" max="12" width="11.28515625" customWidth="1"/>
    <col min="13" max="13" width="18.28515625" customWidth="1"/>
    <col min="14" max="14" width="5.7109375" customWidth="1"/>
    <col min="15" max="15" width="25" hidden="1" customWidth="1"/>
    <col min="16" max="16" width="6.7109375" hidden="1" customWidth="1"/>
    <col min="17" max="17" width="3.85546875" hidden="1" customWidth="1"/>
    <col min="18" max="16384" width="8.85546875" hidden="1"/>
  </cols>
  <sheetData>
    <row r="1" spans="2:13" ht="15" x14ac:dyDescent="0.25"/>
    <row r="2" spans="2:13" ht="15" x14ac:dyDescent="0.25"/>
    <row r="3" spans="2:13" ht="15" x14ac:dyDescent="0.25">
      <c r="J3" s="9" t="str">
        <f>IF(H10&gt;=6750,"ATENÇÃO: Você atingiu o limite de faturamento mensal de R$ 6.750,00",IF(H10&gt;=6000,"O limite de faturamento mensal de R$ 6.750,00 está quase sendo atingido.",""))</f>
        <v/>
      </c>
    </row>
    <row r="4" spans="2:13" ht="1.9" customHeight="1" x14ac:dyDescent="0.25"/>
    <row r="5" spans="2:13" s="1" customFormat="1" ht="4.9000000000000004" customHeight="1" x14ac:dyDescent="0.25"/>
    <row r="6" spans="2:13" ht="3" customHeight="1" x14ac:dyDescent="0.25"/>
    <row r="7" spans="2:13" s="1" customFormat="1" ht="4.9000000000000004" customHeight="1" x14ac:dyDescent="0.25"/>
    <row r="8" spans="2:13" ht="1.9" customHeight="1" x14ac:dyDescent="0.25"/>
    <row r="9" spans="2:13" ht="30" customHeight="1" x14ac:dyDescent="0.25"/>
    <row r="10" spans="2:13" ht="34.9" customHeight="1" x14ac:dyDescent="0.25">
      <c r="B10" s="4" t="s">
        <v>0</v>
      </c>
      <c r="C10" s="94" t="str">
        <f>Menu!G26</f>
        <v>Empresa ABCDE</v>
      </c>
      <c r="D10" s="95"/>
      <c r="E10" s="95"/>
      <c r="F10" s="95"/>
      <c r="G10" s="87"/>
      <c r="H10" s="93">
        <f>SUMIF(ABR[Status Nota Fiscal],"Ativa",ABR[Valor da Parcela a Receber])</f>
        <v>0</v>
      </c>
      <c r="I10" s="93"/>
      <c r="J10" s="85"/>
      <c r="M10" s="86"/>
    </row>
    <row r="11" spans="2:13" ht="4.9000000000000004" customHeight="1" x14ac:dyDescent="0.25"/>
    <row r="12" spans="2:13" ht="30" customHeight="1" x14ac:dyDescent="0.25">
      <c r="B12" s="5" t="s">
        <v>2</v>
      </c>
      <c r="C12" s="6" t="s">
        <v>3</v>
      </c>
      <c r="D12" s="6" t="s">
        <v>4</v>
      </c>
      <c r="E12" s="6" t="s">
        <v>5</v>
      </c>
      <c r="F12" s="7" t="s">
        <v>6</v>
      </c>
      <c r="G12" s="7" t="s">
        <v>7</v>
      </c>
      <c r="H12" s="7" t="s">
        <v>8</v>
      </c>
      <c r="I12" s="7" t="s">
        <v>9</v>
      </c>
      <c r="J12" s="7" t="s">
        <v>10</v>
      </c>
      <c r="K12" s="7" t="s">
        <v>11</v>
      </c>
      <c r="L12" s="7" t="s">
        <v>12</v>
      </c>
      <c r="M12" s="8" t="s">
        <v>13</v>
      </c>
    </row>
    <row r="13" spans="2:13" ht="14.45" customHeight="1" x14ac:dyDescent="0.25">
      <c r="B13" s="24"/>
      <c r="C13" s="25"/>
      <c r="D13" s="25"/>
      <c r="E13" s="25"/>
      <c r="F13" s="26"/>
      <c r="G13" s="62"/>
      <c r="H13" s="62"/>
      <c r="I13" s="62"/>
      <c r="J13" s="27"/>
      <c r="K13" s="28"/>
      <c r="L13" s="28"/>
      <c r="M13" s="29"/>
    </row>
    <row r="14" spans="2:13" ht="14.45" customHeight="1" x14ac:dyDescent="0.25">
      <c r="B14" s="30"/>
      <c r="C14" s="31"/>
      <c r="D14" s="31"/>
      <c r="E14" s="31"/>
      <c r="F14" s="32"/>
      <c r="G14" s="63"/>
      <c r="H14" s="63"/>
      <c r="I14" s="63"/>
      <c r="J14" s="33"/>
      <c r="K14" s="34"/>
      <c r="L14" s="34"/>
      <c r="M14" s="35"/>
    </row>
    <row r="15" spans="2:13" ht="14.45" customHeight="1" x14ac:dyDescent="0.25">
      <c r="B15" s="36"/>
      <c r="C15" s="14"/>
      <c r="D15" s="14"/>
      <c r="E15" s="18"/>
      <c r="F15" s="20"/>
      <c r="G15" s="64"/>
      <c r="H15" s="68"/>
      <c r="I15" s="68"/>
      <c r="J15" s="37"/>
      <c r="K15" s="38"/>
      <c r="L15" s="38"/>
      <c r="M15" s="36"/>
    </row>
    <row r="16" spans="2:13" ht="14.45" customHeight="1" x14ac:dyDescent="0.25">
      <c r="B16" s="17"/>
      <c r="C16" s="14"/>
      <c r="D16" s="14"/>
      <c r="E16" s="18"/>
      <c r="F16" s="20"/>
      <c r="G16" s="64"/>
      <c r="H16" s="68"/>
      <c r="I16" s="68"/>
      <c r="J16" s="15"/>
      <c r="K16" s="38"/>
      <c r="L16" s="38"/>
      <c r="M16" s="17"/>
    </row>
    <row r="17" spans="2:13" ht="14.45" customHeight="1" x14ac:dyDescent="0.25">
      <c r="B17" s="17"/>
      <c r="C17" s="14"/>
      <c r="D17" s="14"/>
      <c r="E17" s="18"/>
      <c r="F17" s="20"/>
      <c r="G17" s="64"/>
      <c r="H17" s="68"/>
      <c r="I17" s="68"/>
      <c r="J17" s="15"/>
      <c r="K17" s="38"/>
      <c r="L17" s="38"/>
      <c r="M17" s="17"/>
    </row>
    <row r="18" spans="2:13" ht="14.45" customHeight="1" x14ac:dyDescent="0.25">
      <c r="B18" s="17"/>
      <c r="C18" s="14"/>
      <c r="D18" s="14"/>
      <c r="E18" s="18"/>
      <c r="F18" s="20"/>
      <c r="G18" s="64"/>
      <c r="H18" s="68"/>
      <c r="I18" s="68"/>
      <c r="J18" s="15"/>
      <c r="K18" s="38"/>
      <c r="L18" s="38"/>
      <c r="M18" s="17"/>
    </row>
    <row r="19" spans="2:13" ht="14.45" customHeight="1" x14ac:dyDescent="0.25">
      <c r="B19" s="17"/>
      <c r="C19" s="14"/>
      <c r="D19" s="14"/>
      <c r="E19" s="18"/>
      <c r="F19" s="20"/>
      <c r="G19" s="64"/>
      <c r="H19" s="68"/>
      <c r="I19" s="68"/>
      <c r="J19" s="15"/>
      <c r="K19" s="38"/>
      <c r="L19" s="38"/>
      <c r="M19" s="17"/>
    </row>
    <row r="20" spans="2:13" ht="14.45" customHeight="1" x14ac:dyDescent="0.25">
      <c r="B20" s="17"/>
      <c r="C20" s="14"/>
      <c r="D20" s="14"/>
      <c r="E20" s="18"/>
      <c r="F20" s="20"/>
      <c r="G20" s="64"/>
      <c r="H20" s="68"/>
      <c r="I20" s="68"/>
      <c r="J20" s="15"/>
      <c r="K20" s="38"/>
      <c r="L20" s="38"/>
      <c r="M20" s="17"/>
    </row>
    <row r="21" spans="2:13" ht="14.45" customHeight="1" x14ac:dyDescent="0.25">
      <c r="B21" s="17"/>
      <c r="C21" s="14"/>
      <c r="D21" s="14"/>
      <c r="E21" s="18"/>
      <c r="F21" s="20"/>
      <c r="G21" s="64"/>
      <c r="H21" s="68"/>
      <c r="I21" s="68"/>
      <c r="J21" s="15"/>
      <c r="K21" s="38"/>
      <c r="L21" s="38"/>
      <c r="M21" s="17"/>
    </row>
    <row r="22" spans="2:13" ht="14.45" customHeight="1" x14ac:dyDescent="0.25">
      <c r="B22" s="17"/>
      <c r="C22" s="14"/>
      <c r="D22" s="14"/>
      <c r="E22" s="18"/>
      <c r="F22" s="20"/>
      <c r="G22" s="64"/>
      <c r="H22" s="68"/>
      <c r="I22" s="68"/>
      <c r="J22" s="15"/>
      <c r="K22" s="38"/>
      <c r="L22" s="38"/>
      <c r="M22" s="17"/>
    </row>
    <row r="23" spans="2:13" ht="14.45" customHeight="1" x14ac:dyDescent="0.25">
      <c r="B23" s="17"/>
      <c r="C23" s="14"/>
      <c r="D23" s="14"/>
      <c r="E23" s="18"/>
      <c r="F23" s="20"/>
      <c r="G23" s="64"/>
      <c r="H23" s="68"/>
      <c r="I23" s="68"/>
      <c r="J23" s="15"/>
      <c r="K23" s="38"/>
      <c r="L23" s="38"/>
      <c r="M23" s="17"/>
    </row>
    <row r="24" spans="2:13" ht="14.45" customHeight="1" x14ac:dyDescent="0.25">
      <c r="B24" s="17"/>
      <c r="C24" s="14"/>
      <c r="D24" s="14"/>
      <c r="E24" s="18"/>
      <c r="F24" s="20"/>
      <c r="G24" s="64"/>
      <c r="H24" s="68"/>
      <c r="I24" s="68"/>
      <c r="J24" s="15"/>
      <c r="K24" s="38"/>
      <c r="L24" s="38"/>
      <c r="M24" s="17"/>
    </row>
    <row r="25" spans="2:13" ht="14.45" customHeight="1" x14ac:dyDescent="0.25">
      <c r="B25" s="17"/>
      <c r="C25" s="14"/>
      <c r="D25" s="14"/>
      <c r="E25" s="18"/>
      <c r="F25" s="20"/>
      <c r="G25" s="64"/>
      <c r="H25" s="68"/>
      <c r="I25" s="68"/>
      <c r="J25" s="15"/>
      <c r="K25" s="38"/>
      <c r="L25" s="38"/>
      <c r="M25" s="17"/>
    </row>
    <row r="26" spans="2:13" ht="14.45" customHeight="1" x14ac:dyDescent="0.25">
      <c r="B26" s="17"/>
      <c r="C26" s="14"/>
      <c r="D26" s="14"/>
      <c r="E26" s="18"/>
      <c r="F26" s="20"/>
      <c r="G26" s="64"/>
      <c r="H26" s="68"/>
      <c r="I26" s="68"/>
      <c r="J26" s="15"/>
      <c r="K26" s="38"/>
      <c r="L26" s="38"/>
      <c r="M26" s="17"/>
    </row>
    <row r="27" spans="2:13" ht="14.45" customHeight="1" x14ac:dyDescent="0.25">
      <c r="B27" s="17"/>
      <c r="C27" s="14"/>
      <c r="D27" s="14"/>
      <c r="E27" s="18"/>
      <c r="F27" s="20"/>
      <c r="G27" s="64"/>
      <c r="H27" s="68"/>
      <c r="I27" s="68"/>
      <c r="J27" s="15"/>
      <c r="K27" s="38"/>
      <c r="L27" s="38"/>
      <c r="M27" s="17"/>
    </row>
    <row r="28" spans="2:13" ht="14.45" customHeight="1" x14ac:dyDescent="0.25">
      <c r="B28" s="17"/>
      <c r="C28" s="14"/>
      <c r="D28" s="14"/>
      <c r="E28" s="18"/>
      <c r="F28" s="20"/>
      <c r="G28" s="64"/>
      <c r="H28" s="68"/>
      <c r="I28" s="68"/>
      <c r="J28" s="15"/>
      <c r="K28" s="38"/>
      <c r="L28" s="38"/>
      <c r="M28" s="17"/>
    </row>
    <row r="29" spans="2:13" ht="14.45" customHeight="1" x14ac:dyDescent="0.25">
      <c r="B29" s="17"/>
      <c r="C29" s="14"/>
      <c r="D29" s="14"/>
      <c r="E29" s="18"/>
      <c r="F29" s="20"/>
      <c r="G29" s="64"/>
      <c r="H29" s="68"/>
      <c r="I29" s="68"/>
      <c r="J29" s="15"/>
      <c r="K29" s="38"/>
      <c r="L29" s="38"/>
      <c r="M29" s="17"/>
    </row>
    <row r="30" spans="2:13" ht="14.45" customHeight="1" x14ac:dyDescent="0.25">
      <c r="B30" s="17"/>
      <c r="C30" s="14"/>
      <c r="D30" s="14"/>
      <c r="E30" s="18"/>
      <c r="F30" s="20"/>
      <c r="G30" s="64"/>
      <c r="H30" s="68"/>
      <c r="I30" s="68"/>
      <c r="J30" s="15"/>
      <c r="K30" s="38"/>
      <c r="L30" s="38"/>
      <c r="M30" s="17"/>
    </row>
    <row r="31" spans="2:13" ht="14.45" customHeight="1" x14ac:dyDescent="0.25">
      <c r="B31" s="17"/>
      <c r="C31" s="14"/>
      <c r="D31" s="14"/>
      <c r="E31" s="18"/>
      <c r="F31" s="20"/>
      <c r="G31" s="64"/>
      <c r="H31" s="68"/>
      <c r="I31" s="68"/>
      <c r="J31" s="15"/>
      <c r="K31" s="38"/>
      <c r="L31" s="38"/>
      <c r="M31" s="17"/>
    </row>
    <row r="32" spans="2:13" ht="14.45" customHeight="1" x14ac:dyDescent="0.25">
      <c r="B32" s="17"/>
      <c r="C32" s="14"/>
      <c r="D32" s="14"/>
      <c r="E32" s="18"/>
      <c r="F32" s="20"/>
      <c r="G32" s="64"/>
      <c r="H32" s="68"/>
      <c r="I32" s="68"/>
      <c r="J32" s="15"/>
      <c r="K32" s="38"/>
      <c r="L32" s="38"/>
      <c r="M32" s="17"/>
    </row>
    <row r="33" spans="2:13" ht="14.45" customHeight="1" x14ac:dyDescent="0.25">
      <c r="B33" s="17"/>
      <c r="C33" s="14"/>
      <c r="D33" s="14"/>
      <c r="E33" s="18"/>
      <c r="F33" s="20"/>
      <c r="G33" s="64"/>
      <c r="H33" s="68"/>
      <c r="I33" s="68"/>
      <c r="J33" s="15"/>
      <c r="K33" s="38"/>
      <c r="L33" s="38"/>
      <c r="M33" s="17"/>
    </row>
    <row r="34" spans="2:13" ht="14.45" customHeight="1" x14ac:dyDescent="0.25">
      <c r="B34" s="17"/>
      <c r="C34" s="14"/>
      <c r="D34" s="14"/>
      <c r="E34" s="18"/>
      <c r="F34" s="20"/>
      <c r="G34" s="64"/>
      <c r="H34" s="68"/>
      <c r="I34" s="68"/>
      <c r="J34" s="15"/>
      <c r="K34" s="38"/>
      <c r="L34" s="38"/>
      <c r="M34" s="17"/>
    </row>
    <row r="35" spans="2:13" ht="14.45" customHeight="1" x14ac:dyDescent="0.25">
      <c r="B35" s="39"/>
      <c r="C35" s="40"/>
      <c r="D35" s="40"/>
      <c r="E35" s="41"/>
      <c r="F35" s="42"/>
      <c r="G35" s="65"/>
      <c r="H35" s="70"/>
      <c r="I35" s="70"/>
      <c r="J35" s="43"/>
      <c r="K35" s="38"/>
      <c r="L35" s="38"/>
      <c r="M35" s="17"/>
    </row>
    <row r="36" spans="2:13" ht="14.45" customHeight="1" x14ac:dyDescent="0.25">
      <c r="B36" s="17"/>
      <c r="C36" s="14"/>
      <c r="D36" s="14"/>
      <c r="E36" s="18"/>
      <c r="F36" s="20"/>
      <c r="G36" s="64"/>
      <c r="H36" s="68"/>
      <c r="I36" s="68"/>
      <c r="J36" s="14"/>
      <c r="K36" s="38"/>
      <c r="L36" s="38"/>
      <c r="M36" s="17"/>
    </row>
    <row r="37" spans="2:13" ht="14.45" customHeight="1" x14ac:dyDescent="0.25">
      <c r="B37" s="39"/>
      <c r="C37" s="40"/>
      <c r="D37" s="40"/>
      <c r="E37" s="41"/>
      <c r="F37" s="42"/>
      <c r="G37" s="65"/>
      <c r="H37" s="70"/>
      <c r="I37" s="70"/>
      <c r="J37" s="40"/>
      <c r="K37" s="38"/>
      <c r="L37" s="38"/>
      <c r="M37" s="17"/>
    </row>
    <row r="38" spans="2:13" ht="14.45" customHeight="1" x14ac:dyDescent="0.25">
      <c r="B38" s="44"/>
      <c r="C38" s="45"/>
      <c r="D38" s="45"/>
      <c r="E38" s="46"/>
      <c r="F38" s="47"/>
      <c r="G38" s="66"/>
      <c r="H38" s="77"/>
      <c r="I38" s="77"/>
      <c r="J38" s="45"/>
      <c r="K38" s="38"/>
      <c r="L38" s="38"/>
      <c r="M38" s="17"/>
    </row>
    <row r="39" spans="2:13" ht="14.45" customHeight="1" x14ac:dyDescent="0.25">
      <c r="B39" s="39"/>
      <c r="C39" s="48"/>
      <c r="D39" s="48"/>
      <c r="E39" s="49"/>
      <c r="F39" s="50"/>
      <c r="G39" s="67"/>
      <c r="H39" s="67"/>
      <c r="I39" s="67"/>
      <c r="J39" s="51"/>
      <c r="K39" s="38"/>
      <c r="L39" s="38"/>
      <c r="M39" s="17"/>
    </row>
    <row r="40" spans="2:13" ht="14.45" customHeight="1" x14ac:dyDescent="0.25">
      <c r="B40" s="17"/>
      <c r="C40" s="14"/>
      <c r="D40" s="14"/>
      <c r="E40" s="19"/>
      <c r="F40" s="21"/>
      <c r="G40" s="68"/>
      <c r="H40" s="68"/>
      <c r="I40" s="68"/>
      <c r="J40" s="52"/>
      <c r="K40" s="38"/>
      <c r="L40" s="38"/>
      <c r="M40" s="17"/>
    </row>
    <row r="41" spans="2:13" ht="14.45" customHeight="1" x14ac:dyDescent="0.25">
      <c r="B41" s="17"/>
      <c r="C41" s="14"/>
      <c r="D41" s="14"/>
      <c r="E41" s="19"/>
      <c r="F41" s="21"/>
      <c r="G41" s="68"/>
      <c r="H41" s="68"/>
      <c r="I41" s="68"/>
      <c r="J41" s="52"/>
      <c r="K41" s="38"/>
      <c r="L41" s="38"/>
      <c r="M41" s="17"/>
    </row>
    <row r="42" spans="2:13" ht="14.45" customHeight="1" x14ac:dyDescent="0.25">
      <c r="B42" s="17"/>
      <c r="C42" s="14"/>
      <c r="D42" s="14"/>
      <c r="E42" s="19"/>
      <c r="F42" s="21"/>
      <c r="G42" s="68"/>
      <c r="H42" s="68"/>
      <c r="I42" s="68"/>
      <c r="J42" s="52"/>
      <c r="K42" s="38"/>
      <c r="L42" s="38"/>
      <c r="M42" s="17"/>
    </row>
    <row r="43" spans="2:13" ht="14.45" customHeight="1" x14ac:dyDescent="0.25">
      <c r="B43" s="17"/>
      <c r="C43" s="14"/>
      <c r="D43" s="14"/>
      <c r="E43" s="19"/>
      <c r="F43" s="21"/>
      <c r="G43" s="68"/>
      <c r="H43" s="68"/>
      <c r="I43" s="68"/>
      <c r="J43" s="52"/>
      <c r="K43" s="38"/>
      <c r="L43" s="38"/>
      <c r="M43" s="17"/>
    </row>
    <row r="44" spans="2:13" ht="14.45" customHeight="1" x14ac:dyDescent="0.25">
      <c r="B44" s="17"/>
      <c r="C44" s="14"/>
      <c r="D44" s="14"/>
      <c r="E44" s="19"/>
      <c r="F44" s="21"/>
      <c r="G44" s="68"/>
      <c r="H44" s="68"/>
      <c r="I44" s="68"/>
      <c r="J44" s="52"/>
      <c r="K44" s="38"/>
      <c r="L44" s="38"/>
      <c r="M44" s="17"/>
    </row>
    <row r="45" spans="2:13" ht="14.45" customHeight="1" x14ac:dyDescent="0.25">
      <c r="B45" s="17"/>
      <c r="C45" s="14"/>
      <c r="D45" s="14"/>
      <c r="E45" s="19"/>
      <c r="F45" s="21"/>
      <c r="G45" s="68"/>
      <c r="H45" s="68"/>
      <c r="I45" s="68"/>
      <c r="J45" s="52"/>
      <c r="K45" s="38"/>
      <c r="L45" s="38"/>
      <c r="M45" s="17"/>
    </row>
    <row r="46" spans="2:13" ht="14.45" customHeight="1" x14ac:dyDescent="0.25">
      <c r="B46" s="17"/>
      <c r="C46" s="14"/>
      <c r="D46" s="14"/>
      <c r="E46" s="19"/>
      <c r="F46" s="21"/>
      <c r="G46" s="68"/>
      <c r="H46" s="68"/>
      <c r="I46" s="68"/>
      <c r="J46" s="52"/>
      <c r="K46" s="38"/>
      <c r="L46" s="38"/>
      <c r="M46" s="17"/>
    </row>
    <row r="47" spans="2:13" ht="14.45" customHeight="1" x14ac:dyDescent="0.25">
      <c r="B47" s="17"/>
      <c r="C47" s="14"/>
      <c r="D47" s="14"/>
      <c r="E47" s="19"/>
      <c r="F47" s="21"/>
      <c r="G47" s="68"/>
      <c r="H47" s="68"/>
      <c r="I47" s="68"/>
      <c r="J47" s="52"/>
      <c r="K47" s="38"/>
      <c r="L47" s="38"/>
      <c r="M47" s="17"/>
    </row>
    <row r="48" spans="2:13" ht="14.45" customHeight="1" x14ac:dyDescent="0.25">
      <c r="B48" s="17"/>
      <c r="C48" s="14"/>
      <c r="D48" s="14"/>
      <c r="E48" s="19"/>
      <c r="F48" s="21"/>
      <c r="G48" s="68"/>
      <c r="H48" s="68"/>
      <c r="I48" s="68"/>
      <c r="J48" s="52"/>
      <c r="K48" s="38"/>
      <c r="L48" s="38"/>
      <c r="M48" s="17"/>
    </row>
    <row r="49" spans="2:13" ht="14.45" customHeight="1" x14ac:dyDescent="0.25">
      <c r="B49" s="17"/>
      <c r="C49" s="14"/>
      <c r="D49" s="14"/>
      <c r="E49" s="19"/>
      <c r="F49" s="21"/>
      <c r="G49" s="68"/>
      <c r="H49" s="68"/>
      <c r="I49" s="68"/>
      <c r="J49" s="52"/>
      <c r="K49" s="38"/>
      <c r="L49" s="38"/>
      <c r="M49" s="17"/>
    </row>
    <row r="50" spans="2:13" ht="14.45" customHeight="1" x14ac:dyDescent="0.25">
      <c r="B50" s="53"/>
      <c r="C50" s="40"/>
      <c r="D50" s="40"/>
      <c r="E50" s="54"/>
      <c r="F50" s="55"/>
      <c r="G50" s="69"/>
      <c r="H50" s="78"/>
      <c r="I50" s="78"/>
      <c r="J50" s="56"/>
      <c r="K50" s="38"/>
      <c r="L50" s="38"/>
      <c r="M50" s="17"/>
    </row>
    <row r="51" spans="2:13" ht="14.45" customHeight="1" x14ac:dyDescent="0.25">
      <c r="B51" s="44"/>
      <c r="C51" s="45"/>
      <c r="D51" s="45"/>
      <c r="E51" s="46"/>
      <c r="F51" s="47"/>
      <c r="G51" s="66"/>
      <c r="H51" s="77"/>
      <c r="I51" s="77"/>
      <c r="J51" s="45"/>
      <c r="K51" s="38"/>
      <c r="L51" s="38"/>
      <c r="M51" s="17"/>
    </row>
    <row r="52" spans="2:13" ht="14.45" customHeight="1" x14ac:dyDescent="0.25">
      <c r="B52" s="39"/>
      <c r="C52" s="48"/>
      <c r="D52" s="48"/>
      <c r="E52" s="49"/>
      <c r="F52" s="50"/>
      <c r="G52" s="67"/>
      <c r="H52" s="67"/>
      <c r="I52" s="67"/>
      <c r="J52" s="51"/>
      <c r="K52" s="38"/>
      <c r="L52" s="38"/>
      <c r="M52" s="17"/>
    </row>
    <row r="53" spans="2:13" ht="14.45" customHeight="1" x14ac:dyDescent="0.25">
      <c r="B53" s="17"/>
      <c r="C53" s="14"/>
      <c r="D53" s="14"/>
      <c r="E53" s="19"/>
      <c r="F53" s="21"/>
      <c r="G53" s="68"/>
      <c r="H53" s="68"/>
      <c r="I53" s="68"/>
      <c r="J53" s="52"/>
      <c r="K53" s="38"/>
      <c r="L53" s="38"/>
      <c r="M53" s="17"/>
    </row>
    <row r="54" spans="2:13" ht="14.45" customHeight="1" x14ac:dyDescent="0.25">
      <c r="B54" s="17"/>
      <c r="C54" s="14"/>
      <c r="D54" s="14"/>
      <c r="E54" s="19"/>
      <c r="F54" s="21"/>
      <c r="G54" s="68"/>
      <c r="H54" s="68"/>
      <c r="I54" s="68"/>
      <c r="J54" s="52"/>
      <c r="K54" s="38"/>
      <c r="L54" s="38"/>
      <c r="M54" s="17"/>
    </row>
    <row r="55" spans="2:13" ht="14.45" customHeight="1" x14ac:dyDescent="0.25">
      <c r="B55" s="17"/>
      <c r="C55" s="14"/>
      <c r="D55" s="14"/>
      <c r="E55" s="19"/>
      <c r="F55" s="21"/>
      <c r="G55" s="68"/>
      <c r="H55" s="68"/>
      <c r="I55" s="68"/>
      <c r="J55" s="52"/>
      <c r="K55" s="38"/>
      <c r="L55" s="38"/>
      <c r="M55" s="17"/>
    </row>
    <row r="56" spans="2:13" ht="14.45" customHeight="1" x14ac:dyDescent="0.25">
      <c r="B56" s="17"/>
      <c r="C56" s="14"/>
      <c r="D56" s="14"/>
      <c r="E56" s="19"/>
      <c r="F56" s="21"/>
      <c r="G56" s="68"/>
      <c r="H56" s="68"/>
      <c r="I56" s="68"/>
      <c r="J56" s="52"/>
      <c r="K56" s="38"/>
      <c r="L56" s="38"/>
      <c r="M56" s="17"/>
    </row>
    <row r="57" spans="2:13" ht="14.45" customHeight="1" x14ac:dyDescent="0.25">
      <c r="B57" s="17"/>
      <c r="C57" s="14"/>
      <c r="D57" s="14"/>
      <c r="E57" s="19"/>
      <c r="F57" s="21"/>
      <c r="G57" s="68"/>
      <c r="H57" s="68"/>
      <c r="I57" s="68"/>
      <c r="J57" s="52"/>
      <c r="K57" s="38"/>
      <c r="L57" s="38"/>
      <c r="M57" s="17"/>
    </row>
    <row r="58" spans="2:13" ht="14.45" customHeight="1" x14ac:dyDescent="0.25">
      <c r="B58" s="17"/>
      <c r="C58" s="14"/>
      <c r="D58" s="14"/>
      <c r="E58" s="19"/>
      <c r="F58" s="21"/>
      <c r="G58" s="68"/>
      <c r="H58" s="68"/>
      <c r="I58" s="68"/>
      <c r="J58" s="52"/>
      <c r="K58" s="38"/>
      <c r="L58" s="38"/>
      <c r="M58" s="17"/>
    </row>
    <row r="59" spans="2:13" ht="14.45" customHeight="1" x14ac:dyDescent="0.25">
      <c r="B59" s="17"/>
      <c r="C59" s="14"/>
      <c r="D59" s="14"/>
      <c r="E59" s="19"/>
      <c r="F59" s="21"/>
      <c r="G59" s="68"/>
      <c r="H59" s="68"/>
      <c r="I59" s="68"/>
      <c r="J59" s="52"/>
      <c r="K59" s="38"/>
      <c r="L59" s="38"/>
      <c r="M59" s="17"/>
    </row>
    <row r="60" spans="2:13" ht="14.45" customHeight="1" x14ac:dyDescent="0.25">
      <c r="B60" s="17"/>
      <c r="C60" s="14"/>
      <c r="D60" s="14"/>
      <c r="E60" s="19"/>
      <c r="F60" s="21"/>
      <c r="G60" s="68"/>
      <c r="H60" s="68"/>
      <c r="I60" s="68"/>
      <c r="J60" s="52"/>
      <c r="K60" s="38"/>
      <c r="L60" s="38"/>
      <c r="M60" s="17"/>
    </row>
    <row r="61" spans="2:13" ht="14.45" customHeight="1" x14ac:dyDescent="0.25">
      <c r="B61" s="17"/>
      <c r="C61" s="14"/>
      <c r="D61" s="14"/>
      <c r="E61" s="19"/>
      <c r="F61" s="21"/>
      <c r="G61" s="68"/>
      <c r="H61" s="68"/>
      <c r="I61" s="68"/>
      <c r="J61" s="52"/>
      <c r="K61" s="38"/>
      <c r="L61" s="38"/>
      <c r="M61" s="17"/>
    </row>
    <row r="62" spans="2:13" ht="14.45" customHeight="1" x14ac:dyDescent="0.25">
      <c r="B62" s="17"/>
      <c r="C62" s="14"/>
      <c r="D62" s="14"/>
      <c r="E62" s="19"/>
      <c r="F62" s="21"/>
      <c r="G62" s="68"/>
      <c r="H62" s="68"/>
      <c r="I62" s="68"/>
      <c r="J62" s="52"/>
      <c r="K62" s="38"/>
      <c r="L62" s="38"/>
      <c r="M62" s="17"/>
    </row>
    <row r="63" spans="2:13" ht="14.45" customHeight="1" x14ac:dyDescent="0.25">
      <c r="B63" s="53"/>
      <c r="C63" s="40"/>
      <c r="D63" s="40"/>
      <c r="E63" s="54"/>
      <c r="F63" s="55"/>
      <c r="G63" s="69"/>
      <c r="H63" s="78"/>
      <c r="I63" s="78"/>
      <c r="J63" s="56"/>
      <c r="K63" s="38"/>
      <c r="L63" s="38"/>
      <c r="M63" s="17"/>
    </row>
    <row r="64" spans="2:13" ht="14.45" customHeight="1" x14ac:dyDescent="0.25">
      <c r="B64" s="44"/>
      <c r="C64" s="45"/>
      <c r="D64" s="45"/>
      <c r="E64" s="46"/>
      <c r="F64" s="47"/>
      <c r="G64" s="66"/>
      <c r="H64" s="77"/>
      <c r="I64" s="77"/>
      <c r="J64" s="45"/>
      <c r="K64" s="38"/>
      <c r="L64" s="38"/>
      <c r="M64" s="17"/>
    </row>
    <row r="65" spans="2:13" ht="14.45" customHeight="1" x14ac:dyDescent="0.25">
      <c r="B65" s="53"/>
      <c r="C65" s="40"/>
      <c r="D65" s="40"/>
      <c r="E65" s="41"/>
      <c r="F65" s="57"/>
      <c r="G65" s="70"/>
      <c r="H65" s="70"/>
      <c r="I65" s="70"/>
      <c r="J65" s="16"/>
      <c r="K65" s="38"/>
      <c r="L65" s="38"/>
      <c r="M65" s="17"/>
    </row>
    <row r="66" spans="2:13" ht="14.45" customHeight="1" x14ac:dyDescent="0.25">
      <c r="B66" s="44"/>
      <c r="C66" s="45"/>
      <c r="D66" s="45"/>
      <c r="E66" s="46"/>
      <c r="F66" s="47"/>
      <c r="G66" s="66"/>
      <c r="H66" s="77"/>
      <c r="I66" s="77"/>
      <c r="J66" s="45"/>
      <c r="K66" s="38"/>
      <c r="L66" s="38"/>
      <c r="M66" s="17"/>
    </row>
    <row r="67" spans="2:13" ht="14.45" customHeight="1" x14ac:dyDescent="0.25">
      <c r="B67" s="39"/>
      <c r="C67" s="48"/>
      <c r="D67" s="48"/>
      <c r="E67" s="49"/>
      <c r="F67" s="57"/>
      <c r="G67" s="70"/>
      <c r="H67" s="70"/>
      <c r="I67" s="70"/>
      <c r="J67" s="58"/>
      <c r="K67" s="38"/>
      <c r="L67" s="38"/>
      <c r="M67" s="17"/>
    </row>
    <row r="68" spans="2:13" ht="14.45" customHeight="1" x14ac:dyDescent="0.25">
      <c r="B68" s="44"/>
      <c r="C68" s="45"/>
      <c r="D68" s="45"/>
      <c r="E68" s="46"/>
      <c r="F68" s="47"/>
      <c r="G68" s="66"/>
      <c r="H68" s="77"/>
      <c r="I68" s="77"/>
      <c r="J68" s="45"/>
      <c r="K68" s="38"/>
      <c r="L68" s="38"/>
      <c r="M68" s="17"/>
    </row>
    <row r="69" spans="2:13" ht="14.45" customHeight="1" x14ac:dyDescent="0.25">
      <c r="B69" s="53"/>
      <c r="C69" s="40"/>
      <c r="D69" s="40"/>
      <c r="E69" s="41"/>
      <c r="F69" s="42"/>
      <c r="G69" s="65"/>
      <c r="H69" s="70"/>
      <c r="I69" s="70"/>
      <c r="J69" s="40"/>
      <c r="K69" s="38"/>
      <c r="L69" s="38"/>
      <c r="M69" s="17"/>
    </row>
    <row r="70" spans="2:13" ht="14.45" customHeight="1" x14ac:dyDescent="0.25">
      <c r="B70" s="53"/>
      <c r="C70" s="40"/>
      <c r="D70" s="40"/>
      <c r="E70" s="41"/>
      <c r="F70" s="42"/>
      <c r="G70" s="65"/>
      <c r="H70" s="70"/>
      <c r="I70" s="70"/>
      <c r="J70" s="59"/>
      <c r="K70" s="38"/>
      <c r="L70" s="38"/>
      <c r="M70" s="17"/>
    </row>
    <row r="71" spans="2:13" ht="14.45" customHeight="1" x14ac:dyDescent="0.25">
      <c r="B71" s="17"/>
      <c r="C71" s="14"/>
      <c r="D71" s="14"/>
      <c r="E71" s="18"/>
      <c r="F71" s="22"/>
      <c r="G71" s="71"/>
      <c r="H71" s="68"/>
      <c r="I71" s="68"/>
      <c r="J71" s="15"/>
      <c r="K71" s="38"/>
      <c r="L71" s="38"/>
      <c r="M71" s="17"/>
    </row>
    <row r="72" spans="2:13" ht="14.45" customHeight="1" x14ac:dyDescent="0.25">
      <c r="B72" s="17"/>
      <c r="C72" s="14"/>
      <c r="D72" s="14"/>
      <c r="E72" s="18"/>
      <c r="F72" s="22"/>
      <c r="G72" s="71"/>
      <c r="H72" s="68"/>
      <c r="I72" s="68"/>
      <c r="J72" s="15"/>
      <c r="K72" s="38"/>
      <c r="L72" s="38"/>
      <c r="M72" s="17"/>
    </row>
    <row r="73" spans="2:13" ht="14.45" customHeight="1" x14ac:dyDescent="0.25">
      <c r="B73" s="17"/>
      <c r="C73" s="14"/>
      <c r="D73" s="14"/>
      <c r="E73" s="18"/>
      <c r="F73" s="22"/>
      <c r="G73" s="71"/>
      <c r="H73" s="68"/>
      <c r="I73" s="68"/>
      <c r="J73" s="15"/>
      <c r="K73" s="38"/>
      <c r="L73" s="38"/>
      <c r="M73" s="17"/>
    </row>
    <row r="74" spans="2:13" ht="14.45" customHeight="1" x14ac:dyDescent="0.25">
      <c r="B74" s="17"/>
      <c r="C74" s="14"/>
      <c r="D74" s="14"/>
      <c r="E74" s="18"/>
      <c r="F74" s="22"/>
      <c r="G74" s="71"/>
      <c r="H74" s="68"/>
      <c r="I74" s="68"/>
      <c r="J74" s="15"/>
      <c r="K74" s="38"/>
      <c r="L74" s="38"/>
      <c r="M74" s="17"/>
    </row>
    <row r="75" spans="2:13" ht="14.45" customHeight="1" x14ac:dyDescent="0.25">
      <c r="B75" s="17"/>
      <c r="C75" s="14"/>
      <c r="D75" s="14"/>
      <c r="E75" s="18"/>
      <c r="F75" s="22"/>
      <c r="G75" s="71"/>
      <c r="H75" s="68"/>
      <c r="I75" s="68"/>
      <c r="J75" s="15"/>
      <c r="K75" s="38"/>
      <c r="L75" s="38"/>
      <c r="M75" s="17"/>
    </row>
    <row r="76" spans="2:13" ht="14.45" customHeight="1" x14ac:dyDescent="0.25">
      <c r="B76" s="17"/>
      <c r="C76" s="14"/>
      <c r="D76" s="14"/>
      <c r="E76" s="18"/>
      <c r="F76" s="22"/>
      <c r="G76" s="71"/>
      <c r="H76" s="68"/>
      <c r="I76" s="68"/>
      <c r="J76" s="15"/>
      <c r="K76" s="38"/>
      <c r="L76" s="38"/>
      <c r="M76" s="17"/>
    </row>
    <row r="77" spans="2:13" ht="14.45" customHeight="1" x14ac:dyDescent="0.25">
      <c r="B77" s="17"/>
      <c r="C77" s="14"/>
      <c r="D77" s="14"/>
      <c r="E77" s="18"/>
      <c r="F77" s="22"/>
      <c r="G77" s="71"/>
      <c r="H77" s="68"/>
      <c r="I77" s="68"/>
      <c r="J77" s="15"/>
      <c r="K77" s="38"/>
      <c r="L77" s="38"/>
      <c r="M77" s="17"/>
    </row>
    <row r="78" spans="2:13" ht="14.45" customHeight="1" x14ac:dyDescent="0.25">
      <c r="B78" s="17"/>
      <c r="C78" s="14"/>
      <c r="D78" s="14"/>
      <c r="E78" s="18"/>
      <c r="F78" s="22"/>
      <c r="G78" s="71"/>
      <c r="H78" s="68"/>
      <c r="I78" s="68"/>
      <c r="J78" s="15"/>
      <c r="K78" s="38"/>
      <c r="L78" s="38"/>
      <c r="M78" s="17"/>
    </row>
    <row r="79" spans="2:13" ht="14.45" customHeight="1" x14ac:dyDescent="0.25">
      <c r="B79" s="17"/>
      <c r="C79" s="14"/>
      <c r="D79" s="14"/>
      <c r="E79" s="18"/>
      <c r="F79" s="22"/>
      <c r="G79" s="71"/>
      <c r="H79" s="68"/>
      <c r="I79" s="68"/>
      <c r="J79" s="15"/>
      <c r="K79" s="38"/>
      <c r="L79" s="38"/>
      <c r="M79" s="17"/>
    </row>
    <row r="80" spans="2:13" ht="14.45" customHeight="1" x14ac:dyDescent="0.25">
      <c r="B80" s="17"/>
      <c r="C80" s="14"/>
      <c r="D80" s="14"/>
      <c r="E80" s="18"/>
      <c r="F80" s="22"/>
      <c r="G80" s="71"/>
      <c r="H80" s="68"/>
      <c r="I80" s="68"/>
      <c r="J80" s="15"/>
      <c r="K80" s="38"/>
      <c r="L80" s="38"/>
      <c r="M80" s="17"/>
    </row>
    <row r="81" spans="2:13" ht="14.45" customHeight="1" x14ac:dyDescent="0.25">
      <c r="B81" s="53"/>
      <c r="C81" s="40"/>
      <c r="D81" s="40"/>
      <c r="E81" s="41"/>
      <c r="F81" s="42"/>
      <c r="G81" s="65"/>
      <c r="H81" s="70"/>
      <c r="I81" s="70"/>
      <c r="J81" s="43"/>
      <c r="K81" s="38"/>
      <c r="L81" s="38"/>
      <c r="M81" s="17"/>
    </row>
    <row r="82" spans="2:13" ht="14.45" customHeight="1" x14ac:dyDescent="0.25">
      <c r="B82" s="53"/>
      <c r="C82" s="40"/>
      <c r="D82" s="40"/>
      <c r="E82" s="41"/>
      <c r="F82" s="42"/>
      <c r="G82" s="65"/>
      <c r="H82" s="70"/>
      <c r="I82" s="70"/>
      <c r="J82" s="43"/>
      <c r="K82" s="38"/>
      <c r="L82" s="38"/>
      <c r="M82" s="17"/>
    </row>
    <row r="83" spans="2:13" ht="14.45" customHeight="1" x14ac:dyDescent="0.25">
      <c r="B83" s="44"/>
      <c r="C83" s="45"/>
      <c r="D83" s="45"/>
      <c r="E83" s="46"/>
      <c r="F83" s="47"/>
      <c r="G83" s="66"/>
      <c r="H83" s="77"/>
      <c r="I83" s="77"/>
      <c r="J83" s="45"/>
      <c r="K83" s="38"/>
      <c r="L83" s="38"/>
      <c r="M83" s="17"/>
    </row>
    <row r="84" spans="2:13" ht="14.45" customHeight="1" x14ac:dyDescent="0.25">
      <c r="B84" s="39"/>
      <c r="C84" s="48"/>
      <c r="D84" s="48"/>
      <c r="E84" s="49"/>
      <c r="F84" s="60"/>
      <c r="G84" s="72"/>
      <c r="H84" s="67"/>
      <c r="I84" s="67"/>
      <c r="J84" s="43"/>
      <c r="K84" s="38"/>
      <c r="L84" s="38"/>
      <c r="M84" s="17"/>
    </row>
    <row r="85" spans="2:13" ht="14.45" customHeight="1" x14ac:dyDescent="0.25">
      <c r="B85" s="17"/>
      <c r="C85" s="14"/>
      <c r="D85" s="14"/>
      <c r="E85" s="18"/>
      <c r="F85" s="20"/>
      <c r="G85" s="64"/>
      <c r="H85" s="68"/>
      <c r="I85" s="68"/>
      <c r="J85" s="14"/>
      <c r="K85" s="38"/>
      <c r="L85" s="38"/>
      <c r="M85" s="17"/>
    </row>
    <row r="86" spans="2:13" ht="14.45" customHeight="1" x14ac:dyDescent="0.25">
      <c r="B86" s="39"/>
      <c r="C86" s="40"/>
      <c r="D86" s="40"/>
      <c r="E86" s="41"/>
      <c r="F86" s="42"/>
      <c r="G86" s="65"/>
      <c r="H86" s="70"/>
      <c r="I86" s="70"/>
      <c r="J86" s="40"/>
      <c r="K86" s="38"/>
      <c r="L86" s="38"/>
      <c r="M86" s="17"/>
    </row>
    <row r="87" spans="2:13" ht="14.45" customHeight="1" x14ac:dyDescent="0.25">
      <c r="B87" s="53"/>
      <c r="C87" s="40"/>
      <c r="D87" s="40"/>
      <c r="E87" s="41"/>
      <c r="F87" s="42"/>
      <c r="G87" s="65"/>
      <c r="H87" s="70"/>
      <c r="I87" s="70"/>
      <c r="J87" s="43"/>
      <c r="K87" s="38"/>
      <c r="L87" s="38"/>
      <c r="M87" s="17"/>
    </row>
    <row r="88" spans="2:13" ht="14.45" customHeight="1" x14ac:dyDescent="0.25">
      <c r="B88" s="17"/>
      <c r="C88" s="14"/>
      <c r="D88" s="14"/>
      <c r="E88" s="18"/>
      <c r="F88" s="61"/>
      <c r="G88" s="73"/>
      <c r="H88" s="79"/>
      <c r="I88" s="79"/>
      <c r="J88" s="14"/>
      <c r="K88" s="38"/>
      <c r="L88" s="38"/>
      <c r="M88" s="17"/>
    </row>
    <row r="89" spans="2:13" ht="14.45" customHeight="1" x14ac:dyDescent="0.25">
      <c r="B89" s="17"/>
      <c r="C89" s="14"/>
      <c r="D89" s="14"/>
      <c r="E89" s="18"/>
      <c r="F89" s="61"/>
      <c r="G89" s="73"/>
      <c r="H89" s="79"/>
      <c r="I89" s="79"/>
      <c r="J89" s="14"/>
      <c r="K89" s="38"/>
      <c r="L89" s="38"/>
      <c r="M89" s="17"/>
    </row>
    <row r="90" spans="2:13" ht="14.45" customHeight="1" x14ac:dyDescent="0.25">
      <c r="B90" s="17"/>
      <c r="C90" s="14"/>
      <c r="D90" s="14"/>
      <c r="E90" s="18"/>
      <c r="F90" s="61"/>
      <c r="G90" s="73"/>
      <c r="H90" s="79"/>
      <c r="I90" s="79"/>
      <c r="J90" s="14"/>
      <c r="K90" s="38"/>
      <c r="L90" s="38"/>
      <c r="M90" s="17"/>
    </row>
    <row r="91" spans="2:13" ht="14.45" customHeight="1" x14ac:dyDescent="0.25">
      <c r="B91" s="17"/>
      <c r="C91" s="14"/>
      <c r="D91" s="14"/>
      <c r="E91" s="18"/>
      <c r="F91" s="61"/>
      <c r="G91" s="73"/>
      <c r="H91" s="79"/>
      <c r="I91" s="79"/>
      <c r="J91" s="14"/>
      <c r="K91" s="38"/>
      <c r="L91" s="38"/>
      <c r="M91" s="17"/>
    </row>
    <row r="92" spans="2:13" ht="14.45" customHeight="1" x14ac:dyDescent="0.25">
      <c r="B92" s="17"/>
      <c r="C92" s="14"/>
      <c r="D92" s="14"/>
      <c r="E92" s="18"/>
      <c r="F92" s="61"/>
      <c r="G92" s="73"/>
      <c r="H92" s="79"/>
      <c r="I92" s="79"/>
      <c r="J92" s="14"/>
      <c r="K92" s="38"/>
      <c r="L92" s="38"/>
      <c r="M92" s="17"/>
    </row>
    <row r="93" spans="2:13" ht="14.45" customHeight="1" x14ac:dyDescent="0.25">
      <c r="B93" s="17"/>
      <c r="C93" s="14"/>
      <c r="D93" s="14"/>
      <c r="E93" s="18"/>
      <c r="F93" s="61"/>
      <c r="G93" s="73"/>
      <c r="H93" s="79"/>
      <c r="I93" s="79"/>
      <c r="J93" s="14"/>
      <c r="K93" s="38"/>
      <c r="L93" s="38"/>
      <c r="M93" s="17"/>
    </row>
    <row r="94" spans="2:13" ht="14.45" customHeight="1" x14ac:dyDescent="0.25">
      <c r="B94" s="17"/>
      <c r="C94" s="14"/>
      <c r="D94" s="14"/>
      <c r="E94" s="18"/>
      <c r="F94" s="61"/>
      <c r="G94" s="73"/>
      <c r="H94" s="79"/>
      <c r="I94" s="79"/>
      <c r="J94" s="14"/>
      <c r="K94" s="38"/>
      <c r="L94" s="38"/>
      <c r="M94" s="17"/>
    </row>
    <row r="95" spans="2:13" ht="14.45" customHeight="1" x14ac:dyDescent="0.25">
      <c r="B95" s="17"/>
      <c r="C95" s="14"/>
      <c r="D95" s="14"/>
      <c r="E95" s="18"/>
      <c r="F95" s="61"/>
      <c r="G95" s="73"/>
      <c r="H95" s="79"/>
      <c r="I95" s="79"/>
      <c r="J95" s="14"/>
      <c r="K95" s="38"/>
      <c r="L95" s="38"/>
      <c r="M95" s="17"/>
    </row>
    <row r="96" spans="2:13" ht="14.45" customHeight="1" x14ac:dyDescent="0.25">
      <c r="B96" s="17"/>
      <c r="C96" s="14"/>
      <c r="D96" s="14"/>
      <c r="E96" s="18"/>
      <c r="F96" s="61"/>
      <c r="G96" s="73"/>
      <c r="H96" s="79"/>
      <c r="I96" s="79"/>
      <c r="J96" s="14"/>
      <c r="K96" s="38"/>
      <c r="L96" s="38"/>
      <c r="M96" s="17"/>
    </row>
    <row r="97" spans="2:13" ht="14.45" customHeight="1" x14ac:dyDescent="0.25">
      <c r="B97" s="17"/>
      <c r="C97" s="14"/>
      <c r="D97" s="14"/>
      <c r="E97" s="18"/>
      <c r="F97" s="61"/>
      <c r="G97" s="73"/>
      <c r="H97" s="79"/>
      <c r="I97" s="79"/>
      <c r="J97" s="14"/>
      <c r="K97" s="38"/>
      <c r="L97" s="38"/>
      <c r="M97" s="17"/>
    </row>
    <row r="98" spans="2:13" ht="14.45" customHeight="1" x14ac:dyDescent="0.25">
      <c r="B98" s="17"/>
      <c r="C98" s="14"/>
      <c r="D98" s="14"/>
      <c r="E98" s="18"/>
      <c r="F98" s="61"/>
      <c r="G98" s="73"/>
      <c r="H98" s="79"/>
      <c r="I98" s="79"/>
      <c r="J98" s="14"/>
      <c r="K98" s="38"/>
      <c r="L98" s="38"/>
      <c r="M98" s="17"/>
    </row>
    <row r="99" spans="2:13" ht="14.45" customHeight="1" x14ac:dyDescent="0.25">
      <c r="B99" s="17"/>
      <c r="C99" s="14"/>
      <c r="D99" s="14"/>
      <c r="E99" s="18"/>
      <c r="F99" s="61"/>
      <c r="G99" s="73"/>
      <c r="H99" s="79"/>
      <c r="I99" s="79"/>
      <c r="J99" s="14"/>
      <c r="K99" s="38"/>
      <c r="L99" s="38"/>
      <c r="M99" s="17"/>
    </row>
    <row r="100" spans="2:13" ht="14.45" customHeight="1" x14ac:dyDescent="0.25">
      <c r="B100" s="17"/>
      <c r="C100" s="14"/>
      <c r="D100" s="14"/>
      <c r="E100" s="18"/>
      <c r="F100" s="61"/>
      <c r="G100" s="73"/>
      <c r="H100" s="79"/>
      <c r="I100" s="79"/>
      <c r="J100" s="14"/>
      <c r="K100" s="38"/>
      <c r="L100" s="38"/>
      <c r="M100" s="17"/>
    </row>
    <row r="101" spans="2:13" ht="14.45" customHeight="1" x14ac:dyDescent="0.25">
      <c r="B101" s="17"/>
      <c r="C101" s="14"/>
      <c r="D101" s="14"/>
      <c r="E101" s="18"/>
      <c r="F101" s="61"/>
      <c r="G101" s="73"/>
      <c r="H101" s="79"/>
      <c r="I101" s="79"/>
      <c r="J101" s="14"/>
      <c r="K101" s="38"/>
      <c r="L101" s="38"/>
      <c r="M101" s="17"/>
    </row>
    <row r="102" spans="2:13" ht="14.45" customHeight="1" x14ac:dyDescent="0.25">
      <c r="B102" s="17"/>
      <c r="C102" s="14"/>
      <c r="D102" s="14"/>
      <c r="E102" s="18"/>
      <c r="F102" s="61"/>
      <c r="G102" s="73"/>
      <c r="H102" s="79"/>
      <c r="I102" s="79"/>
      <c r="J102" s="14"/>
      <c r="K102" s="38"/>
      <c r="L102" s="38"/>
      <c r="M102" s="17"/>
    </row>
    <row r="103" spans="2:13" ht="14.45" customHeight="1" x14ac:dyDescent="0.25">
      <c r="B103" s="17"/>
      <c r="C103" s="14"/>
      <c r="D103" s="14"/>
      <c r="E103" s="18"/>
      <c r="F103" s="61"/>
      <c r="G103" s="73"/>
      <c r="H103" s="79"/>
      <c r="I103" s="79"/>
      <c r="J103" s="14"/>
      <c r="K103" s="38"/>
      <c r="L103" s="38"/>
      <c r="M103" s="17"/>
    </row>
    <row r="104" spans="2:13" ht="14.45" customHeight="1" x14ac:dyDescent="0.25">
      <c r="B104" s="17"/>
      <c r="C104" s="14"/>
      <c r="D104" s="14"/>
      <c r="E104" s="18"/>
      <c r="F104" s="61"/>
      <c r="G104" s="73"/>
      <c r="H104" s="79"/>
      <c r="I104" s="79"/>
      <c r="J104" s="14"/>
      <c r="K104" s="38"/>
      <c r="L104" s="38"/>
      <c r="M104" s="17"/>
    </row>
    <row r="105" spans="2:13" ht="14.45" customHeight="1" x14ac:dyDescent="0.25">
      <c r="B105" s="17"/>
      <c r="C105" s="14"/>
      <c r="D105" s="14"/>
      <c r="E105" s="18"/>
      <c r="F105" s="61"/>
      <c r="G105" s="73"/>
      <c r="H105" s="79"/>
      <c r="I105" s="79"/>
      <c r="J105" s="14"/>
      <c r="K105" s="38"/>
      <c r="L105" s="38"/>
      <c r="M105" s="17"/>
    </row>
    <row r="106" spans="2:13" ht="14.45" customHeight="1" x14ac:dyDescent="0.25">
      <c r="B106" s="17"/>
      <c r="C106" s="14"/>
      <c r="D106" s="14"/>
      <c r="E106" s="18"/>
      <c r="F106" s="61"/>
      <c r="G106" s="73"/>
      <c r="H106" s="79"/>
      <c r="I106" s="79"/>
      <c r="J106" s="14"/>
      <c r="K106" s="38"/>
      <c r="L106" s="38"/>
      <c r="M106" s="17"/>
    </row>
    <row r="107" spans="2:13" ht="14.45" customHeight="1" x14ac:dyDescent="0.25">
      <c r="B107" s="17"/>
      <c r="C107" s="14"/>
      <c r="D107" s="14"/>
      <c r="E107" s="18"/>
      <c r="F107" s="61"/>
      <c r="G107" s="73"/>
      <c r="H107" s="79"/>
      <c r="I107" s="79"/>
      <c r="J107" s="14"/>
      <c r="K107" s="38"/>
      <c r="L107" s="38"/>
      <c r="M107" s="17"/>
    </row>
    <row r="108" spans="2:13" ht="14.45" customHeight="1" x14ac:dyDescent="0.25">
      <c r="B108" s="17"/>
      <c r="C108" s="14"/>
      <c r="D108" s="14"/>
      <c r="E108" s="18"/>
      <c r="F108" s="61"/>
      <c r="G108" s="73"/>
      <c r="H108" s="79"/>
      <c r="I108" s="79"/>
      <c r="J108" s="14"/>
      <c r="K108" s="38"/>
      <c r="L108" s="38"/>
      <c r="M108" s="17"/>
    </row>
    <row r="109" spans="2:13" ht="14.45" customHeight="1" x14ac:dyDescent="0.25">
      <c r="B109" s="17"/>
      <c r="C109" s="14"/>
      <c r="D109" s="14"/>
      <c r="E109" s="18"/>
      <c r="F109" s="61"/>
      <c r="G109" s="73"/>
      <c r="H109" s="79"/>
      <c r="I109" s="79"/>
      <c r="J109" s="14"/>
      <c r="K109" s="38"/>
      <c r="L109" s="38"/>
      <c r="M109" s="17"/>
    </row>
    <row r="110" spans="2:13" ht="14.45" customHeight="1" x14ac:dyDescent="0.25">
      <c r="B110" s="17"/>
      <c r="C110" s="14"/>
      <c r="D110" s="14"/>
      <c r="E110" s="18"/>
      <c r="F110" s="61"/>
      <c r="G110" s="73"/>
      <c r="H110" s="79"/>
      <c r="I110" s="79"/>
      <c r="J110" s="14"/>
      <c r="K110" s="38"/>
      <c r="L110" s="38"/>
      <c r="M110" s="17"/>
    </row>
    <row r="111" spans="2:13" ht="14.45" customHeight="1" x14ac:dyDescent="0.25">
      <c r="B111" s="17"/>
      <c r="C111" s="14"/>
      <c r="D111" s="14"/>
      <c r="E111" s="18"/>
      <c r="F111" s="61"/>
      <c r="G111" s="73"/>
      <c r="H111" s="79"/>
      <c r="I111" s="79"/>
      <c r="J111" s="14"/>
      <c r="K111" s="38"/>
      <c r="L111" s="38"/>
      <c r="M111" s="17"/>
    </row>
    <row r="112" spans="2:13" ht="14.45" customHeight="1" x14ac:dyDescent="0.25">
      <c r="B112" s="17"/>
      <c r="C112" s="14"/>
      <c r="D112" s="14"/>
      <c r="E112" s="18"/>
      <c r="F112" s="61"/>
      <c r="G112" s="73"/>
      <c r="H112" s="79"/>
      <c r="I112" s="79"/>
      <c r="J112" s="14"/>
      <c r="K112" s="38"/>
      <c r="L112" s="38"/>
      <c r="M112" s="17"/>
    </row>
    <row r="113" spans="2:13" ht="14.45" customHeight="1" x14ac:dyDescent="0.25">
      <c r="B113" s="17"/>
      <c r="C113" s="14"/>
      <c r="D113" s="14"/>
      <c r="E113" s="18"/>
      <c r="F113" s="61"/>
      <c r="G113" s="73"/>
      <c r="H113" s="79"/>
      <c r="I113" s="79"/>
      <c r="J113" s="14"/>
      <c r="K113" s="38"/>
      <c r="L113" s="38"/>
      <c r="M113" s="17"/>
    </row>
    <row r="114" spans="2:13" ht="14.45" customHeight="1" x14ac:dyDescent="0.25">
      <c r="B114" s="17"/>
      <c r="C114" s="14"/>
      <c r="D114" s="14"/>
      <c r="E114" s="18"/>
      <c r="F114" s="61"/>
      <c r="G114" s="73"/>
      <c r="H114" s="79"/>
      <c r="I114" s="79"/>
      <c r="J114" s="14"/>
      <c r="K114" s="38"/>
      <c r="L114" s="38"/>
      <c r="M114" s="17"/>
    </row>
    <row r="115" spans="2:13" ht="14.45" customHeight="1" x14ac:dyDescent="0.25">
      <c r="B115" s="17"/>
      <c r="C115" s="14"/>
      <c r="D115" s="14"/>
      <c r="E115" s="18"/>
      <c r="F115" s="61"/>
      <c r="G115" s="73"/>
      <c r="H115" s="79"/>
      <c r="I115" s="79"/>
      <c r="J115" s="14"/>
      <c r="K115" s="38"/>
      <c r="L115" s="38"/>
      <c r="M115" s="17"/>
    </row>
    <row r="116" spans="2:13" ht="14.45" customHeight="1" x14ac:dyDescent="0.25">
      <c r="B116" s="17"/>
      <c r="C116" s="14"/>
      <c r="D116" s="14"/>
      <c r="E116" s="18"/>
      <c r="F116" s="61"/>
      <c r="G116" s="73"/>
      <c r="H116" s="79"/>
      <c r="I116" s="79"/>
      <c r="J116" s="14"/>
      <c r="K116" s="38"/>
      <c r="L116" s="38"/>
      <c r="M116" s="17"/>
    </row>
    <row r="117" spans="2:13" ht="14.45" customHeight="1" x14ac:dyDescent="0.25">
      <c r="B117" s="17"/>
      <c r="C117" s="14"/>
      <c r="D117" s="14"/>
      <c r="E117" s="18"/>
      <c r="F117" s="61"/>
      <c r="G117" s="73"/>
      <c r="H117" s="79"/>
      <c r="I117" s="79"/>
      <c r="J117" s="14"/>
      <c r="K117" s="38"/>
      <c r="L117" s="38"/>
      <c r="M117" s="17"/>
    </row>
    <row r="118" spans="2:13" ht="14.45" customHeight="1" x14ac:dyDescent="0.25">
      <c r="B118" s="17"/>
      <c r="C118" s="14"/>
      <c r="D118" s="14"/>
      <c r="E118" s="18"/>
      <c r="F118" s="61"/>
      <c r="G118" s="73"/>
      <c r="H118" s="79"/>
      <c r="I118" s="79"/>
      <c r="J118" s="14"/>
      <c r="K118" s="38"/>
      <c r="L118" s="38"/>
      <c r="M118" s="17"/>
    </row>
    <row r="119" spans="2:13" ht="14.45" customHeight="1" x14ac:dyDescent="0.25">
      <c r="B119" s="17"/>
      <c r="C119" s="14"/>
      <c r="D119" s="14"/>
      <c r="E119" s="18"/>
      <c r="F119" s="61"/>
      <c r="G119" s="73"/>
      <c r="H119" s="79"/>
      <c r="I119" s="79"/>
      <c r="J119" s="14"/>
      <c r="K119" s="38"/>
      <c r="L119" s="38"/>
      <c r="M119" s="17"/>
    </row>
    <row r="120" spans="2:13" ht="14.45" customHeight="1" x14ac:dyDescent="0.25">
      <c r="B120" s="17"/>
      <c r="C120" s="14"/>
      <c r="D120" s="14"/>
      <c r="E120" s="18"/>
      <c r="F120" s="61"/>
      <c r="G120" s="73"/>
      <c r="H120" s="79"/>
      <c r="I120" s="79"/>
      <c r="J120" s="14"/>
      <c r="K120" s="38"/>
      <c r="L120" s="38"/>
      <c r="M120" s="17"/>
    </row>
    <row r="121" spans="2:13" ht="14.45" customHeight="1" x14ac:dyDescent="0.25">
      <c r="B121" s="17"/>
      <c r="C121" s="14"/>
      <c r="D121" s="14"/>
      <c r="E121" s="18"/>
      <c r="F121" s="61"/>
      <c r="G121" s="73"/>
      <c r="H121" s="79"/>
      <c r="I121" s="79"/>
      <c r="J121" s="14"/>
      <c r="K121" s="38"/>
      <c r="L121" s="38"/>
      <c r="M121" s="17"/>
    </row>
    <row r="122" spans="2:13" ht="14.45" customHeight="1" x14ac:dyDescent="0.25">
      <c r="B122" s="17"/>
      <c r="C122" s="14"/>
      <c r="D122" s="14"/>
      <c r="E122" s="18"/>
      <c r="F122" s="61"/>
      <c r="G122" s="73"/>
      <c r="H122" s="79"/>
      <c r="I122" s="79"/>
      <c r="J122" s="14"/>
      <c r="K122" s="38"/>
      <c r="L122" s="38"/>
      <c r="M122" s="17"/>
    </row>
    <row r="123" spans="2:13" ht="14.45" customHeight="1" x14ac:dyDescent="0.25">
      <c r="B123" s="17"/>
      <c r="C123" s="14"/>
      <c r="D123" s="14"/>
      <c r="E123" s="18"/>
      <c r="F123" s="61"/>
      <c r="G123" s="73"/>
      <c r="H123" s="79"/>
      <c r="I123" s="79"/>
      <c r="J123" s="14"/>
      <c r="K123" s="38"/>
      <c r="L123" s="38"/>
      <c r="M123" s="17"/>
    </row>
    <row r="124" spans="2:13" ht="14.45" customHeight="1" x14ac:dyDescent="0.25">
      <c r="B124" s="17"/>
      <c r="C124" s="14"/>
      <c r="D124" s="14"/>
      <c r="E124" s="18"/>
      <c r="F124" s="61"/>
      <c r="G124" s="73"/>
      <c r="H124" s="79"/>
      <c r="I124" s="79"/>
      <c r="J124" s="14"/>
      <c r="K124" s="38"/>
      <c r="L124" s="38"/>
      <c r="M124" s="17"/>
    </row>
    <row r="125" spans="2:13" ht="14.45" customHeight="1" x14ac:dyDescent="0.25">
      <c r="B125" s="17"/>
      <c r="C125" s="14"/>
      <c r="D125" s="14"/>
      <c r="E125" s="18"/>
      <c r="F125" s="61"/>
      <c r="G125" s="73"/>
      <c r="H125" s="79"/>
      <c r="I125" s="79"/>
      <c r="J125" s="14"/>
      <c r="K125" s="38"/>
      <c r="L125" s="38"/>
      <c r="M125" s="17"/>
    </row>
    <row r="126" spans="2:13" ht="14.45" customHeight="1" x14ac:dyDescent="0.25">
      <c r="B126" s="17"/>
      <c r="C126" s="14"/>
      <c r="D126" s="14"/>
      <c r="E126" s="18"/>
      <c r="F126" s="61"/>
      <c r="G126" s="73"/>
      <c r="H126" s="79"/>
      <c r="I126" s="79"/>
      <c r="J126" s="14"/>
      <c r="K126" s="38"/>
      <c r="L126" s="38"/>
      <c r="M126" s="17"/>
    </row>
    <row r="127" spans="2:13" ht="14.45" customHeight="1" x14ac:dyDescent="0.25">
      <c r="B127" s="17"/>
      <c r="C127" s="14"/>
      <c r="D127" s="14"/>
      <c r="E127" s="18"/>
      <c r="F127" s="61"/>
      <c r="G127" s="73"/>
      <c r="H127" s="79"/>
      <c r="I127" s="79"/>
      <c r="J127" s="14"/>
      <c r="K127" s="38"/>
      <c r="L127" s="38"/>
      <c r="M127" s="17"/>
    </row>
    <row r="128" spans="2:13" ht="14.45" customHeight="1" x14ac:dyDescent="0.25">
      <c r="B128" s="17"/>
      <c r="C128" s="14"/>
      <c r="D128" s="14"/>
      <c r="E128" s="18"/>
      <c r="F128" s="61"/>
      <c r="G128" s="73"/>
      <c r="H128" s="79"/>
      <c r="I128" s="79"/>
      <c r="J128" s="14"/>
      <c r="K128" s="38"/>
      <c r="L128" s="38"/>
      <c r="M128" s="17"/>
    </row>
    <row r="129" spans="2:13" ht="14.45" customHeight="1" x14ac:dyDescent="0.25">
      <c r="B129" s="17"/>
      <c r="C129" s="14"/>
      <c r="D129" s="14"/>
      <c r="E129" s="18"/>
      <c r="F129" s="61"/>
      <c r="G129" s="73"/>
      <c r="H129" s="79"/>
      <c r="I129" s="79"/>
      <c r="J129" s="14"/>
      <c r="K129" s="38"/>
      <c r="L129" s="38"/>
      <c r="M129" s="17"/>
    </row>
    <row r="130" spans="2:13" ht="14.45" customHeight="1" x14ac:dyDescent="0.25">
      <c r="B130" s="17"/>
      <c r="C130" s="14"/>
      <c r="D130" s="14"/>
      <c r="E130" s="18"/>
      <c r="F130" s="61"/>
      <c r="G130" s="73"/>
      <c r="H130" s="79"/>
      <c r="I130" s="79"/>
      <c r="J130" s="14"/>
      <c r="K130" s="38"/>
      <c r="L130" s="38"/>
      <c r="M130" s="17"/>
    </row>
    <row r="131" spans="2:13" ht="14.45" customHeight="1" x14ac:dyDescent="0.25">
      <c r="B131" s="17"/>
      <c r="C131" s="14"/>
      <c r="D131" s="14"/>
      <c r="E131" s="18"/>
      <c r="F131" s="61"/>
      <c r="G131" s="73"/>
      <c r="H131" s="79"/>
      <c r="I131" s="79"/>
      <c r="J131" s="14"/>
      <c r="K131" s="38"/>
      <c r="L131" s="38"/>
      <c r="M131" s="17"/>
    </row>
    <row r="132" spans="2:13" ht="14.45" customHeight="1" x14ac:dyDescent="0.25">
      <c r="B132" s="17"/>
      <c r="C132" s="14"/>
      <c r="D132" s="14"/>
      <c r="E132" s="18"/>
      <c r="F132" s="61"/>
      <c r="G132" s="73"/>
      <c r="H132" s="79"/>
      <c r="I132" s="79"/>
      <c r="J132" s="14"/>
      <c r="K132" s="38"/>
      <c r="L132" s="38"/>
      <c r="M132" s="17"/>
    </row>
    <row r="133" spans="2:13" ht="14.45" customHeight="1" x14ac:dyDescent="0.25">
      <c r="B133" s="17"/>
      <c r="C133" s="14"/>
      <c r="D133" s="14"/>
      <c r="E133" s="18"/>
      <c r="F133" s="61"/>
      <c r="G133" s="73"/>
      <c r="H133" s="79"/>
      <c r="I133" s="79"/>
      <c r="J133" s="14"/>
      <c r="K133" s="38"/>
      <c r="L133" s="38"/>
      <c r="M133" s="17"/>
    </row>
    <row r="134" spans="2:13" ht="14.45" customHeight="1" x14ac:dyDescent="0.25">
      <c r="B134" s="17"/>
      <c r="C134" s="14"/>
      <c r="D134" s="14"/>
      <c r="E134" s="18"/>
      <c r="F134" s="61"/>
      <c r="G134" s="73"/>
      <c r="H134" s="79"/>
      <c r="I134" s="79"/>
      <c r="J134" s="14"/>
      <c r="K134" s="38"/>
      <c r="L134" s="38"/>
      <c r="M134" s="17"/>
    </row>
    <row r="135" spans="2:13" ht="14.45" customHeight="1" x14ac:dyDescent="0.25">
      <c r="B135" s="17"/>
      <c r="C135" s="14"/>
      <c r="D135" s="14"/>
      <c r="E135" s="18"/>
      <c r="F135" s="61"/>
      <c r="G135" s="73"/>
      <c r="H135" s="79"/>
      <c r="I135" s="79"/>
      <c r="J135" s="14"/>
      <c r="K135" s="38"/>
      <c r="L135" s="38"/>
      <c r="M135" s="17"/>
    </row>
    <row r="136" spans="2:13" ht="14.45" customHeight="1" x14ac:dyDescent="0.25">
      <c r="B136" s="17"/>
      <c r="C136" s="14"/>
      <c r="D136" s="14"/>
      <c r="E136" s="18"/>
      <c r="F136" s="61"/>
      <c r="G136" s="73"/>
      <c r="H136" s="79"/>
      <c r="I136" s="79"/>
      <c r="J136" s="14"/>
      <c r="K136" s="38"/>
      <c r="L136" s="38"/>
      <c r="M136" s="17"/>
    </row>
    <row r="137" spans="2:13" ht="14.45" customHeight="1" x14ac:dyDescent="0.25">
      <c r="B137" s="17"/>
      <c r="C137" s="14"/>
      <c r="D137" s="14"/>
      <c r="E137" s="18"/>
      <c r="F137" s="61"/>
      <c r="G137" s="73"/>
      <c r="H137" s="79"/>
      <c r="I137" s="79"/>
      <c r="J137" s="14"/>
      <c r="K137" s="38"/>
      <c r="L137" s="38"/>
      <c r="M137" s="17"/>
    </row>
    <row r="138" spans="2:13" ht="14.45" customHeight="1" x14ac:dyDescent="0.25">
      <c r="B138" s="17"/>
      <c r="C138" s="14"/>
      <c r="D138" s="14"/>
      <c r="E138" s="18"/>
      <c r="F138" s="61"/>
      <c r="G138" s="73"/>
      <c r="H138" s="79"/>
      <c r="I138" s="79"/>
      <c r="J138" s="14"/>
      <c r="K138" s="38"/>
      <c r="L138" s="38"/>
      <c r="M138" s="17"/>
    </row>
    <row r="139" spans="2:13" ht="14.45" customHeight="1" x14ac:dyDescent="0.25">
      <c r="B139" s="17"/>
      <c r="C139" s="14"/>
      <c r="D139" s="14"/>
      <c r="E139" s="18"/>
      <c r="F139" s="61"/>
      <c r="G139" s="73"/>
      <c r="H139" s="79"/>
      <c r="I139" s="79"/>
      <c r="J139" s="14"/>
      <c r="K139" s="38"/>
      <c r="L139" s="38"/>
      <c r="M139" s="17"/>
    </row>
    <row r="140" spans="2:13" ht="14.45" customHeight="1" x14ac:dyDescent="0.25">
      <c r="B140" s="17"/>
      <c r="C140" s="14"/>
      <c r="D140" s="14"/>
      <c r="E140" s="18"/>
      <c r="F140" s="61"/>
      <c r="G140" s="73"/>
      <c r="H140" s="79"/>
      <c r="I140" s="79"/>
      <c r="J140" s="14"/>
      <c r="K140" s="38"/>
      <c r="L140" s="38"/>
      <c r="M140" s="17"/>
    </row>
    <row r="141" spans="2:13" ht="14.45" customHeight="1" x14ac:dyDescent="0.25">
      <c r="B141" s="17"/>
      <c r="C141" s="14"/>
      <c r="D141" s="14"/>
      <c r="E141" s="18"/>
      <c r="F141" s="61"/>
      <c r="G141" s="73"/>
      <c r="H141" s="79"/>
      <c r="I141" s="79"/>
      <c r="J141" s="14"/>
      <c r="K141" s="38"/>
      <c r="L141" s="38"/>
      <c r="M141" s="17"/>
    </row>
    <row r="142" spans="2:13" ht="14.45" customHeight="1" x14ac:dyDescent="0.25">
      <c r="B142" s="17"/>
      <c r="C142" s="14"/>
      <c r="D142" s="14"/>
      <c r="E142" s="18"/>
      <c r="F142" s="61"/>
      <c r="G142" s="73"/>
      <c r="H142" s="79"/>
      <c r="I142" s="79"/>
      <c r="J142" s="14"/>
      <c r="K142" s="38"/>
      <c r="L142" s="38"/>
      <c r="M142" s="17"/>
    </row>
    <row r="143" spans="2:13" ht="14.45" customHeight="1" x14ac:dyDescent="0.25">
      <c r="B143" s="17"/>
      <c r="C143" s="14"/>
      <c r="D143" s="14"/>
      <c r="E143" s="18"/>
      <c r="F143" s="61"/>
      <c r="G143" s="73"/>
      <c r="H143" s="79"/>
      <c r="I143" s="79"/>
      <c r="J143" s="14"/>
      <c r="K143" s="38"/>
      <c r="L143" s="38"/>
      <c r="M143" s="17"/>
    </row>
    <row r="144" spans="2:13" ht="14.45" customHeight="1" x14ac:dyDescent="0.25">
      <c r="B144" s="17"/>
      <c r="C144" s="14"/>
      <c r="D144" s="14"/>
      <c r="E144" s="18"/>
      <c r="F144" s="61"/>
      <c r="G144" s="73"/>
      <c r="H144" s="79"/>
      <c r="I144" s="79"/>
      <c r="J144" s="14"/>
      <c r="K144" s="38"/>
      <c r="L144" s="38"/>
      <c r="M144" s="17"/>
    </row>
    <row r="145" spans="2:13" ht="14.45" customHeight="1" x14ac:dyDescent="0.25">
      <c r="B145" s="17"/>
      <c r="C145" s="14"/>
      <c r="D145" s="14"/>
      <c r="E145" s="18"/>
      <c r="F145" s="61"/>
      <c r="G145" s="73"/>
      <c r="H145" s="79"/>
      <c r="I145" s="79"/>
      <c r="J145" s="14"/>
      <c r="K145" s="38"/>
      <c r="L145" s="38"/>
      <c r="M145" s="17"/>
    </row>
    <row r="146" spans="2:13" ht="14.45" customHeight="1" x14ac:dyDescent="0.25">
      <c r="B146" s="17"/>
      <c r="C146" s="14"/>
      <c r="D146" s="14"/>
      <c r="E146" s="18"/>
      <c r="F146" s="61"/>
      <c r="G146" s="73"/>
      <c r="H146" s="79"/>
      <c r="I146" s="79"/>
      <c r="J146" s="14"/>
      <c r="K146" s="38"/>
      <c r="L146" s="38"/>
      <c r="M146" s="17"/>
    </row>
    <row r="147" spans="2:13" ht="14.45" customHeight="1" x14ac:dyDescent="0.25">
      <c r="B147" s="17"/>
      <c r="C147" s="14"/>
      <c r="D147" s="14"/>
      <c r="E147" s="18"/>
      <c r="F147" s="61"/>
      <c r="G147" s="73"/>
      <c r="H147" s="79"/>
      <c r="I147" s="79"/>
      <c r="J147" s="14"/>
      <c r="K147" s="38"/>
      <c r="L147" s="38"/>
      <c r="M147" s="17"/>
    </row>
    <row r="148" spans="2:13" ht="14.45" customHeight="1" x14ac:dyDescent="0.25">
      <c r="B148" s="17"/>
      <c r="C148" s="14"/>
      <c r="D148" s="14"/>
      <c r="E148" s="18"/>
      <c r="F148" s="61"/>
      <c r="G148" s="73"/>
      <c r="H148" s="79"/>
      <c r="I148" s="79"/>
      <c r="J148" s="14"/>
      <c r="K148" s="38"/>
      <c r="L148" s="38"/>
      <c r="M148" s="17"/>
    </row>
    <row r="149" spans="2:13" ht="14.45" customHeight="1" x14ac:dyDescent="0.25">
      <c r="B149" s="17"/>
      <c r="C149" s="14"/>
      <c r="D149" s="14"/>
      <c r="E149" s="18"/>
      <c r="F149" s="61"/>
      <c r="G149" s="73"/>
      <c r="H149" s="79"/>
      <c r="I149" s="79"/>
      <c r="J149" s="14"/>
      <c r="K149" s="38"/>
      <c r="L149" s="38"/>
      <c r="M149" s="17"/>
    </row>
    <row r="150" spans="2:13" ht="14.45" customHeight="1" x14ac:dyDescent="0.25">
      <c r="B150" s="17"/>
      <c r="C150" s="14"/>
      <c r="D150" s="14"/>
      <c r="E150" s="18"/>
      <c r="F150" s="61"/>
      <c r="G150" s="73"/>
      <c r="H150" s="79"/>
      <c r="I150" s="79"/>
      <c r="J150" s="14"/>
      <c r="K150" s="38"/>
      <c r="L150" s="38"/>
      <c r="M150" s="17"/>
    </row>
    <row r="151" spans="2:13" ht="14.45" customHeight="1" x14ac:dyDescent="0.25">
      <c r="B151" s="17"/>
      <c r="C151" s="14"/>
      <c r="D151" s="14"/>
      <c r="E151" s="18"/>
      <c r="F151" s="61"/>
      <c r="G151" s="73"/>
      <c r="H151" s="79"/>
      <c r="I151" s="79"/>
      <c r="J151" s="14"/>
      <c r="K151" s="38"/>
      <c r="L151" s="38"/>
      <c r="M151" s="17"/>
    </row>
    <row r="152" spans="2:13" ht="14.45" customHeight="1" x14ac:dyDescent="0.25">
      <c r="B152" s="17"/>
      <c r="C152" s="14"/>
      <c r="D152" s="14"/>
      <c r="E152" s="18"/>
      <c r="F152" s="61"/>
      <c r="G152" s="73"/>
      <c r="H152" s="79"/>
      <c r="I152" s="79"/>
      <c r="J152" s="14"/>
      <c r="K152" s="38"/>
      <c r="L152" s="38"/>
      <c r="M152" s="17"/>
    </row>
    <row r="153" spans="2:13" ht="14.45" customHeight="1" x14ac:dyDescent="0.25">
      <c r="B153" s="17"/>
      <c r="C153" s="14"/>
      <c r="D153" s="14"/>
      <c r="E153" s="18"/>
      <c r="F153" s="61"/>
      <c r="G153" s="73"/>
      <c r="H153" s="79"/>
      <c r="I153" s="79"/>
      <c r="J153" s="14"/>
      <c r="K153" s="38"/>
      <c r="L153" s="38"/>
      <c r="M153" s="17"/>
    </row>
    <row r="154" spans="2:13" ht="14.45" customHeight="1" x14ac:dyDescent="0.25">
      <c r="B154" s="17"/>
      <c r="C154" s="14"/>
      <c r="D154" s="14"/>
      <c r="E154" s="18"/>
      <c r="F154" s="61"/>
      <c r="G154" s="73"/>
      <c r="H154" s="79"/>
      <c r="I154" s="79"/>
      <c r="J154" s="14"/>
      <c r="K154" s="38"/>
      <c r="L154" s="38"/>
      <c r="M154" s="17"/>
    </row>
    <row r="155" spans="2:13" ht="14.45" customHeight="1" x14ac:dyDescent="0.25">
      <c r="B155" s="17"/>
      <c r="C155" s="14"/>
      <c r="D155" s="14"/>
      <c r="E155" s="18"/>
      <c r="F155" s="61"/>
      <c r="G155" s="73"/>
      <c r="H155" s="79"/>
      <c r="I155" s="79"/>
      <c r="J155" s="14"/>
      <c r="K155" s="38"/>
      <c r="L155" s="38"/>
      <c r="M155" s="17"/>
    </row>
    <row r="156" spans="2:13" ht="14.45" customHeight="1" x14ac:dyDescent="0.25">
      <c r="B156" s="17"/>
      <c r="C156" s="14"/>
      <c r="D156" s="14"/>
      <c r="E156" s="18"/>
      <c r="F156" s="61"/>
      <c r="G156" s="73"/>
      <c r="H156" s="79"/>
      <c r="I156" s="79"/>
      <c r="J156" s="14"/>
      <c r="K156" s="38"/>
      <c r="L156" s="38"/>
      <c r="M156" s="17"/>
    </row>
    <row r="157" spans="2:13" ht="14.45" customHeight="1" x14ac:dyDescent="0.25">
      <c r="B157" s="17"/>
      <c r="C157" s="14"/>
      <c r="D157" s="14"/>
      <c r="E157" s="18"/>
      <c r="F157" s="61"/>
      <c r="G157" s="73"/>
      <c r="H157" s="79"/>
      <c r="I157" s="79"/>
      <c r="J157" s="14"/>
      <c r="K157" s="38"/>
      <c r="L157" s="38"/>
      <c r="M157" s="17"/>
    </row>
    <row r="158" spans="2:13" ht="14.45" customHeight="1" x14ac:dyDescent="0.25">
      <c r="B158" s="17"/>
      <c r="C158" s="14"/>
      <c r="D158" s="14"/>
      <c r="E158" s="18"/>
      <c r="F158" s="61"/>
      <c r="G158" s="73"/>
      <c r="H158" s="79"/>
      <c r="I158" s="79"/>
      <c r="J158" s="14"/>
      <c r="K158" s="38"/>
      <c r="L158" s="38"/>
      <c r="M158" s="17"/>
    </row>
    <row r="159" spans="2:13" ht="14.45" customHeight="1" x14ac:dyDescent="0.25">
      <c r="B159" s="17"/>
      <c r="C159" s="14"/>
      <c r="D159" s="14"/>
      <c r="E159" s="18"/>
      <c r="F159" s="61"/>
      <c r="G159" s="73"/>
      <c r="H159" s="79"/>
      <c r="I159" s="79"/>
      <c r="J159" s="14"/>
      <c r="K159" s="38"/>
      <c r="L159" s="38"/>
      <c r="M159" s="17"/>
    </row>
    <row r="160" spans="2:13" ht="14.45" customHeight="1" x14ac:dyDescent="0.25">
      <c r="B160" s="17"/>
      <c r="C160" s="14"/>
      <c r="D160" s="14"/>
      <c r="E160" s="18"/>
      <c r="F160" s="61"/>
      <c r="G160" s="73"/>
      <c r="H160" s="79"/>
      <c r="I160" s="79"/>
      <c r="J160" s="14"/>
      <c r="K160" s="38"/>
      <c r="L160" s="38"/>
      <c r="M160" s="17"/>
    </row>
    <row r="161" spans="2:13" ht="14.45" customHeight="1" x14ac:dyDescent="0.25">
      <c r="B161" s="17"/>
      <c r="C161" s="14"/>
      <c r="D161" s="14"/>
      <c r="E161" s="18"/>
      <c r="F161" s="61"/>
      <c r="G161" s="73"/>
      <c r="H161" s="79"/>
      <c r="I161" s="79"/>
      <c r="J161" s="14"/>
      <c r="K161" s="38"/>
      <c r="L161" s="38"/>
      <c r="M161" s="17"/>
    </row>
    <row r="162" spans="2:13" ht="14.45" customHeight="1" x14ac:dyDescent="0.25">
      <c r="B162" s="17"/>
      <c r="C162" s="14"/>
      <c r="D162" s="14"/>
      <c r="E162" s="18"/>
      <c r="F162" s="61"/>
      <c r="G162" s="73"/>
      <c r="H162" s="79"/>
      <c r="I162" s="79"/>
      <c r="J162" s="14"/>
      <c r="K162" s="38"/>
      <c r="L162" s="38"/>
      <c r="M162" s="17"/>
    </row>
    <row r="163" spans="2:13" ht="14.45" customHeight="1" x14ac:dyDescent="0.25">
      <c r="B163" s="17"/>
      <c r="C163" s="14"/>
      <c r="D163" s="14"/>
      <c r="E163" s="18"/>
      <c r="F163" s="61"/>
      <c r="G163" s="73"/>
      <c r="H163" s="79"/>
      <c r="I163" s="79"/>
      <c r="J163" s="14"/>
      <c r="K163" s="38"/>
      <c r="L163" s="38"/>
      <c r="M163" s="17"/>
    </row>
    <row r="164" spans="2:13" ht="14.45" customHeight="1" x14ac:dyDescent="0.25">
      <c r="B164" s="17"/>
      <c r="C164" s="14"/>
      <c r="D164" s="14"/>
      <c r="E164" s="18"/>
      <c r="F164" s="61"/>
      <c r="G164" s="73"/>
      <c r="H164" s="79"/>
      <c r="I164" s="79"/>
      <c r="J164" s="14"/>
      <c r="K164" s="38"/>
      <c r="L164" s="38"/>
      <c r="M164" s="17"/>
    </row>
    <row r="165" spans="2:13" ht="14.45" customHeight="1" x14ac:dyDescent="0.25">
      <c r="B165" s="17"/>
      <c r="C165" s="14"/>
      <c r="D165" s="14"/>
      <c r="E165" s="18"/>
      <c r="F165" s="61"/>
      <c r="G165" s="73"/>
      <c r="H165" s="79"/>
      <c r="I165" s="79"/>
      <c r="J165" s="14"/>
      <c r="K165" s="38"/>
      <c r="L165" s="38"/>
      <c r="M165" s="17"/>
    </row>
    <row r="166" spans="2:13" ht="14.45" customHeight="1" x14ac:dyDescent="0.25">
      <c r="B166" s="17"/>
      <c r="C166" s="14"/>
      <c r="D166" s="14"/>
      <c r="E166" s="18"/>
      <c r="F166" s="61"/>
      <c r="G166" s="73"/>
      <c r="H166" s="79"/>
      <c r="I166" s="79"/>
      <c r="J166" s="14"/>
      <c r="K166" s="38"/>
      <c r="L166" s="38"/>
      <c r="M166" s="17"/>
    </row>
    <row r="167" spans="2:13" ht="14.45" customHeight="1" x14ac:dyDescent="0.25">
      <c r="B167" s="17"/>
      <c r="C167" s="14"/>
      <c r="D167" s="14"/>
      <c r="E167" s="18"/>
      <c r="F167" s="61"/>
      <c r="G167" s="73"/>
      <c r="H167" s="79"/>
      <c r="I167" s="79"/>
      <c r="J167" s="14"/>
      <c r="K167" s="38"/>
      <c r="L167" s="38"/>
      <c r="M167" s="17"/>
    </row>
    <row r="168" spans="2:13" ht="14.45" customHeight="1" x14ac:dyDescent="0.25">
      <c r="B168" s="17"/>
      <c r="C168" s="14"/>
      <c r="D168" s="14"/>
      <c r="E168" s="18"/>
      <c r="F168" s="61"/>
      <c r="G168" s="73"/>
      <c r="H168" s="79"/>
      <c r="I168" s="79"/>
      <c r="J168" s="14"/>
      <c r="K168" s="38"/>
      <c r="L168" s="38"/>
      <c r="M168" s="17"/>
    </row>
    <row r="169" spans="2:13" ht="14.45" customHeight="1" x14ac:dyDescent="0.25">
      <c r="B169" s="17"/>
      <c r="C169" s="14"/>
      <c r="D169" s="14"/>
      <c r="E169" s="18"/>
      <c r="F169" s="61"/>
      <c r="G169" s="73"/>
      <c r="H169" s="79"/>
      <c r="I169" s="79"/>
      <c r="J169" s="14"/>
      <c r="K169" s="38"/>
      <c r="L169" s="38"/>
      <c r="M169" s="17"/>
    </row>
    <row r="170" spans="2:13" ht="14.45" customHeight="1" x14ac:dyDescent="0.25">
      <c r="B170" s="17"/>
      <c r="C170" s="14"/>
      <c r="D170" s="14"/>
      <c r="E170" s="18"/>
      <c r="F170" s="61"/>
      <c r="G170" s="73"/>
      <c r="H170" s="79"/>
      <c r="I170" s="79"/>
      <c r="J170" s="14"/>
      <c r="K170" s="38"/>
      <c r="L170" s="38"/>
      <c r="M170" s="17"/>
    </row>
    <row r="171" spans="2:13" ht="14.45" customHeight="1" x14ac:dyDescent="0.25">
      <c r="B171" s="17"/>
      <c r="C171" s="14"/>
      <c r="D171" s="14"/>
      <c r="E171" s="18"/>
      <c r="F171" s="61"/>
      <c r="G171" s="73"/>
      <c r="H171" s="79"/>
      <c r="I171" s="79"/>
      <c r="J171" s="14"/>
      <c r="K171" s="38"/>
      <c r="L171" s="38"/>
      <c r="M171" s="17"/>
    </row>
    <row r="172" spans="2:13" ht="14.45" customHeight="1" x14ac:dyDescent="0.25">
      <c r="B172" s="17"/>
      <c r="C172" s="14"/>
      <c r="D172" s="14"/>
      <c r="E172" s="18"/>
      <c r="F172" s="61"/>
      <c r="G172" s="73"/>
      <c r="H172" s="79"/>
      <c r="I172" s="79"/>
      <c r="J172" s="14"/>
      <c r="K172" s="38"/>
      <c r="L172" s="38"/>
      <c r="M172" s="17"/>
    </row>
    <row r="173" spans="2:13" ht="14.45" customHeight="1" x14ac:dyDescent="0.25">
      <c r="B173" s="17"/>
      <c r="C173" s="14"/>
      <c r="D173" s="14"/>
      <c r="E173" s="18"/>
      <c r="F173" s="61"/>
      <c r="G173" s="73"/>
      <c r="H173" s="79"/>
      <c r="I173" s="79"/>
      <c r="J173" s="14"/>
      <c r="K173" s="38"/>
      <c r="L173" s="38"/>
      <c r="M173" s="17"/>
    </row>
    <row r="174" spans="2:13" ht="14.45" customHeight="1" x14ac:dyDescent="0.25">
      <c r="B174" s="17"/>
      <c r="C174" s="14"/>
      <c r="D174" s="14"/>
      <c r="E174" s="18"/>
      <c r="F174" s="61"/>
      <c r="G174" s="73"/>
      <c r="H174" s="79"/>
      <c r="I174" s="79"/>
      <c r="J174" s="14"/>
      <c r="K174" s="38"/>
      <c r="L174" s="38"/>
      <c r="M174" s="17"/>
    </row>
    <row r="175" spans="2:13" ht="14.45" customHeight="1" x14ac:dyDescent="0.25">
      <c r="B175" s="17"/>
      <c r="C175" s="14"/>
      <c r="D175" s="14"/>
      <c r="E175" s="18"/>
      <c r="F175" s="61"/>
      <c r="G175" s="73"/>
      <c r="H175" s="79"/>
      <c r="I175" s="79"/>
      <c r="J175" s="14"/>
      <c r="K175" s="38"/>
      <c r="L175" s="38"/>
      <c r="M175" s="17"/>
    </row>
    <row r="176" spans="2:13" ht="14.45" customHeight="1" x14ac:dyDescent="0.25">
      <c r="B176" s="17"/>
      <c r="C176" s="14"/>
      <c r="D176" s="14"/>
      <c r="E176" s="18"/>
      <c r="F176" s="61"/>
      <c r="G176" s="73"/>
      <c r="H176" s="79"/>
      <c r="I176" s="79"/>
      <c r="J176" s="14"/>
      <c r="K176" s="38"/>
      <c r="L176" s="38"/>
      <c r="M176" s="17"/>
    </row>
    <row r="177" spans="2:13" ht="14.45" customHeight="1" x14ac:dyDescent="0.25">
      <c r="B177" s="17"/>
      <c r="C177" s="14"/>
      <c r="D177" s="14"/>
      <c r="E177" s="18"/>
      <c r="F177" s="61"/>
      <c r="G177" s="73"/>
      <c r="H177" s="79"/>
      <c r="I177" s="79"/>
      <c r="J177" s="14"/>
      <c r="K177" s="38"/>
      <c r="L177" s="38"/>
      <c r="M177" s="17"/>
    </row>
    <row r="178" spans="2:13" ht="14.45" customHeight="1" x14ac:dyDescent="0.25">
      <c r="B178" s="17"/>
      <c r="C178" s="14"/>
      <c r="D178" s="14"/>
      <c r="E178" s="18"/>
      <c r="F178" s="61"/>
      <c r="G178" s="73"/>
      <c r="H178" s="79"/>
      <c r="I178" s="79"/>
      <c r="J178" s="14"/>
      <c r="K178" s="38"/>
      <c r="L178" s="38"/>
      <c r="M178" s="17"/>
    </row>
    <row r="179" spans="2:13" ht="14.45" customHeight="1" x14ac:dyDescent="0.25">
      <c r="B179" s="17"/>
      <c r="C179" s="14"/>
      <c r="D179" s="14"/>
      <c r="E179" s="18"/>
      <c r="F179" s="61"/>
      <c r="G179" s="73"/>
      <c r="H179" s="79"/>
      <c r="I179" s="79"/>
      <c r="J179" s="14"/>
      <c r="K179" s="38"/>
      <c r="L179" s="38"/>
      <c r="M179" s="17"/>
    </row>
    <row r="180" spans="2:13" ht="14.45" customHeight="1" x14ac:dyDescent="0.25">
      <c r="B180" s="17"/>
      <c r="C180" s="14"/>
      <c r="D180" s="14"/>
      <c r="E180" s="18"/>
      <c r="F180" s="61"/>
      <c r="G180" s="73"/>
      <c r="H180" s="79"/>
      <c r="I180" s="79"/>
      <c r="J180" s="14"/>
      <c r="K180" s="38"/>
      <c r="L180" s="38"/>
      <c r="M180" s="17"/>
    </row>
    <row r="181" spans="2:13" ht="14.45" customHeight="1" x14ac:dyDescent="0.25">
      <c r="B181" s="17"/>
      <c r="C181" s="14"/>
      <c r="D181" s="14"/>
      <c r="E181" s="18"/>
      <c r="F181" s="61"/>
      <c r="G181" s="73"/>
      <c r="H181" s="79"/>
      <c r="I181" s="79"/>
      <c r="J181" s="14"/>
      <c r="K181" s="38"/>
      <c r="L181" s="38"/>
      <c r="M181" s="17"/>
    </row>
    <row r="182" spans="2:13" ht="14.45" customHeight="1" x14ac:dyDescent="0.25">
      <c r="B182" s="17"/>
      <c r="C182" s="14"/>
      <c r="D182" s="14"/>
      <c r="E182" s="18"/>
      <c r="F182" s="61"/>
      <c r="G182" s="73"/>
      <c r="H182" s="79"/>
      <c r="I182" s="79"/>
      <c r="J182" s="14"/>
      <c r="K182" s="38"/>
      <c r="L182" s="38"/>
      <c r="M182" s="17"/>
    </row>
    <row r="183" spans="2:13" ht="14.45" customHeight="1" x14ac:dyDescent="0.25">
      <c r="B183" s="17"/>
      <c r="C183" s="14"/>
      <c r="D183" s="14"/>
      <c r="E183" s="18"/>
      <c r="F183" s="61"/>
      <c r="G183" s="73"/>
      <c r="H183" s="79"/>
      <c r="I183" s="79"/>
      <c r="J183" s="14"/>
      <c r="K183" s="38"/>
      <c r="L183" s="38"/>
      <c r="M183" s="17"/>
    </row>
    <row r="184" spans="2:13" ht="14.45" customHeight="1" x14ac:dyDescent="0.25">
      <c r="B184" s="17"/>
      <c r="C184" s="14"/>
      <c r="D184" s="14"/>
      <c r="E184" s="18"/>
      <c r="F184" s="61"/>
      <c r="G184" s="73"/>
      <c r="H184" s="79"/>
      <c r="I184" s="79"/>
      <c r="J184" s="14"/>
      <c r="K184" s="38"/>
      <c r="L184" s="38"/>
      <c r="M184" s="17"/>
    </row>
    <row r="185" spans="2:13" ht="14.45" customHeight="1" x14ac:dyDescent="0.25">
      <c r="B185" s="17"/>
      <c r="C185" s="14"/>
      <c r="D185" s="14"/>
      <c r="E185" s="18"/>
      <c r="F185" s="61"/>
      <c r="G185" s="73"/>
      <c r="H185" s="79"/>
      <c r="I185" s="79"/>
      <c r="J185" s="14"/>
      <c r="K185" s="38"/>
      <c r="L185" s="38"/>
      <c r="M185" s="17"/>
    </row>
    <row r="186" spans="2:13" ht="14.45" customHeight="1" x14ac:dyDescent="0.25">
      <c r="B186" s="17"/>
      <c r="C186" s="14"/>
      <c r="D186" s="14"/>
      <c r="E186" s="18"/>
      <c r="F186" s="61"/>
      <c r="G186" s="73"/>
      <c r="H186" s="79"/>
      <c r="I186" s="79"/>
      <c r="J186" s="14"/>
      <c r="K186" s="38"/>
      <c r="L186" s="38"/>
      <c r="M186" s="17"/>
    </row>
    <row r="187" spans="2:13" ht="14.45" customHeight="1" x14ac:dyDescent="0.25">
      <c r="B187" s="17"/>
      <c r="C187" s="14"/>
      <c r="D187" s="14"/>
      <c r="E187" s="18"/>
      <c r="F187" s="61"/>
      <c r="G187" s="73"/>
      <c r="H187" s="79"/>
      <c r="I187" s="79"/>
      <c r="J187" s="14"/>
      <c r="K187" s="38"/>
      <c r="L187" s="38"/>
      <c r="M187" s="17"/>
    </row>
    <row r="188" spans="2:13" ht="14.45" customHeight="1" x14ac:dyDescent="0.25">
      <c r="B188" s="17"/>
      <c r="C188" s="14"/>
      <c r="D188" s="14"/>
      <c r="E188" s="18"/>
      <c r="F188" s="61"/>
      <c r="G188" s="73"/>
      <c r="H188" s="79"/>
      <c r="I188" s="79"/>
      <c r="J188" s="14"/>
      <c r="K188" s="38"/>
      <c r="L188" s="38"/>
      <c r="M188" s="17"/>
    </row>
    <row r="189" spans="2:13" ht="14.45" customHeight="1" x14ac:dyDescent="0.25">
      <c r="B189" s="17"/>
      <c r="C189" s="14"/>
      <c r="D189" s="14"/>
      <c r="E189" s="18"/>
      <c r="F189" s="61"/>
      <c r="G189" s="73"/>
      <c r="H189" s="79"/>
      <c r="I189" s="79"/>
      <c r="J189" s="14"/>
      <c r="K189" s="38"/>
      <c r="L189" s="38"/>
      <c r="M189" s="17"/>
    </row>
    <row r="190" spans="2:13" ht="14.45" customHeight="1" x14ac:dyDescent="0.25">
      <c r="B190" s="17"/>
      <c r="C190" s="14"/>
      <c r="D190" s="14"/>
      <c r="E190" s="18"/>
      <c r="F190" s="61"/>
      <c r="G190" s="73"/>
      <c r="H190" s="79"/>
      <c r="I190" s="79"/>
      <c r="J190" s="14"/>
      <c r="K190" s="38"/>
      <c r="L190" s="38"/>
      <c r="M190" s="17"/>
    </row>
    <row r="191" spans="2:13" ht="14.45" customHeight="1" x14ac:dyDescent="0.25">
      <c r="B191" s="17"/>
      <c r="C191" s="14"/>
      <c r="D191" s="14"/>
      <c r="E191" s="18"/>
      <c r="F191" s="61"/>
      <c r="G191" s="73"/>
      <c r="H191" s="79"/>
      <c r="I191" s="79"/>
      <c r="J191" s="14"/>
      <c r="K191" s="38"/>
      <c r="L191" s="38"/>
      <c r="M191" s="17"/>
    </row>
    <row r="192" spans="2:13" ht="14.45" customHeight="1" x14ac:dyDescent="0.25">
      <c r="B192" s="17"/>
      <c r="C192" s="14"/>
      <c r="D192" s="14"/>
      <c r="E192" s="18"/>
      <c r="F192" s="61"/>
      <c r="G192" s="73"/>
      <c r="H192" s="79"/>
      <c r="I192" s="79"/>
      <c r="J192" s="14"/>
      <c r="K192" s="38"/>
      <c r="L192" s="38"/>
      <c r="M192" s="17"/>
    </row>
    <row r="193" spans="2:13" ht="14.45" customHeight="1" x14ac:dyDescent="0.25">
      <c r="B193" s="17"/>
      <c r="C193" s="14"/>
      <c r="D193" s="14"/>
      <c r="E193" s="18"/>
      <c r="F193" s="61"/>
      <c r="G193" s="73"/>
      <c r="H193" s="79"/>
      <c r="I193" s="79"/>
      <c r="J193" s="14"/>
      <c r="K193" s="38"/>
      <c r="L193" s="38"/>
      <c r="M193" s="17"/>
    </row>
    <row r="194" spans="2:13" ht="14.45" customHeight="1" x14ac:dyDescent="0.25">
      <c r="B194" s="17"/>
      <c r="C194" s="14"/>
      <c r="D194" s="14"/>
      <c r="E194" s="18"/>
      <c r="F194" s="61"/>
      <c r="G194" s="73"/>
      <c r="H194" s="79"/>
      <c r="I194" s="79"/>
      <c r="J194" s="14"/>
      <c r="K194" s="38"/>
      <c r="L194" s="38"/>
      <c r="M194" s="17"/>
    </row>
    <row r="195" spans="2:13" ht="14.45" customHeight="1" x14ac:dyDescent="0.25">
      <c r="B195" s="17"/>
      <c r="C195" s="14"/>
      <c r="D195" s="14"/>
      <c r="E195" s="18"/>
      <c r="F195" s="61"/>
      <c r="G195" s="73"/>
      <c r="H195" s="79"/>
      <c r="I195" s="79"/>
      <c r="J195" s="14"/>
      <c r="K195" s="38"/>
      <c r="L195" s="38"/>
      <c r="M195" s="17"/>
    </row>
    <row r="196" spans="2:13" ht="14.45" customHeight="1" x14ac:dyDescent="0.25">
      <c r="B196" s="17"/>
      <c r="C196" s="14"/>
      <c r="D196" s="14"/>
      <c r="E196" s="18"/>
      <c r="F196" s="61"/>
      <c r="G196" s="73"/>
      <c r="H196" s="79"/>
      <c r="I196" s="79"/>
      <c r="J196" s="14"/>
      <c r="K196" s="38"/>
      <c r="L196" s="38"/>
      <c r="M196" s="17"/>
    </row>
    <row r="197" spans="2:13" ht="14.45" customHeight="1" x14ac:dyDescent="0.25">
      <c r="B197" s="17"/>
      <c r="C197" s="14"/>
      <c r="D197" s="14"/>
      <c r="E197" s="18"/>
      <c r="F197" s="61"/>
      <c r="G197" s="73"/>
      <c r="H197" s="79"/>
      <c r="I197" s="79"/>
      <c r="J197" s="14"/>
      <c r="K197" s="38"/>
      <c r="L197" s="38"/>
      <c r="M197" s="17"/>
    </row>
    <row r="198" spans="2:13" ht="14.45" customHeight="1" x14ac:dyDescent="0.25">
      <c r="B198" s="17"/>
      <c r="C198" s="14"/>
      <c r="D198" s="14"/>
      <c r="E198" s="18"/>
      <c r="F198" s="61"/>
      <c r="G198" s="73"/>
      <c r="H198" s="79"/>
      <c r="I198" s="79"/>
      <c r="J198" s="14"/>
      <c r="K198" s="38"/>
      <c r="L198" s="38"/>
      <c r="M198" s="17"/>
    </row>
    <row r="199" spans="2:13" ht="14.45" customHeight="1" x14ac:dyDescent="0.25">
      <c r="B199" s="17"/>
      <c r="C199" s="14"/>
      <c r="D199" s="14"/>
      <c r="E199" s="18"/>
      <c r="F199" s="61"/>
      <c r="G199" s="73"/>
      <c r="H199" s="79"/>
      <c r="I199" s="79"/>
      <c r="J199" s="14"/>
      <c r="K199" s="38"/>
      <c r="L199" s="38"/>
      <c r="M199" s="17"/>
    </row>
    <row r="200" spans="2:13" ht="14.45" customHeight="1" x14ac:dyDescent="0.25">
      <c r="B200" s="17"/>
      <c r="C200" s="14"/>
      <c r="D200" s="14"/>
      <c r="E200" s="18"/>
      <c r="F200" s="61"/>
      <c r="G200" s="73"/>
      <c r="H200" s="79"/>
      <c r="I200" s="79"/>
      <c r="J200" s="14"/>
      <c r="K200" s="38"/>
      <c r="L200" s="38"/>
      <c r="M200" s="17"/>
    </row>
    <row r="201" spans="2:13" ht="14.45" customHeight="1" x14ac:dyDescent="0.25">
      <c r="B201" s="17"/>
      <c r="C201" s="14"/>
      <c r="D201" s="14"/>
      <c r="E201" s="18"/>
      <c r="F201" s="61"/>
      <c r="G201" s="73"/>
      <c r="H201" s="79"/>
      <c r="I201" s="79"/>
      <c r="J201" s="14"/>
      <c r="K201" s="38"/>
      <c r="L201" s="38"/>
      <c r="M201" s="17"/>
    </row>
    <row r="202" spans="2:13" ht="14.45" customHeight="1" x14ac:dyDescent="0.25">
      <c r="B202" s="17"/>
      <c r="C202" s="14"/>
      <c r="D202" s="14"/>
      <c r="E202" s="18"/>
      <c r="F202" s="61"/>
      <c r="G202" s="73"/>
      <c r="H202" s="79"/>
      <c r="I202" s="79"/>
      <c r="J202" s="14"/>
      <c r="K202" s="38"/>
      <c r="L202" s="38"/>
      <c r="M202" s="17"/>
    </row>
    <row r="203" spans="2:13" ht="14.45" customHeight="1" x14ac:dyDescent="0.25">
      <c r="B203" s="17"/>
      <c r="C203" s="14"/>
      <c r="D203" s="14"/>
      <c r="E203" s="18"/>
      <c r="F203" s="61"/>
      <c r="G203" s="73"/>
      <c r="H203" s="79"/>
      <c r="I203" s="79"/>
      <c r="J203" s="14"/>
      <c r="K203" s="38"/>
      <c r="L203" s="38"/>
      <c r="M203" s="17"/>
    </row>
    <row r="204" spans="2:13" ht="14.45" customHeight="1" x14ac:dyDescent="0.25">
      <c r="B204" s="17"/>
      <c r="C204" s="14"/>
      <c r="D204" s="14"/>
      <c r="E204" s="18"/>
      <c r="F204" s="61"/>
      <c r="G204" s="73"/>
      <c r="H204" s="79"/>
      <c r="I204" s="79"/>
      <c r="J204" s="14"/>
      <c r="K204" s="38"/>
      <c r="L204" s="38"/>
      <c r="M204" s="17"/>
    </row>
    <row r="205" spans="2:13" ht="14.45" customHeight="1" x14ac:dyDescent="0.25">
      <c r="B205" s="17"/>
      <c r="C205" s="14"/>
      <c r="D205" s="14"/>
      <c r="E205" s="18"/>
      <c r="F205" s="61"/>
      <c r="G205" s="73"/>
      <c r="H205" s="79"/>
      <c r="I205" s="79"/>
      <c r="J205" s="14"/>
      <c r="K205" s="38"/>
      <c r="L205" s="38"/>
      <c r="M205" s="17"/>
    </row>
    <row r="206" spans="2:13" ht="14.45" customHeight="1" x14ac:dyDescent="0.25">
      <c r="B206" s="17"/>
      <c r="C206" s="14"/>
      <c r="D206" s="14"/>
      <c r="E206" s="18"/>
      <c r="F206" s="61"/>
      <c r="G206" s="73"/>
      <c r="H206" s="79"/>
      <c r="I206" s="79"/>
      <c r="J206" s="14"/>
      <c r="K206" s="38"/>
      <c r="L206" s="38"/>
      <c r="M206" s="17"/>
    </row>
    <row r="207" spans="2:13" ht="14.45" customHeight="1" x14ac:dyDescent="0.25">
      <c r="B207" s="17"/>
      <c r="C207" s="14"/>
      <c r="D207" s="14"/>
      <c r="E207" s="18"/>
      <c r="F207" s="61"/>
      <c r="G207" s="73"/>
      <c r="H207" s="79"/>
      <c r="I207" s="79"/>
      <c r="J207" s="14"/>
      <c r="K207" s="38"/>
      <c r="L207" s="38"/>
      <c r="M207" s="17"/>
    </row>
    <row r="208" spans="2:13" ht="14.45" customHeight="1" x14ac:dyDescent="0.25">
      <c r="B208" s="17"/>
      <c r="C208" s="14"/>
      <c r="D208" s="14"/>
      <c r="E208" s="18"/>
      <c r="F208" s="61"/>
      <c r="G208" s="73"/>
      <c r="H208" s="79"/>
      <c r="I208" s="79"/>
      <c r="J208" s="14"/>
      <c r="K208" s="38"/>
      <c r="L208" s="38"/>
      <c r="M208" s="17"/>
    </row>
    <row r="209" spans="2:13" ht="14.45" customHeight="1" x14ac:dyDescent="0.25">
      <c r="B209" s="17"/>
      <c r="C209" s="14"/>
      <c r="D209" s="14"/>
      <c r="E209" s="18"/>
      <c r="F209" s="61"/>
      <c r="G209" s="73"/>
      <c r="H209" s="79"/>
      <c r="I209" s="79"/>
      <c r="J209" s="14"/>
      <c r="K209" s="38"/>
      <c r="L209" s="38"/>
      <c r="M209" s="17"/>
    </row>
    <row r="210" spans="2:13" ht="14.45" customHeight="1" x14ac:dyDescent="0.25">
      <c r="B210" s="17"/>
      <c r="C210" s="14"/>
      <c r="D210" s="14"/>
      <c r="E210" s="18"/>
      <c r="F210" s="61"/>
      <c r="G210" s="73"/>
      <c r="H210" s="79"/>
      <c r="I210" s="79"/>
      <c r="J210" s="14"/>
      <c r="K210" s="38"/>
      <c r="L210" s="38"/>
      <c r="M210" s="17"/>
    </row>
    <row r="211" spans="2:13" ht="14.45" customHeight="1" x14ac:dyDescent="0.25">
      <c r="B211" s="17"/>
      <c r="C211" s="14"/>
      <c r="D211" s="14"/>
      <c r="E211" s="18"/>
      <c r="F211" s="61"/>
      <c r="G211" s="73"/>
      <c r="H211" s="79"/>
      <c r="I211" s="79"/>
      <c r="J211" s="14"/>
      <c r="K211" s="38"/>
      <c r="L211" s="38"/>
      <c r="M211" s="17"/>
    </row>
    <row r="212" spans="2:13" ht="14.45" customHeight="1" x14ac:dyDescent="0.25">
      <c r="B212" s="17"/>
      <c r="C212" s="14"/>
      <c r="D212" s="14"/>
      <c r="E212" s="18"/>
      <c r="F212" s="61"/>
      <c r="G212" s="73"/>
      <c r="H212" s="79"/>
      <c r="I212" s="79"/>
      <c r="J212" s="14"/>
      <c r="K212" s="38"/>
      <c r="L212" s="38"/>
      <c r="M212" s="17"/>
    </row>
    <row r="213" spans="2:13" ht="14.45" customHeight="1" x14ac:dyDescent="0.25">
      <c r="B213" s="17"/>
      <c r="C213" s="14"/>
      <c r="D213" s="14"/>
      <c r="E213" s="18"/>
      <c r="F213" s="61"/>
      <c r="G213" s="73"/>
      <c r="H213" s="79"/>
      <c r="I213" s="79"/>
      <c r="J213" s="14"/>
      <c r="K213" s="38"/>
      <c r="L213" s="38"/>
      <c r="M213" s="17"/>
    </row>
    <row r="214" spans="2:13" ht="14.45" customHeight="1" x14ac:dyDescent="0.25">
      <c r="B214" s="17"/>
      <c r="C214" s="14"/>
      <c r="D214" s="14"/>
      <c r="E214" s="18"/>
      <c r="F214" s="61"/>
      <c r="G214" s="73"/>
      <c r="H214" s="79"/>
      <c r="I214" s="79"/>
      <c r="J214" s="14"/>
      <c r="K214" s="38"/>
      <c r="L214" s="38"/>
      <c r="M214" s="17"/>
    </row>
    <row r="215" spans="2:13" ht="14.45" customHeight="1" x14ac:dyDescent="0.25">
      <c r="B215" s="17"/>
      <c r="C215" s="14"/>
      <c r="D215" s="14"/>
      <c r="E215" s="18"/>
      <c r="F215" s="61"/>
      <c r="G215" s="73"/>
      <c r="H215" s="79"/>
      <c r="I215" s="79"/>
      <c r="J215" s="14"/>
      <c r="K215" s="38"/>
      <c r="L215" s="38"/>
      <c r="M215" s="17"/>
    </row>
    <row r="216" spans="2:13" ht="14.45" customHeight="1" x14ac:dyDescent="0.25">
      <c r="B216" s="17"/>
      <c r="C216" s="14"/>
      <c r="D216" s="14"/>
      <c r="E216" s="18"/>
      <c r="F216" s="61"/>
      <c r="G216" s="73"/>
      <c r="H216" s="79"/>
      <c r="I216" s="79"/>
      <c r="J216" s="14"/>
      <c r="K216" s="38"/>
      <c r="L216" s="38"/>
      <c r="M216" s="17"/>
    </row>
    <row r="217" spans="2:13" ht="14.45" customHeight="1" x14ac:dyDescent="0.25">
      <c r="B217" s="17"/>
      <c r="C217" s="14"/>
      <c r="D217" s="14"/>
      <c r="E217" s="18"/>
      <c r="F217" s="61"/>
      <c r="G217" s="73"/>
      <c r="H217" s="79"/>
      <c r="I217" s="79"/>
      <c r="J217" s="14"/>
      <c r="K217" s="38"/>
      <c r="L217" s="38"/>
      <c r="M217" s="17"/>
    </row>
    <row r="218" spans="2:13" ht="14.45" customHeight="1" x14ac:dyDescent="0.25">
      <c r="B218" s="17"/>
      <c r="C218" s="14"/>
      <c r="D218" s="14"/>
      <c r="E218" s="18"/>
      <c r="F218" s="61"/>
      <c r="G218" s="73"/>
      <c r="H218" s="79"/>
      <c r="I218" s="79"/>
      <c r="J218" s="14"/>
      <c r="K218" s="38"/>
      <c r="L218" s="38"/>
      <c r="M218" s="17"/>
    </row>
    <row r="219" spans="2:13" ht="14.45" customHeight="1" x14ac:dyDescent="0.25">
      <c r="B219" s="17"/>
      <c r="C219" s="14"/>
      <c r="D219" s="14"/>
      <c r="E219" s="18"/>
      <c r="F219" s="61"/>
      <c r="G219" s="73"/>
      <c r="H219" s="79"/>
      <c r="I219" s="79"/>
      <c r="J219" s="14"/>
      <c r="K219" s="38"/>
      <c r="L219" s="38"/>
      <c r="M219" s="17"/>
    </row>
    <row r="220" spans="2:13" ht="14.45" customHeight="1" x14ac:dyDescent="0.25">
      <c r="B220" s="17"/>
      <c r="C220" s="14"/>
      <c r="D220" s="14"/>
      <c r="E220" s="18"/>
      <c r="F220" s="61"/>
      <c r="G220" s="73"/>
      <c r="H220" s="79"/>
      <c r="I220" s="79"/>
      <c r="J220" s="14"/>
      <c r="K220" s="38"/>
      <c r="L220" s="38"/>
      <c r="M220" s="17"/>
    </row>
    <row r="221" spans="2:13" ht="14.45" customHeight="1" x14ac:dyDescent="0.25">
      <c r="B221" s="17"/>
      <c r="C221" s="14"/>
      <c r="D221" s="14"/>
      <c r="E221" s="18"/>
      <c r="F221" s="61"/>
      <c r="G221" s="73"/>
      <c r="H221" s="79"/>
      <c r="I221" s="79"/>
      <c r="J221" s="14"/>
      <c r="K221" s="38"/>
      <c r="L221" s="38"/>
      <c r="M221" s="17"/>
    </row>
    <row r="222" spans="2:13" ht="14.45" customHeight="1" x14ac:dyDescent="0.25">
      <c r="B222" s="17"/>
      <c r="C222" s="14"/>
      <c r="D222" s="14"/>
      <c r="E222" s="18"/>
      <c r="F222" s="61"/>
      <c r="G222" s="73"/>
      <c r="H222" s="79"/>
      <c r="I222" s="79"/>
      <c r="J222" s="14"/>
      <c r="K222" s="38"/>
      <c r="L222" s="38"/>
      <c r="M222" s="17"/>
    </row>
    <row r="223" spans="2:13" ht="14.45" customHeight="1" x14ac:dyDescent="0.25">
      <c r="B223" s="17"/>
      <c r="C223" s="14"/>
      <c r="D223" s="14"/>
      <c r="E223" s="18"/>
      <c r="F223" s="61"/>
      <c r="G223" s="73"/>
      <c r="H223" s="79"/>
      <c r="I223" s="79"/>
      <c r="J223" s="14"/>
      <c r="K223" s="38"/>
      <c r="L223" s="38"/>
      <c r="M223" s="17"/>
    </row>
    <row r="224" spans="2:13" ht="14.45" customHeight="1" x14ac:dyDescent="0.25">
      <c r="B224" s="17"/>
      <c r="C224" s="14"/>
      <c r="D224" s="14"/>
      <c r="E224" s="18"/>
      <c r="F224" s="61"/>
      <c r="G224" s="73"/>
      <c r="H224" s="79"/>
      <c r="I224" s="79"/>
      <c r="J224" s="14"/>
      <c r="K224" s="38"/>
      <c r="L224" s="38"/>
      <c r="M224" s="17"/>
    </row>
    <row r="225" spans="2:13" ht="14.45" customHeight="1" x14ac:dyDescent="0.25">
      <c r="B225" s="17"/>
      <c r="C225" s="14"/>
      <c r="D225" s="14"/>
      <c r="E225" s="18"/>
      <c r="F225" s="61"/>
      <c r="G225" s="73"/>
      <c r="H225" s="79"/>
      <c r="I225" s="79"/>
      <c r="J225" s="14"/>
      <c r="K225" s="38"/>
      <c r="L225" s="38"/>
      <c r="M225" s="17"/>
    </row>
    <row r="226" spans="2:13" ht="14.45" customHeight="1" x14ac:dyDescent="0.25">
      <c r="B226" s="17"/>
      <c r="C226" s="14"/>
      <c r="D226" s="14"/>
      <c r="E226" s="18"/>
      <c r="F226" s="61"/>
      <c r="G226" s="73"/>
      <c r="H226" s="79"/>
      <c r="I226" s="79"/>
      <c r="J226" s="14"/>
      <c r="K226" s="38"/>
      <c r="L226" s="38"/>
      <c r="M226" s="17"/>
    </row>
    <row r="227" spans="2:13" ht="14.45" customHeight="1" x14ac:dyDescent="0.25">
      <c r="B227" s="17"/>
      <c r="C227" s="14"/>
      <c r="D227" s="14"/>
      <c r="E227" s="18"/>
      <c r="F227" s="61"/>
      <c r="G227" s="73"/>
      <c r="H227" s="79"/>
      <c r="I227" s="79"/>
      <c r="J227" s="14"/>
      <c r="K227" s="38"/>
      <c r="L227" s="38"/>
      <c r="M227" s="17"/>
    </row>
    <row r="228" spans="2:13" ht="14.45" customHeight="1" x14ac:dyDescent="0.25">
      <c r="B228" s="17"/>
      <c r="C228" s="14"/>
      <c r="D228" s="14"/>
      <c r="E228" s="18"/>
      <c r="F228" s="61"/>
      <c r="G228" s="73"/>
      <c r="H228" s="79"/>
      <c r="I228" s="79"/>
      <c r="J228" s="14"/>
      <c r="K228" s="38"/>
      <c r="L228" s="38"/>
      <c r="M228" s="17"/>
    </row>
    <row r="229" spans="2:13" ht="14.45" customHeight="1" x14ac:dyDescent="0.25">
      <c r="B229" s="17"/>
      <c r="C229" s="14"/>
      <c r="D229" s="14"/>
      <c r="E229" s="18"/>
      <c r="F229" s="61"/>
      <c r="G229" s="73"/>
      <c r="H229" s="79"/>
      <c r="I229" s="79"/>
      <c r="J229" s="14"/>
      <c r="K229" s="38"/>
      <c r="L229" s="38"/>
      <c r="M229" s="17"/>
    </row>
    <row r="230" spans="2:13" ht="14.45" customHeight="1" x14ac:dyDescent="0.25">
      <c r="B230" s="17"/>
      <c r="C230" s="14"/>
      <c r="D230" s="14"/>
      <c r="E230" s="18"/>
      <c r="F230" s="61"/>
      <c r="G230" s="73"/>
      <c r="H230" s="79"/>
      <c r="I230" s="79"/>
      <c r="J230" s="14"/>
      <c r="K230" s="38"/>
      <c r="L230" s="38"/>
      <c r="M230" s="17"/>
    </row>
    <row r="231" spans="2:13" ht="14.45" customHeight="1" x14ac:dyDescent="0.25">
      <c r="B231" s="17"/>
      <c r="C231" s="14"/>
      <c r="D231" s="14"/>
      <c r="E231" s="18"/>
      <c r="F231" s="61"/>
      <c r="G231" s="73"/>
      <c r="H231" s="79"/>
      <c r="I231" s="79"/>
      <c r="J231" s="14"/>
      <c r="K231" s="38"/>
      <c r="L231" s="38"/>
      <c r="M231" s="17"/>
    </row>
    <row r="232" spans="2:13" ht="14.45" customHeight="1" x14ac:dyDescent="0.25">
      <c r="B232" s="17"/>
      <c r="C232" s="14"/>
      <c r="D232" s="14"/>
      <c r="E232" s="18"/>
      <c r="F232" s="61"/>
      <c r="G232" s="73"/>
      <c r="H232" s="79"/>
      <c r="I232" s="79"/>
      <c r="J232" s="14"/>
      <c r="K232" s="38"/>
      <c r="L232" s="38"/>
      <c r="M232" s="17"/>
    </row>
    <row r="233" spans="2:13" ht="14.45" customHeight="1" x14ac:dyDescent="0.25">
      <c r="B233" s="17"/>
      <c r="C233" s="14"/>
      <c r="D233" s="14"/>
      <c r="E233" s="18"/>
      <c r="F233" s="61"/>
      <c r="G233" s="73"/>
      <c r="H233" s="79"/>
      <c r="I233" s="79"/>
      <c r="J233" s="14"/>
      <c r="K233" s="38"/>
      <c r="L233" s="38"/>
      <c r="M233" s="17"/>
    </row>
    <row r="234" spans="2:13" ht="14.45" customHeight="1" x14ac:dyDescent="0.25">
      <c r="B234" s="17"/>
      <c r="C234" s="14"/>
      <c r="D234" s="14"/>
      <c r="E234" s="18"/>
      <c r="F234" s="61"/>
      <c r="G234" s="73"/>
      <c r="H234" s="79"/>
      <c r="I234" s="79"/>
      <c r="J234" s="14"/>
      <c r="K234" s="38"/>
      <c r="L234" s="38"/>
      <c r="M234" s="17"/>
    </row>
    <row r="235" spans="2:13" ht="14.45" customHeight="1" x14ac:dyDescent="0.25">
      <c r="B235" s="17"/>
      <c r="C235" s="14"/>
      <c r="D235" s="14"/>
      <c r="E235" s="18"/>
      <c r="F235" s="61"/>
      <c r="G235" s="73"/>
      <c r="H235" s="79"/>
      <c r="I235" s="79"/>
      <c r="J235" s="14"/>
      <c r="K235" s="38"/>
      <c r="L235" s="38"/>
      <c r="M235" s="17"/>
    </row>
    <row r="236" spans="2:13" ht="14.45" customHeight="1" x14ac:dyDescent="0.25">
      <c r="B236" s="17"/>
      <c r="C236" s="14"/>
      <c r="D236" s="14"/>
      <c r="E236" s="18"/>
      <c r="F236" s="61"/>
      <c r="G236" s="73"/>
      <c r="H236" s="79"/>
      <c r="I236" s="79"/>
      <c r="J236" s="14"/>
      <c r="K236" s="38"/>
      <c r="L236" s="38"/>
      <c r="M236" s="17"/>
    </row>
    <row r="237" spans="2:13" ht="14.45" customHeight="1" x14ac:dyDescent="0.25">
      <c r="B237" s="17"/>
      <c r="C237" s="14"/>
      <c r="D237" s="14"/>
      <c r="E237" s="18"/>
      <c r="F237" s="61"/>
      <c r="G237" s="73"/>
      <c r="H237" s="79"/>
      <c r="I237" s="79"/>
      <c r="J237" s="14"/>
      <c r="K237" s="38"/>
      <c r="L237" s="38"/>
      <c r="M237" s="17"/>
    </row>
    <row r="238" spans="2:13" ht="14.45" customHeight="1" x14ac:dyDescent="0.25">
      <c r="B238" s="17"/>
      <c r="C238" s="14"/>
      <c r="D238" s="14"/>
      <c r="E238" s="18"/>
      <c r="F238" s="61"/>
      <c r="G238" s="73"/>
      <c r="H238" s="79"/>
      <c r="I238" s="79"/>
      <c r="J238" s="14"/>
      <c r="K238" s="38"/>
      <c r="L238" s="38"/>
      <c r="M238" s="17"/>
    </row>
    <row r="239" spans="2:13" ht="14.45" customHeight="1" x14ac:dyDescent="0.25">
      <c r="B239" s="17"/>
      <c r="C239" s="14"/>
      <c r="D239" s="14"/>
      <c r="E239" s="18"/>
      <c r="F239" s="61"/>
      <c r="G239" s="73"/>
      <c r="H239" s="79"/>
      <c r="I239" s="79"/>
      <c r="J239" s="14"/>
      <c r="K239" s="38"/>
      <c r="L239" s="38"/>
      <c r="M239" s="17"/>
    </row>
    <row r="240" spans="2:13" ht="14.45" customHeight="1" x14ac:dyDescent="0.25">
      <c r="B240" s="17"/>
      <c r="C240" s="14"/>
      <c r="D240" s="14"/>
      <c r="E240" s="18"/>
      <c r="F240" s="61"/>
      <c r="G240" s="73"/>
      <c r="H240" s="79"/>
      <c r="I240" s="79"/>
      <c r="J240" s="14"/>
      <c r="K240" s="38"/>
      <c r="L240" s="38"/>
      <c r="M240" s="17"/>
    </row>
    <row r="241" spans="2:13" ht="14.45" customHeight="1" x14ac:dyDescent="0.25">
      <c r="B241" s="17"/>
      <c r="C241" s="14"/>
      <c r="D241" s="14"/>
      <c r="E241" s="18"/>
      <c r="F241" s="61"/>
      <c r="G241" s="73"/>
      <c r="H241" s="79"/>
      <c r="I241" s="79"/>
      <c r="J241" s="14"/>
      <c r="K241" s="38"/>
      <c r="L241" s="38"/>
      <c r="M241" s="17"/>
    </row>
    <row r="242" spans="2:13" ht="14.45" customHeight="1" x14ac:dyDescent="0.25">
      <c r="B242" s="17"/>
      <c r="C242" s="14"/>
      <c r="D242" s="14"/>
      <c r="E242" s="18"/>
      <c r="F242" s="61"/>
      <c r="G242" s="73"/>
      <c r="H242" s="79"/>
      <c r="I242" s="79"/>
      <c r="J242" s="14"/>
      <c r="K242" s="38"/>
      <c r="L242" s="38"/>
      <c r="M242" s="17"/>
    </row>
    <row r="243" spans="2:13" ht="14.45" customHeight="1" x14ac:dyDescent="0.25">
      <c r="B243" s="17"/>
      <c r="C243" s="14"/>
      <c r="D243" s="14"/>
      <c r="E243" s="18"/>
      <c r="F243" s="61"/>
      <c r="G243" s="73"/>
      <c r="H243" s="79"/>
      <c r="I243" s="79"/>
      <c r="J243" s="14"/>
      <c r="K243" s="38"/>
      <c r="L243" s="38"/>
      <c r="M243" s="17"/>
    </row>
    <row r="244" spans="2:13" ht="14.45" customHeight="1" x14ac:dyDescent="0.25">
      <c r="B244" s="17"/>
      <c r="C244" s="14"/>
      <c r="D244" s="14"/>
      <c r="E244" s="18"/>
      <c r="F244" s="61"/>
      <c r="G244" s="73"/>
      <c r="H244" s="79"/>
      <c r="I244" s="79"/>
      <c r="J244" s="14"/>
      <c r="K244" s="38"/>
      <c r="L244" s="38"/>
      <c r="M244" s="17"/>
    </row>
    <row r="245" spans="2:13" ht="14.45" customHeight="1" x14ac:dyDescent="0.25">
      <c r="B245" s="17"/>
      <c r="C245" s="14"/>
      <c r="D245" s="14"/>
      <c r="E245" s="18"/>
      <c r="F245" s="61"/>
      <c r="G245" s="73"/>
      <c r="H245" s="79"/>
      <c r="I245" s="79"/>
      <c r="J245" s="14"/>
      <c r="K245" s="38"/>
      <c r="L245" s="38"/>
      <c r="M245" s="17"/>
    </row>
    <row r="246" spans="2:13" ht="14.45" customHeight="1" x14ac:dyDescent="0.25">
      <c r="B246" s="17"/>
      <c r="C246" s="14"/>
      <c r="D246" s="14"/>
      <c r="E246" s="18"/>
      <c r="F246" s="61"/>
      <c r="G246" s="73"/>
      <c r="H246" s="79"/>
      <c r="I246" s="79"/>
      <c r="J246" s="14"/>
      <c r="K246" s="38"/>
      <c r="L246" s="38"/>
      <c r="M246" s="17"/>
    </row>
    <row r="247" spans="2:13" ht="14.45" customHeight="1" x14ac:dyDescent="0.25">
      <c r="B247" s="17"/>
      <c r="C247" s="14"/>
      <c r="D247" s="14"/>
      <c r="E247" s="18"/>
      <c r="F247" s="61"/>
      <c r="G247" s="73"/>
      <c r="H247" s="79"/>
      <c r="I247" s="79"/>
      <c r="J247" s="14"/>
      <c r="K247" s="38"/>
      <c r="L247" s="38"/>
      <c r="M247" s="17"/>
    </row>
    <row r="248" spans="2:13" ht="14.45" customHeight="1" x14ac:dyDescent="0.25">
      <c r="B248" s="17"/>
      <c r="C248" s="14"/>
      <c r="D248" s="14"/>
      <c r="E248" s="18"/>
      <c r="F248" s="61"/>
      <c r="G248" s="73"/>
      <c r="H248" s="79"/>
      <c r="I248" s="79"/>
      <c r="J248" s="14"/>
      <c r="K248" s="38"/>
      <c r="L248" s="38"/>
      <c r="M248" s="17"/>
    </row>
    <row r="249" spans="2:13" ht="14.45" customHeight="1" x14ac:dyDescent="0.25">
      <c r="B249" s="17"/>
      <c r="C249" s="14"/>
      <c r="D249" s="14"/>
      <c r="E249" s="18"/>
      <c r="F249" s="61"/>
      <c r="G249" s="73"/>
      <c r="H249" s="79"/>
      <c r="I249" s="79"/>
      <c r="J249" s="14"/>
      <c r="K249" s="38"/>
      <c r="L249" s="38"/>
      <c r="M249" s="17"/>
    </row>
    <row r="250" spans="2:13" ht="14.45" customHeight="1" x14ac:dyDescent="0.25">
      <c r="B250" s="17"/>
      <c r="C250" s="14"/>
      <c r="D250" s="14"/>
      <c r="E250" s="18"/>
      <c r="F250" s="61"/>
      <c r="G250" s="73"/>
      <c r="H250" s="79"/>
      <c r="I250" s="79"/>
      <c r="J250" s="14"/>
      <c r="K250" s="38"/>
      <c r="L250" s="38"/>
      <c r="M250" s="17"/>
    </row>
    <row r="251" spans="2:13" ht="14.45" customHeight="1" x14ac:dyDescent="0.25">
      <c r="B251" s="17"/>
      <c r="C251" s="14"/>
      <c r="D251" s="14"/>
      <c r="E251" s="18"/>
      <c r="F251" s="61"/>
      <c r="G251" s="73"/>
      <c r="H251" s="79"/>
      <c r="I251" s="79"/>
      <c r="J251" s="14"/>
      <c r="K251" s="38"/>
      <c r="L251" s="38"/>
      <c r="M251" s="17"/>
    </row>
    <row r="252" spans="2:13" ht="14.45" customHeight="1" x14ac:dyDescent="0.25">
      <c r="B252" s="17"/>
      <c r="C252" s="14"/>
      <c r="D252" s="14"/>
      <c r="E252" s="18"/>
      <c r="F252" s="61"/>
      <c r="G252" s="73"/>
      <c r="H252" s="79"/>
      <c r="I252" s="79"/>
      <c r="J252" s="14"/>
      <c r="K252" s="38"/>
      <c r="L252" s="38"/>
      <c r="M252" s="17"/>
    </row>
    <row r="253" spans="2:13" ht="14.45" customHeight="1" x14ac:dyDescent="0.25">
      <c r="B253" s="17"/>
      <c r="C253" s="14"/>
      <c r="D253" s="14"/>
      <c r="E253" s="18"/>
      <c r="F253" s="61"/>
      <c r="G253" s="73"/>
      <c r="H253" s="79"/>
      <c r="I253" s="79"/>
      <c r="J253" s="14"/>
      <c r="K253" s="38"/>
      <c r="L253" s="38"/>
      <c r="M253" s="17"/>
    </row>
    <row r="254" spans="2:13" ht="14.45" customHeight="1" x14ac:dyDescent="0.25">
      <c r="B254" s="17"/>
      <c r="C254" s="14"/>
      <c r="D254" s="14"/>
      <c r="E254" s="18"/>
      <c r="F254" s="61"/>
      <c r="G254" s="73"/>
      <c r="H254" s="79"/>
      <c r="I254" s="79"/>
      <c r="J254" s="14"/>
      <c r="K254" s="38"/>
      <c r="L254" s="38"/>
      <c r="M254" s="17"/>
    </row>
    <row r="255" spans="2:13" ht="14.45" customHeight="1" x14ac:dyDescent="0.25">
      <c r="B255" s="17"/>
      <c r="C255" s="14"/>
      <c r="D255" s="14"/>
      <c r="E255" s="18"/>
      <c r="F255" s="61"/>
      <c r="G255" s="73"/>
      <c r="H255" s="79"/>
      <c r="I255" s="79"/>
      <c r="J255" s="14"/>
      <c r="K255" s="38"/>
      <c r="L255" s="38"/>
      <c r="M255" s="17"/>
    </row>
    <row r="256" spans="2:13" ht="14.45" customHeight="1" x14ac:dyDescent="0.25">
      <c r="B256" s="17"/>
      <c r="C256" s="14"/>
      <c r="D256" s="14"/>
      <c r="E256" s="18"/>
      <c r="F256" s="61"/>
      <c r="G256" s="73"/>
      <c r="H256" s="79"/>
      <c r="I256" s="79"/>
      <c r="J256" s="14"/>
      <c r="K256" s="38"/>
      <c r="L256" s="38"/>
      <c r="M256" s="17"/>
    </row>
    <row r="257" spans="2:13" ht="14.45" customHeight="1" x14ac:dyDescent="0.25">
      <c r="B257" s="17"/>
      <c r="C257" s="14"/>
      <c r="D257" s="14"/>
      <c r="E257" s="18"/>
      <c r="F257" s="61"/>
      <c r="G257" s="73"/>
      <c r="H257" s="79"/>
      <c r="I257" s="79"/>
      <c r="J257" s="14"/>
      <c r="K257" s="38"/>
      <c r="L257" s="38"/>
      <c r="M257" s="17"/>
    </row>
    <row r="258" spans="2:13" ht="14.45" customHeight="1" x14ac:dyDescent="0.25">
      <c r="B258" s="17"/>
      <c r="C258" s="14"/>
      <c r="D258" s="14"/>
      <c r="E258" s="18"/>
      <c r="F258" s="61"/>
      <c r="G258" s="73"/>
      <c r="H258" s="79"/>
      <c r="I258" s="79"/>
      <c r="J258" s="14"/>
      <c r="K258" s="38"/>
      <c r="L258" s="38"/>
      <c r="M258" s="17"/>
    </row>
    <row r="259" spans="2:13" ht="14.45" customHeight="1" x14ac:dyDescent="0.25">
      <c r="B259" s="17"/>
      <c r="C259" s="14"/>
      <c r="D259" s="14"/>
      <c r="E259" s="18"/>
      <c r="F259" s="61"/>
      <c r="G259" s="73"/>
      <c r="H259" s="79"/>
      <c r="I259" s="79"/>
      <c r="J259" s="14"/>
      <c r="K259" s="38"/>
      <c r="L259" s="38"/>
      <c r="M259" s="17"/>
    </row>
    <row r="260" spans="2:13" ht="14.45" customHeight="1" x14ac:dyDescent="0.25">
      <c r="B260" s="17"/>
      <c r="C260" s="14"/>
      <c r="D260" s="14"/>
      <c r="E260" s="18"/>
      <c r="F260" s="61"/>
      <c r="G260" s="73"/>
      <c r="H260" s="79"/>
      <c r="I260" s="79"/>
      <c r="J260" s="14"/>
      <c r="K260" s="38"/>
      <c r="L260" s="38"/>
      <c r="M260" s="17"/>
    </row>
    <row r="261" spans="2:13" ht="14.45" customHeight="1" x14ac:dyDescent="0.25">
      <c r="B261" s="17"/>
      <c r="C261" s="14"/>
      <c r="D261" s="14"/>
      <c r="E261" s="18"/>
      <c r="F261" s="61"/>
      <c r="G261" s="73"/>
      <c r="H261" s="79"/>
      <c r="I261" s="79"/>
      <c r="J261" s="14"/>
      <c r="K261" s="38"/>
      <c r="L261" s="38"/>
      <c r="M261" s="17"/>
    </row>
    <row r="262" spans="2:13" ht="14.45" customHeight="1" x14ac:dyDescent="0.25">
      <c r="B262" s="17"/>
      <c r="C262" s="14"/>
      <c r="D262" s="14"/>
      <c r="E262" s="18"/>
      <c r="F262" s="61"/>
      <c r="G262" s="73"/>
      <c r="H262" s="79"/>
      <c r="I262" s="79"/>
      <c r="J262" s="14"/>
      <c r="K262" s="38"/>
      <c r="L262" s="38"/>
      <c r="M262" s="17"/>
    </row>
    <row r="263" spans="2:13" ht="14.45" customHeight="1" x14ac:dyDescent="0.25">
      <c r="B263" s="17"/>
      <c r="C263" s="14"/>
      <c r="D263" s="14"/>
      <c r="E263" s="18"/>
      <c r="F263" s="61"/>
      <c r="G263" s="73"/>
      <c r="H263" s="79"/>
      <c r="I263" s="79"/>
      <c r="J263" s="14"/>
      <c r="K263" s="38"/>
      <c r="L263" s="38"/>
      <c r="M263" s="17"/>
    </row>
    <row r="264" spans="2:13" ht="14.45" customHeight="1" x14ac:dyDescent="0.25">
      <c r="B264" s="17"/>
      <c r="C264" s="14"/>
      <c r="D264" s="14"/>
      <c r="E264" s="18"/>
      <c r="F264" s="61"/>
      <c r="G264" s="73"/>
      <c r="H264" s="79"/>
      <c r="I264" s="79"/>
      <c r="J264" s="14"/>
      <c r="K264" s="38"/>
      <c r="L264" s="38"/>
      <c r="M264" s="17"/>
    </row>
    <row r="265" spans="2:13" ht="14.45" customHeight="1" x14ac:dyDescent="0.25">
      <c r="B265" s="17"/>
      <c r="C265" s="14"/>
      <c r="D265" s="14"/>
      <c r="E265" s="18"/>
      <c r="F265" s="61"/>
      <c r="G265" s="73"/>
      <c r="H265" s="79"/>
      <c r="I265" s="79"/>
      <c r="J265" s="14"/>
      <c r="K265" s="38"/>
      <c r="L265" s="38"/>
      <c r="M265" s="17"/>
    </row>
    <row r="266" spans="2:13" ht="14.45" customHeight="1" x14ac:dyDescent="0.25">
      <c r="B266" s="17"/>
      <c r="C266" s="14"/>
      <c r="D266" s="14"/>
      <c r="E266" s="18"/>
      <c r="F266" s="61"/>
      <c r="G266" s="73"/>
      <c r="H266" s="79"/>
      <c r="I266" s="79"/>
      <c r="J266" s="14"/>
      <c r="K266" s="38"/>
      <c r="L266" s="38"/>
      <c r="M266" s="17"/>
    </row>
    <row r="267" spans="2:13" ht="14.45" customHeight="1" x14ac:dyDescent="0.25">
      <c r="B267" s="17"/>
      <c r="C267" s="14"/>
      <c r="D267" s="14"/>
      <c r="E267" s="18"/>
      <c r="F267" s="61"/>
      <c r="G267" s="73"/>
      <c r="H267" s="79"/>
      <c r="I267" s="79"/>
      <c r="J267" s="14"/>
      <c r="K267" s="38"/>
      <c r="L267" s="38"/>
      <c r="M267" s="17"/>
    </row>
    <row r="268" spans="2:13" ht="14.45" customHeight="1" x14ac:dyDescent="0.25">
      <c r="B268" s="17"/>
      <c r="C268" s="14"/>
      <c r="D268" s="14"/>
      <c r="E268" s="18"/>
      <c r="F268" s="61"/>
      <c r="G268" s="73"/>
      <c r="H268" s="79"/>
      <c r="I268" s="79"/>
      <c r="J268" s="14"/>
      <c r="K268" s="38"/>
      <c r="L268" s="38"/>
      <c r="M268" s="17"/>
    </row>
    <row r="269" spans="2:13" ht="14.45" customHeight="1" x14ac:dyDescent="0.25">
      <c r="B269" s="17"/>
      <c r="C269" s="14"/>
      <c r="D269" s="14"/>
      <c r="E269" s="18"/>
      <c r="F269" s="61"/>
      <c r="G269" s="73"/>
      <c r="H269" s="79"/>
      <c r="I269" s="79"/>
      <c r="J269" s="14"/>
      <c r="K269" s="38"/>
      <c r="L269" s="38"/>
      <c r="M269" s="17"/>
    </row>
    <row r="270" spans="2:13" ht="14.45" customHeight="1" x14ac:dyDescent="0.25">
      <c r="B270" s="17"/>
      <c r="C270" s="14"/>
      <c r="D270" s="14"/>
      <c r="E270" s="18"/>
      <c r="F270" s="61"/>
      <c r="G270" s="73"/>
      <c r="H270" s="79"/>
      <c r="I270" s="79"/>
      <c r="J270" s="14"/>
      <c r="K270" s="38"/>
      <c r="L270" s="38"/>
      <c r="M270" s="17"/>
    </row>
    <row r="271" spans="2:13" ht="14.45" customHeight="1" x14ac:dyDescent="0.25">
      <c r="B271" s="17"/>
      <c r="C271" s="14"/>
      <c r="D271" s="14"/>
      <c r="E271" s="18"/>
      <c r="F271" s="61"/>
      <c r="G271" s="73"/>
      <c r="H271" s="79"/>
      <c r="I271" s="79"/>
      <c r="J271" s="14"/>
      <c r="K271" s="38"/>
      <c r="L271" s="38"/>
      <c r="M271" s="17"/>
    </row>
    <row r="272" spans="2:13" ht="14.45" customHeight="1" x14ac:dyDescent="0.25">
      <c r="B272" s="17"/>
      <c r="C272" s="14"/>
      <c r="D272" s="14"/>
      <c r="E272" s="18"/>
      <c r="F272" s="61"/>
      <c r="G272" s="73"/>
      <c r="H272" s="79"/>
      <c r="I272" s="79"/>
      <c r="J272" s="14"/>
      <c r="K272" s="38"/>
      <c r="L272" s="38"/>
      <c r="M272" s="17"/>
    </row>
    <row r="273" spans="2:13" ht="14.45" customHeight="1" x14ac:dyDescent="0.25">
      <c r="B273" s="17"/>
      <c r="C273" s="14"/>
      <c r="D273" s="14"/>
      <c r="E273" s="18"/>
      <c r="F273" s="61"/>
      <c r="G273" s="73"/>
      <c r="H273" s="79"/>
      <c r="I273" s="79"/>
      <c r="J273" s="14"/>
      <c r="K273" s="38"/>
      <c r="L273" s="38"/>
      <c r="M273" s="17"/>
    </row>
    <row r="274" spans="2:13" ht="14.45" customHeight="1" x14ac:dyDescent="0.25">
      <c r="B274" s="17"/>
      <c r="C274" s="14"/>
      <c r="D274" s="14"/>
      <c r="E274" s="18"/>
      <c r="F274" s="61"/>
      <c r="G274" s="73"/>
      <c r="H274" s="79"/>
      <c r="I274" s="79"/>
      <c r="J274" s="14"/>
      <c r="K274" s="38"/>
      <c r="L274" s="38"/>
      <c r="M274" s="17"/>
    </row>
    <row r="275" spans="2:13" ht="14.45" customHeight="1" x14ac:dyDescent="0.25">
      <c r="B275" s="17"/>
      <c r="C275" s="14"/>
      <c r="D275" s="14"/>
      <c r="E275" s="18"/>
      <c r="F275" s="61"/>
      <c r="G275" s="73"/>
      <c r="H275" s="79"/>
      <c r="I275" s="79"/>
      <c r="J275" s="14"/>
      <c r="K275" s="38"/>
      <c r="L275" s="38"/>
      <c r="M275" s="17"/>
    </row>
    <row r="276" spans="2:13" ht="14.45" customHeight="1" x14ac:dyDescent="0.25">
      <c r="B276" s="17"/>
      <c r="C276" s="14"/>
      <c r="D276" s="14"/>
      <c r="E276" s="18"/>
      <c r="F276" s="61"/>
      <c r="G276" s="73"/>
      <c r="H276" s="79"/>
      <c r="I276" s="79"/>
      <c r="J276" s="14"/>
      <c r="K276" s="38"/>
      <c r="L276" s="38"/>
      <c r="M276" s="17"/>
    </row>
    <row r="277" spans="2:13" ht="14.45" customHeight="1" x14ac:dyDescent="0.25">
      <c r="B277" s="17"/>
      <c r="C277" s="14"/>
      <c r="D277" s="14"/>
      <c r="E277" s="18"/>
      <c r="F277" s="61"/>
      <c r="G277" s="73"/>
      <c r="H277" s="79"/>
      <c r="I277" s="79"/>
      <c r="J277" s="14"/>
      <c r="K277" s="38"/>
      <c r="L277" s="38"/>
      <c r="M277" s="17"/>
    </row>
    <row r="278" spans="2:13" ht="14.45" customHeight="1" x14ac:dyDescent="0.25">
      <c r="B278" s="17"/>
      <c r="C278" s="14"/>
      <c r="D278" s="14"/>
      <c r="E278" s="18"/>
      <c r="F278" s="61"/>
      <c r="G278" s="73"/>
      <c r="H278" s="79"/>
      <c r="I278" s="79"/>
      <c r="J278" s="14"/>
      <c r="K278" s="38"/>
      <c r="L278" s="38"/>
      <c r="M278" s="17"/>
    </row>
    <row r="279" spans="2:13" ht="14.45" customHeight="1" x14ac:dyDescent="0.25">
      <c r="B279" s="17"/>
      <c r="C279" s="14"/>
      <c r="D279" s="14"/>
      <c r="E279" s="18"/>
      <c r="F279" s="61"/>
      <c r="G279" s="73"/>
      <c r="H279" s="79"/>
      <c r="I279" s="79"/>
      <c r="J279" s="14"/>
      <c r="K279" s="38"/>
      <c r="L279" s="38"/>
      <c r="M279" s="17"/>
    </row>
    <row r="280" spans="2:13" ht="14.45" customHeight="1" x14ac:dyDescent="0.25">
      <c r="B280" s="17"/>
      <c r="C280" s="14"/>
      <c r="D280" s="14"/>
      <c r="E280" s="18"/>
      <c r="F280" s="61"/>
      <c r="G280" s="73"/>
      <c r="H280" s="79"/>
      <c r="I280" s="79"/>
      <c r="J280" s="14"/>
      <c r="K280" s="38"/>
      <c r="L280" s="38"/>
      <c r="M280" s="17"/>
    </row>
    <row r="281" spans="2:13" ht="14.45" customHeight="1" x14ac:dyDescent="0.25">
      <c r="B281" s="17"/>
      <c r="C281" s="14"/>
      <c r="D281" s="14"/>
      <c r="E281" s="18"/>
      <c r="F281" s="61"/>
      <c r="G281" s="73"/>
      <c r="H281" s="79"/>
      <c r="I281" s="79"/>
      <c r="J281" s="14"/>
      <c r="K281" s="38"/>
      <c r="L281" s="38"/>
      <c r="M281" s="17"/>
    </row>
    <row r="282" spans="2:13" ht="14.45" customHeight="1" x14ac:dyDescent="0.25">
      <c r="B282" s="17"/>
      <c r="C282" s="14"/>
      <c r="D282" s="14"/>
      <c r="E282" s="18"/>
      <c r="F282" s="61"/>
      <c r="G282" s="73"/>
      <c r="H282" s="79"/>
      <c r="I282" s="79"/>
      <c r="J282" s="14"/>
      <c r="K282" s="38"/>
      <c r="L282" s="38"/>
      <c r="M282" s="17"/>
    </row>
    <row r="283" spans="2:13" ht="14.45" customHeight="1" x14ac:dyDescent="0.25">
      <c r="B283" s="17"/>
      <c r="C283" s="14"/>
      <c r="D283" s="14"/>
      <c r="E283" s="18"/>
      <c r="F283" s="61"/>
      <c r="G283" s="73"/>
      <c r="H283" s="79"/>
      <c r="I283" s="79"/>
      <c r="J283" s="14"/>
      <c r="K283" s="38"/>
      <c r="L283" s="38"/>
      <c r="M283" s="17"/>
    </row>
    <row r="284" spans="2:13" ht="14.45" customHeight="1" x14ac:dyDescent="0.25">
      <c r="B284" s="17"/>
      <c r="C284" s="14"/>
      <c r="D284" s="14"/>
      <c r="E284" s="18"/>
      <c r="F284" s="61"/>
      <c r="G284" s="73"/>
      <c r="H284" s="79"/>
      <c r="I284" s="79"/>
      <c r="J284" s="14"/>
      <c r="K284" s="38"/>
      <c r="L284" s="38"/>
      <c r="M284" s="17"/>
    </row>
    <row r="285" spans="2:13" ht="14.45" customHeight="1" x14ac:dyDescent="0.25">
      <c r="B285" s="17"/>
      <c r="C285" s="14"/>
      <c r="D285" s="14"/>
      <c r="E285" s="18"/>
      <c r="F285" s="61"/>
      <c r="G285" s="73"/>
      <c r="H285" s="79"/>
      <c r="I285" s="79"/>
      <c r="J285" s="14"/>
      <c r="K285" s="38"/>
      <c r="L285" s="38"/>
      <c r="M285" s="17"/>
    </row>
    <row r="286" spans="2:13" ht="14.45" customHeight="1" x14ac:dyDescent="0.25">
      <c r="B286" s="17"/>
      <c r="C286" s="14"/>
      <c r="D286" s="14"/>
      <c r="E286" s="18"/>
      <c r="F286" s="61"/>
      <c r="G286" s="73"/>
      <c r="H286" s="79"/>
      <c r="I286" s="79"/>
      <c r="J286" s="14"/>
      <c r="K286" s="38"/>
      <c r="L286" s="38"/>
      <c r="M286" s="17"/>
    </row>
    <row r="287" spans="2:13" ht="14.45" customHeight="1" x14ac:dyDescent="0.25">
      <c r="B287" s="17"/>
      <c r="C287" s="14"/>
      <c r="D287" s="14"/>
      <c r="E287" s="18"/>
      <c r="F287" s="61"/>
      <c r="G287" s="73"/>
      <c r="H287" s="79"/>
      <c r="I287" s="79"/>
      <c r="J287" s="14"/>
      <c r="K287" s="38"/>
      <c r="L287" s="38"/>
      <c r="M287" s="17"/>
    </row>
    <row r="288" spans="2:13" ht="14.45" customHeight="1" x14ac:dyDescent="0.25">
      <c r="B288" s="17"/>
      <c r="C288" s="14"/>
      <c r="D288" s="14"/>
      <c r="E288" s="18"/>
      <c r="F288" s="61"/>
      <c r="G288" s="73"/>
      <c r="H288" s="79"/>
      <c r="I288" s="79"/>
      <c r="J288" s="14"/>
      <c r="K288" s="38"/>
      <c r="L288" s="38"/>
      <c r="M288" s="17"/>
    </row>
    <row r="289" spans="2:13" ht="14.45" customHeight="1" x14ac:dyDescent="0.25">
      <c r="B289" s="17"/>
      <c r="C289" s="14"/>
      <c r="D289" s="14"/>
      <c r="E289" s="18"/>
      <c r="F289" s="61"/>
      <c r="G289" s="73"/>
      <c r="H289" s="79"/>
      <c r="I289" s="79"/>
      <c r="J289" s="14"/>
      <c r="K289" s="38"/>
      <c r="L289" s="38"/>
      <c r="M289" s="17"/>
    </row>
    <row r="290" spans="2:13" ht="14.45" customHeight="1" x14ac:dyDescent="0.25">
      <c r="B290" s="17"/>
      <c r="C290" s="14"/>
      <c r="D290" s="14"/>
      <c r="E290" s="18"/>
      <c r="F290" s="61"/>
      <c r="G290" s="73"/>
      <c r="H290" s="79"/>
      <c r="I290" s="79"/>
      <c r="J290" s="14"/>
      <c r="K290" s="38"/>
      <c r="L290" s="38"/>
      <c r="M290" s="17"/>
    </row>
    <row r="291" spans="2:13" ht="14.45" customHeight="1" x14ac:dyDescent="0.25">
      <c r="B291" s="17"/>
      <c r="C291" s="14"/>
      <c r="D291" s="14"/>
      <c r="E291" s="18"/>
      <c r="F291" s="61"/>
      <c r="G291" s="73"/>
      <c r="H291" s="79"/>
      <c r="I291" s="79"/>
      <c r="J291" s="14"/>
      <c r="K291" s="38"/>
      <c r="L291" s="38"/>
      <c r="M291" s="17"/>
    </row>
    <row r="292" spans="2:13" ht="14.45" customHeight="1" x14ac:dyDescent="0.25">
      <c r="B292" s="17"/>
      <c r="C292" s="14"/>
      <c r="D292" s="14"/>
      <c r="E292" s="18"/>
      <c r="F292" s="61"/>
      <c r="G292" s="73"/>
      <c r="H292" s="79"/>
      <c r="I292" s="79"/>
      <c r="J292" s="14"/>
      <c r="K292" s="38"/>
      <c r="L292" s="38"/>
      <c r="M292" s="17"/>
    </row>
    <row r="293" spans="2:13" ht="14.45" customHeight="1" x14ac:dyDescent="0.25">
      <c r="B293" s="17"/>
      <c r="C293" s="14"/>
      <c r="D293" s="14"/>
      <c r="E293" s="18"/>
      <c r="F293" s="61"/>
      <c r="G293" s="73"/>
      <c r="H293" s="79"/>
      <c r="I293" s="79"/>
      <c r="J293" s="14"/>
      <c r="K293" s="38"/>
      <c r="L293" s="38"/>
      <c r="M293" s="17"/>
    </row>
    <row r="294" spans="2:13" ht="14.45" customHeight="1" x14ac:dyDescent="0.25">
      <c r="B294" s="17"/>
      <c r="C294" s="14"/>
      <c r="D294" s="14"/>
      <c r="E294" s="18"/>
      <c r="F294" s="61"/>
      <c r="G294" s="73"/>
      <c r="H294" s="79"/>
      <c r="I294" s="79"/>
      <c r="J294" s="14"/>
      <c r="K294" s="38"/>
      <c r="L294" s="38"/>
      <c r="M294" s="17"/>
    </row>
    <row r="295" spans="2:13" ht="14.45" customHeight="1" x14ac:dyDescent="0.25">
      <c r="B295" s="17"/>
      <c r="C295" s="14"/>
      <c r="D295" s="14"/>
      <c r="E295" s="18"/>
      <c r="F295" s="61"/>
      <c r="G295" s="73"/>
      <c r="H295" s="79"/>
      <c r="I295" s="79"/>
      <c r="J295" s="14"/>
      <c r="K295" s="38"/>
      <c r="L295" s="38"/>
      <c r="M295" s="17"/>
    </row>
    <row r="296" spans="2:13" ht="14.45" customHeight="1" x14ac:dyDescent="0.25">
      <c r="B296" s="17"/>
      <c r="C296" s="14"/>
      <c r="D296" s="14"/>
      <c r="E296" s="18"/>
      <c r="F296" s="61"/>
      <c r="G296" s="73"/>
      <c r="H296" s="79"/>
      <c r="I296" s="79"/>
      <c r="J296" s="14"/>
      <c r="K296" s="38"/>
      <c r="L296" s="38"/>
      <c r="M296" s="17"/>
    </row>
    <row r="297" spans="2:13" ht="14.45" customHeight="1" x14ac:dyDescent="0.25">
      <c r="B297" s="17"/>
      <c r="C297" s="14"/>
      <c r="D297" s="14"/>
      <c r="E297" s="18"/>
      <c r="F297" s="61"/>
      <c r="G297" s="73"/>
      <c r="H297" s="79"/>
      <c r="I297" s="79"/>
      <c r="J297" s="14"/>
      <c r="K297" s="38"/>
      <c r="L297" s="38"/>
      <c r="M297" s="17"/>
    </row>
    <row r="298" spans="2:13" ht="14.45" customHeight="1" x14ac:dyDescent="0.25">
      <c r="B298" s="17"/>
      <c r="C298" s="14"/>
      <c r="D298" s="14"/>
      <c r="E298" s="18"/>
      <c r="F298" s="61"/>
      <c r="G298" s="73"/>
      <c r="H298" s="79"/>
      <c r="I298" s="79"/>
      <c r="J298" s="14"/>
      <c r="K298" s="38"/>
      <c r="L298" s="38"/>
      <c r="M298" s="17"/>
    </row>
    <row r="299" spans="2:13" ht="14.45" customHeight="1" x14ac:dyDescent="0.25">
      <c r="B299" s="17"/>
      <c r="C299" s="14"/>
      <c r="D299" s="14"/>
      <c r="E299" s="18"/>
      <c r="F299" s="61"/>
      <c r="G299" s="73"/>
      <c r="H299" s="79"/>
      <c r="I299" s="79"/>
      <c r="J299" s="14"/>
      <c r="K299" s="38"/>
      <c r="L299" s="38"/>
      <c r="M299" s="17"/>
    </row>
    <row r="300" spans="2:13" ht="14.45" customHeight="1" x14ac:dyDescent="0.25">
      <c r="B300" s="17"/>
      <c r="C300" s="14"/>
      <c r="D300" s="14"/>
      <c r="E300" s="18"/>
      <c r="F300" s="61"/>
      <c r="G300" s="73"/>
      <c r="H300" s="79"/>
      <c r="I300" s="79"/>
      <c r="J300" s="14"/>
      <c r="K300" s="38"/>
      <c r="L300" s="38"/>
      <c r="M300" s="17"/>
    </row>
    <row r="301" spans="2:13" ht="14.45" customHeight="1" x14ac:dyDescent="0.25">
      <c r="B301" s="17"/>
      <c r="C301" s="14"/>
      <c r="D301" s="14"/>
      <c r="E301" s="18"/>
      <c r="F301" s="61"/>
      <c r="G301" s="73"/>
      <c r="H301" s="79"/>
      <c r="I301" s="79"/>
      <c r="J301" s="14"/>
      <c r="K301" s="38"/>
      <c r="L301" s="38"/>
      <c r="M301" s="17"/>
    </row>
    <row r="302" spans="2:13" ht="14.45" customHeight="1" x14ac:dyDescent="0.25">
      <c r="B302" s="17"/>
      <c r="C302" s="14"/>
      <c r="D302" s="14"/>
      <c r="E302" s="18"/>
      <c r="F302" s="61"/>
      <c r="G302" s="73"/>
      <c r="H302" s="79"/>
      <c r="I302" s="79"/>
      <c r="J302" s="14"/>
      <c r="K302" s="38"/>
      <c r="L302" s="38"/>
      <c r="M302" s="17"/>
    </row>
    <row r="303" spans="2:13" ht="14.45" customHeight="1" x14ac:dyDescent="0.25">
      <c r="B303" s="17"/>
      <c r="C303" s="14"/>
      <c r="D303" s="14"/>
      <c r="E303" s="18"/>
      <c r="F303" s="61"/>
      <c r="G303" s="73"/>
      <c r="H303" s="79"/>
      <c r="I303" s="79"/>
      <c r="J303" s="14"/>
      <c r="K303" s="38"/>
      <c r="L303" s="38"/>
      <c r="M303" s="17"/>
    </row>
    <row r="304" spans="2:13" ht="14.45" customHeight="1" x14ac:dyDescent="0.25">
      <c r="B304" s="17"/>
      <c r="C304" s="14"/>
      <c r="D304" s="14"/>
      <c r="E304" s="18"/>
      <c r="F304" s="61"/>
      <c r="G304" s="73"/>
      <c r="H304" s="79"/>
      <c r="I304" s="79"/>
      <c r="J304" s="14"/>
      <c r="K304" s="38"/>
      <c r="L304" s="38"/>
      <c r="M304" s="17"/>
    </row>
    <row r="305" spans="2:13" ht="14.45" customHeight="1" x14ac:dyDescent="0.25">
      <c r="B305" s="17"/>
      <c r="C305" s="14"/>
      <c r="D305" s="14"/>
      <c r="E305" s="18"/>
      <c r="F305" s="61"/>
      <c r="G305" s="73"/>
      <c r="H305" s="79"/>
      <c r="I305" s="79"/>
      <c r="J305" s="14"/>
      <c r="K305" s="38"/>
      <c r="L305" s="38"/>
      <c r="M305" s="17"/>
    </row>
    <row r="306" spans="2:13" ht="14.45" customHeight="1" x14ac:dyDescent="0.25">
      <c r="B306" s="17"/>
      <c r="C306" s="14"/>
      <c r="D306" s="14"/>
      <c r="E306" s="18"/>
      <c r="F306" s="61"/>
      <c r="G306" s="73"/>
      <c r="H306" s="79"/>
      <c r="I306" s="79"/>
      <c r="J306" s="14"/>
      <c r="K306" s="38"/>
      <c r="L306" s="38"/>
      <c r="M306" s="17"/>
    </row>
    <row r="307" spans="2:13" ht="14.45" customHeight="1" x14ac:dyDescent="0.25">
      <c r="B307" s="17"/>
      <c r="C307" s="14"/>
      <c r="D307" s="14"/>
      <c r="E307" s="18"/>
      <c r="F307" s="61"/>
      <c r="G307" s="73"/>
      <c r="H307" s="79"/>
      <c r="I307" s="79"/>
      <c r="J307" s="14"/>
      <c r="K307" s="38"/>
      <c r="L307" s="38"/>
      <c r="M307" s="17"/>
    </row>
    <row r="308" spans="2:13" ht="14.45" customHeight="1" x14ac:dyDescent="0.25">
      <c r="B308" s="17"/>
      <c r="C308" s="14"/>
      <c r="D308" s="14"/>
      <c r="E308" s="18"/>
      <c r="F308" s="61"/>
      <c r="G308" s="73"/>
      <c r="H308" s="79"/>
      <c r="I308" s="79"/>
      <c r="J308" s="14"/>
      <c r="K308" s="38"/>
      <c r="L308" s="38"/>
      <c r="M308" s="17"/>
    </row>
    <row r="309" spans="2:13" ht="14.45" customHeight="1" x14ac:dyDescent="0.25">
      <c r="B309" s="17"/>
      <c r="C309" s="14"/>
      <c r="D309" s="14"/>
      <c r="E309" s="18"/>
      <c r="F309" s="61"/>
      <c r="G309" s="73"/>
      <c r="H309" s="79"/>
      <c r="I309" s="79"/>
      <c r="J309" s="14"/>
      <c r="K309" s="38"/>
      <c r="L309" s="38"/>
      <c r="M309" s="17"/>
    </row>
    <row r="310" spans="2:13" ht="14.45" customHeight="1" x14ac:dyDescent="0.25">
      <c r="B310" s="17"/>
      <c r="C310" s="14"/>
      <c r="D310" s="14"/>
      <c r="E310" s="18"/>
      <c r="F310" s="61"/>
      <c r="G310" s="73"/>
      <c r="H310" s="79"/>
      <c r="I310" s="79"/>
      <c r="J310" s="14"/>
      <c r="K310" s="38"/>
      <c r="L310" s="38"/>
      <c r="M310" s="17"/>
    </row>
    <row r="311" spans="2:13" ht="14.45" customHeight="1" x14ac:dyDescent="0.25">
      <c r="B311" s="17"/>
      <c r="C311" s="14"/>
      <c r="D311" s="14"/>
      <c r="E311" s="18"/>
      <c r="F311" s="61"/>
      <c r="G311" s="73"/>
      <c r="H311" s="79"/>
      <c r="I311" s="79"/>
      <c r="J311" s="14"/>
      <c r="K311" s="38"/>
      <c r="L311" s="38"/>
      <c r="M311" s="17"/>
    </row>
    <row r="312" spans="2:13" ht="14.45" customHeight="1" x14ac:dyDescent="0.25">
      <c r="B312" s="17"/>
      <c r="C312" s="14"/>
      <c r="D312" s="14"/>
      <c r="E312" s="18"/>
      <c r="F312" s="61"/>
      <c r="G312" s="73"/>
      <c r="H312" s="79"/>
      <c r="I312" s="79"/>
      <c r="J312" s="14"/>
      <c r="K312" s="38"/>
      <c r="L312" s="38"/>
      <c r="M312" s="17"/>
    </row>
    <row r="313" spans="2:13" ht="14.45" customHeight="1" x14ac:dyDescent="0.25">
      <c r="B313" s="17"/>
      <c r="C313" s="14"/>
      <c r="D313" s="14"/>
      <c r="E313" s="18"/>
      <c r="F313" s="61"/>
      <c r="G313" s="73"/>
      <c r="H313" s="79"/>
      <c r="I313" s="79"/>
      <c r="J313" s="14"/>
      <c r="K313" s="38"/>
      <c r="L313" s="38"/>
      <c r="M313" s="17"/>
    </row>
    <row r="314" spans="2:13" ht="14.45" customHeight="1" x14ac:dyDescent="0.25">
      <c r="B314" s="17"/>
      <c r="C314" s="14"/>
      <c r="D314" s="14"/>
      <c r="E314" s="18"/>
      <c r="F314" s="61"/>
      <c r="G314" s="73"/>
      <c r="H314" s="79"/>
      <c r="I314" s="79"/>
      <c r="J314" s="14"/>
      <c r="K314" s="38"/>
      <c r="L314" s="38"/>
      <c r="M314" s="17"/>
    </row>
    <row r="315" spans="2:13" ht="14.45" customHeight="1" x14ac:dyDescent="0.25">
      <c r="B315" s="17"/>
      <c r="C315" s="14"/>
      <c r="D315" s="14"/>
      <c r="E315" s="18"/>
      <c r="F315" s="61"/>
      <c r="G315" s="73"/>
      <c r="H315" s="79"/>
      <c r="I315" s="79"/>
      <c r="J315" s="14"/>
      <c r="K315" s="38"/>
      <c r="L315" s="38"/>
      <c r="M315" s="17"/>
    </row>
    <row r="316" spans="2:13" ht="14.45" customHeight="1" x14ac:dyDescent="0.25">
      <c r="B316" s="17"/>
      <c r="C316" s="14"/>
      <c r="D316" s="14"/>
      <c r="E316" s="18"/>
      <c r="F316" s="61"/>
      <c r="G316" s="73"/>
      <c r="H316" s="79"/>
      <c r="I316" s="79"/>
      <c r="J316" s="14"/>
      <c r="K316" s="38"/>
      <c r="L316" s="38"/>
      <c r="M316" s="17"/>
    </row>
    <row r="317" spans="2:13" ht="14.45" customHeight="1" x14ac:dyDescent="0.25">
      <c r="B317" s="17"/>
      <c r="C317" s="14"/>
      <c r="D317" s="14"/>
      <c r="E317" s="18"/>
      <c r="F317" s="61"/>
      <c r="G317" s="73"/>
      <c r="H317" s="79"/>
      <c r="I317" s="79"/>
      <c r="J317" s="14"/>
      <c r="K317" s="38"/>
      <c r="L317" s="38"/>
      <c r="M317" s="17"/>
    </row>
    <row r="318" spans="2:13" ht="14.45" customHeight="1" x14ac:dyDescent="0.25">
      <c r="B318" s="17"/>
      <c r="C318" s="14"/>
      <c r="D318" s="14"/>
      <c r="E318" s="18"/>
      <c r="F318" s="61"/>
      <c r="G318" s="73"/>
      <c r="H318" s="79"/>
      <c r="I318" s="79"/>
      <c r="J318" s="14"/>
      <c r="K318" s="38"/>
      <c r="L318" s="38"/>
      <c r="M318" s="17"/>
    </row>
    <row r="319" spans="2:13" ht="14.45" customHeight="1" x14ac:dyDescent="0.25">
      <c r="B319" s="17"/>
      <c r="C319" s="14"/>
      <c r="D319" s="14"/>
      <c r="E319" s="18"/>
      <c r="F319" s="61"/>
      <c r="G319" s="73"/>
      <c r="H319" s="79"/>
      <c r="I319" s="79"/>
      <c r="J319" s="14"/>
      <c r="K319" s="38"/>
      <c r="L319" s="38"/>
      <c r="M319" s="17"/>
    </row>
    <row r="320" spans="2:13" ht="14.45" customHeight="1" x14ac:dyDescent="0.25">
      <c r="B320" s="17"/>
      <c r="C320" s="14"/>
      <c r="D320" s="14"/>
      <c r="E320" s="18"/>
      <c r="F320" s="61"/>
      <c r="G320" s="73"/>
      <c r="H320" s="79"/>
      <c r="I320" s="79"/>
      <c r="J320" s="14"/>
      <c r="K320" s="38"/>
      <c r="L320" s="38"/>
      <c r="M320" s="17"/>
    </row>
    <row r="321" spans="2:13" ht="14.45" customHeight="1" x14ac:dyDescent="0.25">
      <c r="B321" s="17"/>
      <c r="C321" s="14"/>
      <c r="D321" s="14"/>
      <c r="E321" s="18"/>
      <c r="F321" s="61"/>
      <c r="G321" s="73"/>
      <c r="H321" s="79"/>
      <c r="I321" s="79"/>
      <c r="J321" s="14"/>
      <c r="K321" s="38"/>
      <c r="L321" s="38"/>
      <c r="M321" s="17"/>
    </row>
    <row r="322" spans="2:13" ht="14.45" customHeight="1" x14ac:dyDescent="0.25">
      <c r="B322" s="17"/>
      <c r="C322" s="14"/>
      <c r="D322" s="14"/>
      <c r="E322" s="18"/>
      <c r="F322" s="61"/>
      <c r="G322" s="73"/>
      <c r="H322" s="79"/>
      <c r="I322" s="79"/>
      <c r="J322" s="14"/>
      <c r="K322" s="38"/>
      <c r="L322" s="38"/>
      <c r="M322" s="17"/>
    </row>
    <row r="323" spans="2:13" ht="14.45" customHeight="1" x14ac:dyDescent="0.25">
      <c r="B323" s="17"/>
      <c r="C323" s="14"/>
      <c r="D323" s="14"/>
      <c r="E323" s="18"/>
      <c r="F323" s="61"/>
      <c r="G323" s="73"/>
      <c r="H323" s="79"/>
      <c r="I323" s="79"/>
      <c r="J323" s="14"/>
      <c r="K323" s="38"/>
      <c r="L323" s="38"/>
      <c r="M323" s="17"/>
    </row>
    <row r="324" spans="2:13" ht="14.45" customHeight="1" x14ac:dyDescent="0.25">
      <c r="B324" s="17"/>
      <c r="C324" s="14"/>
      <c r="D324" s="14"/>
      <c r="E324" s="18"/>
      <c r="F324" s="61"/>
      <c r="G324" s="73"/>
      <c r="H324" s="79"/>
      <c r="I324" s="79"/>
      <c r="J324" s="14"/>
      <c r="K324" s="38"/>
      <c r="L324" s="38"/>
      <c r="M324" s="17"/>
    </row>
    <row r="325" spans="2:13" ht="14.45" customHeight="1" x14ac:dyDescent="0.25">
      <c r="B325" s="17"/>
      <c r="C325" s="14"/>
      <c r="D325" s="14"/>
      <c r="E325" s="18"/>
      <c r="F325" s="61"/>
      <c r="G325" s="73"/>
      <c r="H325" s="79"/>
      <c r="I325" s="79"/>
      <c r="J325" s="14"/>
      <c r="K325" s="38"/>
      <c r="L325" s="38"/>
      <c r="M325" s="17"/>
    </row>
    <row r="326" spans="2:13" ht="14.45" customHeight="1" x14ac:dyDescent="0.25">
      <c r="B326" s="17"/>
      <c r="C326" s="14"/>
      <c r="D326" s="14"/>
      <c r="E326" s="18"/>
      <c r="F326" s="61"/>
      <c r="G326" s="73"/>
      <c r="H326" s="79"/>
      <c r="I326" s="79"/>
      <c r="J326" s="14"/>
      <c r="K326" s="38"/>
      <c r="L326" s="38"/>
      <c r="M326" s="17"/>
    </row>
    <row r="327" spans="2:13" ht="14.45" customHeight="1" x14ac:dyDescent="0.25">
      <c r="B327" s="17"/>
      <c r="C327" s="14"/>
      <c r="D327" s="14"/>
      <c r="E327" s="18"/>
      <c r="F327" s="61"/>
      <c r="G327" s="73"/>
      <c r="H327" s="79"/>
      <c r="I327" s="79"/>
      <c r="J327" s="14"/>
      <c r="K327" s="38"/>
      <c r="L327" s="38"/>
      <c r="M327" s="17"/>
    </row>
    <row r="328" spans="2:13" ht="14.45" customHeight="1" x14ac:dyDescent="0.25">
      <c r="B328" s="17"/>
      <c r="C328" s="14"/>
      <c r="D328" s="14"/>
      <c r="E328" s="18"/>
      <c r="F328" s="61"/>
      <c r="G328" s="73"/>
      <c r="H328" s="79"/>
      <c r="I328" s="79"/>
      <c r="J328" s="14"/>
      <c r="K328" s="38"/>
      <c r="L328" s="38"/>
      <c r="M328" s="17"/>
    </row>
    <row r="329" spans="2:13" ht="14.45" customHeight="1" x14ac:dyDescent="0.25">
      <c r="B329" s="17"/>
      <c r="C329" s="14"/>
      <c r="D329" s="14"/>
      <c r="E329" s="18"/>
      <c r="F329" s="61"/>
      <c r="G329" s="73"/>
      <c r="H329" s="79"/>
      <c r="I329" s="79"/>
      <c r="J329" s="14"/>
      <c r="K329" s="38"/>
      <c r="L329" s="38"/>
      <c r="M329" s="17"/>
    </row>
    <row r="330" spans="2:13" ht="14.45" customHeight="1" x14ac:dyDescent="0.25">
      <c r="B330" s="17"/>
      <c r="C330" s="14"/>
      <c r="D330" s="14"/>
      <c r="E330" s="18"/>
      <c r="F330" s="61"/>
      <c r="G330" s="73"/>
      <c r="H330" s="79"/>
      <c r="I330" s="79"/>
      <c r="J330" s="14"/>
      <c r="K330" s="38"/>
      <c r="L330" s="38"/>
      <c r="M330" s="17"/>
    </row>
    <row r="331" spans="2:13" ht="14.45" customHeight="1" x14ac:dyDescent="0.25">
      <c r="B331" s="17"/>
      <c r="C331" s="14"/>
      <c r="D331" s="14"/>
      <c r="E331" s="18"/>
      <c r="F331" s="61"/>
      <c r="G331" s="73"/>
      <c r="H331" s="79"/>
      <c r="I331" s="79"/>
      <c r="J331" s="14"/>
      <c r="K331" s="38"/>
      <c r="L331" s="38"/>
      <c r="M331" s="17"/>
    </row>
    <row r="332" spans="2:13" ht="14.45" customHeight="1" x14ac:dyDescent="0.25">
      <c r="B332" s="17"/>
      <c r="C332" s="14"/>
      <c r="D332" s="14"/>
      <c r="E332" s="18"/>
      <c r="F332" s="61"/>
      <c r="G332" s="73"/>
      <c r="H332" s="79"/>
      <c r="I332" s="79"/>
      <c r="J332" s="14"/>
      <c r="K332" s="38"/>
      <c r="L332" s="38"/>
      <c r="M332" s="17"/>
    </row>
    <row r="333" spans="2:13" ht="14.45" customHeight="1" x14ac:dyDescent="0.25">
      <c r="B333" s="17"/>
      <c r="C333" s="14"/>
      <c r="D333" s="14"/>
      <c r="E333" s="18"/>
      <c r="F333" s="61"/>
      <c r="G333" s="73"/>
      <c r="H333" s="79"/>
      <c r="I333" s="79"/>
      <c r="J333" s="14"/>
      <c r="K333" s="38"/>
      <c r="L333" s="38"/>
      <c r="M333" s="17"/>
    </row>
    <row r="334" spans="2:13" ht="14.45" customHeight="1" x14ac:dyDescent="0.25">
      <c r="B334" s="17"/>
      <c r="C334" s="14"/>
      <c r="D334" s="14"/>
      <c r="E334" s="18"/>
      <c r="F334" s="61"/>
      <c r="G334" s="73"/>
      <c r="H334" s="79"/>
      <c r="I334" s="79"/>
      <c r="J334" s="14"/>
      <c r="K334" s="38"/>
      <c r="L334" s="38"/>
      <c r="M334" s="17"/>
    </row>
    <row r="335" spans="2:13" ht="14.45" customHeight="1" x14ac:dyDescent="0.25">
      <c r="B335" s="17"/>
      <c r="C335" s="14"/>
      <c r="D335" s="14"/>
      <c r="E335" s="18"/>
      <c r="F335" s="61"/>
      <c r="G335" s="73"/>
      <c r="H335" s="79"/>
      <c r="I335" s="79"/>
      <c r="J335" s="14"/>
      <c r="K335" s="38"/>
      <c r="L335" s="38"/>
      <c r="M335" s="17"/>
    </row>
    <row r="336" spans="2:13" ht="14.45" customHeight="1" x14ac:dyDescent="0.25">
      <c r="B336" s="17"/>
      <c r="C336" s="14"/>
      <c r="D336" s="14"/>
      <c r="E336" s="18"/>
      <c r="F336" s="61"/>
      <c r="G336" s="73"/>
      <c r="H336" s="79"/>
      <c r="I336" s="79"/>
      <c r="J336" s="14"/>
      <c r="K336" s="38"/>
      <c r="L336" s="38"/>
      <c r="M336" s="17"/>
    </row>
    <row r="337" spans="2:13" ht="14.45" customHeight="1" x14ac:dyDescent="0.25">
      <c r="B337" s="17"/>
      <c r="C337" s="14"/>
      <c r="D337" s="14"/>
      <c r="E337" s="18"/>
      <c r="F337" s="61"/>
      <c r="G337" s="73"/>
      <c r="H337" s="79"/>
      <c r="I337" s="79"/>
      <c r="J337" s="14"/>
      <c r="K337" s="38"/>
      <c r="L337" s="38"/>
      <c r="M337" s="17"/>
    </row>
    <row r="338" spans="2:13" ht="14.45" customHeight="1" x14ac:dyDescent="0.25">
      <c r="B338" s="17"/>
      <c r="C338" s="14"/>
      <c r="D338" s="14"/>
      <c r="E338" s="18"/>
      <c r="F338" s="61"/>
      <c r="G338" s="73"/>
      <c r="H338" s="79"/>
      <c r="I338" s="79"/>
      <c r="J338" s="14"/>
      <c r="K338" s="38"/>
      <c r="L338" s="38"/>
      <c r="M338" s="17"/>
    </row>
    <row r="339" spans="2:13" ht="14.45" customHeight="1" x14ac:dyDescent="0.25">
      <c r="B339" s="17"/>
      <c r="C339" s="14"/>
      <c r="D339" s="14"/>
      <c r="E339" s="18"/>
      <c r="F339" s="61"/>
      <c r="G339" s="73"/>
      <c r="H339" s="79"/>
      <c r="I339" s="79"/>
      <c r="J339" s="14"/>
      <c r="K339" s="38"/>
      <c r="L339" s="38"/>
      <c r="M339" s="17"/>
    </row>
    <row r="340" spans="2:13" ht="14.45" customHeight="1" x14ac:dyDescent="0.25">
      <c r="B340" s="17"/>
      <c r="C340" s="14"/>
      <c r="D340" s="14"/>
      <c r="E340" s="18"/>
      <c r="F340" s="61"/>
      <c r="G340" s="73"/>
      <c r="H340" s="79"/>
      <c r="I340" s="79"/>
      <c r="J340" s="14"/>
      <c r="K340" s="38"/>
      <c r="L340" s="38"/>
      <c r="M340" s="17"/>
    </row>
    <row r="341" spans="2:13" ht="14.45" customHeight="1" x14ac:dyDescent="0.25">
      <c r="B341" s="17"/>
      <c r="C341" s="14"/>
      <c r="D341" s="14"/>
      <c r="E341" s="18"/>
      <c r="F341" s="61"/>
      <c r="G341" s="73"/>
      <c r="H341" s="79"/>
      <c r="I341" s="79"/>
      <c r="J341" s="14"/>
      <c r="K341" s="38"/>
      <c r="L341" s="38"/>
      <c r="M341" s="17"/>
    </row>
    <row r="342" spans="2:13" ht="14.45" customHeight="1" x14ac:dyDescent="0.25">
      <c r="B342" s="17"/>
      <c r="C342" s="14"/>
      <c r="D342" s="14"/>
      <c r="E342" s="18"/>
      <c r="F342" s="61"/>
      <c r="G342" s="73"/>
      <c r="H342" s="79"/>
      <c r="I342" s="79"/>
      <c r="J342" s="14"/>
      <c r="K342" s="38"/>
      <c r="L342" s="38"/>
      <c r="M342" s="17"/>
    </row>
    <row r="343" spans="2:13" ht="14.45" customHeight="1" x14ac:dyDescent="0.25">
      <c r="B343" s="17"/>
      <c r="C343" s="14"/>
      <c r="D343" s="14"/>
      <c r="E343" s="18"/>
      <c r="F343" s="61"/>
      <c r="G343" s="73"/>
      <c r="H343" s="79"/>
      <c r="I343" s="79"/>
      <c r="J343" s="14"/>
      <c r="K343" s="38"/>
      <c r="L343" s="38"/>
      <c r="M343" s="17"/>
    </row>
    <row r="344" spans="2:13" ht="14.45" customHeight="1" x14ac:dyDescent="0.25">
      <c r="B344" s="17"/>
      <c r="C344" s="14"/>
      <c r="D344" s="14"/>
      <c r="E344" s="18"/>
      <c r="F344" s="61"/>
      <c r="G344" s="73"/>
      <c r="H344" s="79"/>
      <c r="I344" s="79"/>
      <c r="J344" s="14"/>
      <c r="K344" s="38"/>
      <c r="L344" s="38"/>
      <c r="M344" s="17"/>
    </row>
    <row r="345" spans="2:13" ht="14.45" customHeight="1" x14ac:dyDescent="0.25">
      <c r="B345" s="17"/>
      <c r="C345" s="14"/>
      <c r="D345" s="14"/>
      <c r="E345" s="18"/>
      <c r="F345" s="61"/>
      <c r="G345" s="73"/>
      <c r="H345" s="79"/>
      <c r="I345" s="79"/>
      <c r="J345" s="14"/>
      <c r="K345" s="38"/>
      <c r="L345" s="38"/>
      <c r="M345" s="17"/>
    </row>
    <row r="346" spans="2:13" ht="14.45" customHeight="1" x14ac:dyDescent="0.25">
      <c r="B346" s="17"/>
      <c r="C346" s="14"/>
      <c r="D346" s="14"/>
      <c r="E346" s="18"/>
      <c r="F346" s="61"/>
      <c r="G346" s="73"/>
      <c r="H346" s="79"/>
      <c r="I346" s="79"/>
      <c r="J346" s="14"/>
      <c r="K346" s="38"/>
      <c r="L346" s="38"/>
      <c r="M346" s="17"/>
    </row>
    <row r="347" spans="2:13" ht="14.45" customHeight="1" x14ac:dyDescent="0.25">
      <c r="B347" s="17"/>
      <c r="C347" s="14"/>
      <c r="D347" s="14"/>
      <c r="E347" s="18"/>
      <c r="F347" s="61"/>
      <c r="G347" s="73"/>
      <c r="H347" s="79"/>
      <c r="I347" s="79"/>
      <c r="J347" s="14"/>
      <c r="K347" s="38"/>
      <c r="L347" s="38"/>
      <c r="M347" s="17"/>
    </row>
    <row r="348" spans="2:13" ht="14.45" customHeight="1" x14ac:dyDescent="0.25">
      <c r="B348" s="17"/>
      <c r="C348" s="14"/>
      <c r="D348" s="14"/>
      <c r="E348" s="18"/>
      <c r="F348" s="61"/>
      <c r="G348" s="73"/>
      <c r="H348" s="79"/>
      <c r="I348" s="79"/>
      <c r="J348" s="14"/>
      <c r="K348" s="38"/>
      <c r="L348" s="38"/>
      <c r="M348" s="17"/>
    </row>
    <row r="349" spans="2:13" ht="14.45" customHeight="1" x14ac:dyDescent="0.25">
      <c r="B349" s="17"/>
      <c r="C349" s="14"/>
      <c r="D349" s="14"/>
      <c r="E349" s="18"/>
      <c r="F349" s="61"/>
      <c r="G349" s="73"/>
      <c r="H349" s="79"/>
      <c r="I349" s="79"/>
      <c r="J349" s="14"/>
      <c r="K349" s="38"/>
      <c r="L349" s="38"/>
      <c r="M349" s="17"/>
    </row>
    <row r="350" spans="2:13" ht="14.45" customHeight="1" x14ac:dyDescent="0.25">
      <c r="B350" s="17"/>
      <c r="C350" s="14"/>
      <c r="D350" s="14"/>
      <c r="E350" s="18"/>
      <c r="F350" s="61"/>
      <c r="G350" s="73"/>
      <c r="H350" s="79"/>
      <c r="I350" s="79"/>
      <c r="J350" s="14"/>
      <c r="K350" s="38"/>
      <c r="L350" s="38"/>
      <c r="M350" s="17"/>
    </row>
    <row r="351" spans="2:13" ht="14.45" customHeight="1" x14ac:dyDescent="0.25">
      <c r="B351" s="17"/>
      <c r="C351" s="14"/>
      <c r="D351" s="14"/>
      <c r="E351" s="18"/>
      <c r="F351" s="61"/>
      <c r="G351" s="73"/>
      <c r="H351" s="79"/>
      <c r="I351" s="79"/>
      <c r="J351" s="14"/>
      <c r="K351" s="38"/>
      <c r="L351" s="38"/>
      <c r="M351" s="17"/>
    </row>
    <row r="352" spans="2:13" ht="14.45" customHeight="1" x14ac:dyDescent="0.25">
      <c r="B352" s="17"/>
      <c r="C352" s="14"/>
      <c r="D352" s="14"/>
      <c r="E352" s="18"/>
      <c r="F352" s="61"/>
      <c r="G352" s="73"/>
      <c r="H352" s="79"/>
      <c r="I352" s="79"/>
      <c r="J352" s="14"/>
      <c r="K352" s="38"/>
      <c r="L352" s="38"/>
      <c r="M352" s="17"/>
    </row>
    <row r="353" spans="2:13" ht="14.45" customHeight="1" x14ac:dyDescent="0.25">
      <c r="B353" s="17"/>
      <c r="C353" s="14"/>
      <c r="D353" s="14"/>
      <c r="E353" s="18"/>
      <c r="F353" s="61"/>
      <c r="G353" s="73"/>
      <c r="H353" s="79"/>
      <c r="I353" s="79"/>
      <c r="J353" s="14"/>
      <c r="K353" s="38"/>
      <c r="L353" s="38"/>
      <c r="M353" s="17"/>
    </row>
    <row r="354" spans="2:13" ht="14.45" customHeight="1" x14ac:dyDescent="0.25">
      <c r="B354" s="17"/>
      <c r="C354" s="14"/>
      <c r="D354" s="14"/>
      <c r="E354" s="18"/>
      <c r="F354" s="61"/>
      <c r="G354" s="73"/>
      <c r="H354" s="79"/>
      <c r="I354" s="79"/>
      <c r="J354" s="14"/>
      <c r="K354" s="38"/>
      <c r="L354" s="38"/>
      <c r="M354" s="17"/>
    </row>
    <row r="355" spans="2:13" ht="14.45" customHeight="1" x14ac:dyDescent="0.25">
      <c r="B355" s="17"/>
      <c r="C355" s="14"/>
      <c r="D355" s="14"/>
      <c r="E355" s="18"/>
      <c r="F355" s="61"/>
      <c r="G355" s="73"/>
      <c r="H355" s="79"/>
      <c r="I355" s="79"/>
      <c r="J355" s="14"/>
      <c r="K355" s="38"/>
      <c r="L355" s="38"/>
      <c r="M355" s="17"/>
    </row>
    <row r="356" spans="2:13" ht="14.45" customHeight="1" x14ac:dyDescent="0.25">
      <c r="B356" s="17"/>
      <c r="C356" s="14"/>
      <c r="D356" s="14"/>
      <c r="E356" s="18"/>
      <c r="F356" s="61"/>
      <c r="G356" s="73"/>
      <c r="H356" s="79"/>
      <c r="I356" s="79"/>
      <c r="J356" s="14"/>
      <c r="K356" s="38"/>
      <c r="L356" s="38"/>
      <c r="M356" s="17"/>
    </row>
    <row r="357" spans="2:13" ht="14.45" customHeight="1" x14ac:dyDescent="0.25">
      <c r="B357" s="17"/>
      <c r="C357" s="14"/>
      <c r="D357" s="14"/>
      <c r="E357" s="18"/>
      <c r="F357" s="61"/>
      <c r="G357" s="73"/>
      <c r="H357" s="79"/>
      <c r="I357" s="79"/>
      <c r="J357" s="14"/>
      <c r="K357" s="38"/>
      <c r="L357" s="38"/>
      <c r="M357" s="17"/>
    </row>
    <row r="358" spans="2:13" ht="14.45" customHeight="1" x14ac:dyDescent="0.25">
      <c r="B358" s="17"/>
      <c r="C358" s="14"/>
      <c r="D358" s="14"/>
      <c r="E358" s="18"/>
      <c r="F358" s="61"/>
      <c r="G358" s="73"/>
      <c r="H358" s="79"/>
      <c r="I358" s="79"/>
      <c r="J358" s="14"/>
      <c r="K358" s="38"/>
      <c r="L358" s="38"/>
      <c r="M358" s="17"/>
    </row>
    <row r="359" spans="2:13" ht="14.45" customHeight="1" x14ac:dyDescent="0.25">
      <c r="B359" s="17"/>
      <c r="C359" s="14"/>
      <c r="D359" s="14"/>
      <c r="E359" s="18"/>
      <c r="F359" s="61"/>
      <c r="G359" s="73"/>
      <c r="H359" s="79"/>
      <c r="I359" s="79"/>
      <c r="J359" s="14"/>
      <c r="K359" s="38"/>
      <c r="L359" s="38"/>
      <c r="M359" s="17"/>
    </row>
    <row r="360" spans="2:13" ht="14.45" customHeight="1" x14ac:dyDescent="0.25">
      <c r="B360" s="17"/>
      <c r="C360" s="14"/>
      <c r="D360" s="14"/>
      <c r="E360" s="18"/>
      <c r="F360" s="61"/>
      <c r="G360" s="73"/>
      <c r="H360" s="79"/>
      <c r="I360" s="79"/>
      <c r="J360" s="14"/>
      <c r="K360" s="38"/>
      <c r="L360" s="38"/>
      <c r="M360" s="17"/>
    </row>
    <row r="361" spans="2:13" ht="14.45" customHeight="1" x14ac:dyDescent="0.25">
      <c r="B361" s="17"/>
      <c r="C361" s="14"/>
      <c r="D361" s="14"/>
      <c r="E361" s="18"/>
      <c r="F361" s="61"/>
      <c r="G361" s="73"/>
      <c r="H361" s="79"/>
      <c r="I361" s="79"/>
      <c r="J361" s="14"/>
      <c r="K361" s="38"/>
      <c r="L361" s="38"/>
      <c r="M361" s="17"/>
    </row>
    <row r="362" spans="2:13" ht="14.45" customHeight="1" x14ac:dyDescent="0.25">
      <c r="B362" s="17"/>
      <c r="C362" s="14"/>
      <c r="D362" s="14"/>
      <c r="E362" s="18"/>
      <c r="F362" s="61"/>
      <c r="G362" s="73"/>
      <c r="H362" s="79"/>
      <c r="I362" s="79"/>
      <c r="J362" s="14"/>
      <c r="K362" s="38"/>
      <c r="L362" s="38"/>
      <c r="M362" s="17"/>
    </row>
    <row r="363" spans="2:13" ht="14.45" customHeight="1" x14ac:dyDescent="0.25">
      <c r="B363" s="17"/>
      <c r="C363" s="14"/>
      <c r="D363" s="14"/>
      <c r="E363" s="18"/>
      <c r="F363" s="61"/>
      <c r="G363" s="73"/>
      <c r="H363" s="79"/>
      <c r="I363" s="79"/>
      <c r="J363" s="14"/>
      <c r="K363" s="38"/>
      <c r="L363" s="38"/>
      <c r="M363" s="17"/>
    </row>
    <row r="364" spans="2:13" ht="14.45" customHeight="1" x14ac:dyDescent="0.25">
      <c r="B364" s="17"/>
      <c r="C364" s="14"/>
      <c r="D364" s="14"/>
      <c r="E364" s="18"/>
      <c r="F364" s="61"/>
      <c r="G364" s="73"/>
      <c r="H364" s="79"/>
      <c r="I364" s="79"/>
      <c r="J364" s="14"/>
      <c r="K364" s="38"/>
      <c r="L364" s="38"/>
      <c r="M364" s="17"/>
    </row>
    <row r="365" spans="2:13" ht="14.45" customHeight="1" x14ac:dyDescent="0.25">
      <c r="B365" s="17"/>
      <c r="C365" s="14"/>
      <c r="D365" s="14"/>
      <c r="E365" s="18"/>
      <c r="F365" s="61"/>
      <c r="G365" s="73"/>
      <c r="H365" s="79"/>
      <c r="I365" s="79"/>
      <c r="J365" s="14"/>
      <c r="K365" s="38"/>
      <c r="L365" s="38"/>
      <c r="M365" s="17"/>
    </row>
    <row r="366" spans="2:13" ht="14.45" customHeight="1" x14ac:dyDescent="0.25">
      <c r="B366" s="17"/>
      <c r="C366" s="14"/>
      <c r="D366" s="14"/>
      <c r="E366" s="18"/>
      <c r="F366" s="61"/>
      <c r="G366" s="73"/>
      <c r="H366" s="79"/>
      <c r="I366" s="79"/>
      <c r="J366" s="14"/>
      <c r="K366" s="38"/>
      <c r="L366" s="38"/>
      <c r="M366" s="17"/>
    </row>
    <row r="367" spans="2:13" ht="14.45" customHeight="1" x14ac:dyDescent="0.25">
      <c r="B367" s="17"/>
      <c r="C367" s="14"/>
      <c r="D367" s="14"/>
      <c r="E367" s="18"/>
      <c r="F367" s="61"/>
      <c r="G367" s="73"/>
      <c r="H367" s="79"/>
      <c r="I367" s="79"/>
      <c r="J367" s="14"/>
      <c r="K367" s="38"/>
      <c r="L367" s="38"/>
      <c r="M367" s="17"/>
    </row>
    <row r="368" spans="2:13" ht="14.45" customHeight="1" x14ac:dyDescent="0.25">
      <c r="B368" s="17"/>
      <c r="C368" s="14"/>
      <c r="D368" s="14"/>
      <c r="E368" s="18"/>
      <c r="F368" s="61"/>
      <c r="G368" s="73"/>
      <c r="H368" s="79"/>
      <c r="I368" s="79"/>
      <c r="J368" s="14"/>
      <c r="K368" s="38"/>
      <c r="L368" s="38"/>
      <c r="M368" s="17"/>
    </row>
    <row r="369" spans="2:13" ht="14.45" customHeight="1" x14ac:dyDescent="0.25">
      <c r="B369" s="17"/>
      <c r="C369" s="14"/>
      <c r="D369" s="14"/>
      <c r="E369" s="18"/>
      <c r="F369" s="61"/>
      <c r="G369" s="73"/>
      <c r="H369" s="79"/>
      <c r="I369" s="79"/>
      <c r="J369" s="14"/>
      <c r="K369" s="38"/>
      <c r="L369" s="38"/>
      <c r="M369" s="17"/>
    </row>
    <row r="370" spans="2:13" ht="14.45" customHeight="1" x14ac:dyDescent="0.25">
      <c r="B370" s="17"/>
      <c r="C370" s="14"/>
      <c r="D370" s="14"/>
      <c r="E370" s="18"/>
      <c r="F370" s="61"/>
      <c r="G370" s="73"/>
      <c r="H370" s="79"/>
      <c r="I370" s="79"/>
      <c r="J370" s="14"/>
      <c r="K370" s="38"/>
      <c r="L370" s="38"/>
      <c r="M370" s="17"/>
    </row>
    <row r="371" spans="2:13" ht="14.45" customHeight="1" x14ac:dyDescent="0.25">
      <c r="B371" s="17"/>
      <c r="C371" s="14"/>
      <c r="D371" s="14"/>
      <c r="E371" s="18"/>
      <c r="F371" s="61"/>
      <c r="G371" s="73"/>
      <c r="H371" s="79"/>
      <c r="I371" s="79"/>
      <c r="J371" s="14"/>
      <c r="K371" s="38"/>
      <c r="L371" s="38"/>
      <c r="M371" s="17"/>
    </row>
    <row r="372" spans="2:13" ht="14.45" customHeight="1" x14ac:dyDescent="0.25">
      <c r="B372" s="17"/>
      <c r="C372" s="14"/>
      <c r="D372" s="14"/>
      <c r="E372" s="18"/>
      <c r="F372" s="61"/>
      <c r="G372" s="73"/>
      <c r="H372" s="79"/>
      <c r="I372" s="79"/>
      <c r="J372" s="14"/>
      <c r="K372" s="38"/>
      <c r="L372" s="38"/>
      <c r="M372" s="17"/>
    </row>
    <row r="373" spans="2:13" ht="14.45" customHeight="1" x14ac:dyDescent="0.25">
      <c r="B373" s="17"/>
      <c r="C373" s="14"/>
      <c r="D373" s="14"/>
      <c r="E373" s="18"/>
      <c r="F373" s="61"/>
      <c r="G373" s="73"/>
      <c r="H373" s="79"/>
      <c r="I373" s="79"/>
      <c r="J373" s="14"/>
      <c r="K373" s="38"/>
      <c r="L373" s="38"/>
      <c r="M373" s="17"/>
    </row>
    <row r="374" spans="2:13" ht="14.45" customHeight="1" x14ac:dyDescent="0.25">
      <c r="B374" s="17"/>
      <c r="C374" s="14"/>
      <c r="D374" s="14"/>
      <c r="E374" s="18"/>
      <c r="F374" s="61"/>
      <c r="G374" s="73"/>
      <c r="H374" s="79"/>
      <c r="I374" s="79"/>
      <c r="J374" s="14"/>
      <c r="K374" s="38"/>
      <c r="L374" s="38"/>
      <c r="M374" s="17"/>
    </row>
    <row r="375" spans="2:13" ht="14.45" customHeight="1" x14ac:dyDescent="0.25">
      <c r="B375" s="17"/>
      <c r="C375" s="14"/>
      <c r="D375" s="14"/>
      <c r="E375" s="18"/>
      <c r="F375" s="61"/>
      <c r="G375" s="73"/>
      <c r="H375" s="79"/>
      <c r="I375" s="79"/>
      <c r="J375" s="14"/>
      <c r="K375" s="38"/>
      <c r="L375" s="38"/>
      <c r="M375" s="17"/>
    </row>
    <row r="376" spans="2:13" ht="14.45" customHeight="1" x14ac:dyDescent="0.25">
      <c r="B376" s="17"/>
      <c r="C376" s="14"/>
      <c r="D376" s="14"/>
      <c r="E376" s="18"/>
      <c r="F376" s="61"/>
      <c r="G376" s="73"/>
      <c r="H376" s="79"/>
      <c r="I376" s="79"/>
      <c r="J376" s="14"/>
      <c r="K376" s="38"/>
      <c r="L376" s="38"/>
      <c r="M376" s="17"/>
    </row>
    <row r="377" spans="2:13" ht="14.45" customHeight="1" x14ac:dyDescent="0.25">
      <c r="B377" s="17"/>
      <c r="C377" s="14"/>
      <c r="D377" s="14"/>
      <c r="E377" s="18"/>
      <c r="F377" s="61"/>
      <c r="G377" s="73"/>
      <c r="H377" s="79"/>
      <c r="I377" s="79"/>
      <c r="J377" s="14"/>
      <c r="K377" s="38"/>
      <c r="L377" s="38"/>
      <c r="M377" s="17"/>
    </row>
    <row r="378" spans="2:13" ht="14.45" customHeight="1" x14ac:dyDescent="0.25">
      <c r="B378" s="17"/>
      <c r="C378" s="14"/>
      <c r="D378" s="14"/>
      <c r="E378" s="18"/>
      <c r="F378" s="61"/>
      <c r="G378" s="73"/>
      <c r="H378" s="79"/>
      <c r="I378" s="79"/>
      <c r="J378" s="14"/>
      <c r="K378" s="38"/>
      <c r="L378" s="38"/>
      <c r="M378" s="17"/>
    </row>
    <row r="379" spans="2:13" ht="14.45" customHeight="1" x14ac:dyDescent="0.25">
      <c r="B379" s="17"/>
      <c r="C379" s="14"/>
      <c r="D379" s="14"/>
      <c r="E379" s="18"/>
      <c r="F379" s="61"/>
      <c r="G379" s="73"/>
      <c r="H379" s="79"/>
      <c r="I379" s="79"/>
      <c r="J379" s="14"/>
      <c r="K379" s="38"/>
      <c r="L379" s="38"/>
      <c r="M379" s="17"/>
    </row>
    <row r="380" spans="2:13" ht="14.45" customHeight="1" x14ac:dyDescent="0.25">
      <c r="B380" s="17"/>
      <c r="C380" s="14"/>
      <c r="D380" s="14"/>
      <c r="E380" s="18"/>
      <c r="F380" s="61"/>
      <c r="G380" s="73"/>
      <c r="H380" s="79"/>
      <c r="I380" s="79"/>
      <c r="J380" s="14"/>
      <c r="K380" s="38"/>
      <c r="L380" s="38"/>
      <c r="M380" s="17"/>
    </row>
    <row r="381" spans="2:13" ht="14.45" customHeight="1" x14ac:dyDescent="0.25">
      <c r="B381" s="17"/>
      <c r="C381" s="14"/>
      <c r="D381" s="14"/>
      <c r="E381" s="18"/>
      <c r="F381" s="61"/>
      <c r="G381" s="73"/>
      <c r="H381" s="79"/>
      <c r="I381" s="79"/>
      <c r="J381" s="14"/>
      <c r="K381" s="38"/>
      <c r="L381" s="38"/>
      <c r="M381" s="17"/>
    </row>
    <row r="382" spans="2:13" ht="14.45" customHeight="1" x14ac:dyDescent="0.25">
      <c r="B382" s="17"/>
      <c r="C382" s="14"/>
      <c r="D382" s="14"/>
      <c r="E382" s="18"/>
      <c r="F382" s="61"/>
      <c r="G382" s="73"/>
      <c r="H382" s="79"/>
      <c r="I382" s="79"/>
      <c r="J382" s="14"/>
      <c r="K382" s="38"/>
      <c r="L382" s="38"/>
      <c r="M382" s="17"/>
    </row>
    <row r="383" spans="2:13" ht="14.45" customHeight="1" x14ac:dyDescent="0.25">
      <c r="B383" s="17"/>
      <c r="C383" s="14"/>
      <c r="D383" s="14"/>
      <c r="E383" s="18"/>
      <c r="F383" s="61"/>
      <c r="G383" s="73"/>
      <c r="H383" s="79"/>
      <c r="I383" s="79"/>
      <c r="J383" s="14"/>
      <c r="K383" s="38"/>
      <c r="L383" s="38"/>
      <c r="M383" s="17"/>
    </row>
    <row r="384" spans="2:13" ht="14.45" customHeight="1" x14ac:dyDescent="0.25">
      <c r="B384" s="17"/>
      <c r="C384" s="14"/>
      <c r="D384" s="14"/>
      <c r="E384" s="18"/>
      <c r="F384" s="61"/>
      <c r="G384" s="73"/>
      <c r="H384" s="79"/>
      <c r="I384" s="79"/>
      <c r="J384" s="14"/>
      <c r="K384" s="38"/>
      <c r="L384" s="38"/>
      <c r="M384" s="17"/>
    </row>
    <row r="385" spans="2:13" ht="14.45" customHeight="1" x14ac:dyDescent="0.25">
      <c r="B385" s="17"/>
      <c r="C385" s="14"/>
      <c r="D385" s="14"/>
      <c r="E385" s="18"/>
      <c r="F385" s="61"/>
      <c r="G385" s="73"/>
      <c r="H385" s="79"/>
      <c r="I385" s="79"/>
      <c r="J385" s="14"/>
      <c r="K385" s="38"/>
      <c r="L385" s="38"/>
      <c r="M385" s="17"/>
    </row>
    <row r="386" spans="2:13" ht="14.45" customHeight="1" x14ac:dyDescent="0.25">
      <c r="B386" s="17"/>
      <c r="C386" s="14"/>
      <c r="D386" s="14"/>
      <c r="E386" s="18"/>
      <c r="F386" s="61"/>
      <c r="G386" s="73"/>
      <c r="H386" s="79"/>
      <c r="I386" s="79"/>
      <c r="J386" s="14"/>
      <c r="K386" s="38"/>
      <c r="L386" s="38"/>
      <c r="M386" s="17"/>
    </row>
    <row r="387" spans="2:13" ht="14.45" customHeight="1" x14ac:dyDescent="0.25">
      <c r="B387" s="17"/>
      <c r="C387" s="14"/>
      <c r="D387" s="14"/>
      <c r="E387" s="18"/>
      <c r="F387" s="61"/>
      <c r="G387" s="73"/>
      <c r="H387" s="79"/>
      <c r="I387" s="79"/>
      <c r="J387" s="14"/>
      <c r="K387" s="38"/>
      <c r="L387" s="38"/>
      <c r="M387" s="17"/>
    </row>
    <row r="388" spans="2:13" ht="14.45" customHeight="1" x14ac:dyDescent="0.25">
      <c r="B388" s="17"/>
      <c r="C388" s="14"/>
      <c r="D388" s="14"/>
      <c r="E388" s="18"/>
      <c r="F388" s="61"/>
      <c r="G388" s="73"/>
      <c r="H388" s="79"/>
      <c r="I388" s="79"/>
      <c r="J388" s="14"/>
      <c r="K388" s="38"/>
      <c r="L388" s="38"/>
      <c r="M388" s="17"/>
    </row>
    <row r="389" spans="2:13" ht="14.45" customHeight="1" x14ac:dyDescent="0.25">
      <c r="B389" s="17"/>
      <c r="C389" s="14"/>
      <c r="D389" s="14"/>
      <c r="E389" s="18"/>
      <c r="F389" s="61"/>
      <c r="G389" s="73"/>
      <c r="H389" s="79"/>
      <c r="I389" s="79"/>
      <c r="J389" s="14"/>
      <c r="K389" s="38"/>
      <c r="L389" s="38"/>
      <c r="M389" s="17"/>
    </row>
    <row r="390" spans="2:13" ht="14.45" customHeight="1" x14ac:dyDescent="0.25">
      <c r="B390" s="17"/>
      <c r="C390" s="14"/>
      <c r="D390" s="14"/>
      <c r="E390" s="18"/>
      <c r="F390" s="61"/>
      <c r="G390" s="73"/>
      <c r="H390" s="79"/>
      <c r="I390" s="79"/>
      <c r="J390" s="14"/>
      <c r="K390" s="38"/>
      <c r="L390" s="38"/>
      <c r="M390" s="17"/>
    </row>
    <row r="391" spans="2:13" ht="14.45" customHeight="1" x14ac:dyDescent="0.25">
      <c r="B391" s="17"/>
      <c r="C391" s="14"/>
      <c r="D391" s="14"/>
      <c r="E391" s="18"/>
      <c r="F391" s="61"/>
      <c r="G391" s="73"/>
      <c r="H391" s="79"/>
      <c r="I391" s="79"/>
      <c r="J391" s="14"/>
      <c r="K391" s="38"/>
      <c r="L391" s="38"/>
      <c r="M391" s="17"/>
    </row>
    <row r="392" spans="2:13" ht="14.45" customHeight="1" x14ac:dyDescent="0.25">
      <c r="B392" s="17"/>
      <c r="C392" s="14"/>
      <c r="D392" s="14"/>
      <c r="E392" s="18"/>
      <c r="F392" s="61"/>
      <c r="G392" s="73"/>
      <c r="H392" s="79"/>
      <c r="I392" s="79"/>
      <c r="J392" s="14"/>
      <c r="K392" s="38"/>
      <c r="L392" s="38"/>
      <c r="M392" s="17"/>
    </row>
    <row r="393" spans="2:13" ht="14.45" customHeight="1" x14ac:dyDescent="0.25">
      <c r="B393" s="17"/>
      <c r="C393" s="14"/>
      <c r="D393" s="14"/>
      <c r="E393" s="18"/>
      <c r="F393" s="61"/>
      <c r="G393" s="73"/>
      <c r="H393" s="79"/>
      <c r="I393" s="79"/>
      <c r="J393" s="14"/>
      <c r="K393" s="38"/>
      <c r="L393" s="38"/>
      <c r="M393" s="17"/>
    </row>
    <row r="394" spans="2:13" ht="14.45" customHeight="1" x14ac:dyDescent="0.25">
      <c r="B394" s="17"/>
      <c r="C394" s="14"/>
      <c r="D394" s="14"/>
      <c r="E394" s="18"/>
      <c r="F394" s="61"/>
      <c r="G394" s="73"/>
      <c r="H394" s="79"/>
      <c r="I394" s="79"/>
      <c r="J394" s="14"/>
      <c r="K394" s="38"/>
      <c r="L394" s="38"/>
      <c r="M394" s="17"/>
    </row>
    <row r="395" spans="2:13" ht="14.45" customHeight="1" x14ac:dyDescent="0.25">
      <c r="B395" s="17"/>
      <c r="C395" s="14"/>
      <c r="D395" s="14"/>
      <c r="E395" s="18"/>
      <c r="F395" s="61"/>
      <c r="G395" s="73"/>
      <c r="H395" s="79"/>
      <c r="I395" s="79"/>
      <c r="J395" s="14"/>
      <c r="K395" s="38"/>
      <c r="L395" s="38"/>
      <c r="M395" s="17"/>
    </row>
    <row r="396" spans="2:13" ht="14.45" customHeight="1" x14ac:dyDescent="0.25">
      <c r="B396" s="17"/>
      <c r="C396" s="14"/>
      <c r="D396" s="14"/>
      <c r="E396" s="18"/>
      <c r="F396" s="61"/>
      <c r="G396" s="73"/>
      <c r="H396" s="79"/>
      <c r="I396" s="79"/>
      <c r="J396" s="14"/>
      <c r="K396" s="38"/>
      <c r="L396" s="38"/>
      <c r="M396" s="17"/>
    </row>
    <row r="397" spans="2:13" ht="14.45" customHeight="1" x14ac:dyDescent="0.25">
      <c r="B397" s="17"/>
      <c r="C397" s="14"/>
      <c r="D397" s="14"/>
      <c r="E397" s="18"/>
      <c r="F397" s="61"/>
      <c r="G397" s="73"/>
      <c r="H397" s="79"/>
      <c r="I397" s="79"/>
      <c r="J397" s="14"/>
      <c r="K397" s="38"/>
      <c r="L397" s="38"/>
      <c r="M397" s="17"/>
    </row>
    <row r="398" spans="2:13" ht="14.45" customHeight="1" x14ac:dyDescent="0.25">
      <c r="B398" s="17"/>
      <c r="C398" s="14"/>
      <c r="D398" s="14"/>
      <c r="E398" s="18"/>
      <c r="F398" s="61"/>
      <c r="G398" s="73"/>
      <c r="H398" s="79"/>
      <c r="I398" s="79"/>
      <c r="J398" s="14"/>
      <c r="K398" s="38"/>
      <c r="L398" s="38"/>
      <c r="M398" s="17"/>
    </row>
    <row r="399" spans="2:13" ht="14.45" customHeight="1" x14ac:dyDescent="0.25">
      <c r="B399" s="17"/>
      <c r="C399" s="14"/>
      <c r="D399" s="14"/>
      <c r="E399" s="18"/>
      <c r="F399" s="61"/>
      <c r="G399" s="73"/>
      <c r="H399" s="79"/>
      <c r="I399" s="79"/>
      <c r="J399" s="14"/>
      <c r="K399" s="38"/>
      <c r="L399" s="38"/>
      <c r="M399" s="17"/>
    </row>
    <row r="400" spans="2:13" ht="14.45" customHeight="1" x14ac:dyDescent="0.25">
      <c r="B400" s="17"/>
      <c r="C400" s="14"/>
      <c r="D400" s="14"/>
      <c r="E400" s="18"/>
      <c r="F400" s="61"/>
      <c r="G400" s="73"/>
      <c r="H400" s="79"/>
      <c r="I400" s="79"/>
      <c r="J400" s="14"/>
      <c r="K400" s="38"/>
      <c r="L400" s="38"/>
      <c r="M400" s="17"/>
    </row>
    <row r="401" spans="2:13" ht="14.45" customHeight="1" x14ac:dyDescent="0.25">
      <c r="B401" s="17"/>
      <c r="C401" s="14"/>
      <c r="D401" s="14"/>
      <c r="E401" s="18"/>
      <c r="F401" s="61"/>
      <c r="G401" s="73"/>
      <c r="H401" s="79"/>
      <c r="I401" s="79"/>
      <c r="J401" s="14"/>
      <c r="K401" s="38"/>
      <c r="L401" s="38"/>
      <c r="M401" s="17"/>
    </row>
    <row r="402" spans="2:13" ht="14.45" customHeight="1" x14ac:dyDescent="0.25">
      <c r="B402" s="17"/>
      <c r="C402" s="14"/>
      <c r="D402" s="14"/>
      <c r="E402" s="18"/>
      <c r="F402" s="61"/>
      <c r="G402" s="73"/>
      <c r="H402" s="79"/>
      <c r="I402" s="79"/>
      <c r="J402" s="14"/>
      <c r="K402" s="38"/>
      <c r="L402" s="38"/>
      <c r="M402" s="17"/>
    </row>
    <row r="403" spans="2:13" ht="14.45" customHeight="1" x14ac:dyDescent="0.25">
      <c r="B403" s="17"/>
      <c r="C403" s="14"/>
      <c r="D403" s="14"/>
      <c r="E403" s="18"/>
      <c r="F403" s="61"/>
      <c r="G403" s="73"/>
      <c r="H403" s="79"/>
      <c r="I403" s="79"/>
      <c r="J403" s="14"/>
      <c r="K403" s="38"/>
      <c r="L403" s="38"/>
      <c r="M403" s="17"/>
    </row>
    <row r="404" spans="2:13" ht="14.45" customHeight="1" x14ac:dyDescent="0.25">
      <c r="B404" s="17"/>
      <c r="C404" s="14"/>
      <c r="D404" s="14"/>
      <c r="E404" s="18"/>
      <c r="F404" s="61"/>
      <c r="G404" s="73"/>
      <c r="H404" s="79"/>
      <c r="I404" s="79"/>
      <c r="J404" s="14"/>
      <c r="K404" s="38"/>
      <c r="L404" s="38"/>
      <c r="M404" s="17"/>
    </row>
    <row r="405" spans="2:13" ht="14.45" customHeight="1" x14ac:dyDescent="0.25">
      <c r="B405" s="17"/>
      <c r="C405" s="14"/>
      <c r="D405" s="14"/>
      <c r="E405" s="18"/>
      <c r="F405" s="61"/>
      <c r="G405" s="73"/>
      <c r="H405" s="79"/>
      <c r="I405" s="79"/>
      <c r="J405" s="14"/>
      <c r="K405" s="38"/>
      <c r="L405" s="38"/>
      <c r="M405" s="17"/>
    </row>
    <row r="406" spans="2:13" ht="14.45" customHeight="1" x14ac:dyDescent="0.25">
      <c r="B406" s="17"/>
      <c r="C406" s="14"/>
      <c r="D406" s="14"/>
      <c r="E406" s="18"/>
      <c r="F406" s="61"/>
      <c r="G406" s="73"/>
      <c r="H406" s="79"/>
      <c r="I406" s="79"/>
      <c r="J406" s="14"/>
      <c r="K406" s="38"/>
      <c r="L406" s="38"/>
      <c r="M406" s="17"/>
    </row>
    <row r="407" spans="2:13" ht="14.45" customHeight="1" x14ac:dyDescent="0.25">
      <c r="B407" s="17"/>
      <c r="C407" s="14"/>
      <c r="D407" s="14"/>
      <c r="E407" s="18"/>
      <c r="F407" s="61"/>
      <c r="G407" s="73"/>
      <c r="H407" s="79"/>
      <c r="I407" s="79"/>
      <c r="J407" s="14"/>
      <c r="K407" s="38"/>
      <c r="L407" s="38"/>
      <c r="M407" s="17"/>
    </row>
    <row r="408" spans="2:13" ht="14.45" customHeight="1" x14ac:dyDescent="0.25">
      <c r="B408" s="17"/>
      <c r="C408" s="14"/>
      <c r="D408" s="14"/>
      <c r="E408" s="18"/>
      <c r="F408" s="61"/>
      <c r="G408" s="73"/>
      <c r="H408" s="79"/>
      <c r="I408" s="79"/>
      <c r="J408" s="14"/>
      <c r="K408" s="38"/>
      <c r="L408" s="38"/>
      <c r="M408" s="17"/>
    </row>
    <row r="409" spans="2:13" ht="14.45" customHeight="1" x14ac:dyDescent="0.25">
      <c r="B409" s="17"/>
      <c r="C409" s="14"/>
      <c r="D409" s="14"/>
      <c r="E409" s="18"/>
      <c r="F409" s="61"/>
      <c r="G409" s="73"/>
      <c r="H409" s="79"/>
      <c r="I409" s="79"/>
      <c r="J409" s="14"/>
      <c r="K409" s="38"/>
      <c r="L409" s="38"/>
      <c r="M409" s="17"/>
    </row>
    <row r="410" spans="2:13" ht="14.45" customHeight="1" x14ac:dyDescent="0.25">
      <c r="B410" s="17"/>
      <c r="C410" s="14"/>
      <c r="D410" s="14"/>
      <c r="E410" s="18"/>
      <c r="F410" s="61"/>
      <c r="G410" s="73"/>
      <c r="H410" s="79"/>
      <c r="I410" s="79"/>
      <c r="J410" s="14"/>
      <c r="K410" s="38"/>
      <c r="L410" s="38"/>
      <c r="M410" s="17"/>
    </row>
    <row r="411" spans="2:13" ht="14.45" customHeight="1" x14ac:dyDescent="0.25">
      <c r="B411" s="17"/>
      <c r="C411" s="14"/>
      <c r="D411" s="14"/>
      <c r="E411" s="18"/>
      <c r="F411" s="61"/>
      <c r="G411" s="73"/>
      <c r="H411" s="79"/>
      <c r="I411" s="79"/>
      <c r="J411" s="14"/>
      <c r="K411" s="38"/>
      <c r="L411" s="38"/>
      <c r="M411" s="17"/>
    </row>
    <row r="412" spans="2:13" ht="14.45" customHeight="1" x14ac:dyDescent="0.25">
      <c r="B412" s="17"/>
      <c r="C412" s="14"/>
      <c r="D412" s="14"/>
      <c r="E412" s="18"/>
      <c r="F412" s="61"/>
      <c r="G412" s="73"/>
      <c r="H412" s="79"/>
      <c r="I412" s="79"/>
      <c r="J412" s="14"/>
      <c r="K412" s="38"/>
      <c r="L412" s="38"/>
      <c r="M412" s="17"/>
    </row>
    <row r="413" spans="2:13" ht="14.45" customHeight="1" x14ac:dyDescent="0.25">
      <c r="B413" s="17"/>
      <c r="C413" s="14"/>
      <c r="D413" s="14"/>
      <c r="E413" s="18"/>
      <c r="F413" s="61"/>
      <c r="G413" s="73"/>
      <c r="H413" s="79"/>
      <c r="I413" s="79"/>
      <c r="J413" s="14"/>
      <c r="K413" s="38"/>
      <c r="L413" s="38"/>
      <c r="M413" s="17"/>
    </row>
    <row r="414" spans="2:13" ht="14.45" customHeight="1" x14ac:dyDescent="0.25">
      <c r="B414" s="17"/>
      <c r="C414" s="14"/>
      <c r="D414" s="14"/>
      <c r="E414" s="18"/>
      <c r="F414" s="61"/>
      <c r="G414" s="73"/>
      <c r="H414" s="79"/>
      <c r="I414" s="79"/>
      <c r="J414" s="14"/>
      <c r="K414" s="38"/>
      <c r="L414" s="38"/>
      <c r="M414" s="17"/>
    </row>
    <row r="415" spans="2:13" ht="14.45" customHeight="1" x14ac:dyDescent="0.25">
      <c r="B415" s="17"/>
      <c r="C415" s="14"/>
      <c r="D415" s="14"/>
      <c r="E415" s="18"/>
      <c r="F415" s="61"/>
      <c r="G415" s="73"/>
      <c r="H415" s="79"/>
      <c r="I415" s="79"/>
      <c r="J415" s="14"/>
      <c r="K415" s="38"/>
      <c r="L415" s="38"/>
      <c r="M415" s="17"/>
    </row>
    <row r="416" spans="2:13" ht="14.45" customHeight="1" x14ac:dyDescent="0.25">
      <c r="B416" s="17"/>
      <c r="C416" s="14"/>
      <c r="D416" s="14"/>
      <c r="E416" s="18"/>
      <c r="F416" s="61"/>
      <c r="G416" s="73"/>
      <c r="H416" s="79"/>
      <c r="I416" s="79"/>
      <c r="J416" s="14"/>
      <c r="K416" s="38"/>
      <c r="L416" s="38"/>
      <c r="M416" s="17"/>
    </row>
    <row r="417" spans="2:13" ht="14.45" customHeight="1" x14ac:dyDescent="0.25">
      <c r="B417" s="17"/>
      <c r="C417" s="14"/>
      <c r="D417" s="14"/>
      <c r="E417" s="18"/>
      <c r="F417" s="61"/>
      <c r="G417" s="73"/>
      <c r="H417" s="79"/>
      <c r="I417" s="79"/>
      <c r="J417" s="14"/>
      <c r="K417" s="38"/>
      <c r="L417" s="38"/>
      <c r="M417" s="17"/>
    </row>
    <row r="418" spans="2:13" ht="14.45" customHeight="1" x14ac:dyDescent="0.25">
      <c r="B418" s="17"/>
      <c r="C418" s="14"/>
      <c r="D418" s="14"/>
      <c r="E418" s="18"/>
      <c r="F418" s="61"/>
      <c r="G418" s="73"/>
      <c r="H418" s="79"/>
      <c r="I418" s="79"/>
      <c r="J418" s="14"/>
      <c r="K418" s="38"/>
      <c r="L418" s="38"/>
      <c r="M418" s="17"/>
    </row>
    <row r="419" spans="2:13" ht="14.45" customHeight="1" x14ac:dyDescent="0.25">
      <c r="B419" s="17"/>
      <c r="C419" s="14"/>
      <c r="D419" s="14"/>
      <c r="E419" s="18"/>
      <c r="F419" s="61"/>
      <c r="G419" s="73"/>
      <c r="H419" s="79"/>
      <c r="I419" s="79"/>
      <c r="J419" s="14"/>
      <c r="K419" s="38"/>
      <c r="L419" s="38"/>
      <c r="M419" s="17"/>
    </row>
    <row r="420" spans="2:13" ht="14.45" customHeight="1" x14ac:dyDescent="0.25">
      <c r="B420" s="17"/>
      <c r="C420" s="14"/>
      <c r="D420" s="14"/>
      <c r="E420" s="18"/>
      <c r="F420" s="61"/>
      <c r="G420" s="73"/>
      <c r="H420" s="79"/>
      <c r="I420" s="79"/>
      <c r="J420" s="14"/>
      <c r="K420" s="38"/>
      <c r="L420" s="38"/>
      <c r="M420" s="17"/>
    </row>
    <row r="421" spans="2:13" ht="14.45" customHeight="1" x14ac:dyDescent="0.25">
      <c r="B421" s="17"/>
      <c r="C421" s="14"/>
      <c r="D421" s="14"/>
      <c r="E421" s="18"/>
      <c r="F421" s="61"/>
      <c r="G421" s="73"/>
      <c r="H421" s="79"/>
      <c r="I421" s="79"/>
      <c r="J421" s="14"/>
      <c r="K421" s="38"/>
      <c r="L421" s="38"/>
      <c r="M421" s="17"/>
    </row>
    <row r="422" spans="2:13" ht="14.45" customHeight="1" x14ac:dyDescent="0.25">
      <c r="B422" s="17"/>
      <c r="C422" s="14"/>
      <c r="D422" s="14"/>
      <c r="E422" s="18"/>
      <c r="F422" s="61"/>
      <c r="G422" s="73"/>
      <c r="H422" s="79"/>
      <c r="I422" s="79"/>
      <c r="J422" s="14"/>
      <c r="K422" s="38"/>
      <c r="L422" s="38"/>
      <c r="M422" s="17"/>
    </row>
    <row r="423" spans="2:13" ht="14.45" customHeight="1" x14ac:dyDescent="0.25">
      <c r="B423" s="17"/>
      <c r="C423" s="14"/>
      <c r="D423" s="14"/>
      <c r="E423" s="18"/>
      <c r="F423" s="61"/>
      <c r="G423" s="73"/>
      <c r="H423" s="79"/>
      <c r="I423" s="79"/>
      <c r="J423" s="14"/>
      <c r="K423" s="38"/>
      <c r="L423" s="38"/>
      <c r="M423" s="17"/>
    </row>
    <row r="424" spans="2:13" ht="14.45" customHeight="1" x14ac:dyDescent="0.25">
      <c r="B424" s="17"/>
      <c r="C424" s="14"/>
      <c r="D424" s="14"/>
      <c r="E424" s="18"/>
      <c r="F424" s="61"/>
      <c r="G424" s="73"/>
      <c r="H424" s="79"/>
      <c r="I424" s="79"/>
      <c r="J424" s="14"/>
      <c r="K424" s="38"/>
      <c r="L424" s="38"/>
      <c r="M424" s="17"/>
    </row>
    <row r="425" spans="2:13" ht="14.45" customHeight="1" x14ac:dyDescent="0.25">
      <c r="B425" s="17"/>
      <c r="C425" s="14"/>
      <c r="D425" s="14"/>
      <c r="E425" s="18"/>
      <c r="F425" s="61"/>
      <c r="G425" s="73"/>
      <c r="H425" s="79"/>
      <c r="I425" s="79"/>
      <c r="J425" s="14"/>
      <c r="K425" s="38"/>
      <c r="L425" s="38"/>
      <c r="M425" s="17"/>
    </row>
    <row r="426" spans="2:13" ht="14.45" customHeight="1" x14ac:dyDescent="0.25">
      <c r="B426" s="17"/>
      <c r="C426" s="14"/>
      <c r="D426" s="14"/>
      <c r="E426" s="18"/>
      <c r="F426" s="61"/>
      <c r="G426" s="73"/>
      <c r="H426" s="79"/>
      <c r="I426" s="79"/>
      <c r="J426" s="14"/>
      <c r="K426" s="38"/>
      <c r="L426" s="38"/>
      <c r="M426" s="17"/>
    </row>
    <row r="427" spans="2:13" ht="14.45" customHeight="1" x14ac:dyDescent="0.25">
      <c r="B427" s="17"/>
      <c r="C427" s="14"/>
      <c r="D427" s="14"/>
      <c r="E427" s="18"/>
      <c r="F427" s="61"/>
      <c r="G427" s="73"/>
      <c r="H427" s="79"/>
      <c r="I427" s="79"/>
      <c r="J427" s="14"/>
      <c r="K427" s="38"/>
      <c r="L427" s="38"/>
      <c r="M427" s="17"/>
    </row>
    <row r="428" spans="2:13" ht="14.45" customHeight="1" x14ac:dyDescent="0.25">
      <c r="B428" s="17"/>
      <c r="C428" s="14"/>
      <c r="D428" s="14"/>
      <c r="E428" s="18"/>
      <c r="F428" s="61"/>
      <c r="G428" s="73"/>
      <c r="H428" s="79"/>
      <c r="I428" s="79"/>
      <c r="J428" s="14"/>
      <c r="K428" s="38"/>
      <c r="L428" s="38"/>
      <c r="M428" s="17"/>
    </row>
    <row r="429" spans="2:13" ht="14.45" customHeight="1" x14ac:dyDescent="0.25">
      <c r="B429" s="17"/>
      <c r="C429" s="14"/>
      <c r="D429" s="14"/>
      <c r="E429" s="18"/>
      <c r="F429" s="61"/>
      <c r="G429" s="73"/>
      <c r="H429" s="79"/>
      <c r="I429" s="79"/>
      <c r="J429" s="14"/>
      <c r="K429" s="38"/>
      <c r="L429" s="38"/>
      <c r="M429" s="17"/>
    </row>
    <row r="430" spans="2:13" ht="14.45" customHeight="1" x14ac:dyDescent="0.25">
      <c r="B430" s="17"/>
      <c r="C430" s="14"/>
      <c r="D430" s="14"/>
      <c r="E430" s="18"/>
      <c r="F430" s="61"/>
      <c r="G430" s="73"/>
      <c r="H430" s="79"/>
      <c r="I430" s="79"/>
      <c r="J430" s="14"/>
      <c r="K430" s="38"/>
      <c r="L430" s="38"/>
      <c r="M430" s="17"/>
    </row>
    <row r="431" spans="2:13" ht="14.45" customHeight="1" x14ac:dyDescent="0.25">
      <c r="B431" s="17"/>
      <c r="C431" s="14"/>
      <c r="D431" s="14"/>
      <c r="E431" s="18"/>
      <c r="F431" s="61"/>
      <c r="G431" s="73"/>
      <c r="H431" s="79"/>
      <c r="I431" s="79"/>
      <c r="J431" s="14"/>
      <c r="K431" s="38"/>
      <c r="L431" s="38"/>
      <c r="M431" s="17"/>
    </row>
    <row r="432" spans="2:13" ht="14.45" customHeight="1" x14ac:dyDescent="0.25">
      <c r="B432" s="17"/>
      <c r="C432" s="14"/>
      <c r="D432" s="14"/>
      <c r="E432" s="18"/>
      <c r="F432" s="61"/>
      <c r="G432" s="73"/>
      <c r="H432" s="79"/>
      <c r="I432" s="79"/>
      <c r="J432" s="14"/>
      <c r="K432" s="38"/>
      <c r="L432" s="38"/>
      <c r="M432" s="17"/>
    </row>
    <row r="433" spans="2:13" ht="14.45" customHeight="1" x14ac:dyDescent="0.25">
      <c r="B433" s="17"/>
      <c r="C433" s="14"/>
      <c r="D433" s="14"/>
      <c r="E433" s="18"/>
      <c r="F433" s="61"/>
      <c r="G433" s="73"/>
      <c r="H433" s="79"/>
      <c r="I433" s="79"/>
      <c r="J433" s="14"/>
      <c r="K433" s="38"/>
      <c r="L433" s="38"/>
      <c r="M433" s="17"/>
    </row>
    <row r="434" spans="2:13" ht="14.45" customHeight="1" x14ac:dyDescent="0.25">
      <c r="B434" s="17"/>
      <c r="C434" s="14"/>
      <c r="D434" s="14"/>
      <c r="E434" s="18"/>
      <c r="F434" s="61"/>
      <c r="G434" s="73"/>
      <c r="H434" s="79"/>
      <c r="I434" s="79"/>
      <c r="J434" s="14"/>
      <c r="K434" s="38"/>
      <c r="L434" s="38"/>
      <c r="M434" s="17"/>
    </row>
    <row r="435" spans="2:13" ht="14.45" customHeight="1" x14ac:dyDescent="0.25">
      <c r="B435" s="17"/>
      <c r="C435" s="14"/>
      <c r="D435" s="14"/>
      <c r="E435" s="18"/>
      <c r="F435" s="61"/>
      <c r="G435" s="73"/>
      <c r="H435" s="79"/>
      <c r="I435" s="79"/>
      <c r="J435" s="14"/>
      <c r="K435" s="38"/>
      <c r="L435" s="38"/>
      <c r="M435" s="17"/>
    </row>
    <row r="436" spans="2:13" ht="14.45" customHeight="1" x14ac:dyDescent="0.25">
      <c r="B436" s="17"/>
      <c r="C436" s="14"/>
      <c r="D436" s="14"/>
      <c r="E436" s="18"/>
      <c r="F436" s="61"/>
      <c r="G436" s="73"/>
      <c r="H436" s="79"/>
      <c r="I436" s="79"/>
      <c r="J436" s="14"/>
      <c r="K436" s="38"/>
      <c r="L436" s="38"/>
      <c r="M436" s="17"/>
    </row>
    <row r="437" spans="2:13" ht="14.45" customHeight="1" x14ac:dyDescent="0.25">
      <c r="B437" s="17"/>
      <c r="C437" s="14"/>
      <c r="D437" s="14"/>
      <c r="E437" s="18"/>
      <c r="F437" s="61"/>
      <c r="G437" s="73"/>
      <c r="H437" s="79"/>
      <c r="I437" s="79"/>
      <c r="J437" s="14"/>
      <c r="K437" s="38"/>
      <c r="L437" s="38"/>
      <c r="M437" s="17"/>
    </row>
    <row r="438" spans="2:13" ht="14.45" customHeight="1" x14ac:dyDescent="0.25">
      <c r="B438" s="17"/>
      <c r="C438" s="14"/>
      <c r="D438" s="14"/>
      <c r="E438" s="18"/>
      <c r="F438" s="61"/>
      <c r="G438" s="73"/>
      <c r="H438" s="79"/>
      <c r="I438" s="79"/>
      <c r="J438" s="14"/>
      <c r="K438" s="38"/>
      <c r="L438" s="38"/>
      <c r="M438" s="17"/>
    </row>
    <row r="439" spans="2:13" ht="14.45" customHeight="1" x14ac:dyDescent="0.25">
      <c r="B439" s="17"/>
      <c r="C439" s="14"/>
      <c r="D439" s="14"/>
      <c r="E439" s="18"/>
      <c r="F439" s="61"/>
      <c r="G439" s="73"/>
      <c r="H439" s="79"/>
      <c r="I439" s="79"/>
      <c r="J439" s="14"/>
      <c r="K439" s="38"/>
      <c r="L439" s="38"/>
      <c r="M439" s="17"/>
    </row>
    <row r="440" spans="2:13" ht="14.45" customHeight="1" x14ac:dyDescent="0.25">
      <c r="B440" s="17"/>
      <c r="C440" s="14"/>
      <c r="D440" s="14"/>
      <c r="E440" s="18"/>
      <c r="F440" s="61"/>
      <c r="G440" s="73"/>
      <c r="H440" s="79"/>
      <c r="I440" s="79"/>
      <c r="J440" s="14"/>
      <c r="K440" s="38"/>
      <c r="L440" s="38"/>
      <c r="M440" s="17"/>
    </row>
    <row r="441" spans="2:13" ht="14.45" customHeight="1" x14ac:dyDescent="0.25">
      <c r="B441" s="17"/>
      <c r="C441" s="14"/>
      <c r="D441" s="14"/>
      <c r="E441" s="18"/>
      <c r="F441" s="61"/>
      <c r="G441" s="73"/>
      <c r="H441" s="79"/>
      <c r="I441" s="79"/>
      <c r="J441" s="14"/>
      <c r="K441" s="38"/>
      <c r="L441" s="38"/>
      <c r="M441" s="17"/>
    </row>
    <row r="442" spans="2:13" ht="14.45" customHeight="1" x14ac:dyDescent="0.25">
      <c r="B442" s="17"/>
      <c r="C442" s="14"/>
      <c r="D442" s="14"/>
      <c r="E442" s="18"/>
      <c r="F442" s="61"/>
      <c r="G442" s="73"/>
      <c r="H442" s="79"/>
      <c r="I442" s="79"/>
      <c r="J442" s="14"/>
      <c r="K442" s="38"/>
      <c r="L442" s="38"/>
      <c r="M442" s="17"/>
    </row>
    <row r="443" spans="2:13" ht="14.45" customHeight="1" x14ac:dyDescent="0.25">
      <c r="B443" s="17"/>
      <c r="C443" s="14"/>
      <c r="D443" s="14"/>
      <c r="E443" s="18"/>
      <c r="F443" s="61"/>
      <c r="G443" s="73"/>
      <c r="H443" s="79"/>
      <c r="I443" s="79"/>
      <c r="J443" s="14"/>
      <c r="K443" s="38"/>
      <c r="L443" s="38"/>
      <c r="M443" s="17"/>
    </row>
    <row r="444" spans="2:13" ht="14.45" customHeight="1" x14ac:dyDescent="0.25">
      <c r="B444" s="17"/>
      <c r="C444" s="14"/>
      <c r="D444" s="14"/>
      <c r="E444" s="18"/>
      <c r="F444" s="61"/>
      <c r="G444" s="73"/>
      <c r="H444" s="79"/>
      <c r="I444" s="79"/>
      <c r="J444" s="14"/>
      <c r="K444" s="38"/>
      <c r="L444" s="38"/>
      <c r="M444" s="17"/>
    </row>
    <row r="445" spans="2:13" ht="14.45" customHeight="1" x14ac:dyDescent="0.25">
      <c r="B445" s="17"/>
      <c r="C445" s="14"/>
      <c r="D445" s="14"/>
      <c r="E445" s="18"/>
      <c r="F445" s="61"/>
      <c r="G445" s="73"/>
      <c r="H445" s="79"/>
      <c r="I445" s="79"/>
      <c r="J445" s="14"/>
      <c r="K445" s="38"/>
      <c r="L445" s="38"/>
      <c r="M445" s="17"/>
    </row>
    <row r="446" spans="2:13" ht="14.45" customHeight="1" x14ac:dyDescent="0.25">
      <c r="B446" s="17"/>
      <c r="C446" s="14"/>
      <c r="D446" s="14"/>
      <c r="E446" s="18"/>
      <c r="F446" s="61"/>
      <c r="G446" s="73"/>
      <c r="H446" s="79"/>
      <c r="I446" s="79"/>
      <c r="J446" s="14"/>
      <c r="K446" s="38"/>
      <c r="L446" s="38"/>
      <c r="M446" s="17"/>
    </row>
    <row r="447" spans="2:13" ht="14.45" customHeight="1" x14ac:dyDescent="0.25">
      <c r="B447" s="17"/>
      <c r="C447" s="14"/>
      <c r="D447" s="14"/>
      <c r="E447" s="18"/>
      <c r="F447" s="61"/>
      <c r="G447" s="73"/>
      <c r="H447" s="79"/>
      <c r="I447" s="79"/>
      <c r="J447" s="14"/>
      <c r="K447" s="38"/>
      <c r="L447" s="38"/>
      <c r="M447" s="17"/>
    </row>
    <row r="448" spans="2:13" ht="14.45" customHeight="1" x14ac:dyDescent="0.25">
      <c r="B448" s="17"/>
      <c r="C448" s="14"/>
      <c r="D448" s="14"/>
      <c r="E448" s="18"/>
      <c r="F448" s="61"/>
      <c r="G448" s="73"/>
      <c r="H448" s="79"/>
      <c r="I448" s="79"/>
      <c r="J448" s="14"/>
      <c r="K448" s="38"/>
      <c r="L448" s="38"/>
      <c r="M448" s="17"/>
    </row>
    <row r="449" spans="2:13" ht="14.45" customHeight="1" x14ac:dyDescent="0.25">
      <c r="B449" s="17"/>
      <c r="C449" s="14"/>
      <c r="D449" s="14"/>
      <c r="E449" s="18"/>
      <c r="F449" s="61"/>
      <c r="G449" s="73"/>
      <c r="H449" s="79"/>
      <c r="I449" s="79"/>
      <c r="J449" s="14"/>
      <c r="K449" s="38"/>
      <c r="L449" s="38"/>
      <c r="M449" s="17"/>
    </row>
    <row r="450" spans="2:13" ht="14.45" customHeight="1" x14ac:dyDescent="0.25">
      <c r="B450" s="17"/>
      <c r="C450" s="14"/>
      <c r="D450" s="14"/>
      <c r="E450" s="18"/>
      <c r="F450" s="61"/>
      <c r="G450" s="73"/>
      <c r="H450" s="79"/>
      <c r="I450" s="79"/>
      <c r="J450" s="14"/>
      <c r="K450" s="38"/>
      <c r="L450" s="38"/>
      <c r="M450" s="17"/>
    </row>
    <row r="451" spans="2:13" ht="14.45" customHeight="1" x14ac:dyDescent="0.25">
      <c r="B451" s="17"/>
      <c r="C451" s="14"/>
      <c r="D451" s="14"/>
      <c r="E451" s="18"/>
      <c r="F451" s="61"/>
      <c r="G451" s="73"/>
      <c r="H451" s="79"/>
      <c r="I451" s="79"/>
      <c r="J451" s="14"/>
      <c r="K451" s="38"/>
      <c r="L451" s="38"/>
      <c r="M451" s="17"/>
    </row>
    <row r="452" spans="2:13" ht="14.45" customHeight="1" x14ac:dyDescent="0.25">
      <c r="B452" s="17"/>
      <c r="C452" s="14"/>
      <c r="D452" s="14"/>
      <c r="E452" s="18"/>
      <c r="F452" s="61"/>
      <c r="G452" s="73"/>
      <c r="H452" s="79"/>
      <c r="I452" s="79"/>
      <c r="J452" s="14"/>
      <c r="K452" s="38"/>
      <c r="L452" s="38"/>
      <c r="M452" s="17"/>
    </row>
    <row r="453" spans="2:13" ht="14.45" customHeight="1" x14ac:dyDescent="0.25">
      <c r="B453" s="17"/>
      <c r="C453" s="14"/>
      <c r="D453" s="14"/>
      <c r="E453" s="18"/>
      <c r="F453" s="61"/>
      <c r="G453" s="73"/>
      <c r="H453" s="79"/>
      <c r="I453" s="79"/>
      <c r="J453" s="14"/>
      <c r="K453" s="38"/>
      <c r="L453" s="38"/>
      <c r="M453" s="17"/>
    </row>
    <row r="454" spans="2:13" ht="14.45" customHeight="1" x14ac:dyDescent="0.25">
      <c r="B454" s="17"/>
      <c r="C454" s="14"/>
      <c r="D454" s="14"/>
      <c r="E454" s="18"/>
      <c r="F454" s="61"/>
      <c r="G454" s="73"/>
      <c r="H454" s="79"/>
      <c r="I454" s="79"/>
      <c r="J454" s="14"/>
      <c r="K454" s="38"/>
      <c r="L454" s="38"/>
      <c r="M454" s="17"/>
    </row>
    <row r="455" spans="2:13" ht="14.45" customHeight="1" x14ac:dyDescent="0.25">
      <c r="B455" s="17"/>
      <c r="C455" s="14"/>
      <c r="D455" s="14"/>
      <c r="E455" s="18"/>
      <c r="F455" s="61"/>
      <c r="G455" s="73"/>
      <c r="H455" s="79"/>
      <c r="I455" s="79"/>
      <c r="J455" s="14"/>
      <c r="K455" s="38"/>
      <c r="L455" s="38"/>
      <c r="M455" s="17"/>
    </row>
    <row r="456" spans="2:13" ht="14.45" customHeight="1" x14ac:dyDescent="0.25">
      <c r="B456" s="17"/>
      <c r="C456" s="14"/>
      <c r="D456" s="14"/>
      <c r="E456" s="18"/>
      <c r="F456" s="61"/>
      <c r="G456" s="73"/>
      <c r="H456" s="79"/>
      <c r="I456" s="79"/>
      <c r="J456" s="14"/>
      <c r="K456" s="38"/>
      <c r="L456" s="38"/>
      <c r="M456" s="17"/>
    </row>
    <row r="457" spans="2:13" ht="14.45" customHeight="1" x14ac:dyDescent="0.25">
      <c r="B457" s="17"/>
      <c r="C457" s="14"/>
      <c r="D457" s="14"/>
      <c r="E457" s="18"/>
      <c r="F457" s="61"/>
      <c r="G457" s="73"/>
      <c r="H457" s="79"/>
      <c r="I457" s="79"/>
      <c r="J457" s="14"/>
      <c r="K457" s="38"/>
      <c r="L457" s="38"/>
      <c r="M457" s="17"/>
    </row>
    <row r="458" spans="2:13" ht="14.45" customHeight="1" x14ac:dyDescent="0.25">
      <c r="B458" s="17"/>
      <c r="C458" s="14"/>
      <c r="D458" s="14"/>
      <c r="E458" s="18"/>
      <c r="F458" s="61"/>
      <c r="G458" s="73"/>
      <c r="H458" s="79"/>
      <c r="I458" s="79"/>
      <c r="J458" s="14"/>
      <c r="K458" s="38"/>
      <c r="L458" s="38"/>
      <c r="M458" s="17"/>
    </row>
    <row r="459" spans="2:13" ht="14.45" customHeight="1" x14ac:dyDescent="0.25">
      <c r="B459" s="17"/>
      <c r="C459" s="14"/>
      <c r="D459" s="14"/>
      <c r="E459" s="18"/>
      <c r="F459" s="61"/>
      <c r="G459" s="73"/>
      <c r="H459" s="79"/>
      <c r="I459" s="79"/>
      <c r="J459" s="14"/>
      <c r="K459" s="38"/>
      <c r="L459" s="38"/>
      <c r="M459" s="17"/>
    </row>
    <row r="460" spans="2:13" ht="14.45" customHeight="1" x14ac:dyDescent="0.25">
      <c r="B460" s="17"/>
      <c r="C460" s="14"/>
      <c r="D460" s="14"/>
      <c r="E460" s="18"/>
      <c r="F460" s="61"/>
      <c r="G460" s="73"/>
      <c r="H460" s="79"/>
      <c r="I460" s="79"/>
      <c r="J460" s="14"/>
      <c r="K460" s="38"/>
      <c r="L460" s="38"/>
      <c r="M460" s="17"/>
    </row>
    <row r="461" spans="2:13" ht="14.45" customHeight="1" x14ac:dyDescent="0.25">
      <c r="B461" s="17"/>
      <c r="C461" s="14"/>
      <c r="D461" s="14"/>
      <c r="E461" s="18"/>
      <c r="F461" s="61"/>
      <c r="G461" s="73"/>
      <c r="H461" s="79"/>
      <c r="I461" s="79"/>
      <c r="J461" s="14"/>
      <c r="K461" s="38"/>
      <c r="L461" s="38"/>
      <c r="M461" s="17"/>
    </row>
    <row r="462" spans="2:13" ht="14.45" customHeight="1" x14ac:dyDescent="0.25">
      <c r="B462" s="17"/>
      <c r="C462" s="14"/>
      <c r="D462" s="14"/>
      <c r="E462" s="18"/>
      <c r="F462" s="61"/>
      <c r="G462" s="73"/>
      <c r="H462" s="79"/>
      <c r="I462" s="79"/>
      <c r="J462" s="14"/>
      <c r="K462" s="38"/>
      <c r="L462" s="38"/>
      <c r="M462" s="17"/>
    </row>
    <row r="463" spans="2:13" ht="14.45" customHeight="1" x14ac:dyDescent="0.25">
      <c r="B463" s="17"/>
      <c r="C463" s="14"/>
      <c r="D463" s="14"/>
      <c r="E463" s="18"/>
      <c r="F463" s="61"/>
      <c r="G463" s="73"/>
      <c r="H463" s="79"/>
      <c r="I463" s="79"/>
      <c r="J463" s="14"/>
      <c r="K463" s="38"/>
      <c r="L463" s="38"/>
      <c r="M463" s="17"/>
    </row>
    <row r="464" spans="2:13" ht="14.45" customHeight="1" x14ac:dyDescent="0.25">
      <c r="B464" s="17"/>
      <c r="C464" s="14"/>
      <c r="D464" s="14"/>
      <c r="E464" s="18"/>
      <c r="F464" s="61"/>
      <c r="G464" s="73"/>
      <c r="H464" s="79"/>
      <c r="I464" s="79"/>
      <c r="J464" s="14"/>
      <c r="K464" s="38"/>
      <c r="L464" s="38"/>
      <c r="M464" s="17"/>
    </row>
    <row r="465" spans="2:13" ht="14.45" customHeight="1" x14ac:dyDescent="0.25">
      <c r="B465" s="17"/>
      <c r="C465" s="14"/>
      <c r="D465" s="14"/>
      <c r="E465" s="18"/>
      <c r="F465" s="61"/>
      <c r="G465" s="73"/>
      <c r="H465" s="79"/>
      <c r="I465" s="79"/>
      <c r="J465" s="14"/>
      <c r="K465" s="38"/>
      <c r="L465" s="38"/>
      <c r="M465" s="17"/>
    </row>
    <row r="466" spans="2:13" ht="14.45" customHeight="1" x14ac:dyDescent="0.25">
      <c r="B466" s="17"/>
      <c r="C466" s="14"/>
      <c r="D466" s="14"/>
      <c r="E466" s="18"/>
      <c r="F466" s="61"/>
      <c r="G466" s="73"/>
      <c r="H466" s="79"/>
      <c r="I466" s="79"/>
      <c r="J466" s="14"/>
      <c r="K466" s="38"/>
      <c r="L466" s="38"/>
      <c r="M466" s="17"/>
    </row>
    <row r="467" spans="2:13" ht="14.45" customHeight="1" x14ac:dyDescent="0.25">
      <c r="B467" s="17"/>
      <c r="C467" s="14"/>
      <c r="D467" s="14"/>
      <c r="E467" s="18"/>
      <c r="F467" s="61"/>
      <c r="G467" s="73"/>
      <c r="H467" s="79"/>
      <c r="I467" s="79"/>
      <c r="J467" s="14"/>
      <c r="K467" s="38"/>
      <c r="L467" s="38"/>
      <c r="M467" s="17"/>
    </row>
    <row r="468" spans="2:13" ht="14.45" customHeight="1" x14ac:dyDescent="0.25">
      <c r="B468" s="17"/>
      <c r="C468" s="14"/>
      <c r="D468" s="14"/>
      <c r="E468" s="18"/>
      <c r="F468" s="61"/>
      <c r="G468" s="73"/>
      <c r="H468" s="79"/>
      <c r="I468" s="79"/>
      <c r="J468" s="14"/>
      <c r="K468" s="38"/>
      <c r="L468" s="38"/>
      <c r="M468" s="17"/>
    </row>
    <row r="469" spans="2:13" ht="14.45" customHeight="1" x14ac:dyDescent="0.25">
      <c r="B469" s="17"/>
      <c r="C469" s="14"/>
      <c r="D469" s="14"/>
      <c r="E469" s="18"/>
      <c r="F469" s="61"/>
      <c r="G469" s="73"/>
      <c r="H469" s="79"/>
      <c r="I469" s="79"/>
      <c r="J469" s="14"/>
      <c r="K469" s="38"/>
      <c r="L469" s="38"/>
      <c r="M469" s="17"/>
    </row>
    <row r="470" spans="2:13" ht="14.45" customHeight="1" x14ac:dyDescent="0.25">
      <c r="B470" s="17"/>
      <c r="C470" s="14"/>
      <c r="D470" s="14"/>
      <c r="E470" s="18"/>
      <c r="F470" s="61"/>
      <c r="G470" s="73"/>
      <c r="H470" s="79"/>
      <c r="I470" s="79"/>
      <c r="J470" s="14"/>
      <c r="K470" s="38"/>
      <c r="L470" s="38"/>
      <c r="M470" s="17"/>
    </row>
    <row r="471" spans="2:13" ht="14.45" customHeight="1" x14ac:dyDescent="0.25">
      <c r="B471" s="17"/>
      <c r="C471" s="14"/>
      <c r="D471" s="14"/>
      <c r="E471" s="18"/>
      <c r="F471" s="61"/>
      <c r="G471" s="73"/>
      <c r="H471" s="79"/>
      <c r="I471" s="79"/>
      <c r="J471" s="14"/>
      <c r="K471" s="38"/>
      <c r="L471" s="38"/>
      <c r="M471" s="17"/>
    </row>
    <row r="472" spans="2:13" ht="14.45" customHeight="1" x14ac:dyDescent="0.25">
      <c r="B472" s="17"/>
      <c r="C472" s="14"/>
      <c r="D472" s="14"/>
      <c r="E472" s="18"/>
      <c r="F472" s="61"/>
      <c r="G472" s="73"/>
      <c r="H472" s="79"/>
      <c r="I472" s="79"/>
      <c r="J472" s="14"/>
      <c r="K472" s="38"/>
      <c r="L472" s="38"/>
      <c r="M472" s="17"/>
    </row>
    <row r="473" spans="2:13" ht="14.45" customHeight="1" x14ac:dyDescent="0.25">
      <c r="B473" s="17"/>
      <c r="C473" s="14"/>
      <c r="D473" s="14"/>
      <c r="E473" s="18"/>
      <c r="F473" s="61"/>
      <c r="G473" s="73"/>
      <c r="H473" s="79"/>
      <c r="I473" s="79"/>
      <c r="J473" s="14"/>
      <c r="K473" s="38"/>
      <c r="L473" s="38"/>
      <c r="M473" s="17"/>
    </row>
    <row r="474" spans="2:13" ht="14.45" customHeight="1" x14ac:dyDescent="0.25">
      <c r="B474" s="17"/>
      <c r="C474" s="14"/>
      <c r="D474" s="14"/>
      <c r="E474" s="18"/>
      <c r="F474" s="61"/>
      <c r="G474" s="73"/>
      <c r="H474" s="79"/>
      <c r="I474" s="79"/>
      <c r="J474" s="14"/>
      <c r="K474" s="38"/>
      <c r="L474" s="38"/>
      <c r="M474" s="17"/>
    </row>
    <row r="475" spans="2:13" ht="14.45" customHeight="1" x14ac:dyDescent="0.25">
      <c r="B475" s="17"/>
      <c r="C475" s="14"/>
      <c r="D475" s="14"/>
      <c r="E475" s="18"/>
      <c r="F475" s="61"/>
      <c r="G475" s="73"/>
      <c r="H475" s="79"/>
      <c r="I475" s="79"/>
      <c r="J475" s="14"/>
      <c r="K475" s="38"/>
      <c r="L475" s="38"/>
      <c r="M475" s="17"/>
    </row>
    <row r="476" spans="2:13" ht="14.45" customHeight="1" x14ac:dyDescent="0.25">
      <c r="B476" s="17"/>
      <c r="C476" s="14"/>
      <c r="D476" s="14"/>
      <c r="E476" s="18"/>
      <c r="F476" s="61"/>
      <c r="G476" s="73"/>
      <c r="H476" s="79"/>
      <c r="I476" s="79"/>
      <c r="J476" s="14"/>
      <c r="K476" s="38"/>
      <c r="L476" s="38"/>
      <c r="M476" s="17"/>
    </row>
    <row r="477" spans="2:13" ht="14.45" customHeight="1" x14ac:dyDescent="0.25">
      <c r="B477" s="17"/>
      <c r="C477" s="14"/>
      <c r="D477" s="14"/>
      <c r="E477" s="18"/>
      <c r="F477" s="61"/>
      <c r="G477" s="73"/>
      <c r="H477" s="79"/>
      <c r="I477" s="79"/>
      <c r="J477" s="14"/>
      <c r="K477" s="38"/>
      <c r="L477" s="38"/>
      <c r="M477" s="17"/>
    </row>
    <row r="478" spans="2:13" ht="14.45" customHeight="1" x14ac:dyDescent="0.25">
      <c r="B478" s="17"/>
      <c r="C478" s="14"/>
      <c r="D478" s="14"/>
      <c r="E478" s="18"/>
      <c r="F478" s="61"/>
      <c r="G478" s="73"/>
      <c r="H478" s="79"/>
      <c r="I478" s="79"/>
      <c r="J478" s="14"/>
      <c r="K478" s="38"/>
      <c r="L478" s="38"/>
      <c r="M478" s="17"/>
    </row>
    <row r="479" spans="2:13" ht="14.45" customHeight="1" x14ac:dyDescent="0.25">
      <c r="B479" s="17"/>
      <c r="C479" s="14"/>
      <c r="D479" s="14"/>
      <c r="E479" s="18"/>
      <c r="F479" s="61"/>
      <c r="G479" s="73"/>
      <c r="H479" s="79"/>
      <c r="I479" s="79"/>
      <c r="J479" s="14"/>
      <c r="K479" s="38"/>
      <c r="L479" s="38"/>
      <c r="M479" s="17"/>
    </row>
    <row r="480" spans="2:13" ht="14.45" customHeight="1" x14ac:dyDescent="0.25">
      <c r="B480" s="17"/>
      <c r="C480" s="14"/>
      <c r="D480" s="14"/>
      <c r="E480" s="18"/>
      <c r="F480" s="61"/>
      <c r="G480" s="73"/>
      <c r="H480" s="79"/>
      <c r="I480" s="79"/>
      <c r="J480" s="14"/>
      <c r="K480" s="38"/>
      <c r="L480" s="38"/>
      <c r="M480" s="17"/>
    </row>
    <row r="481" spans="2:13" ht="14.45" customHeight="1" x14ac:dyDescent="0.25">
      <c r="B481" s="17"/>
      <c r="C481" s="14"/>
      <c r="D481" s="14"/>
      <c r="E481" s="18"/>
      <c r="F481" s="61"/>
      <c r="G481" s="73"/>
      <c r="H481" s="79"/>
      <c r="I481" s="79"/>
      <c r="J481" s="14"/>
      <c r="K481" s="38"/>
      <c r="L481" s="38"/>
      <c r="M481" s="17"/>
    </row>
    <row r="482" spans="2:13" ht="14.45" customHeight="1" x14ac:dyDescent="0.25">
      <c r="B482" s="17"/>
      <c r="C482" s="14"/>
      <c r="D482" s="14"/>
      <c r="E482" s="18"/>
      <c r="F482" s="61"/>
      <c r="G482" s="73"/>
      <c r="H482" s="79"/>
      <c r="I482" s="79"/>
      <c r="J482" s="14"/>
      <c r="K482" s="38"/>
      <c r="L482" s="38"/>
      <c r="M482" s="17"/>
    </row>
    <row r="483" spans="2:13" ht="14.45" customHeight="1" x14ac:dyDescent="0.25">
      <c r="B483" s="17"/>
      <c r="C483" s="14"/>
      <c r="D483" s="14"/>
      <c r="E483" s="18"/>
      <c r="F483" s="61"/>
      <c r="G483" s="73"/>
      <c r="H483" s="79"/>
      <c r="I483" s="79"/>
      <c r="J483" s="14"/>
      <c r="K483" s="38"/>
      <c r="L483" s="38"/>
      <c r="M483" s="17"/>
    </row>
    <row r="484" spans="2:13" ht="14.45" customHeight="1" x14ac:dyDescent="0.25">
      <c r="B484" s="17"/>
      <c r="C484" s="14"/>
      <c r="D484" s="14"/>
      <c r="E484" s="18"/>
      <c r="F484" s="61"/>
      <c r="G484" s="73"/>
      <c r="H484" s="79"/>
      <c r="I484" s="79"/>
      <c r="J484" s="14"/>
      <c r="K484" s="38"/>
      <c r="L484" s="38"/>
      <c r="M484" s="17"/>
    </row>
    <row r="485" spans="2:13" ht="14.45" customHeight="1" x14ac:dyDescent="0.25">
      <c r="B485" s="17"/>
      <c r="C485" s="14"/>
      <c r="D485" s="14"/>
      <c r="E485" s="18"/>
      <c r="F485" s="61"/>
      <c r="G485" s="73"/>
      <c r="H485" s="79"/>
      <c r="I485" s="79"/>
      <c r="J485" s="14"/>
      <c r="K485" s="38"/>
      <c r="L485" s="38"/>
      <c r="M485" s="17"/>
    </row>
    <row r="486" spans="2:13" ht="14.45" customHeight="1" x14ac:dyDescent="0.25">
      <c r="B486" s="17"/>
      <c r="C486" s="14"/>
      <c r="D486" s="14"/>
      <c r="E486" s="18"/>
      <c r="F486" s="61"/>
      <c r="G486" s="73"/>
      <c r="H486" s="79"/>
      <c r="I486" s="79"/>
      <c r="J486" s="14"/>
      <c r="K486" s="38"/>
      <c r="L486" s="38"/>
      <c r="M486" s="17"/>
    </row>
    <row r="487" spans="2:13" ht="14.45" customHeight="1" x14ac:dyDescent="0.25">
      <c r="B487" s="17"/>
      <c r="C487" s="14"/>
      <c r="D487" s="14"/>
      <c r="E487" s="18"/>
      <c r="F487" s="61"/>
      <c r="G487" s="73"/>
      <c r="H487" s="79"/>
      <c r="I487" s="79"/>
      <c r="J487" s="14"/>
      <c r="K487" s="38"/>
      <c r="L487" s="38"/>
      <c r="M487" s="17"/>
    </row>
    <row r="488" spans="2:13" ht="14.45" customHeight="1" x14ac:dyDescent="0.25">
      <c r="B488" s="17"/>
      <c r="C488" s="14"/>
      <c r="D488" s="14"/>
      <c r="E488" s="18"/>
      <c r="F488" s="61"/>
      <c r="G488" s="73"/>
      <c r="H488" s="79"/>
      <c r="I488" s="79"/>
      <c r="J488" s="14"/>
      <c r="K488" s="38"/>
      <c r="L488" s="38"/>
      <c r="M488" s="17"/>
    </row>
    <row r="489" spans="2:13" ht="14.45" customHeight="1" x14ac:dyDescent="0.25">
      <c r="B489" s="17"/>
      <c r="C489" s="14"/>
      <c r="D489" s="14"/>
      <c r="E489" s="18"/>
      <c r="F489" s="61"/>
      <c r="G489" s="73"/>
      <c r="H489" s="79"/>
      <c r="I489" s="79"/>
      <c r="J489" s="14"/>
      <c r="K489" s="38"/>
      <c r="L489" s="38"/>
      <c r="M489" s="17"/>
    </row>
    <row r="490" spans="2:13" ht="14.45" customHeight="1" x14ac:dyDescent="0.25">
      <c r="B490" s="17"/>
      <c r="C490" s="14"/>
      <c r="D490" s="14"/>
      <c r="E490" s="18"/>
      <c r="F490" s="61"/>
      <c r="G490" s="73"/>
      <c r="H490" s="79"/>
      <c r="I490" s="79"/>
      <c r="J490" s="14"/>
      <c r="K490" s="38"/>
      <c r="L490" s="38"/>
      <c r="M490" s="17"/>
    </row>
    <row r="491" spans="2:13" ht="14.45" customHeight="1" x14ac:dyDescent="0.25">
      <c r="B491" s="17"/>
      <c r="C491" s="14"/>
      <c r="D491" s="14"/>
      <c r="E491" s="18"/>
      <c r="F491" s="61"/>
      <c r="G491" s="73"/>
      <c r="H491" s="79"/>
      <c r="I491" s="79"/>
      <c r="J491" s="14"/>
      <c r="K491" s="38"/>
      <c r="L491" s="38"/>
      <c r="M491" s="17"/>
    </row>
    <row r="492" spans="2:13" ht="14.45" customHeight="1" x14ac:dyDescent="0.25">
      <c r="B492" s="17"/>
      <c r="C492" s="14"/>
      <c r="D492" s="14"/>
      <c r="E492" s="18"/>
      <c r="F492" s="61"/>
      <c r="G492" s="73"/>
      <c r="H492" s="79"/>
      <c r="I492" s="79"/>
      <c r="J492" s="14"/>
      <c r="K492" s="38"/>
      <c r="L492" s="38"/>
      <c r="M492" s="17"/>
    </row>
    <row r="493" spans="2:13" ht="14.45" customHeight="1" x14ac:dyDescent="0.25">
      <c r="B493" s="17"/>
      <c r="C493" s="14"/>
      <c r="D493" s="14"/>
      <c r="E493" s="18"/>
      <c r="F493" s="61"/>
      <c r="G493" s="73"/>
      <c r="H493" s="79"/>
      <c r="I493" s="79"/>
      <c r="J493" s="14"/>
      <c r="K493" s="38"/>
      <c r="L493" s="38"/>
      <c r="M493" s="17"/>
    </row>
    <row r="494" spans="2:13" ht="14.45" customHeight="1" x14ac:dyDescent="0.25">
      <c r="B494" s="17"/>
      <c r="C494" s="14"/>
      <c r="D494" s="14"/>
      <c r="E494" s="18"/>
      <c r="F494" s="61"/>
      <c r="G494" s="73"/>
      <c r="H494" s="79"/>
      <c r="I494" s="79"/>
      <c r="J494" s="14"/>
      <c r="K494" s="38"/>
      <c r="L494" s="38"/>
      <c r="M494" s="17"/>
    </row>
    <row r="495" spans="2:13" ht="14.45" customHeight="1" x14ac:dyDescent="0.25">
      <c r="B495" s="17"/>
      <c r="C495" s="14"/>
      <c r="D495" s="14"/>
      <c r="E495" s="18"/>
      <c r="F495" s="61"/>
      <c r="G495" s="73"/>
      <c r="H495" s="79"/>
      <c r="I495" s="79"/>
      <c r="J495" s="14"/>
      <c r="K495" s="38"/>
      <c r="L495" s="38"/>
      <c r="M495" s="17"/>
    </row>
    <row r="496" spans="2:13" ht="14.45" customHeight="1" x14ac:dyDescent="0.25">
      <c r="B496" s="17"/>
      <c r="C496" s="14"/>
      <c r="D496" s="14"/>
      <c r="E496" s="18"/>
      <c r="F496" s="61"/>
      <c r="G496" s="73"/>
      <c r="H496" s="79"/>
      <c r="I496" s="79"/>
      <c r="J496" s="14"/>
      <c r="K496" s="38"/>
      <c r="L496" s="38"/>
      <c r="M496" s="17"/>
    </row>
    <row r="497" spans="2:13" ht="14.45" customHeight="1" x14ac:dyDescent="0.25">
      <c r="B497" s="17"/>
      <c r="C497" s="14"/>
      <c r="D497" s="14"/>
      <c r="E497" s="18"/>
      <c r="F497" s="61"/>
      <c r="G497" s="73"/>
      <c r="H497" s="79"/>
      <c r="I497" s="79"/>
      <c r="J497" s="14"/>
      <c r="K497" s="38"/>
      <c r="L497" s="38"/>
      <c r="M497" s="17"/>
    </row>
    <row r="498" spans="2:13" ht="14.45" customHeight="1" x14ac:dyDescent="0.25">
      <c r="B498" s="17"/>
      <c r="C498" s="14"/>
      <c r="D498" s="14"/>
      <c r="E498" s="18"/>
      <c r="F498" s="61"/>
      <c r="G498" s="73"/>
      <c r="H498" s="79"/>
      <c r="I498" s="79"/>
      <c r="J498" s="14"/>
      <c r="K498" s="38"/>
      <c r="L498" s="38"/>
      <c r="M498" s="17"/>
    </row>
    <row r="499" spans="2:13" ht="14.45" customHeight="1" x14ac:dyDescent="0.25">
      <c r="B499" s="17"/>
      <c r="C499" s="14"/>
      <c r="D499" s="14"/>
      <c r="E499" s="18"/>
      <c r="F499" s="61"/>
      <c r="G499" s="73"/>
      <c r="H499" s="79"/>
      <c r="I499" s="79"/>
      <c r="J499" s="14"/>
      <c r="K499" s="38"/>
      <c r="L499" s="38"/>
      <c r="M499" s="17"/>
    </row>
    <row r="500" spans="2:13" ht="14.45" customHeight="1" x14ac:dyDescent="0.25">
      <c r="B500" s="17"/>
      <c r="C500" s="14"/>
      <c r="D500" s="14"/>
      <c r="E500" s="18"/>
      <c r="F500" s="61"/>
      <c r="G500" s="73"/>
      <c r="H500" s="79"/>
      <c r="I500" s="79"/>
      <c r="J500" s="14"/>
      <c r="K500" s="38"/>
      <c r="L500" s="38"/>
      <c r="M500" s="17"/>
    </row>
    <row r="501" spans="2:13" ht="14.45" customHeight="1" x14ac:dyDescent="0.25">
      <c r="B501" s="17"/>
      <c r="C501" s="14"/>
      <c r="D501" s="14"/>
      <c r="E501" s="18"/>
      <c r="F501" s="61"/>
      <c r="G501" s="73"/>
      <c r="H501" s="79"/>
      <c r="I501" s="79"/>
      <c r="J501" s="14"/>
      <c r="K501" s="38"/>
      <c r="L501" s="38"/>
      <c r="M501" s="17"/>
    </row>
    <row r="502" spans="2:13" ht="14.45" customHeight="1" x14ac:dyDescent="0.25">
      <c r="B502" s="17"/>
      <c r="C502" s="14"/>
      <c r="D502" s="14"/>
      <c r="E502" s="18"/>
      <c r="F502" s="61"/>
      <c r="G502" s="73"/>
      <c r="H502" s="79"/>
      <c r="I502" s="79"/>
      <c r="J502" s="14"/>
      <c r="K502" s="38"/>
      <c r="L502" s="38"/>
      <c r="M502" s="17"/>
    </row>
    <row r="503" spans="2:13" ht="14.45" customHeight="1" x14ac:dyDescent="0.25">
      <c r="B503" s="17"/>
      <c r="C503" s="14"/>
      <c r="D503" s="14"/>
      <c r="E503" s="18"/>
      <c r="F503" s="61"/>
      <c r="G503" s="73"/>
      <c r="H503" s="79"/>
      <c r="I503" s="79"/>
      <c r="J503" s="14"/>
      <c r="K503" s="38"/>
      <c r="L503" s="38"/>
      <c r="M503" s="17"/>
    </row>
    <row r="504" spans="2:13" ht="14.45" customHeight="1" x14ac:dyDescent="0.25">
      <c r="B504" s="17"/>
      <c r="C504" s="14"/>
      <c r="D504" s="14"/>
      <c r="E504" s="18"/>
      <c r="F504" s="61"/>
      <c r="G504" s="73"/>
      <c r="H504" s="79"/>
      <c r="I504" s="79"/>
      <c r="J504" s="14"/>
      <c r="K504" s="38"/>
      <c r="L504" s="38"/>
      <c r="M504" s="17"/>
    </row>
    <row r="505" spans="2:13" ht="14.45" customHeight="1" x14ac:dyDescent="0.25">
      <c r="B505" s="17"/>
      <c r="C505" s="14"/>
      <c r="D505" s="14"/>
      <c r="E505" s="18"/>
      <c r="F505" s="61"/>
      <c r="G505" s="73"/>
      <c r="H505" s="79"/>
      <c r="I505" s="79"/>
      <c r="J505" s="14"/>
      <c r="K505" s="38"/>
      <c r="L505" s="38"/>
      <c r="M505" s="17"/>
    </row>
    <row r="506" spans="2:13" ht="14.45" customHeight="1" x14ac:dyDescent="0.25">
      <c r="B506" s="17"/>
      <c r="C506" s="14"/>
      <c r="D506" s="14"/>
      <c r="E506" s="18"/>
      <c r="F506" s="61"/>
      <c r="G506" s="73"/>
      <c r="H506" s="79"/>
      <c r="I506" s="79"/>
      <c r="J506" s="14"/>
      <c r="K506" s="38"/>
      <c r="L506" s="38"/>
      <c r="M506" s="17"/>
    </row>
    <row r="507" spans="2:13" ht="14.45" customHeight="1" x14ac:dyDescent="0.25">
      <c r="B507" s="17"/>
      <c r="C507" s="14"/>
      <c r="D507" s="14"/>
      <c r="E507" s="18"/>
      <c r="F507" s="61"/>
      <c r="G507" s="73"/>
      <c r="H507" s="79"/>
      <c r="I507" s="79"/>
      <c r="J507" s="14"/>
      <c r="K507" s="38"/>
      <c r="L507" s="38"/>
      <c r="M507" s="17"/>
    </row>
    <row r="508" spans="2:13" ht="14.45" customHeight="1" x14ac:dyDescent="0.25">
      <c r="B508" s="17"/>
      <c r="C508" s="14"/>
      <c r="D508" s="14"/>
      <c r="E508" s="18"/>
      <c r="F508" s="61"/>
      <c r="G508" s="73"/>
      <c r="H508" s="79"/>
      <c r="I508" s="79"/>
      <c r="J508" s="14"/>
      <c r="K508" s="38"/>
      <c r="L508" s="38"/>
      <c r="M508" s="17"/>
    </row>
    <row r="509" spans="2:13" ht="14.45" customHeight="1" x14ac:dyDescent="0.25">
      <c r="B509" s="17"/>
      <c r="C509" s="14"/>
      <c r="D509" s="14"/>
      <c r="E509" s="18"/>
      <c r="F509" s="61"/>
      <c r="G509" s="73"/>
      <c r="H509" s="79"/>
      <c r="I509" s="79"/>
      <c r="J509" s="14"/>
      <c r="K509" s="38"/>
      <c r="L509" s="38"/>
      <c r="M509" s="17"/>
    </row>
    <row r="510" spans="2:13" ht="14.45" customHeight="1" x14ac:dyDescent="0.25">
      <c r="B510" s="17"/>
      <c r="C510" s="14"/>
      <c r="D510" s="14"/>
      <c r="E510" s="18"/>
      <c r="F510" s="61"/>
      <c r="G510" s="73"/>
      <c r="H510" s="79"/>
      <c r="I510" s="79"/>
      <c r="J510" s="14"/>
      <c r="K510" s="38"/>
      <c r="L510" s="38"/>
      <c r="M510" s="17"/>
    </row>
    <row r="511" spans="2:13" ht="14.45" customHeight="1" x14ac:dyDescent="0.25">
      <c r="B511" s="17"/>
      <c r="C511" s="14"/>
      <c r="D511" s="14"/>
      <c r="E511" s="18"/>
      <c r="F511" s="61"/>
      <c r="G511" s="73"/>
      <c r="H511" s="79"/>
      <c r="I511" s="79"/>
      <c r="J511" s="14"/>
      <c r="K511" s="38"/>
      <c r="L511" s="38"/>
      <c r="M511" s="17"/>
    </row>
    <row r="512" spans="2:13" ht="14.45" customHeight="1" x14ac:dyDescent="0.25">
      <c r="B512" s="17"/>
      <c r="C512" s="14"/>
      <c r="D512" s="14"/>
      <c r="E512" s="18"/>
      <c r="F512" s="61"/>
      <c r="G512" s="73"/>
      <c r="H512" s="79"/>
      <c r="I512" s="79"/>
      <c r="J512" s="14"/>
      <c r="K512" s="38"/>
      <c r="L512" s="38"/>
      <c r="M512" s="17"/>
    </row>
    <row r="513" spans="2:13" ht="14.45" customHeight="1" x14ac:dyDescent="0.25">
      <c r="B513" s="17"/>
      <c r="C513" s="14"/>
      <c r="D513" s="14"/>
      <c r="E513" s="18"/>
      <c r="F513" s="61"/>
      <c r="G513" s="73"/>
      <c r="H513" s="79"/>
      <c r="I513" s="79"/>
      <c r="J513" s="14"/>
      <c r="K513" s="38"/>
      <c r="L513" s="38"/>
      <c r="M513" s="17"/>
    </row>
    <row r="514" spans="2:13" ht="14.45" customHeight="1" x14ac:dyDescent="0.25">
      <c r="B514" s="17"/>
      <c r="C514" s="14"/>
      <c r="D514" s="14"/>
      <c r="E514" s="18"/>
      <c r="F514" s="61"/>
      <c r="G514" s="73"/>
      <c r="H514" s="79"/>
      <c r="I514" s="79"/>
      <c r="J514" s="14"/>
      <c r="K514" s="38"/>
      <c r="L514" s="38"/>
      <c r="M514" s="17"/>
    </row>
    <row r="515" spans="2:13" ht="14.45" customHeight="1" x14ac:dyDescent="0.25">
      <c r="B515" s="17"/>
      <c r="C515" s="14"/>
      <c r="D515" s="14"/>
      <c r="E515" s="18"/>
      <c r="F515" s="61"/>
      <c r="G515" s="73"/>
      <c r="H515" s="79"/>
      <c r="I515" s="79"/>
      <c r="J515" s="14"/>
      <c r="K515" s="38"/>
      <c r="L515" s="38"/>
      <c r="M515" s="17"/>
    </row>
    <row r="516" spans="2:13" ht="14.45" customHeight="1" x14ac:dyDescent="0.25">
      <c r="B516" s="17"/>
      <c r="C516" s="14"/>
      <c r="D516" s="14"/>
      <c r="E516" s="18"/>
      <c r="F516" s="61"/>
      <c r="G516" s="73"/>
      <c r="H516" s="79"/>
      <c r="I516" s="79"/>
      <c r="J516" s="14"/>
      <c r="K516" s="38"/>
      <c r="L516" s="38"/>
      <c r="M516" s="17"/>
    </row>
    <row r="517" spans="2:13" ht="14.45" customHeight="1" x14ac:dyDescent="0.25">
      <c r="B517" s="17"/>
      <c r="C517" s="14"/>
      <c r="D517" s="14"/>
      <c r="E517" s="18"/>
      <c r="F517" s="61"/>
      <c r="G517" s="73"/>
      <c r="H517" s="79"/>
      <c r="I517" s="79"/>
      <c r="J517" s="14"/>
      <c r="K517" s="38"/>
      <c r="L517" s="38"/>
      <c r="M517" s="17"/>
    </row>
    <row r="518" spans="2:13" ht="14.45" customHeight="1" x14ac:dyDescent="0.25">
      <c r="B518" s="17"/>
      <c r="C518" s="14"/>
      <c r="D518" s="14"/>
      <c r="E518" s="18"/>
      <c r="F518" s="61"/>
      <c r="G518" s="73"/>
      <c r="H518" s="79"/>
      <c r="I518" s="79"/>
      <c r="J518" s="14"/>
      <c r="K518" s="38"/>
      <c r="L518" s="38"/>
      <c r="M518" s="17"/>
    </row>
    <row r="519" spans="2:13" ht="14.45" customHeight="1" x14ac:dyDescent="0.25">
      <c r="B519" s="17"/>
      <c r="C519" s="14"/>
      <c r="D519" s="14"/>
      <c r="E519" s="18"/>
      <c r="F519" s="61"/>
      <c r="G519" s="73"/>
      <c r="H519" s="79"/>
      <c r="I519" s="79"/>
      <c r="J519" s="14"/>
      <c r="K519" s="38"/>
      <c r="L519" s="38"/>
      <c r="M519" s="17"/>
    </row>
    <row r="520" spans="2:13" ht="14.45" customHeight="1" x14ac:dyDescent="0.25">
      <c r="B520" s="17"/>
      <c r="C520" s="14"/>
      <c r="D520" s="14"/>
      <c r="E520" s="18"/>
      <c r="F520" s="61"/>
      <c r="G520" s="73"/>
      <c r="H520" s="79"/>
      <c r="I520" s="79"/>
      <c r="J520" s="14"/>
      <c r="K520" s="38"/>
      <c r="L520" s="38"/>
      <c r="M520" s="17"/>
    </row>
    <row r="521" spans="2:13" ht="14.45" customHeight="1" x14ac:dyDescent="0.25">
      <c r="B521" s="17"/>
      <c r="C521" s="14"/>
      <c r="D521" s="14"/>
      <c r="E521" s="18"/>
      <c r="F521" s="61"/>
      <c r="G521" s="73"/>
      <c r="H521" s="79"/>
      <c r="I521" s="79"/>
      <c r="J521" s="14"/>
      <c r="K521" s="38"/>
      <c r="L521" s="38"/>
      <c r="M521" s="17"/>
    </row>
    <row r="522" spans="2:13" ht="14.45" customHeight="1" x14ac:dyDescent="0.25">
      <c r="B522" s="17"/>
      <c r="C522" s="14"/>
      <c r="D522" s="14"/>
      <c r="E522" s="18"/>
      <c r="F522" s="61"/>
      <c r="G522" s="73"/>
      <c r="H522" s="79"/>
      <c r="I522" s="79"/>
      <c r="J522" s="14"/>
      <c r="K522" s="38"/>
      <c r="L522" s="38"/>
      <c r="M522" s="17"/>
    </row>
    <row r="523" spans="2:13" ht="14.45" customHeight="1" x14ac:dyDescent="0.25">
      <c r="B523" s="17"/>
      <c r="C523" s="14"/>
      <c r="D523" s="14"/>
      <c r="E523" s="18"/>
      <c r="F523" s="61"/>
      <c r="G523" s="73"/>
      <c r="H523" s="79"/>
      <c r="I523" s="79"/>
      <c r="J523" s="14"/>
      <c r="K523" s="38"/>
      <c r="L523" s="38"/>
      <c r="M523" s="17"/>
    </row>
    <row r="524" spans="2:13" ht="14.45" customHeight="1" x14ac:dyDescent="0.25">
      <c r="B524" s="17"/>
      <c r="C524" s="14"/>
      <c r="D524" s="14"/>
      <c r="E524" s="18"/>
      <c r="F524" s="61"/>
      <c r="G524" s="73"/>
      <c r="H524" s="79"/>
      <c r="I524" s="79"/>
      <c r="J524" s="14"/>
      <c r="K524" s="38"/>
      <c r="L524" s="38"/>
      <c r="M524" s="17"/>
    </row>
    <row r="525" spans="2:13" ht="14.45" customHeight="1" x14ac:dyDescent="0.25">
      <c r="B525" s="17"/>
      <c r="C525" s="14"/>
      <c r="D525" s="14"/>
      <c r="E525" s="18"/>
      <c r="F525" s="61"/>
      <c r="G525" s="73"/>
      <c r="H525" s="79"/>
      <c r="I525" s="79"/>
      <c r="J525" s="14"/>
      <c r="K525" s="38"/>
      <c r="L525" s="38"/>
      <c r="M525" s="17"/>
    </row>
    <row r="526" spans="2:13" ht="14.45" customHeight="1" x14ac:dyDescent="0.25">
      <c r="B526" s="17"/>
      <c r="C526" s="14"/>
      <c r="D526" s="14"/>
      <c r="E526" s="18"/>
      <c r="F526" s="61"/>
      <c r="G526" s="73"/>
      <c r="H526" s="79"/>
      <c r="I526" s="79"/>
      <c r="J526" s="14"/>
      <c r="K526" s="38"/>
      <c r="L526" s="38"/>
      <c r="M526" s="17"/>
    </row>
    <row r="527" spans="2:13" ht="14.45" customHeight="1" x14ac:dyDescent="0.25">
      <c r="B527" s="17"/>
      <c r="C527" s="14"/>
      <c r="D527" s="14"/>
      <c r="E527" s="18"/>
      <c r="F527" s="61"/>
      <c r="G527" s="73"/>
      <c r="H527" s="79"/>
      <c r="I527" s="79"/>
      <c r="J527" s="14"/>
      <c r="K527" s="38"/>
      <c r="L527" s="38"/>
      <c r="M527" s="17"/>
    </row>
    <row r="528" spans="2:13" ht="14.45" customHeight="1" x14ac:dyDescent="0.25">
      <c r="B528" s="17"/>
      <c r="C528" s="14"/>
      <c r="D528" s="14"/>
      <c r="E528" s="18"/>
      <c r="F528" s="61"/>
      <c r="G528" s="73"/>
      <c r="H528" s="79"/>
      <c r="I528" s="79"/>
      <c r="J528" s="14"/>
      <c r="K528" s="38"/>
      <c r="L528" s="38"/>
      <c r="M528" s="17"/>
    </row>
    <row r="529" spans="2:13" ht="14.45" customHeight="1" x14ac:dyDescent="0.25">
      <c r="B529" s="17"/>
      <c r="C529" s="14"/>
      <c r="D529" s="14"/>
      <c r="E529" s="18"/>
      <c r="F529" s="61"/>
      <c r="G529" s="73"/>
      <c r="H529" s="79"/>
      <c r="I529" s="79"/>
      <c r="J529" s="14"/>
      <c r="K529" s="38"/>
      <c r="L529" s="38"/>
      <c r="M529" s="17"/>
    </row>
    <row r="530" spans="2:13" ht="14.45" customHeight="1" x14ac:dyDescent="0.25">
      <c r="B530" s="17"/>
      <c r="C530" s="14"/>
      <c r="D530" s="14"/>
      <c r="E530" s="18"/>
      <c r="F530" s="61"/>
      <c r="G530" s="73"/>
      <c r="H530" s="79"/>
      <c r="I530" s="79"/>
      <c r="J530" s="14"/>
      <c r="K530" s="38"/>
      <c r="L530" s="38"/>
      <c r="M530" s="17"/>
    </row>
    <row r="531" spans="2:13" ht="14.45" customHeight="1" x14ac:dyDescent="0.25">
      <c r="B531" s="17"/>
      <c r="C531" s="14"/>
      <c r="D531" s="14"/>
      <c r="E531" s="18"/>
      <c r="F531" s="61"/>
      <c r="G531" s="73"/>
      <c r="H531" s="79"/>
      <c r="I531" s="79"/>
      <c r="J531" s="14"/>
      <c r="K531" s="38"/>
      <c r="L531" s="38"/>
      <c r="M531" s="17"/>
    </row>
    <row r="532" spans="2:13" ht="14.45" customHeight="1" x14ac:dyDescent="0.25">
      <c r="B532" s="17"/>
      <c r="C532" s="14"/>
      <c r="D532" s="14"/>
      <c r="E532" s="18"/>
      <c r="F532" s="61"/>
      <c r="G532" s="73"/>
      <c r="H532" s="79"/>
      <c r="I532" s="79"/>
      <c r="J532" s="14"/>
      <c r="K532" s="38"/>
      <c r="L532" s="38"/>
      <c r="M532" s="17"/>
    </row>
    <row r="533" spans="2:13" ht="14.45" customHeight="1" x14ac:dyDescent="0.25">
      <c r="B533" s="17"/>
      <c r="C533" s="14"/>
      <c r="D533" s="14"/>
      <c r="E533" s="18"/>
      <c r="F533" s="61"/>
      <c r="G533" s="73"/>
      <c r="H533" s="79"/>
      <c r="I533" s="79"/>
      <c r="J533" s="14"/>
      <c r="K533" s="38"/>
      <c r="L533" s="38"/>
      <c r="M533" s="17"/>
    </row>
    <row r="534" spans="2:13" ht="14.45" customHeight="1" x14ac:dyDescent="0.25">
      <c r="B534" s="17"/>
      <c r="C534" s="14"/>
      <c r="D534" s="14"/>
      <c r="E534" s="18"/>
      <c r="F534" s="61"/>
      <c r="G534" s="73"/>
      <c r="H534" s="79"/>
      <c r="I534" s="79"/>
      <c r="J534" s="14"/>
      <c r="K534" s="38"/>
      <c r="L534" s="38"/>
      <c r="M534" s="17"/>
    </row>
    <row r="535" spans="2:13" ht="14.45" customHeight="1" x14ac:dyDescent="0.25">
      <c r="B535" s="17"/>
      <c r="C535" s="14"/>
      <c r="D535" s="14"/>
      <c r="E535" s="18"/>
      <c r="F535" s="61"/>
      <c r="G535" s="73"/>
      <c r="H535" s="79"/>
      <c r="I535" s="79"/>
      <c r="J535" s="14"/>
      <c r="K535" s="38"/>
      <c r="L535" s="38"/>
      <c r="M535" s="17"/>
    </row>
    <row r="536" spans="2:13" ht="14.45" customHeight="1" x14ac:dyDescent="0.25">
      <c r="B536" s="17"/>
      <c r="C536" s="14"/>
      <c r="D536" s="14"/>
      <c r="E536" s="18"/>
      <c r="F536" s="61"/>
      <c r="G536" s="73"/>
      <c r="H536" s="79"/>
      <c r="I536" s="79"/>
      <c r="J536" s="14"/>
      <c r="K536" s="38"/>
      <c r="L536" s="38"/>
      <c r="M536" s="17"/>
    </row>
    <row r="537" spans="2:13" ht="14.45" customHeight="1" x14ac:dyDescent="0.25">
      <c r="B537" s="17"/>
      <c r="C537" s="14"/>
      <c r="D537" s="14"/>
      <c r="E537" s="18"/>
      <c r="F537" s="61"/>
      <c r="G537" s="73"/>
      <c r="H537" s="79"/>
      <c r="I537" s="79"/>
      <c r="J537" s="14"/>
      <c r="K537" s="38"/>
      <c r="L537" s="38"/>
      <c r="M537" s="17"/>
    </row>
    <row r="538" spans="2:13" ht="14.45" customHeight="1" x14ac:dyDescent="0.25">
      <c r="B538" s="17"/>
      <c r="C538" s="14"/>
      <c r="D538" s="14"/>
      <c r="E538" s="18"/>
      <c r="F538" s="61"/>
      <c r="G538" s="73"/>
      <c r="H538" s="79"/>
      <c r="I538" s="79"/>
      <c r="J538" s="14"/>
      <c r="K538" s="38"/>
      <c r="L538" s="38"/>
      <c r="M538" s="17"/>
    </row>
    <row r="539" spans="2:13" ht="14.45" customHeight="1" x14ac:dyDescent="0.25">
      <c r="B539" s="17"/>
      <c r="C539" s="14"/>
      <c r="D539" s="14"/>
      <c r="E539" s="18"/>
      <c r="F539" s="61"/>
      <c r="G539" s="73"/>
      <c r="H539" s="79"/>
      <c r="I539" s="79"/>
      <c r="J539" s="14"/>
      <c r="K539" s="38"/>
      <c r="L539" s="38"/>
      <c r="M539" s="17"/>
    </row>
    <row r="540" spans="2:13" ht="14.45" customHeight="1" x14ac:dyDescent="0.25">
      <c r="B540" s="17"/>
      <c r="C540" s="14"/>
      <c r="D540" s="14"/>
      <c r="E540" s="18"/>
      <c r="F540" s="61"/>
      <c r="G540" s="73"/>
      <c r="H540" s="79"/>
      <c r="I540" s="79"/>
      <c r="J540" s="14"/>
      <c r="K540" s="38"/>
      <c r="L540" s="38"/>
      <c r="M540" s="17"/>
    </row>
    <row r="541" spans="2:13" ht="14.45" customHeight="1" x14ac:dyDescent="0.25">
      <c r="B541" s="17"/>
      <c r="C541" s="14"/>
      <c r="D541" s="14"/>
      <c r="E541" s="18"/>
      <c r="F541" s="61"/>
      <c r="G541" s="73"/>
      <c r="H541" s="79"/>
      <c r="I541" s="79"/>
      <c r="J541" s="14"/>
      <c r="K541" s="38"/>
      <c r="L541" s="38"/>
      <c r="M541" s="17"/>
    </row>
    <row r="542" spans="2:13" ht="14.45" customHeight="1" x14ac:dyDescent="0.25">
      <c r="B542" s="17"/>
      <c r="C542" s="14"/>
      <c r="D542" s="14"/>
      <c r="E542" s="18"/>
      <c r="F542" s="61"/>
      <c r="G542" s="73"/>
      <c r="H542" s="79"/>
      <c r="I542" s="79"/>
      <c r="J542" s="14"/>
      <c r="K542" s="38"/>
      <c r="L542" s="38"/>
      <c r="M542" s="17"/>
    </row>
    <row r="543" spans="2:13" ht="14.45" customHeight="1" x14ac:dyDescent="0.25">
      <c r="B543" s="17"/>
      <c r="C543" s="14"/>
      <c r="D543" s="14"/>
      <c r="E543" s="18"/>
      <c r="F543" s="61"/>
      <c r="G543" s="73"/>
      <c r="H543" s="79"/>
      <c r="I543" s="79"/>
      <c r="J543" s="14"/>
      <c r="K543" s="38"/>
      <c r="L543" s="38"/>
      <c r="M543" s="17"/>
    </row>
    <row r="544" spans="2:13" ht="14.45" customHeight="1" x14ac:dyDescent="0.25">
      <c r="B544" s="17"/>
      <c r="C544" s="14"/>
      <c r="D544" s="14"/>
      <c r="E544" s="18"/>
      <c r="F544" s="61"/>
      <c r="G544" s="73"/>
      <c r="H544" s="79"/>
      <c r="I544" s="79"/>
      <c r="J544" s="14"/>
      <c r="K544" s="38"/>
      <c r="L544" s="38"/>
      <c r="M544" s="17"/>
    </row>
    <row r="545" spans="2:13" ht="14.45" customHeight="1" x14ac:dyDescent="0.25">
      <c r="B545" s="17"/>
      <c r="C545" s="14"/>
      <c r="D545" s="14"/>
      <c r="E545" s="18"/>
      <c r="F545" s="61"/>
      <c r="G545" s="73"/>
      <c r="H545" s="79"/>
      <c r="I545" s="79"/>
      <c r="J545" s="14"/>
      <c r="K545" s="38"/>
      <c r="L545" s="38"/>
      <c r="M545" s="17"/>
    </row>
    <row r="546" spans="2:13" ht="14.45" customHeight="1" x14ac:dyDescent="0.25">
      <c r="B546" s="17"/>
      <c r="C546" s="14"/>
      <c r="D546" s="14"/>
      <c r="E546" s="18"/>
      <c r="F546" s="61"/>
      <c r="G546" s="73"/>
      <c r="H546" s="79"/>
      <c r="I546" s="79"/>
      <c r="J546" s="14"/>
      <c r="K546" s="38"/>
      <c r="L546" s="38"/>
      <c r="M546" s="17"/>
    </row>
    <row r="547" spans="2:13" ht="14.45" customHeight="1" x14ac:dyDescent="0.25">
      <c r="B547" s="17"/>
      <c r="C547" s="14"/>
      <c r="D547" s="14"/>
      <c r="E547" s="18"/>
      <c r="F547" s="61"/>
      <c r="G547" s="73"/>
      <c r="H547" s="79"/>
      <c r="I547" s="79"/>
      <c r="J547" s="14"/>
      <c r="K547" s="38"/>
      <c r="L547" s="38"/>
      <c r="M547" s="17"/>
    </row>
    <row r="548" spans="2:13" ht="14.45" customHeight="1" x14ac:dyDescent="0.25">
      <c r="B548" s="17"/>
      <c r="C548" s="14"/>
      <c r="D548" s="14"/>
      <c r="E548" s="18"/>
      <c r="F548" s="61"/>
      <c r="G548" s="73"/>
      <c r="H548" s="79"/>
      <c r="I548" s="79"/>
      <c r="J548" s="14"/>
      <c r="K548" s="38"/>
      <c r="L548" s="38"/>
      <c r="M548" s="17"/>
    </row>
    <row r="549" spans="2:13" ht="14.45" customHeight="1" x14ac:dyDescent="0.25">
      <c r="B549" s="17"/>
      <c r="C549" s="14"/>
      <c r="D549" s="14"/>
      <c r="E549" s="18"/>
      <c r="F549" s="61"/>
      <c r="G549" s="73"/>
      <c r="H549" s="79"/>
      <c r="I549" s="79"/>
      <c r="J549" s="14"/>
      <c r="K549" s="38"/>
      <c r="L549" s="38"/>
      <c r="M549" s="17"/>
    </row>
    <row r="550" spans="2:13" ht="14.45" customHeight="1" x14ac:dyDescent="0.25">
      <c r="B550" s="17"/>
      <c r="C550" s="14"/>
      <c r="D550" s="14"/>
      <c r="E550" s="18"/>
      <c r="F550" s="61"/>
      <c r="G550" s="73"/>
      <c r="H550" s="79"/>
      <c r="I550" s="79"/>
      <c r="J550" s="14"/>
      <c r="K550" s="38"/>
      <c r="L550" s="38"/>
      <c r="M550" s="17"/>
    </row>
    <row r="551" spans="2:13" ht="14.45" customHeight="1" x14ac:dyDescent="0.25">
      <c r="B551" s="17"/>
      <c r="C551" s="14"/>
      <c r="D551" s="14"/>
      <c r="E551" s="18"/>
      <c r="F551" s="61"/>
      <c r="G551" s="73"/>
      <c r="H551" s="79"/>
      <c r="I551" s="79"/>
      <c r="J551" s="14"/>
      <c r="K551" s="38"/>
      <c r="L551" s="38"/>
      <c r="M551" s="17"/>
    </row>
    <row r="552" spans="2:13" ht="14.45" customHeight="1" x14ac:dyDescent="0.25">
      <c r="B552" s="17"/>
      <c r="C552" s="14"/>
      <c r="D552" s="14"/>
      <c r="E552" s="18"/>
      <c r="F552" s="61"/>
      <c r="G552" s="73"/>
      <c r="H552" s="79"/>
      <c r="I552" s="79"/>
      <c r="J552" s="14"/>
      <c r="K552" s="38"/>
      <c r="L552" s="38"/>
      <c r="M552" s="17"/>
    </row>
    <row r="553" spans="2:13" ht="14.45" customHeight="1" x14ac:dyDescent="0.25">
      <c r="B553" s="17"/>
      <c r="C553" s="14"/>
      <c r="D553" s="14"/>
      <c r="E553" s="18"/>
      <c r="F553" s="61"/>
      <c r="G553" s="73"/>
      <c r="H553" s="79"/>
      <c r="I553" s="79"/>
      <c r="J553" s="14"/>
      <c r="K553" s="38"/>
      <c r="L553" s="38"/>
      <c r="M553" s="17"/>
    </row>
    <row r="554" spans="2:13" ht="14.45" customHeight="1" x14ac:dyDescent="0.25">
      <c r="B554" s="17"/>
      <c r="C554" s="14"/>
      <c r="D554" s="14"/>
      <c r="E554" s="18"/>
      <c r="F554" s="61"/>
      <c r="G554" s="73"/>
      <c r="H554" s="79"/>
      <c r="I554" s="79"/>
      <c r="J554" s="14"/>
      <c r="K554" s="38"/>
      <c r="L554" s="38"/>
      <c r="M554" s="17"/>
    </row>
    <row r="555" spans="2:13" ht="14.45" customHeight="1" x14ac:dyDescent="0.25">
      <c r="B555" s="17"/>
      <c r="C555" s="14"/>
      <c r="D555" s="14"/>
      <c r="E555" s="18"/>
      <c r="F555" s="61"/>
      <c r="G555" s="73"/>
      <c r="H555" s="79"/>
      <c r="I555" s="79"/>
      <c r="J555" s="14"/>
      <c r="K555" s="38"/>
      <c r="L555" s="38"/>
      <c r="M555" s="17"/>
    </row>
    <row r="556" spans="2:13" ht="14.45" customHeight="1" x14ac:dyDescent="0.25">
      <c r="B556" s="17"/>
      <c r="C556" s="14"/>
      <c r="D556" s="14"/>
      <c r="E556" s="18"/>
      <c r="F556" s="61"/>
      <c r="G556" s="73"/>
      <c r="H556" s="79"/>
      <c r="I556" s="79"/>
      <c r="J556" s="14"/>
      <c r="K556" s="38"/>
      <c r="L556" s="38"/>
      <c r="M556" s="17"/>
    </row>
    <row r="557" spans="2:13" ht="14.45" customHeight="1" x14ac:dyDescent="0.25">
      <c r="B557" s="17"/>
      <c r="C557" s="14"/>
      <c r="D557" s="14"/>
      <c r="E557" s="18"/>
      <c r="F557" s="61"/>
      <c r="G557" s="73"/>
      <c r="H557" s="79"/>
      <c r="I557" s="79"/>
      <c r="J557" s="14"/>
      <c r="K557" s="38"/>
      <c r="L557" s="38"/>
      <c r="M557" s="17"/>
    </row>
    <row r="558" spans="2:13" ht="14.45" customHeight="1" x14ac:dyDescent="0.25">
      <c r="B558" s="17"/>
      <c r="C558" s="14"/>
      <c r="D558" s="14"/>
      <c r="E558" s="18"/>
      <c r="F558" s="61"/>
      <c r="G558" s="73"/>
      <c r="H558" s="79"/>
      <c r="I558" s="79"/>
      <c r="J558" s="14"/>
      <c r="K558" s="38"/>
      <c r="L558" s="38"/>
      <c r="M558" s="17"/>
    </row>
    <row r="559" spans="2:13" ht="14.45" customHeight="1" x14ac:dyDescent="0.25">
      <c r="B559" s="17"/>
      <c r="C559" s="14"/>
      <c r="D559" s="14"/>
      <c r="E559" s="18"/>
      <c r="F559" s="61"/>
      <c r="G559" s="73"/>
      <c r="H559" s="79"/>
      <c r="I559" s="79"/>
      <c r="J559" s="14"/>
      <c r="K559" s="38"/>
      <c r="L559" s="38"/>
      <c r="M559" s="17"/>
    </row>
    <row r="560" spans="2:13" ht="14.45" customHeight="1" x14ac:dyDescent="0.25">
      <c r="B560" s="17"/>
      <c r="C560" s="14"/>
      <c r="D560" s="14"/>
      <c r="E560" s="18"/>
      <c r="F560" s="61"/>
      <c r="G560" s="73"/>
      <c r="H560" s="79"/>
      <c r="I560" s="79"/>
      <c r="J560" s="14"/>
      <c r="K560" s="38"/>
      <c r="L560" s="38"/>
      <c r="M560" s="17"/>
    </row>
    <row r="561" spans="2:13" ht="14.45" customHeight="1" x14ac:dyDescent="0.25">
      <c r="B561" s="17"/>
      <c r="C561" s="14"/>
      <c r="D561" s="14"/>
      <c r="E561" s="18"/>
      <c r="F561" s="61"/>
      <c r="G561" s="73"/>
      <c r="H561" s="79"/>
      <c r="I561" s="79"/>
      <c r="J561" s="14"/>
      <c r="K561" s="38"/>
      <c r="L561" s="38"/>
      <c r="M561" s="17"/>
    </row>
    <row r="562" spans="2:13" ht="14.45" customHeight="1" x14ac:dyDescent="0.25">
      <c r="B562" s="17"/>
      <c r="C562" s="14"/>
      <c r="D562" s="14"/>
      <c r="E562" s="18"/>
      <c r="F562" s="61"/>
      <c r="G562" s="73"/>
      <c r="H562" s="79"/>
      <c r="I562" s="79"/>
      <c r="J562" s="14"/>
      <c r="K562" s="38"/>
      <c r="L562" s="38"/>
      <c r="M562" s="17"/>
    </row>
    <row r="563" spans="2:13" ht="14.45" customHeight="1" x14ac:dyDescent="0.25">
      <c r="B563" s="17"/>
      <c r="C563" s="14"/>
      <c r="D563" s="14"/>
      <c r="E563" s="18"/>
      <c r="F563" s="61"/>
      <c r="G563" s="73"/>
      <c r="H563" s="79"/>
      <c r="I563" s="79"/>
      <c r="J563" s="14"/>
      <c r="K563" s="38"/>
      <c r="L563" s="38"/>
      <c r="M563" s="17"/>
    </row>
    <row r="564" spans="2:13" ht="14.45" customHeight="1" x14ac:dyDescent="0.25">
      <c r="B564" s="17"/>
      <c r="C564" s="14"/>
      <c r="D564" s="14"/>
      <c r="E564" s="18"/>
      <c r="F564" s="61"/>
      <c r="G564" s="73"/>
      <c r="H564" s="79"/>
      <c r="I564" s="79"/>
      <c r="J564" s="14"/>
      <c r="K564" s="38"/>
      <c r="L564" s="38"/>
      <c r="M564" s="17"/>
    </row>
    <row r="565" spans="2:13" ht="14.45" customHeight="1" x14ac:dyDescent="0.25">
      <c r="B565" s="17"/>
      <c r="C565" s="14"/>
      <c r="D565" s="14"/>
      <c r="E565" s="18"/>
      <c r="F565" s="61"/>
      <c r="G565" s="73"/>
      <c r="H565" s="79"/>
      <c r="I565" s="79"/>
      <c r="J565" s="14"/>
      <c r="K565" s="38"/>
      <c r="L565" s="38"/>
      <c r="M565" s="17"/>
    </row>
    <row r="566" spans="2:13" ht="14.45" customHeight="1" x14ac:dyDescent="0.25">
      <c r="B566" s="17"/>
      <c r="C566" s="14"/>
      <c r="D566" s="14"/>
      <c r="E566" s="18"/>
      <c r="F566" s="61"/>
      <c r="G566" s="73"/>
      <c r="H566" s="79"/>
      <c r="I566" s="79"/>
      <c r="J566" s="14"/>
      <c r="K566" s="38"/>
      <c r="L566" s="38"/>
      <c r="M566" s="17"/>
    </row>
    <row r="567" spans="2:13" ht="14.45" customHeight="1" x14ac:dyDescent="0.25">
      <c r="B567" s="17"/>
      <c r="C567" s="14"/>
      <c r="D567" s="14"/>
      <c r="E567" s="18"/>
      <c r="F567" s="61"/>
      <c r="G567" s="73"/>
      <c r="H567" s="79"/>
      <c r="I567" s="79"/>
      <c r="J567" s="14"/>
      <c r="K567" s="38"/>
      <c r="L567" s="38"/>
      <c r="M567" s="17"/>
    </row>
    <row r="568" spans="2:13" ht="14.45" customHeight="1" x14ac:dyDescent="0.25">
      <c r="B568" s="17"/>
      <c r="C568" s="14"/>
      <c r="D568" s="14"/>
      <c r="E568" s="18"/>
      <c r="F568" s="61"/>
      <c r="G568" s="73"/>
      <c r="H568" s="79"/>
      <c r="I568" s="79"/>
      <c r="J568" s="14"/>
      <c r="K568" s="38"/>
      <c r="L568" s="38"/>
      <c r="M568" s="17"/>
    </row>
    <row r="569" spans="2:13" ht="14.45" customHeight="1" x14ac:dyDescent="0.25">
      <c r="B569" s="17"/>
      <c r="C569" s="14"/>
      <c r="D569" s="14"/>
      <c r="E569" s="18"/>
      <c r="F569" s="61"/>
      <c r="G569" s="73"/>
      <c r="H569" s="79"/>
      <c r="I569" s="79"/>
      <c r="J569" s="14"/>
      <c r="K569" s="38"/>
      <c r="L569" s="38"/>
      <c r="M569" s="17"/>
    </row>
    <row r="570" spans="2:13" ht="14.45" customHeight="1" x14ac:dyDescent="0.25">
      <c r="B570" s="17"/>
      <c r="C570" s="14"/>
      <c r="D570" s="14"/>
      <c r="E570" s="18"/>
      <c r="F570" s="61"/>
      <c r="G570" s="73"/>
      <c r="H570" s="79"/>
      <c r="I570" s="79"/>
      <c r="J570" s="14"/>
      <c r="K570" s="38"/>
      <c r="L570" s="38"/>
      <c r="M570" s="17"/>
    </row>
    <row r="571" spans="2:13" ht="14.45" customHeight="1" x14ac:dyDescent="0.25">
      <c r="B571" s="17"/>
      <c r="C571" s="14"/>
      <c r="D571" s="14"/>
      <c r="E571" s="18"/>
      <c r="F571" s="61"/>
      <c r="G571" s="73"/>
      <c r="H571" s="79"/>
      <c r="I571" s="79"/>
      <c r="J571" s="14"/>
      <c r="K571" s="38"/>
      <c r="L571" s="38"/>
      <c r="M571" s="17"/>
    </row>
    <row r="572" spans="2:13" ht="14.45" customHeight="1" x14ac:dyDescent="0.25">
      <c r="B572" s="17"/>
      <c r="C572" s="14"/>
      <c r="D572" s="14"/>
      <c r="E572" s="18"/>
      <c r="F572" s="61"/>
      <c r="G572" s="73"/>
      <c r="H572" s="79"/>
      <c r="I572" s="79"/>
      <c r="J572" s="14"/>
      <c r="K572" s="38"/>
      <c r="L572" s="38"/>
      <c r="M572" s="17"/>
    </row>
    <row r="573" spans="2:13" ht="14.45" customHeight="1" x14ac:dyDescent="0.25">
      <c r="B573" s="17"/>
      <c r="C573" s="14"/>
      <c r="D573" s="14"/>
      <c r="E573" s="18"/>
      <c r="F573" s="61"/>
      <c r="G573" s="73"/>
      <c r="H573" s="79"/>
      <c r="I573" s="79"/>
      <c r="J573" s="14"/>
      <c r="K573" s="38"/>
      <c r="L573" s="38"/>
      <c r="M573" s="17"/>
    </row>
    <row r="574" spans="2:13" ht="14.45" customHeight="1" x14ac:dyDescent="0.25">
      <c r="B574" s="17"/>
      <c r="C574" s="14"/>
      <c r="D574" s="14"/>
      <c r="E574" s="18"/>
      <c r="F574" s="61"/>
      <c r="G574" s="73"/>
      <c r="H574" s="79"/>
      <c r="I574" s="79"/>
      <c r="J574" s="14"/>
      <c r="K574" s="38"/>
      <c r="L574" s="38"/>
      <c r="M574" s="17"/>
    </row>
    <row r="575" spans="2:13" ht="14.45" customHeight="1" x14ac:dyDescent="0.25">
      <c r="B575" s="17"/>
      <c r="C575" s="14"/>
      <c r="D575" s="14"/>
      <c r="E575" s="18"/>
      <c r="F575" s="61"/>
      <c r="G575" s="73"/>
      <c r="H575" s="79"/>
      <c r="I575" s="79"/>
      <c r="J575" s="14"/>
      <c r="K575" s="38"/>
      <c r="L575" s="38"/>
      <c r="M575" s="17"/>
    </row>
    <row r="576" spans="2:13" ht="14.45" customHeight="1" x14ac:dyDescent="0.25">
      <c r="B576" s="17"/>
      <c r="C576" s="14"/>
      <c r="D576" s="14"/>
      <c r="E576" s="18"/>
      <c r="F576" s="61"/>
      <c r="G576" s="73"/>
      <c r="H576" s="79"/>
      <c r="I576" s="79"/>
      <c r="J576" s="14"/>
      <c r="K576" s="38"/>
      <c r="L576" s="38"/>
      <c r="M576" s="17"/>
    </row>
    <row r="577" spans="2:13" ht="14.45" customHeight="1" x14ac:dyDescent="0.25">
      <c r="B577" s="17"/>
      <c r="C577" s="14"/>
      <c r="D577" s="14"/>
      <c r="E577" s="18"/>
      <c r="F577" s="61"/>
      <c r="G577" s="73"/>
      <c r="H577" s="79"/>
      <c r="I577" s="79"/>
      <c r="J577" s="14"/>
      <c r="K577" s="38"/>
      <c r="L577" s="38"/>
      <c r="M577" s="17"/>
    </row>
    <row r="578" spans="2:13" ht="14.45" customHeight="1" x14ac:dyDescent="0.25">
      <c r="B578" s="17"/>
      <c r="C578" s="14"/>
      <c r="D578" s="14"/>
      <c r="E578" s="18"/>
      <c r="F578" s="61"/>
      <c r="G578" s="73"/>
      <c r="H578" s="79"/>
      <c r="I578" s="79"/>
      <c r="J578" s="14"/>
      <c r="K578" s="38"/>
      <c r="L578" s="38"/>
      <c r="M578" s="17"/>
    </row>
    <row r="579" spans="2:13" ht="14.45" customHeight="1" x14ac:dyDescent="0.25">
      <c r="B579" s="17"/>
      <c r="C579" s="14"/>
      <c r="D579" s="14"/>
      <c r="E579" s="18"/>
      <c r="F579" s="61"/>
      <c r="G579" s="73"/>
      <c r="H579" s="79"/>
      <c r="I579" s="79"/>
      <c r="J579" s="14"/>
      <c r="K579" s="38"/>
      <c r="L579" s="38"/>
      <c r="M579" s="17"/>
    </row>
    <row r="580" spans="2:13" ht="14.45" customHeight="1" x14ac:dyDescent="0.25">
      <c r="B580" s="17"/>
      <c r="C580" s="14"/>
      <c r="D580" s="14"/>
      <c r="E580" s="18"/>
      <c r="F580" s="61"/>
      <c r="G580" s="73"/>
      <c r="H580" s="79"/>
      <c r="I580" s="79"/>
      <c r="J580" s="14"/>
      <c r="K580" s="38"/>
      <c r="L580" s="38"/>
      <c r="M580" s="17"/>
    </row>
    <row r="581" spans="2:13" ht="14.45" customHeight="1" x14ac:dyDescent="0.25">
      <c r="B581" s="17"/>
      <c r="C581" s="14"/>
      <c r="D581" s="14"/>
      <c r="E581" s="18"/>
      <c r="F581" s="61"/>
      <c r="G581" s="73"/>
      <c r="H581" s="79"/>
      <c r="I581" s="79"/>
      <c r="J581" s="14"/>
      <c r="K581" s="38"/>
      <c r="L581" s="38"/>
      <c r="M581" s="17"/>
    </row>
    <row r="582" spans="2:13" ht="14.45" customHeight="1" x14ac:dyDescent="0.25">
      <c r="B582" s="17"/>
      <c r="C582" s="14"/>
      <c r="D582" s="14"/>
      <c r="E582" s="18"/>
      <c r="F582" s="61"/>
      <c r="G582" s="73"/>
      <c r="H582" s="79"/>
      <c r="I582" s="79"/>
      <c r="J582" s="14"/>
      <c r="K582" s="38"/>
      <c r="L582" s="38"/>
      <c r="M582" s="17"/>
    </row>
    <row r="583" spans="2:13" ht="14.45" customHeight="1" x14ac:dyDescent="0.25">
      <c r="B583" s="17"/>
      <c r="C583" s="14"/>
      <c r="D583" s="14"/>
      <c r="E583" s="18"/>
      <c r="F583" s="61"/>
      <c r="G583" s="73"/>
      <c r="H583" s="79"/>
      <c r="I583" s="79"/>
      <c r="J583" s="14"/>
      <c r="K583" s="38"/>
      <c r="L583" s="38"/>
      <c r="M583" s="17"/>
    </row>
    <row r="584" spans="2:13" ht="14.45" customHeight="1" x14ac:dyDescent="0.25">
      <c r="B584" s="17"/>
      <c r="C584" s="14"/>
      <c r="D584" s="14"/>
      <c r="E584" s="18"/>
      <c r="F584" s="61"/>
      <c r="G584" s="73"/>
      <c r="H584" s="79"/>
      <c r="I584" s="79"/>
      <c r="J584" s="14"/>
      <c r="K584" s="38"/>
      <c r="L584" s="38"/>
      <c r="M584" s="17"/>
    </row>
    <row r="585" spans="2:13" ht="14.45" customHeight="1" x14ac:dyDescent="0.25">
      <c r="B585" s="17"/>
      <c r="C585" s="14"/>
      <c r="D585" s="14"/>
      <c r="E585" s="18"/>
      <c r="F585" s="61"/>
      <c r="G585" s="73"/>
      <c r="H585" s="79"/>
      <c r="I585" s="79"/>
      <c r="J585" s="14"/>
      <c r="K585" s="38"/>
      <c r="L585" s="38"/>
      <c r="M585" s="17"/>
    </row>
    <row r="586" spans="2:13" ht="14.45" customHeight="1" x14ac:dyDescent="0.25">
      <c r="B586" s="17"/>
      <c r="C586" s="14"/>
      <c r="D586" s="14"/>
      <c r="E586" s="18"/>
      <c r="F586" s="61"/>
      <c r="G586" s="73"/>
      <c r="H586" s="79"/>
      <c r="I586" s="79"/>
      <c r="J586" s="14"/>
      <c r="K586" s="38"/>
      <c r="L586" s="38"/>
      <c r="M586" s="17"/>
    </row>
    <row r="587" spans="2:13" ht="14.45" customHeight="1" x14ac:dyDescent="0.25">
      <c r="B587" s="17"/>
      <c r="C587" s="14"/>
      <c r="D587" s="14"/>
      <c r="E587" s="18"/>
      <c r="F587" s="61"/>
      <c r="G587" s="73"/>
      <c r="H587" s="79"/>
      <c r="I587" s="79"/>
      <c r="J587" s="14"/>
      <c r="K587" s="38"/>
      <c r="L587" s="38"/>
      <c r="M587" s="17"/>
    </row>
    <row r="588" spans="2:13" ht="14.45" customHeight="1" x14ac:dyDescent="0.25">
      <c r="B588" s="17"/>
      <c r="C588" s="14"/>
      <c r="D588" s="14"/>
      <c r="E588" s="18"/>
      <c r="F588" s="61"/>
      <c r="G588" s="73"/>
      <c r="H588" s="79"/>
      <c r="I588" s="79"/>
      <c r="J588" s="14"/>
      <c r="K588" s="38"/>
      <c r="L588" s="38"/>
      <c r="M588" s="17"/>
    </row>
    <row r="589" spans="2:13" ht="14.45" customHeight="1" x14ac:dyDescent="0.25">
      <c r="B589" s="17"/>
      <c r="C589" s="14"/>
      <c r="D589" s="14"/>
      <c r="E589" s="18"/>
      <c r="F589" s="61"/>
      <c r="G589" s="73"/>
      <c r="H589" s="79"/>
      <c r="I589" s="79"/>
      <c r="J589" s="14"/>
      <c r="K589" s="38"/>
      <c r="L589" s="38"/>
      <c r="M589" s="17"/>
    </row>
    <row r="590" spans="2:13" ht="14.45" customHeight="1" x14ac:dyDescent="0.25">
      <c r="B590" s="17"/>
      <c r="C590" s="14"/>
      <c r="D590" s="14"/>
      <c r="E590" s="18"/>
      <c r="F590" s="61"/>
      <c r="G590" s="73"/>
      <c r="H590" s="79"/>
      <c r="I590" s="79"/>
      <c r="J590" s="14"/>
      <c r="K590" s="38"/>
      <c r="L590" s="38"/>
      <c r="M590" s="17"/>
    </row>
    <row r="591" spans="2:13" ht="14.45" customHeight="1" x14ac:dyDescent="0.25">
      <c r="B591" s="17"/>
      <c r="C591" s="14"/>
      <c r="D591" s="14"/>
      <c r="E591" s="18"/>
      <c r="F591" s="61"/>
      <c r="G591" s="73"/>
      <c r="H591" s="79"/>
      <c r="I591" s="79"/>
      <c r="J591" s="14"/>
      <c r="K591" s="38"/>
      <c r="L591" s="38"/>
      <c r="M591" s="17"/>
    </row>
    <row r="592" spans="2:13" ht="14.45" customHeight="1" x14ac:dyDescent="0.25">
      <c r="B592" s="17"/>
      <c r="C592" s="14"/>
      <c r="D592" s="14"/>
      <c r="E592" s="18"/>
      <c r="F592" s="61"/>
      <c r="G592" s="73"/>
      <c r="H592" s="79"/>
      <c r="I592" s="79"/>
      <c r="J592" s="14"/>
      <c r="K592" s="38"/>
      <c r="L592" s="38"/>
      <c r="M592" s="17"/>
    </row>
    <row r="593" spans="2:13" ht="14.45" customHeight="1" x14ac:dyDescent="0.25">
      <c r="B593" s="17"/>
      <c r="C593" s="14"/>
      <c r="D593" s="14"/>
      <c r="E593" s="18"/>
      <c r="F593" s="61"/>
      <c r="G593" s="73"/>
      <c r="H593" s="79"/>
      <c r="I593" s="79"/>
      <c r="J593" s="14"/>
      <c r="K593" s="38"/>
      <c r="L593" s="38"/>
      <c r="M593" s="17"/>
    </row>
    <row r="594" spans="2:13" ht="14.45" customHeight="1" x14ac:dyDescent="0.25">
      <c r="B594" s="17"/>
      <c r="C594" s="14"/>
      <c r="D594" s="14"/>
      <c r="E594" s="18"/>
      <c r="F594" s="61"/>
      <c r="G594" s="73"/>
      <c r="H594" s="79"/>
      <c r="I594" s="79"/>
      <c r="J594" s="14"/>
      <c r="K594" s="38"/>
      <c r="L594" s="38"/>
      <c r="M594" s="17"/>
    </row>
    <row r="595" spans="2:13" ht="14.45" customHeight="1" x14ac:dyDescent="0.25">
      <c r="B595" s="17"/>
      <c r="C595" s="14"/>
      <c r="D595" s="14"/>
      <c r="E595" s="18"/>
      <c r="F595" s="61"/>
      <c r="G595" s="73"/>
      <c r="H595" s="79"/>
      <c r="I595" s="79"/>
      <c r="J595" s="14"/>
      <c r="K595" s="38"/>
      <c r="L595" s="38"/>
      <c r="M595" s="17"/>
    </row>
    <row r="596" spans="2:13" ht="14.45" customHeight="1" x14ac:dyDescent="0.25">
      <c r="B596" s="17"/>
      <c r="C596" s="14"/>
      <c r="D596" s="14"/>
      <c r="E596" s="18"/>
      <c r="F596" s="61"/>
      <c r="G596" s="73"/>
      <c r="H596" s="79"/>
      <c r="I596" s="79"/>
      <c r="J596" s="14"/>
      <c r="K596" s="38"/>
      <c r="L596" s="38"/>
      <c r="M596" s="17"/>
    </row>
    <row r="597" spans="2:13" ht="14.45" customHeight="1" x14ac:dyDescent="0.25">
      <c r="B597" s="17"/>
      <c r="C597" s="14"/>
      <c r="D597" s="14"/>
      <c r="E597" s="18"/>
      <c r="F597" s="61"/>
      <c r="G597" s="73"/>
      <c r="H597" s="79"/>
      <c r="I597" s="79"/>
      <c r="J597" s="14"/>
      <c r="K597" s="38"/>
      <c r="L597" s="38"/>
      <c r="M597" s="17"/>
    </row>
    <row r="598" spans="2:13" ht="14.45" customHeight="1" x14ac:dyDescent="0.25">
      <c r="B598" s="17"/>
      <c r="C598" s="14"/>
      <c r="D598" s="14"/>
      <c r="E598" s="18"/>
      <c r="F598" s="61"/>
      <c r="G598" s="73"/>
      <c r="H598" s="79"/>
      <c r="I598" s="79"/>
      <c r="J598" s="14"/>
      <c r="K598" s="38"/>
      <c r="L598" s="38"/>
      <c r="M598" s="17"/>
    </row>
    <row r="599" spans="2:13" ht="14.45" customHeight="1" x14ac:dyDescent="0.25">
      <c r="B599" s="17"/>
      <c r="C599" s="14"/>
      <c r="D599" s="14"/>
      <c r="E599" s="18"/>
      <c r="F599" s="61"/>
      <c r="G599" s="73"/>
      <c r="H599" s="79"/>
      <c r="I599" s="79"/>
      <c r="J599" s="14"/>
      <c r="K599" s="38"/>
      <c r="L599" s="38"/>
      <c r="M599" s="17"/>
    </row>
    <row r="600" spans="2:13" ht="14.45" customHeight="1" x14ac:dyDescent="0.25">
      <c r="B600" s="17"/>
      <c r="C600" s="14"/>
      <c r="D600" s="14"/>
      <c r="E600" s="18"/>
      <c r="F600" s="61"/>
      <c r="G600" s="73"/>
      <c r="H600" s="79"/>
      <c r="I600" s="79"/>
      <c r="J600" s="14"/>
      <c r="K600" s="38"/>
      <c r="L600" s="38"/>
      <c r="M600" s="17"/>
    </row>
    <row r="601" spans="2:13" ht="14.45" customHeight="1" x14ac:dyDescent="0.25">
      <c r="B601" s="17"/>
      <c r="C601" s="14"/>
      <c r="D601" s="14"/>
      <c r="E601" s="18"/>
      <c r="F601" s="61"/>
      <c r="G601" s="73"/>
      <c r="H601" s="79"/>
      <c r="I601" s="79"/>
      <c r="J601" s="14"/>
      <c r="K601" s="38"/>
      <c r="L601" s="38"/>
      <c r="M601" s="17"/>
    </row>
    <row r="602" spans="2:13" ht="14.45" customHeight="1" x14ac:dyDescent="0.25">
      <c r="B602" s="17"/>
      <c r="C602" s="14"/>
      <c r="D602" s="14"/>
      <c r="E602" s="18"/>
      <c r="F602" s="61"/>
      <c r="G602" s="73"/>
      <c r="H602" s="79"/>
      <c r="I602" s="79"/>
      <c r="J602" s="14"/>
      <c r="K602" s="38"/>
      <c r="L602" s="38"/>
      <c r="M602" s="17"/>
    </row>
    <row r="603" spans="2:13" ht="14.45" customHeight="1" x14ac:dyDescent="0.25">
      <c r="B603" s="17"/>
      <c r="C603" s="14"/>
      <c r="D603" s="14"/>
      <c r="E603" s="18"/>
      <c r="F603" s="61"/>
      <c r="G603" s="73"/>
      <c r="H603" s="79"/>
      <c r="I603" s="79"/>
      <c r="J603" s="14"/>
      <c r="K603" s="38"/>
      <c r="L603" s="38"/>
      <c r="M603" s="17"/>
    </row>
    <row r="604" spans="2:13" ht="14.45" customHeight="1" x14ac:dyDescent="0.25">
      <c r="B604" s="17"/>
      <c r="C604" s="14"/>
      <c r="D604" s="14"/>
      <c r="E604" s="18"/>
      <c r="F604" s="61"/>
      <c r="G604" s="73"/>
      <c r="H604" s="79"/>
      <c r="I604" s="79"/>
      <c r="J604" s="14"/>
      <c r="K604" s="38"/>
      <c r="L604" s="38"/>
      <c r="M604" s="17"/>
    </row>
    <row r="605" spans="2:13" ht="14.45" customHeight="1" x14ac:dyDescent="0.25">
      <c r="B605" s="17"/>
      <c r="C605" s="14"/>
      <c r="D605" s="14"/>
      <c r="E605" s="18"/>
      <c r="F605" s="61"/>
      <c r="G605" s="73"/>
      <c r="H605" s="79"/>
      <c r="I605" s="79"/>
      <c r="J605" s="14"/>
      <c r="K605" s="38"/>
      <c r="L605" s="38"/>
      <c r="M605" s="17"/>
    </row>
    <row r="606" spans="2:13" ht="14.45" customHeight="1" x14ac:dyDescent="0.25">
      <c r="B606" s="17"/>
      <c r="C606" s="14"/>
      <c r="D606" s="14"/>
      <c r="E606" s="18"/>
      <c r="F606" s="61"/>
      <c r="G606" s="73"/>
      <c r="H606" s="79"/>
      <c r="I606" s="79"/>
      <c r="J606" s="14"/>
      <c r="K606" s="38"/>
      <c r="L606" s="38"/>
      <c r="M606" s="17"/>
    </row>
    <row r="607" spans="2:13" ht="14.45" customHeight="1" x14ac:dyDescent="0.25">
      <c r="B607" s="17"/>
      <c r="C607" s="14"/>
      <c r="D607" s="14"/>
      <c r="E607" s="18"/>
      <c r="F607" s="61"/>
      <c r="G607" s="73"/>
      <c r="H607" s="79"/>
      <c r="I607" s="79"/>
      <c r="J607" s="14"/>
      <c r="K607" s="38"/>
      <c r="L607" s="38"/>
      <c r="M607" s="17"/>
    </row>
    <row r="608" spans="2:13" ht="14.45" customHeight="1" x14ac:dyDescent="0.25">
      <c r="B608" s="17"/>
      <c r="C608" s="14"/>
      <c r="D608" s="14"/>
      <c r="E608" s="18"/>
      <c r="F608" s="61"/>
      <c r="G608" s="73"/>
      <c r="H608" s="79"/>
      <c r="I608" s="79"/>
      <c r="J608" s="14"/>
      <c r="K608" s="38"/>
      <c r="L608" s="38"/>
      <c r="M608" s="17"/>
    </row>
    <row r="609" spans="2:13" ht="14.45" customHeight="1" x14ac:dyDescent="0.25">
      <c r="B609" s="17"/>
      <c r="C609" s="14"/>
      <c r="D609" s="14"/>
      <c r="E609" s="18"/>
      <c r="F609" s="61"/>
      <c r="G609" s="73"/>
      <c r="H609" s="79"/>
      <c r="I609" s="79"/>
      <c r="J609" s="14"/>
      <c r="K609" s="38"/>
      <c r="L609" s="38"/>
      <c r="M609" s="17"/>
    </row>
    <row r="610" spans="2:13" ht="14.45" customHeight="1" x14ac:dyDescent="0.25">
      <c r="B610" s="17"/>
      <c r="C610" s="14"/>
      <c r="D610" s="14"/>
      <c r="E610" s="18"/>
      <c r="F610" s="61"/>
      <c r="G610" s="73"/>
      <c r="H610" s="79"/>
      <c r="I610" s="79"/>
      <c r="J610" s="14"/>
      <c r="K610" s="38"/>
      <c r="L610" s="38"/>
      <c r="M610" s="17"/>
    </row>
    <row r="611" spans="2:13" ht="14.45" customHeight="1" x14ac:dyDescent="0.25">
      <c r="B611" s="17"/>
      <c r="C611" s="14"/>
      <c r="D611" s="14"/>
      <c r="E611" s="18"/>
      <c r="F611" s="61"/>
      <c r="G611" s="73"/>
      <c r="H611" s="79"/>
      <c r="I611" s="79"/>
      <c r="J611" s="14"/>
      <c r="K611" s="38"/>
      <c r="L611" s="38"/>
      <c r="M611" s="17"/>
    </row>
    <row r="612" spans="2:13" ht="14.45" customHeight="1" x14ac:dyDescent="0.25">
      <c r="B612" s="17"/>
      <c r="C612" s="14"/>
      <c r="D612" s="14"/>
      <c r="E612" s="18"/>
      <c r="F612" s="61"/>
      <c r="G612" s="73"/>
      <c r="H612" s="79"/>
      <c r="I612" s="79"/>
      <c r="J612" s="14"/>
      <c r="K612" s="38"/>
      <c r="L612" s="38"/>
      <c r="M612" s="17"/>
    </row>
    <row r="613" spans="2:13" ht="14.45" customHeight="1" x14ac:dyDescent="0.25">
      <c r="B613" s="17"/>
      <c r="C613" s="14"/>
      <c r="D613" s="14"/>
      <c r="E613" s="18"/>
      <c r="F613" s="61"/>
      <c r="G613" s="73"/>
      <c r="H613" s="79"/>
      <c r="I613" s="79"/>
      <c r="J613" s="14"/>
      <c r="K613" s="38"/>
      <c r="L613" s="38"/>
      <c r="M613" s="17"/>
    </row>
    <row r="614" spans="2:13" ht="14.45" customHeight="1" x14ac:dyDescent="0.25">
      <c r="B614" s="17"/>
      <c r="C614" s="14"/>
      <c r="D614" s="14"/>
      <c r="E614" s="18"/>
      <c r="F614" s="61"/>
      <c r="G614" s="73"/>
      <c r="H614" s="79"/>
      <c r="I614" s="79"/>
      <c r="J614" s="14"/>
      <c r="K614" s="38"/>
      <c r="L614" s="38"/>
      <c r="M614" s="17"/>
    </row>
    <row r="615" spans="2:13" ht="14.45" customHeight="1" x14ac:dyDescent="0.25">
      <c r="B615" s="17"/>
      <c r="C615" s="14"/>
      <c r="D615" s="14"/>
      <c r="E615" s="18"/>
      <c r="F615" s="61"/>
      <c r="G615" s="73"/>
      <c r="H615" s="79"/>
      <c r="I615" s="79"/>
      <c r="J615" s="14"/>
      <c r="K615" s="38"/>
      <c r="L615" s="38"/>
      <c r="M615" s="17"/>
    </row>
    <row r="616" spans="2:13" ht="14.45" customHeight="1" x14ac:dyDescent="0.25">
      <c r="B616" s="17"/>
      <c r="C616" s="14"/>
      <c r="D616" s="14"/>
      <c r="E616" s="18"/>
      <c r="F616" s="61"/>
      <c r="G616" s="73"/>
      <c r="H616" s="79"/>
      <c r="I616" s="79"/>
      <c r="J616" s="14"/>
      <c r="K616" s="38"/>
      <c r="L616" s="38"/>
      <c r="M616" s="17"/>
    </row>
    <row r="617" spans="2:13" ht="14.45" customHeight="1" x14ac:dyDescent="0.25">
      <c r="B617" s="17"/>
      <c r="C617" s="14"/>
      <c r="D617" s="14"/>
      <c r="E617" s="18"/>
      <c r="F617" s="61"/>
      <c r="G617" s="73"/>
      <c r="H617" s="79"/>
      <c r="I617" s="79"/>
      <c r="J617" s="14"/>
      <c r="K617" s="38"/>
      <c r="L617" s="38"/>
      <c r="M617" s="17"/>
    </row>
    <row r="618" spans="2:13" ht="14.45" customHeight="1" x14ac:dyDescent="0.25">
      <c r="B618" s="17"/>
      <c r="C618" s="14"/>
      <c r="D618" s="14"/>
      <c r="E618" s="18"/>
      <c r="F618" s="61"/>
      <c r="G618" s="73"/>
      <c r="H618" s="79"/>
      <c r="I618" s="79"/>
      <c r="J618" s="14"/>
      <c r="K618" s="38"/>
      <c r="L618" s="38"/>
      <c r="M618" s="17"/>
    </row>
    <row r="619" spans="2:13" ht="14.45" customHeight="1" x14ac:dyDescent="0.25">
      <c r="B619" s="17"/>
      <c r="C619" s="14"/>
      <c r="D619" s="14"/>
      <c r="E619" s="18"/>
      <c r="F619" s="61"/>
      <c r="G619" s="73"/>
      <c r="H619" s="79"/>
      <c r="I619" s="79"/>
      <c r="J619" s="14"/>
      <c r="K619" s="38"/>
      <c r="L619" s="38"/>
      <c r="M619" s="17"/>
    </row>
    <row r="620" spans="2:13" ht="14.45" customHeight="1" x14ac:dyDescent="0.25">
      <c r="B620" s="17"/>
      <c r="C620" s="14"/>
      <c r="D620" s="14"/>
      <c r="E620" s="18"/>
      <c r="F620" s="61"/>
      <c r="G620" s="73"/>
      <c r="H620" s="79"/>
      <c r="I620" s="79"/>
      <c r="J620" s="14"/>
      <c r="K620" s="38"/>
      <c r="L620" s="38"/>
      <c r="M620" s="17"/>
    </row>
    <row r="621" spans="2:13" ht="14.45" customHeight="1" x14ac:dyDescent="0.25">
      <c r="B621" s="17"/>
      <c r="C621" s="14"/>
      <c r="D621" s="14"/>
      <c r="E621" s="18"/>
      <c r="F621" s="61"/>
      <c r="G621" s="73"/>
      <c r="H621" s="79"/>
      <c r="I621" s="79"/>
      <c r="J621" s="14"/>
      <c r="K621" s="38"/>
      <c r="L621" s="38"/>
      <c r="M621" s="17"/>
    </row>
    <row r="622" spans="2:13" ht="14.45" customHeight="1" x14ac:dyDescent="0.25">
      <c r="B622" s="17"/>
      <c r="C622" s="14"/>
      <c r="D622" s="14"/>
      <c r="E622" s="18"/>
      <c r="F622" s="61"/>
      <c r="G622" s="73"/>
      <c r="H622" s="79"/>
      <c r="I622" s="79"/>
      <c r="J622" s="14"/>
      <c r="K622" s="38"/>
      <c r="L622" s="38"/>
      <c r="M622" s="17"/>
    </row>
    <row r="623" spans="2:13" ht="14.45" customHeight="1" x14ac:dyDescent="0.25">
      <c r="B623" s="17"/>
      <c r="C623" s="14"/>
      <c r="D623" s="14"/>
      <c r="E623" s="18"/>
      <c r="F623" s="61"/>
      <c r="G623" s="73"/>
      <c r="H623" s="79"/>
      <c r="I623" s="79"/>
      <c r="J623" s="14"/>
      <c r="K623" s="38"/>
      <c r="L623" s="38"/>
      <c r="M623" s="17"/>
    </row>
    <row r="624" spans="2:13" ht="14.45" customHeight="1" x14ac:dyDescent="0.25">
      <c r="B624" s="17"/>
      <c r="C624" s="14"/>
      <c r="D624" s="14"/>
      <c r="E624" s="18"/>
      <c r="F624" s="61"/>
      <c r="G624" s="73"/>
      <c r="H624" s="79"/>
      <c r="I624" s="79"/>
      <c r="J624" s="14"/>
      <c r="K624" s="38"/>
      <c r="L624" s="38"/>
      <c r="M624" s="17"/>
    </row>
    <row r="625" spans="2:13" ht="14.45" customHeight="1" x14ac:dyDescent="0.25">
      <c r="B625" s="17"/>
      <c r="C625" s="14"/>
      <c r="D625" s="14"/>
      <c r="E625" s="18"/>
      <c r="F625" s="61"/>
      <c r="G625" s="73"/>
      <c r="H625" s="79"/>
      <c r="I625" s="79"/>
      <c r="J625" s="14"/>
      <c r="K625" s="38"/>
      <c r="L625" s="38"/>
      <c r="M625" s="17"/>
    </row>
    <row r="626" spans="2:13" ht="14.45" customHeight="1" x14ac:dyDescent="0.25">
      <c r="B626" s="17"/>
      <c r="C626" s="14"/>
      <c r="D626" s="14"/>
      <c r="E626" s="18"/>
      <c r="F626" s="61"/>
      <c r="G626" s="73"/>
      <c r="H626" s="79"/>
      <c r="I626" s="79"/>
      <c r="J626" s="14"/>
      <c r="K626" s="38"/>
      <c r="L626" s="38"/>
      <c r="M626" s="17"/>
    </row>
    <row r="627" spans="2:13" ht="14.45" customHeight="1" x14ac:dyDescent="0.25">
      <c r="B627" s="17"/>
      <c r="C627" s="14"/>
      <c r="D627" s="14"/>
      <c r="E627" s="18"/>
      <c r="F627" s="61"/>
      <c r="G627" s="73"/>
      <c r="H627" s="79"/>
      <c r="I627" s="79"/>
      <c r="J627" s="14"/>
      <c r="K627" s="38"/>
      <c r="L627" s="38"/>
      <c r="M627" s="17"/>
    </row>
    <row r="628" spans="2:13" ht="14.45" customHeight="1" x14ac:dyDescent="0.25">
      <c r="B628" s="17"/>
      <c r="C628" s="14"/>
      <c r="D628" s="14"/>
      <c r="E628" s="18"/>
      <c r="F628" s="61"/>
      <c r="G628" s="73"/>
      <c r="H628" s="79"/>
      <c r="I628" s="79"/>
      <c r="J628" s="14"/>
      <c r="K628" s="38"/>
      <c r="L628" s="38"/>
      <c r="M628" s="17"/>
    </row>
    <row r="629" spans="2:13" ht="14.45" customHeight="1" x14ac:dyDescent="0.25">
      <c r="B629" s="17"/>
      <c r="C629" s="14"/>
      <c r="D629" s="14"/>
      <c r="E629" s="18"/>
      <c r="F629" s="61"/>
      <c r="G629" s="73"/>
      <c r="H629" s="79"/>
      <c r="I629" s="79"/>
      <c r="J629" s="14"/>
      <c r="K629" s="38"/>
      <c r="L629" s="38"/>
      <c r="M629" s="17"/>
    </row>
    <row r="630" spans="2:13" ht="14.45" customHeight="1" x14ac:dyDescent="0.25">
      <c r="B630" s="17"/>
      <c r="C630" s="14"/>
      <c r="D630" s="14"/>
      <c r="E630" s="18"/>
      <c r="F630" s="61"/>
      <c r="G630" s="73"/>
      <c r="H630" s="79"/>
      <c r="I630" s="79"/>
      <c r="J630" s="14"/>
      <c r="K630" s="38"/>
      <c r="L630" s="38"/>
      <c r="M630" s="17"/>
    </row>
    <row r="631" spans="2:13" ht="14.45" customHeight="1" x14ac:dyDescent="0.25">
      <c r="B631" s="17"/>
      <c r="C631" s="14"/>
      <c r="D631" s="14"/>
      <c r="E631" s="18"/>
      <c r="F631" s="61"/>
      <c r="G631" s="73"/>
      <c r="H631" s="79"/>
      <c r="I631" s="79"/>
      <c r="J631" s="14"/>
      <c r="K631" s="38"/>
      <c r="L631" s="38"/>
      <c r="M631" s="17"/>
    </row>
    <row r="632" spans="2:13" ht="14.45" customHeight="1" x14ac:dyDescent="0.25">
      <c r="B632" s="17"/>
      <c r="C632" s="14"/>
      <c r="D632" s="14"/>
      <c r="E632" s="18"/>
      <c r="F632" s="61"/>
      <c r="G632" s="73"/>
      <c r="H632" s="79"/>
      <c r="I632" s="79"/>
      <c r="J632" s="14"/>
      <c r="K632" s="38"/>
      <c r="L632" s="38"/>
      <c r="M632" s="17"/>
    </row>
    <row r="633" spans="2:13" ht="14.45" customHeight="1" x14ac:dyDescent="0.25">
      <c r="B633" s="17"/>
      <c r="C633" s="14"/>
      <c r="D633" s="14"/>
      <c r="E633" s="18"/>
      <c r="F633" s="61"/>
      <c r="G633" s="73"/>
      <c r="H633" s="79"/>
      <c r="I633" s="79"/>
      <c r="J633" s="14"/>
      <c r="K633" s="38"/>
      <c r="L633" s="38"/>
      <c r="M633" s="17"/>
    </row>
    <row r="634" spans="2:13" ht="14.45" customHeight="1" x14ac:dyDescent="0.25">
      <c r="B634" s="17"/>
      <c r="C634" s="14"/>
      <c r="D634" s="14"/>
      <c r="E634" s="18"/>
      <c r="F634" s="61"/>
      <c r="G634" s="73"/>
      <c r="H634" s="79"/>
      <c r="I634" s="79"/>
      <c r="J634" s="14"/>
      <c r="K634" s="38"/>
      <c r="L634" s="38"/>
      <c r="M634" s="17"/>
    </row>
    <row r="635" spans="2:13" ht="14.45" customHeight="1" x14ac:dyDescent="0.25">
      <c r="B635" s="17"/>
      <c r="C635" s="14"/>
      <c r="D635" s="14"/>
      <c r="E635" s="18"/>
      <c r="F635" s="61"/>
      <c r="G635" s="73"/>
      <c r="H635" s="79"/>
      <c r="I635" s="79"/>
      <c r="J635" s="14"/>
      <c r="K635" s="38"/>
      <c r="L635" s="38"/>
      <c r="M635" s="17"/>
    </row>
    <row r="636" spans="2:13" ht="14.45" customHeight="1" x14ac:dyDescent="0.25">
      <c r="B636" s="17"/>
      <c r="C636" s="14"/>
      <c r="D636" s="14"/>
      <c r="E636" s="18"/>
      <c r="F636" s="61"/>
      <c r="G636" s="73"/>
      <c r="H636" s="79"/>
      <c r="I636" s="79"/>
      <c r="J636" s="14"/>
      <c r="K636" s="38"/>
      <c r="L636" s="38"/>
      <c r="M636" s="17"/>
    </row>
    <row r="637" spans="2:13" ht="14.45" customHeight="1" x14ac:dyDescent="0.25">
      <c r="B637" s="17"/>
      <c r="C637" s="14"/>
      <c r="D637" s="14"/>
      <c r="E637" s="18"/>
      <c r="F637" s="61"/>
      <c r="G637" s="73"/>
      <c r="H637" s="79"/>
      <c r="I637" s="79"/>
      <c r="J637" s="14"/>
      <c r="K637" s="38"/>
      <c r="L637" s="38"/>
      <c r="M637" s="17"/>
    </row>
    <row r="638" spans="2:13" ht="14.45" customHeight="1" x14ac:dyDescent="0.25">
      <c r="B638" s="17"/>
      <c r="C638" s="14"/>
      <c r="D638" s="14"/>
      <c r="E638" s="18"/>
      <c r="F638" s="61"/>
      <c r="G638" s="73"/>
      <c r="H638" s="79"/>
      <c r="I638" s="79"/>
      <c r="J638" s="14"/>
      <c r="K638" s="38"/>
      <c r="L638" s="38"/>
      <c r="M638" s="17"/>
    </row>
    <row r="639" spans="2:13" ht="14.45" customHeight="1" x14ac:dyDescent="0.25">
      <c r="B639" s="17"/>
      <c r="C639" s="14"/>
      <c r="D639" s="14"/>
      <c r="E639" s="18"/>
      <c r="F639" s="61"/>
      <c r="G639" s="73"/>
      <c r="H639" s="79"/>
      <c r="I639" s="79"/>
      <c r="J639" s="14"/>
      <c r="K639" s="38"/>
      <c r="L639" s="38"/>
      <c r="M639" s="17"/>
    </row>
    <row r="640" spans="2:13" ht="14.45" customHeight="1" x14ac:dyDescent="0.25">
      <c r="B640" s="17"/>
      <c r="C640" s="14"/>
      <c r="D640" s="14"/>
      <c r="E640" s="18"/>
      <c r="F640" s="61"/>
      <c r="G640" s="73"/>
      <c r="H640" s="79"/>
      <c r="I640" s="79"/>
      <c r="J640" s="14"/>
      <c r="K640" s="38"/>
      <c r="L640" s="38"/>
      <c r="M640" s="17"/>
    </row>
    <row r="641" spans="2:13" ht="14.45" customHeight="1" x14ac:dyDescent="0.25">
      <c r="B641" s="17"/>
      <c r="C641" s="14"/>
      <c r="D641" s="14"/>
      <c r="E641" s="18"/>
      <c r="F641" s="61"/>
      <c r="G641" s="73"/>
      <c r="H641" s="79"/>
      <c r="I641" s="79"/>
      <c r="J641" s="14"/>
      <c r="K641" s="38"/>
      <c r="L641" s="38"/>
      <c r="M641" s="17"/>
    </row>
    <row r="642" spans="2:13" ht="14.45" customHeight="1" x14ac:dyDescent="0.25">
      <c r="B642" s="17"/>
      <c r="C642" s="14"/>
      <c r="D642" s="14"/>
      <c r="E642" s="18"/>
      <c r="F642" s="61"/>
      <c r="G642" s="73"/>
      <c r="H642" s="79"/>
      <c r="I642" s="79"/>
      <c r="J642" s="14"/>
      <c r="K642" s="38"/>
      <c r="L642" s="38"/>
      <c r="M642" s="17"/>
    </row>
    <row r="643" spans="2:13" ht="14.45" customHeight="1" x14ac:dyDescent="0.25">
      <c r="B643" s="17"/>
      <c r="C643" s="14"/>
      <c r="D643" s="14"/>
      <c r="E643" s="18"/>
      <c r="F643" s="61"/>
      <c r="G643" s="73"/>
      <c r="H643" s="79"/>
      <c r="I643" s="79"/>
      <c r="J643" s="14"/>
      <c r="K643" s="38"/>
      <c r="L643" s="38"/>
      <c r="M643" s="17"/>
    </row>
    <row r="644" spans="2:13" ht="14.45" customHeight="1" x14ac:dyDescent="0.25">
      <c r="B644" s="17"/>
      <c r="C644" s="14"/>
      <c r="D644" s="14"/>
      <c r="E644" s="18"/>
      <c r="F644" s="61"/>
      <c r="G644" s="73"/>
      <c r="H644" s="79"/>
      <c r="I644" s="79"/>
      <c r="J644" s="14"/>
      <c r="K644" s="38"/>
      <c r="L644" s="38"/>
      <c r="M644" s="17"/>
    </row>
    <row r="645" spans="2:13" ht="14.45" customHeight="1" x14ac:dyDescent="0.25">
      <c r="B645" s="17"/>
      <c r="C645" s="14"/>
      <c r="D645" s="14"/>
      <c r="E645" s="18"/>
      <c r="F645" s="61"/>
      <c r="G645" s="73"/>
      <c r="H645" s="79"/>
      <c r="I645" s="79"/>
      <c r="J645" s="14"/>
      <c r="K645" s="38"/>
      <c r="L645" s="38"/>
      <c r="M645" s="17"/>
    </row>
    <row r="646" spans="2:13" ht="14.45" customHeight="1" x14ac:dyDescent="0.25">
      <c r="B646" s="17"/>
      <c r="C646" s="14"/>
      <c r="D646" s="14"/>
      <c r="E646" s="18"/>
      <c r="F646" s="61"/>
      <c r="G646" s="73"/>
      <c r="H646" s="79"/>
      <c r="I646" s="79"/>
      <c r="J646" s="14"/>
      <c r="K646" s="38"/>
      <c r="L646" s="38"/>
      <c r="M646" s="17"/>
    </row>
    <row r="647" spans="2:13" ht="14.45" customHeight="1" x14ac:dyDescent="0.25">
      <c r="B647" s="17"/>
      <c r="C647" s="14"/>
      <c r="D647" s="14"/>
      <c r="E647" s="18"/>
      <c r="F647" s="61"/>
      <c r="G647" s="73"/>
      <c r="H647" s="79"/>
      <c r="I647" s="79"/>
      <c r="J647" s="14"/>
      <c r="K647" s="38"/>
      <c r="L647" s="38"/>
      <c r="M647" s="17"/>
    </row>
    <row r="648" spans="2:13" ht="14.45" customHeight="1" x14ac:dyDescent="0.25">
      <c r="B648" s="17"/>
      <c r="C648" s="14"/>
      <c r="D648" s="14"/>
      <c r="E648" s="18"/>
      <c r="F648" s="61"/>
      <c r="G648" s="73"/>
      <c r="H648" s="79"/>
      <c r="I648" s="79"/>
      <c r="J648" s="14"/>
      <c r="K648" s="38"/>
      <c r="L648" s="38"/>
      <c r="M648" s="17"/>
    </row>
    <row r="649" spans="2:13" ht="14.45" customHeight="1" x14ac:dyDescent="0.25">
      <c r="B649" s="17"/>
      <c r="C649" s="14"/>
      <c r="D649" s="14"/>
      <c r="E649" s="18"/>
      <c r="F649" s="61"/>
      <c r="G649" s="73"/>
      <c r="H649" s="79"/>
      <c r="I649" s="79"/>
      <c r="J649" s="14"/>
      <c r="K649" s="38"/>
      <c r="L649" s="38"/>
      <c r="M649" s="17"/>
    </row>
    <row r="650" spans="2:13" ht="14.45" customHeight="1" x14ac:dyDescent="0.25">
      <c r="B650" s="17"/>
      <c r="C650" s="14"/>
      <c r="D650" s="14"/>
      <c r="E650" s="18"/>
      <c r="F650" s="61"/>
      <c r="G650" s="73"/>
      <c r="H650" s="79"/>
      <c r="I650" s="79"/>
      <c r="J650" s="14"/>
      <c r="K650" s="38"/>
      <c r="L650" s="38"/>
      <c r="M650" s="17"/>
    </row>
    <row r="651" spans="2:13" ht="14.45" customHeight="1" x14ac:dyDescent="0.25">
      <c r="B651" s="17"/>
      <c r="C651" s="14"/>
      <c r="D651" s="14"/>
      <c r="E651" s="18"/>
      <c r="F651" s="61"/>
      <c r="G651" s="73"/>
      <c r="H651" s="79"/>
      <c r="I651" s="79"/>
      <c r="J651" s="14"/>
      <c r="K651" s="38"/>
      <c r="L651" s="38"/>
      <c r="M651" s="17"/>
    </row>
    <row r="652" spans="2:13" ht="14.45" customHeight="1" x14ac:dyDescent="0.25">
      <c r="B652" s="17"/>
      <c r="C652" s="14"/>
      <c r="D652" s="14"/>
      <c r="E652" s="18"/>
      <c r="F652" s="61"/>
      <c r="G652" s="73"/>
      <c r="H652" s="79"/>
      <c r="I652" s="79"/>
      <c r="J652" s="14"/>
      <c r="K652" s="38"/>
      <c r="L652" s="38"/>
      <c r="M652" s="17"/>
    </row>
    <row r="653" spans="2:13" ht="14.45" customHeight="1" x14ac:dyDescent="0.25">
      <c r="B653" s="17"/>
      <c r="C653" s="14"/>
      <c r="D653" s="14"/>
      <c r="E653" s="18"/>
      <c r="F653" s="61"/>
      <c r="G653" s="73"/>
      <c r="H653" s="79"/>
      <c r="I653" s="79"/>
      <c r="J653" s="14"/>
      <c r="K653" s="38"/>
      <c r="L653" s="38"/>
      <c r="M653" s="17"/>
    </row>
    <row r="654" spans="2:13" ht="14.45" customHeight="1" x14ac:dyDescent="0.25">
      <c r="B654" s="17"/>
      <c r="C654" s="14"/>
      <c r="D654" s="14"/>
      <c r="E654" s="18"/>
      <c r="F654" s="61"/>
      <c r="G654" s="73"/>
      <c r="H654" s="79"/>
      <c r="I654" s="79"/>
      <c r="J654" s="14"/>
      <c r="K654" s="38"/>
      <c r="L654" s="38"/>
      <c r="M654" s="17"/>
    </row>
    <row r="655" spans="2:13" ht="14.45" customHeight="1" x14ac:dyDescent="0.25">
      <c r="B655" s="17"/>
      <c r="C655" s="14"/>
      <c r="D655" s="14"/>
      <c r="E655" s="18"/>
      <c r="F655" s="61"/>
      <c r="G655" s="73"/>
      <c r="H655" s="79"/>
      <c r="I655" s="79"/>
      <c r="J655" s="14"/>
      <c r="K655" s="38"/>
      <c r="L655" s="38"/>
      <c r="M655" s="17"/>
    </row>
    <row r="656" spans="2:13" ht="14.45" customHeight="1" x14ac:dyDescent="0.25">
      <c r="B656" s="17"/>
      <c r="C656" s="14"/>
      <c r="D656" s="14"/>
      <c r="E656" s="18"/>
      <c r="F656" s="61"/>
      <c r="G656" s="73"/>
      <c r="H656" s="79"/>
      <c r="I656" s="79"/>
      <c r="J656" s="14"/>
      <c r="K656" s="38"/>
      <c r="L656" s="38"/>
      <c r="M656" s="17"/>
    </row>
    <row r="657" spans="2:13" ht="14.45" customHeight="1" x14ac:dyDescent="0.25">
      <c r="B657" s="17"/>
      <c r="C657" s="14"/>
      <c r="D657" s="14"/>
      <c r="E657" s="18"/>
      <c r="F657" s="61"/>
      <c r="G657" s="73"/>
      <c r="H657" s="79"/>
      <c r="I657" s="79"/>
      <c r="J657" s="14"/>
      <c r="K657" s="38"/>
      <c r="L657" s="38"/>
      <c r="M657" s="17"/>
    </row>
    <row r="658" spans="2:13" ht="14.45" customHeight="1" x14ac:dyDescent="0.25">
      <c r="B658" s="17"/>
      <c r="C658" s="14"/>
      <c r="D658" s="14"/>
      <c r="E658" s="18"/>
      <c r="F658" s="61"/>
      <c r="G658" s="73"/>
      <c r="H658" s="79"/>
      <c r="I658" s="79"/>
      <c r="J658" s="14"/>
      <c r="K658" s="38"/>
      <c r="L658" s="38"/>
      <c r="M658" s="17"/>
    </row>
    <row r="659" spans="2:13" ht="14.45" customHeight="1" x14ac:dyDescent="0.25">
      <c r="B659" s="17"/>
      <c r="C659" s="14"/>
      <c r="D659" s="14"/>
      <c r="E659" s="18"/>
      <c r="F659" s="61"/>
      <c r="G659" s="73"/>
      <c r="H659" s="79"/>
      <c r="I659" s="79"/>
      <c r="J659" s="14"/>
      <c r="K659" s="38"/>
      <c r="L659" s="38"/>
      <c r="M659" s="17"/>
    </row>
    <row r="660" spans="2:13" ht="14.45" customHeight="1" x14ac:dyDescent="0.25">
      <c r="B660" s="17"/>
      <c r="C660" s="14"/>
      <c r="D660" s="14"/>
      <c r="E660" s="18"/>
      <c r="F660" s="61"/>
      <c r="G660" s="73"/>
      <c r="H660" s="79"/>
      <c r="I660" s="79"/>
      <c r="J660" s="14"/>
      <c r="K660" s="38"/>
      <c r="L660" s="38"/>
      <c r="M660" s="17"/>
    </row>
    <row r="661" spans="2:13" ht="14.45" customHeight="1" x14ac:dyDescent="0.25">
      <c r="B661" s="17"/>
      <c r="C661" s="14"/>
      <c r="D661" s="14"/>
      <c r="E661" s="18"/>
      <c r="F661" s="61"/>
      <c r="G661" s="73"/>
      <c r="H661" s="79"/>
      <c r="I661" s="79"/>
      <c r="J661" s="14"/>
      <c r="K661" s="38"/>
      <c r="L661" s="38"/>
      <c r="M661" s="17"/>
    </row>
    <row r="662" spans="2:13" ht="14.45" customHeight="1" x14ac:dyDescent="0.25">
      <c r="B662" s="17"/>
      <c r="C662" s="14"/>
      <c r="D662" s="14"/>
      <c r="E662" s="18"/>
      <c r="F662" s="61"/>
      <c r="G662" s="73"/>
      <c r="H662" s="79"/>
      <c r="I662" s="79"/>
      <c r="J662" s="14"/>
      <c r="K662" s="38"/>
      <c r="L662" s="38"/>
      <c r="M662" s="17"/>
    </row>
    <row r="663" spans="2:13" ht="14.45" customHeight="1" x14ac:dyDescent="0.25">
      <c r="B663" s="17"/>
      <c r="C663" s="14"/>
      <c r="D663" s="14"/>
      <c r="E663" s="18"/>
      <c r="F663" s="61"/>
      <c r="G663" s="73"/>
      <c r="H663" s="79"/>
      <c r="I663" s="79"/>
      <c r="J663" s="14"/>
      <c r="K663" s="38"/>
      <c r="L663" s="38"/>
      <c r="M663" s="17"/>
    </row>
    <row r="664" spans="2:13" ht="14.45" customHeight="1" x14ac:dyDescent="0.25">
      <c r="B664" s="17"/>
      <c r="C664" s="14"/>
      <c r="D664" s="14"/>
      <c r="E664" s="18"/>
      <c r="F664" s="61"/>
      <c r="G664" s="73"/>
      <c r="H664" s="79"/>
      <c r="I664" s="79"/>
      <c r="J664" s="14"/>
      <c r="K664" s="38"/>
      <c r="L664" s="38"/>
      <c r="M664" s="17"/>
    </row>
    <row r="665" spans="2:13" ht="14.45" customHeight="1" x14ac:dyDescent="0.25">
      <c r="B665" s="17"/>
      <c r="C665" s="14"/>
      <c r="D665" s="14"/>
      <c r="E665" s="18"/>
      <c r="F665" s="61"/>
      <c r="G665" s="73"/>
      <c r="H665" s="79"/>
      <c r="I665" s="79"/>
      <c r="J665" s="14"/>
      <c r="K665" s="38"/>
      <c r="L665" s="38"/>
      <c r="M665" s="17"/>
    </row>
    <row r="666" spans="2:13" ht="14.45" customHeight="1" x14ac:dyDescent="0.25">
      <c r="B666" s="17"/>
      <c r="C666" s="14"/>
      <c r="D666" s="14"/>
      <c r="E666" s="18"/>
      <c r="F666" s="61"/>
      <c r="G666" s="73"/>
      <c r="H666" s="79"/>
      <c r="I666" s="79"/>
      <c r="J666" s="14"/>
      <c r="K666" s="38"/>
      <c r="L666" s="38"/>
      <c r="M666" s="17"/>
    </row>
    <row r="667" spans="2:13" ht="14.45" customHeight="1" x14ac:dyDescent="0.25">
      <c r="B667" s="17"/>
      <c r="C667" s="14"/>
      <c r="D667" s="14"/>
      <c r="E667" s="18"/>
      <c r="F667" s="61"/>
      <c r="G667" s="73"/>
      <c r="H667" s="79"/>
      <c r="I667" s="79"/>
      <c r="J667" s="14"/>
      <c r="K667" s="38"/>
      <c r="L667" s="38"/>
      <c r="M667" s="17"/>
    </row>
    <row r="668" spans="2:13" ht="14.45" customHeight="1" x14ac:dyDescent="0.25">
      <c r="B668" s="17"/>
      <c r="C668" s="14"/>
      <c r="D668" s="14"/>
      <c r="E668" s="18"/>
      <c r="F668" s="61"/>
      <c r="G668" s="73"/>
      <c r="H668" s="79"/>
      <c r="I668" s="79"/>
      <c r="J668" s="14"/>
      <c r="K668" s="38"/>
      <c r="L668" s="38"/>
      <c r="M668" s="17"/>
    </row>
    <row r="669" spans="2:13" ht="14.45" customHeight="1" x14ac:dyDescent="0.25">
      <c r="B669" s="17"/>
      <c r="C669" s="14"/>
      <c r="D669" s="14"/>
      <c r="E669" s="18"/>
      <c r="F669" s="61"/>
      <c r="G669" s="73"/>
      <c r="H669" s="79"/>
      <c r="I669" s="79"/>
      <c r="J669" s="14"/>
      <c r="K669" s="38"/>
      <c r="L669" s="38"/>
      <c r="M669" s="17"/>
    </row>
    <row r="670" spans="2:13" ht="14.45" customHeight="1" x14ac:dyDescent="0.25">
      <c r="B670" s="17"/>
      <c r="C670" s="14"/>
      <c r="D670" s="14"/>
      <c r="E670" s="18"/>
      <c r="F670" s="61"/>
      <c r="G670" s="73"/>
      <c r="H670" s="79"/>
      <c r="I670" s="79"/>
      <c r="J670" s="14"/>
      <c r="K670" s="38"/>
      <c r="L670" s="38"/>
      <c r="M670" s="17"/>
    </row>
    <row r="671" spans="2:13" ht="14.45" customHeight="1" x14ac:dyDescent="0.25">
      <c r="B671" s="17"/>
      <c r="C671" s="14"/>
      <c r="D671" s="14"/>
      <c r="E671" s="18"/>
      <c r="F671" s="61"/>
      <c r="G671" s="73"/>
      <c r="H671" s="79"/>
      <c r="I671" s="79"/>
      <c r="J671" s="14"/>
      <c r="K671" s="38"/>
      <c r="L671" s="38"/>
      <c r="M671" s="17"/>
    </row>
    <row r="672" spans="2:13" ht="14.45" customHeight="1" x14ac:dyDescent="0.25">
      <c r="B672" s="17"/>
      <c r="C672" s="14"/>
      <c r="D672" s="14"/>
      <c r="E672" s="18"/>
      <c r="F672" s="61"/>
      <c r="G672" s="73"/>
      <c r="H672" s="79"/>
      <c r="I672" s="79"/>
      <c r="J672" s="14"/>
      <c r="K672" s="38"/>
      <c r="L672" s="38"/>
      <c r="M672" s="17"/>
    </row>
    <row r="673" spans="2:13" ht="14.45" customHeight="1" x14ac:dyDescent="0.25">
      <c r="B673" s="17"/>
      <c r="C673" s="14"/>
      <c r="D673" s="14"/>
      <c r="E673" s="18"/>
      <c r="F673" s="61"/>
      <c r="G673" s="73"/>
      <c r="H673" s="79"/>
      <c r="I673" s="79"/>
      <c r="J673" s="14"/>
      <c r="K673" s="38"/>
      <c r="L673" s="38"/>
      <c r="M673" s="17"/>
    </row>
    <row r="674" spans="2:13" ht="14.45" customHeight="1" x14ac:dyDescent="0.25">
      <c r="B674" s="17"/>
      <c r="C674" s="14"/>
      <c r="D674" s="14"/>
      <c r="E674" s="18"/>
      <c r="F674" s="61"/>
      <c r="G674" s="73"/>
      <c r="H674" s="79"/>
      <c r="I674" s="79"/>
      <c r="J674" s="14"/>
      <c r="K674" s="38"/>
      <c r="L674" s="38"/>
      <c r="M674" s="17"/>
    </row>
    <row r="675" spans="2:13" ht="14.45" customHeight="1" x14ac:dyDescent="0.25">
      <c r="B675" s="17"/>
      <c r="C675" s="14"/>
      <c r="D675" s="14"/>
      <c r="E675" s="18"/>
      <c r="F675" s="61"/>
      <c r="G675" s="73"/>
      <c r="H675" s="79"/>
      <c r="I675" s="79"/>
      <c r="J675" s="14"/>
      <c r="K675" s="38"/>
      <c r="L675" s="38"/>
      <c r="M675" s="17"/>
    </row>
    <row r="676" spans="2:13" ht="14.45" customHeight="1" x14ac:dyDescent="0.25">
      <c r="B676" s="17"/>
      <c r="C676" s="14"/>
      <c r="D676" s="14"/>
      <c r="E676" s="18"/>
      <c r="F676" s="61"/>
      <c r="G676" s="73"/>
      <c r="H676" s="79"/>
      <c r="I676" s="79"/>
      <c r="J676" s="14"/>
      <c r="K676" s="38"/>
      <c r="L676" s="38"/>
      <c r="M676" s="17"/>
    </row>
    <row r="677" spans="2:13" ht="14.45" customHeight="1" x14ac:dyDescent="0.25">
      <c r="B677" s="17"/>
      <c r="C677" s="14"/>
      <c r="D677" s="14"/>
      <c r="E677" s="18"/>
      <c r="F677" s="61"/>
      <c r="G677" s="73"/>
      <c r="H677" s="79"/>
      <c r="I677" s="79"/>
      <c r="J677" s="14"/>
      <c r="K677" s="38"/>
      <c r="L677" s="38"/>
      <c r="M677" s="17"/>
    </row>
    <row r="678" spans="2:13" ht="14.45" customHeight="1" x14ac:dyDescent="0.25">
      <c r="B678" s="17"/>
      <c r="C678" s="14"/>
      <c r="D678" s="14"/>
      <c r="E678" s="18"/>
      <c r="F678" s="61"/>
      <c r="G678" s="73"/>
      <c r="H678" s="79"/>
      <c r="I678" s="79"/>
      <c r="J678" s="14"/>
      <c r="K678" s="38"/>
      <c r="L678" s="38"/>
      <c r="M678" s="17"/>
    </row>
    <row r="679" spans="2:13" ht="14.45" customHeight="1" x14ac:dyDescent="0.25">
      <c r="B679" s="17"/>
      <c r="C679" s="14"/>
      <c r="D679" s="14"/>
      <c r="E679" s="18"/>
      <c r="F679" s="61"/>
      <c r="G679" s="73"/>
      <c r="H679" s="79"/>
      <c r="I679" s="79"/>
      <c r="J679" s="14"/>
      <c r="K679" s="38"/>
      <c r="L679" s="38"/>
      <c r="M679" s="17"/>
    </row>
    <row r="680" spans="2:13" ht="14.45" customHeight="1" x14ac:dyDescent="0.25">
      <c r="B680" s="17"/>
      <c r="C680" s="14"/>
      <c r="D680" s="14"/>
      <c r="E680" s="18"/>
      <c r="F680" s="61"/>
      <c r="G680" s="73"/>
      <c r="H680" s="79"/>
      <c r="I680" s="79"/>
      <c r="J680" s="14"/>
      <c r="K680" s="38"/>
      <c r="L680" s="38"/>
      <c r="M680" s="17"/>
    </row>
    <row r="681" spans="2:13" ht="14.45" customHeight="1" x14ac:dyDescent="0.25">
      <c r="B681" s="17"/>
      <c r="C681" s="14"/>
      <c r="D681" s="14"/>
      <c r="E681" s="18"/>
      <c r="F681" s="61"/>
      <c r="G681" s="73"/>
      <c r="H681" s="79"/>
      <c r="I681" s="79"/>
      <c r="J681" s="14"/>
      <c r="K681" s="38"/>
      <c r="L681" s="38"/>
      <c r="M681" s="17"/>
    </row>
    <row r="682" spans="2:13" ht="14.45" customHeight="1" x14ac:dyDescent="0.25">
      <c r="B682" s="17"/>
      <c r="C682" s="14"/>
      <c r="D682" s="14"/>
      <c r="E682" s="18"/>
      <c r="F682" s="61"/>
      <c r="G682" s="73"/>
      <c r="H682" s="79"/>
      <c r="I682" s="79"/>
      <c r="J682" s="14"/>
      <c r="K682" s="38"/>
      <c r="L682" s="38"/>
      <c r="M682" s="17"/>
    </row>
    <row r="683" spans="2:13" ht="14.45" customHeight="1" x14ac:dyDescent="0.25">
      <c r="B683" s="17"/>
      <c r="C683" s="14"/>
      <c r="D683" s="14"/>
      <c r="E683" s="18"/>
      <c r="F683" s="61"/>
      <c r="G683" s="73"/>
      <c r="H683" s="79"/>
      <c r="I683" s="79"/>
      <c r="J683" s="14"/>
      <c r="K683" s="38"/>
      <c r="L683" s="38"/>
      <c r="M683" s="17"/>
    </row>
    <row r="684" spans="2:13" ht="14.45" customHeight="1" x14ac:dyDescent="0.25">
      <c r="B684" s="17"/>
      <c r="C684" s="14"/>
      <c r="D684" s="14"/>
      <c r="E684" s="18"/>
      <c r="F684" s="61"/>
      <c r="G684" s="73"/>
      <c r="H684" s="79"/>
      <c r="I684" s="79"/>
      <c r="J684" s="14"/>
      <c r="K684" s="38"/>
      <c r="L684" s="38"/>
      <c r="M684" s="17"/>
    </row>
    <row r="685" spans="2:13" ht="14.45" customHeight="1" x14ac:dyDescent="0.25">
      <c r="B685" s="17"/>
      <c r="C685" s="14"/>
      <c r="D685" s="14"/>
      <c r="E685" s="18"/>
      <c r="F685" s="61"/>
      <c r="G685" s="73"/>
      <c r="H685" s="79"/>
      <c r="I685" s="79"/>
      <c r="J685" s="14"/>
      <c r="K685" s="38"/>
      <c r="L685" s="38"/>
      <c r="M685" s="17"/>
    </row>
    <row r="686" spans="2:13" ht="14.45" customHeight="1" x14ac:dyDescent="0.25">
      <c r="B686" s="17"/>
      <c r="C686" s="14"/>
      <c r="D686" s="14"/>
      <c r="E686" s="18"/>
      <c r="F686" s="61"/>
      <c r="G686" s="73"/>
      <c r="H686" s="79"/>
      <c r="I686" s="79"/>
      <c r="J686" s="14"/>
      <c r="K686" s="38"/>
      <c r="L686" s="38"/>
      <c r="M686" s="17"/>
    </row>
    <row r="687" spans="2:13" ht="14.45" customHeight="1" x14ac:dyDescent="0.25">
      <c r="B687" s="17"/>
      <c r="C687" s="14"/>
      <c r="D687" s="14"/>
      <c r="E687" s="18"/>
      <c r="F687" s="61"/>
      <c r="G687" s="73"/>
      <c r="H687" s="79"/>
      <c r="I687" s="79"/>
      <c r="J687" s="14"/>
      <c r="K687" s="38"/>
      <c r="L687" s="38"/>
      <c r="M687" s="17"/>
    </row>
    <row r="688" spans="2:13" ht="14.45" customHeight="1" x14ac:dyDescent="0.25">
      <c r="B688" s="17"/>
      <c r="C688" s="14"/>
      <c r="D688" s="14"/>
      <c r="E688" s="18"/>
      <c r="F688" s="61"/>
      <c r="G688" s="73"/>
      <c r="H688" s="79"/>
      <c r="I688" s="79"/>
      <c r="J688" s="14"/>
      <c r="K688" s="38"/>
      <c r="L688" s="38"/>
      <c r="M688" s="17"/>
    </row>
    <row r="689" spans="2:13" ht="14.45" customHeight="1" x14ac:dyDescent="0.25">
      <c r="B689" s="17"/>
      <c r="C689" s="14"/>
      <c r="D689" s="14"/>
      <c r="E689" s="18"/>
      <c r="F689" s="61"/>
      <c r="G689" s="73"/>
      <c r="H689" s="79"/>
      <c r="I689" s="79"/>
      <c r="J689" s="14"/>
      <c r="K689" s="38"/>
      <c r="L689" s="38"/>
      <c r="M689" s="17"/>
    </row>
    <row r="690" spans="2:13" ht="14.45" customHeight="1" x14ac:dyDescent="0.25">
      <c r="B690" s="17"/>
      <c r="C690" s="14"/>
      <c r="D690" s="14"/>
      <c r="E690" s="18"/>
      <c r="F690" s="61"/>
      <c r="G690" s="73"/>
      <c r="H690" s="79"/>
      <c r="I690" s="79"/>
      <c r="J690" s="14"/>
      <c r="K690" s="38"/>
      <c r="L690" s="38"/>
      <c r="M690" s="17"/>
    </row>
    <row r="691" spans="2:13" ht="14.45" customHeight="1" x14ac:dyDescent="0.25">
      <c r="B691" s="17"/>
      <c r="C691" s="14"/>
      <c r="D691" s="14"/>
      <c r="E691" s="18"/>
      <c r="F691" s="61"/>
      <c r="G691" s="73"/>
      <c r="H691" s="79"/>
      <c r="I691" s="79"/>
      <c r="J691" s="14"/>
      <c r="K691" s="38"/>
      <c r="L691" s="38"/>
      <c r="M691" s="17"/>
    </row>
    <row r="692" spans="2:13" ht="14.45" customHeight="1" x14ac:dyDescent="0.25">
      <c r="B692" s="17"/>
      <c r="C692" s="14"/>
      <c r="D692" s="14"/>
      <c r="E692" s="18"/>
      <c r="F692" s="61"/>
      <c r="G692" s="73"/>
      <c r="H692" s="79"/>
      <c r="I692" s="79"/>
      <c r="J692" s="14"/>
      <c r="K692" s="38"/>
      <c r="L692" s="38"/>
      <c r="M692" s="17"/>
    </row>
    <row r="693" spans="2:13" ht="14.45" customHeight="1" x14ac:dyDescent="0.25">
      <c r="B693" s="17"/>
      <c r="C693" s="14"/>
      <c r="D693" s="14"/>
      <c r="E693" s="18"/>
      <c r="F693" s="61"/>
      <c r="G693" s="73"/>
      <c r="H693" s="79"/>
      <c r="I693" s="79"/>
      <c r="J693" s="14"/>
      <c r="K693" s="38"/>
      <c r="L693" s="38"/>
      <c r="M693" s="17"/>
    </row>
    <row r="694" spans="2:13" ht="14.45" customHeight="1" x14ac:dyDescent="0.25">
      <c r="B694" s="17"/>
      <c r="C694" s="14"/>
      <c r="D694" s="14"/>
      <c r="E694" s="18"/>
      <c r="F694" s="61"/>
      <c r="G694" s="73"/>
      <c r="H694" s="79"/>
      <c r="I694" s="79"/>
      <c r="J694" s="14"/>
      <c r="K694" s="38"/>
      <c r="L694" s="38"/>
      <c r="M694" s="17"/>
    </row>
    <row r="695" spans="2:13" ht="14.45" customHeight="1" x14ac:dyDescent="0.25">
      <c r="B695" s="17"/>
      <c r="C695" s="14"/>
      <c r="D695" s="14"/>
      <c r="E695" s="18"/>
      <c r="F695" s="61"/>
      <c r="G695" s="73"/>
      <c r="H695" s="79"/>
      <c r="I695" s="79"/>
      <c r="J695" s="14"/>
      <c r="K695" s="38"/>
      <c r="L695" s="38"/>
      <c r="M695" s="17"/>
    </row>
    <row r="696" spans="2:13" ht="14.45" customHeight="1" x14ac:dyDescent="0.25">
      <c r="B696" s="17"/>
      <c r="C696" s="14"/>
      <c r="D696" s="14"/>
      <c r="E696" s="18"/>
      <c r="F696" s="61"/>
      <c r="G696" s="73"/>
      <c r="H696" s="79"/>
      <c r="I696" s="79"/>
      <c r="J696" s="14"/>
      <c r="K696" s="38"/>
      <c r="L696" s="38"/>
      <c r="M696" s="17"/>
    </row>
    <row r="697" spans="2:13" ht="14.45" customHeight="1" x14ac:dyDescent="0.25">
      <c r="B697" s="17"/>
      <c r="C697" s="14"/>
      <c r="D697" s="14"/>
      <c r="E697" s="18"/>
      <c r="F697" s="61"/>
      <c r="G697" s="73"/>
      <c r="H697" s="79"/>
      <c r="I697" s="79"/>
      <c r="J697" s="14"/>
      <c r="K697" s="38"/>
      <c r="L697" s="38"/>
      <c r="M697" s="17"/>
    </row>
    <row r="698" spans="2:13" ht="14.45" customHeight="1" x14ac:dyDescent="0.25">
      <c r="B698" s="17"/>
      <c r="C698" s="14"/>
      <c r="D698" s="14"/>
      <c r="E698" s="18"/>
      <c r="F698" s="61"/>
      <c r="G698" s="73"/>
      <c r="H698" s="79"/>
      <c r="I698" s="79"/>
      <c r="J698" s="14"/>
      <c r="K698" s="38"/>
      <c r="L698" s="38"/>
      <c r="M698" s="17"/>
    </row>
    <row r="699" spans="2:13" ht="14.45" customHeight="1" x14ac:dyDescent="0.25">
      <c r="B699" s="17"/>
      <c r="C699" s="14"/>
      <c r="D699" s="14"/>
      <c r="E699" s="18"/>
      <c r="F699" s="61"/>
      <c r="G699" s="73"/>
      <c r="H699" s="79"/>
      <c r="I699" s="79"/>
      <c r="J699" s="14"/>
      <c r="K699" s="38"/>
      <c r="L699" s="38"/>
      <c r="M699" s="17"/>
    </row>
    <row r="700" spans="2:13" ht="14.45" customHeight="1" x14ac:dyDescent="0.25">
      <c r="B700" s="17"/>
      <c r="C700" s="14"/>
      <c r="D700" s="14"/>
      <c r="E700" s="18"/>
      <c r="F700" s="61"/>
      <c r="G700" s="73"/>
      <c r="H700" s="79"/>
      <c r="I700" s="79"/>
      <c r="J700" s="14"/>
      <c r="K700" s="38"/>
      <c r="L700" s="38"/>
      <c r="M700" s="17"/>
    </row>
    <row r="701" spans="2:13" ht="14.45" customHeight="1" x14ac:dyDescent="0.25">
      <c r="B701" s="17"/>
      <c r="C701" s="14"/>
      <c r="D701" s="14"/>
      <c r="E701" s="18"/>
      <c r="F701" s="61"/>
      <c r="G701" s="73"/>
      <c r="H701" s="79"/>
      <c r="I701" s="79"/>
      <c r="J701" s="14"/>
      <c r="K701" s="38"/>
      <c r="L701" s="38"/>
      <c r="M701" s="17"/>
    </row>
    <row r="702" spans="2:13" ht="14.45" customHeight="1" x14ac:dyDescent="0.25">
      <c r="B702" s="17"/>
      <c r="C702" s="14"/>
      <c r="D702" s="14"/>
      <c r="E702" s="18"/>
      <c r="F702" s="61"/>
      <c r="G702" s="73"/>
      <c r="H702" s="79"/>
      <c r="I702" s="79"/>
      <c r="J702" s="14"/>
      <c r="K702" s="38"/>
      <c r="L702" s="38"/>
      <c r="M702" s="17"/>
    </row>
    <row r="703" spans="2:13" ht="14.45" customHeight="1" x14ac:dyDescent="0.25">
      <c r="B703" s="17"/>
      <c r="C703" s="14"/>
      <c r="D703" s="14"/>
      <c r="E703" s="18"/>
      <c r="F703" s="61"/>
      <c r="G703" s="73"/>
      <c r="H703" s="79"/>
      <c r="I703" s="79"/>
      <c r="J703" s="14"/>
      <c r="K703" s="38"/>
      <c r="L703" s="38"/>
      <c r="M703" s="17"/>
    </row>
    <row r="704" spans="2:13" ht="14.45" customHeight="1" x14ac:dyDescent="0.25">
      <c r="B704" s="17"/>
      <c r="C704" s="14"/>
      <c r="D704" s="14"/>
      <c r="E704" s="18"/>
      <c r="F704" s="61"/>
      <c r="G704" s="73"/>
      <c r="H704" s="79"/>
      <c r="I704" s="79"/>
      <c r="J704" s="14"/>
      <c r="K704" s="38"/>
      <c r="L704" s="38"/>
      <c r="M704" s="17"/>
    </row>
    <row r="705" spans="2:13" ht="14.45" customHeight="1" x14ac:dyDescent="0.25">
      <c r="B705" s="17"/>
      <c r="C705" s="14"/>
      <c r="D705" s="14"/>
      <c r="E705" s="18"/>
      <c r="F705" s="61"/>
      <c r="G705" s="73"/>
      <c r="H705" s="79"/>
      <c r="I705" s="79"/>
      <c r="J705" s="14"/>
      <c r="K705" s="38"/>
      <c r="L705" s="38"/>
      <c r="M705" s="17"/>
    </row>
    <row r="706" spans="2:13" ht="14.45" customHeight="1" x14ac:dyDescent="0.25">
      <c r="B706" s="17"/>
      <c r="C706" s="14"/>
      <c r="D706" s="14"/>
      <c r="E706" s="18"/>
      <c r="F706" s="61"/>
      <c r="G706" s="73"/>
      <c r="H706" s="79"/>
      <c r="I706" s="79"/>
      <c r="J706" s="14"/>
      <c r="K706" s="38"/>
      <c r="L706" s="38"/>
      <c r="M706" s="17"/>
    </row>
    <row r="707" spans="2:13" ht="14.45" customHeight="1" x14ac:dyDescent="0.25">
      <c r="B707" s="17"/>
      <c r="C707" s="14"/>
      <c r="D707" s="14"/>
      <c r="E707" s="18"/>
      <c r="F707" s="61"/>
      <c r="G707" s="73"/>
      <c r="H707" s="79"/>
      <c r="I707" s="79"/>
      <c r="J707" s="14"/>
      <c r="K707" s="38"/>
      <c r="L707" s="38"/>
      <c r="M707" s="17"/>
    </row>
    <row r="708" spans="2:13" ht="14.45" customHeight="1" x14ac:dyDescent="0.25">
      <c r="B708" s="17"/>
      <c r="C708" s="14"/>
      <c r="D708" s="14"/>
      <c r="E708" s="18"/>
      <c r="F708" s="61"/>
      <c r="G708" s="73"/>
      <c r="H708" s="79"/>
      <c r="I708" s="79"/>
      <c r="J708" s="14"/>
      <c r="K708" s="38"/>
      <c r="L708" s="38"/>
      <c r="M708" s="17"/>
    </row>
    <row r="709" spans="2:13" ht="14.45" customHeight="1" x14ac:dyDescent="0.25">
      <c r="B709" s="17"/>
      <c r="C709" s="14"/>
      <c r="D709" s="14"/>
      <c r="E709" s="18"/>
      <c r="F709" s="61"/>
      <c r="G709" s="73"/>
      <c r="H709" s="79"/>
      <c r="I709" s="79"/>
      <c r="J709" s="14"/>
      <c r="K709" s="38"/>
      <c r="L709" s="38"/>
      <c r="M709" s="17"/>
    </row>
    <row r="710" spans="2:13" ht="14.45" customHeight="1" x14ac:dyDescent="0.25">
      <c r="B710" s="17"/>
      <c r="C710" s="14"/>
      <c r="D710" s="14"/>
      <c r="E710" s="18"/>
      <c r="F710" s="61"/>
      <c r="G710" s="73"/>
      <c r="H710" s="79"/>
      <c r="I710" s="79"/>
      <c r="J710" s="14"/>
      <c r="K710" s="38"/>
      <c r="L710" s="38"/>
      <c r="M710" s="17"/>
    </row>
    <row r="711" spans="2:13" ht="14.45" customHeight="1" x14ac:dyDescent="0.25">
      <c r="B711" s="17"/>
      <c r="C711" s="14"/>
      <c r="D711" s="14"/>
      <c r="E711" s="18"/>
      <c r="F711" s="61"/>
      <c r="G711" s="73"/>
      <c r="H711" s="79"/>
      <c r="I711" s="79"/>
      <c r="J711" s="14"/>
      <c r="K711" s="38"/>
      <c r="L711" s="38"/>
      <c r="M711" s="17"/>
    </row>
    <row r="712" spans="2:13" ht="14.45" customHeight="1" x14ac:dyDescent="0.25">
      <c r="B712" s="17"/>
      <c r="C712" s="14"/>
      <c r="D712" s="14"/>
      <c r="E712" s="18"/>
      <c r="F712" s="61"/>
      <c r="G712" s="73"/>
      <c r="H712" s="79"/>
      <c r="I712" s="79"/>
      <c r="J712" s="14"/>
      <c r="K712" s="38"/>
      <c r="L712" s="38"/>
      <c r="M712" s="17"/>
    </row>
    <row r="713" spans="2:13" ht="14.45" customHeight="1" x14ac:dyDescent="0.25">
      <c r="B713" s="17"/>
      <c r="C713" s="14"/>
      <c r="D713" s="14"/>
      <c r="E713" s="18"/>
      <c r="F713" s="61"/>
      <c r="G713" s="73"/>
      <c r="H713" s="79"/>
      <c r="I713" s="79"/>
      <c r="J713" s="14"/>
      <c r="K713" s="38"/>
      <c r="L713" s="38"/>
      <c r="M713" s="17"/>
    </row>
    <row r="714" spans="2:13" ht="14.45" customHeight="1" x14ac:dyDescent="0.25">
      <c r="B714" s="17"/>
      <c r="C714" s="14"/>
      <c r="D714" s="14"/>
      <c r="E714" s="18"/>
      <c r="F714" s="61"/>
      <c r="G714" s="73"/>
      <c r="H714" s="79"/>
      <c r="I714" s="79"/>
      <c r="J714" s="14"/>
      <c r="K714" s="38"/>
      <c r="L714" s="38"/>
      <c r="M714" s="17"/>
    </row>
    <row r="715" spans="2:13" ht="14.45" customHeight="1" x14ac:dyDescent="0.25">
      <c r="B715" s="17"/>
      <c r="C715" s="14"/>
      <c r="D715" s="14"/>
      <c r="E715" s="18"/>
      <c r="F715" s="61"/>
      <c r="G715" s="73"/>
      <c r="H715" s="79"/>
      <c r="I715" s="79"/>
      <c r="J715" s="14"/>
      <c r="K715" s="38"/>
      <c r="L715" s="38"/>
      <c r="M715" s="17"/>
    </row>
    <row r="716" spans="2:13" ht="14.45" customHeight="1" x14ac:dyDescent="0.25">
      <c r="B716" s="17"/>
      <c r="C716" s="14"/>
      <c r="D716" s="14"/>
      <c r="E716" s="18"/>
      <c r="F716" s="61"/>
      <c r="G716" s="73"/>
      <c r="H716" s="79"/>
      <c r="I716" s="79"/>
      <c r="J716" s="14"/>
      <c r="K716" s="38"/>
      <c r="L716" s="38"/>
      <c r="M716" s="17"/>
    </row>
    <row r="717" spans="2:13" ht="14.45" customHeight="1" x14ac:dyDescent="0.25">
      <c r="B717" s="17"/>
      <c r="C717" s="14"/>
      <c r="D717" s="14"/>
      <c r="E717" s="18"/>
      <c r="F717" s="61"/>
      <c r="G717" s="73"/>
      <c r="H717" s="79"/>
      <c r="I717" s="79"/>
      <c r="J717" s="14"/>
      <c r="K717" s="38"/>
      <c r="L717" s="38"/>
      <c r="M717" s="17"/>
    </row>
    <row r="718" spans="2:13" ht="14.45" customHeight="1" x14ac:dyDescent="0.25">
      <c r="B718" s="17"/>
      <c r="C718" s="14"/>
      <c r="D718" s="14"/>
      <c r="E718" s="18"/>
      <c r="F718" s="61"/>
      <c r="G718" s="73"/>
      <c r="H718" s="79"/>
      <c r="I718" s="79"/>
      <c r="J718" s="14"/>
      <c r="K718" s="38"/>
      <c r="L718" s="38"/>
      <c r="M718" s="17"/>
    </row>
    <row r="719" spans="2:13" ht="14.45" customHeight="1" x14ac:dyDescent="0.25">
      <c r="B719" s="17"/>
      <c r="C719" s="14"/>
      <c r="D719" s="14"/>
      <c r="E719" s="18"/>
      <c r="F719" s="61"/>
      <c r="G719" s="73"/>
      <c r="H719" s="79"/>
      <c r="I719" s="79"/>
      <c r="J719" s="14"/>
      <c r="K719" s="38"/>
      <c r="L719" s="38"/>
      <c r="M719" s="17"/>
    </row>
    <row r="720" spans="2:13" ht="14.45" customHeight="1" x14ac:dyDescent="0.25">
      <c r="B720" s="17"/>
      <c r="C720" s="14"/>
      <c r="D720" s="14"/>
      <c r="E720" s="18"/>
      <c r="F720" s="61"/>
      <c r="G720" s="73"/>
      <c r="H720" s="79"/>
      <c r="I720" s="79"/>
      <c r="J720" s="14"/>
      <c r="K720" s="38"/>
      <c r="L720" s="38"/>
      <c r="M720" s="17"/>
    </row>
    <row r="721" spans="2:13" ht="14.45" customHeight="1" x14ac:dyDescent="0.25">
      <c r="B721" s="17"/>
      <c r="C721" s="14"/>
      <c r="D721" s="14"/>
      <c r="E721" s="18"/>
      <c r="F721" s="61"/>
      <c r="G721" s="73"/>
      <c r="H721" s="79"/>
      <c r="I721" s="79"/>
      <c r="J721" s="14"/>
      <c r="K721" s="38"/>
      <c r="L721" s="38"/>
      <c r="M721" s="17"/>
    </row>
    <row r="722" spans="2:13" ht="14.45" customHeight="1" x14ac:dyDescent="0.25">
      <c r="B722" s="17"/>
      <c r="C722" s="14"/>
      <c r="D722" s="14"/>
      <c r="E722" s="18"/>
      <c r="F722" s="61"/>
      <c r="G722" s="73"/>
      <c r="H722" s="79"/>
      <c r="I722" s="79"/>
      <c r="J722" s="14"/>
      <c r="K722" s="38"/>
      <c r="L722" s="38"/>
      <c r="M722" s="17"/>
    </row>
    <row r="723" spans="2:13" ht="14.45" customHeight="1" x14ac:dyDescent="0.25">
      <c r="B723" s="17"/>
      <c r="C723" s="14"/>
      <c r="D723" s="14"/>
      <c r="E723" s="18"/>
      <c r="F723" s="61"/>
      <c r="G723" s="73"/>
      <c r="H723" s="79"/>
      <c r="I723" s="79"/>
      <c r="J723" s="14"/>
      <c r="K723" s="38"/>
      <c r="L723" s="38"/>
      <c r="M723" s="17"/>
    </row>
    <row r="724" spans="2:13" ht="14.45" customHeight="1" x14ac:dyDescent="0.25">
      <c r="B724" s="17"/>
      <c r="C724" s="14"/>
      <c r="D724" s="14"/>
      <c r="E724" s="18"/>
      <c r="F724" s="61"/>
      <c r="G724" s="73"/>
      <c r="H724" s="79"/>
      <c r="I724" s="79"/>
      <c r="J724" s="14"/>
      <c r="K724" s="38"/>
      <c r="L724" s="38"/>
      <c r="M724" s="17"/>
    </row>
    <row r="725" spans="2:13" ht="14.45" customHeight="1" x14ac:dyDescent="0.25">
      <c r="B725" s="17"/>
      <c r="C725" s="14"/>
      <c r="D725" s="14"/>
      <c r="E725" s="18"/>
      <c r="F725" s="61"/>
      <c r="G725" s="73"/>
      <c r="H725" s="79"/>
      <c r="I725" s="79"/>
      <c r="J725" s="14"/>
      <c r="K725" s="38"/>
      <c r="L725" s="38"/>
      <c r="M725" s="17"/>
    </row>
    <row r="726" spans="2:13" ht="14.45" customHeight="1" x14ac:dyDescent="0.25">
      <c r="B726" s="17"/>
      <c r="C726" s="14"/>
      <c r="D726" s="14"/>
      <c r="E726" s="18"/>
      <c r="F726" s="61"/>
      <c r="G726" s="73"/>
      <c r="H726" s="79"/>
      <c r="I726" s="79"/>
      <c r="J726" s="14"/>
      <c r="K726" s="38"/>
      <c r="L726" s="38"/>
      <c r="M726" s="17"/>
    </row>
    <row r="727" spans="2:13" ht="14.45" customHeight="1" x14ac:dyDescent="0.25">
      <c r="B727" s="17"/>
      <c r="C727" s="14"/>
      <c r="D727" s="14"/>
      <c r="E727" s="18"/>
      <c r="F727" s="61"/>
      <c r="G727" s="73"/>
      <c r="H727" s="79"/>
      <c r="I727" s="79"/>
      <c r="J727" s="14"/>
      <c r="K727" s="38"/>
      <c r="L727" s="38"/>
      <c r="M727" s="17"/>
    </row>
    <row r="728" spans="2:13" ht="14.45" customHeight="1" x14ac:dyDescent="0.25">
      <c r="B728" s="17"/>
      <c r="C728" s="14"/>
      <c r="D728" s="14"/>
      <c r="E728" s="18"/>
      <c r="F728" s="61"/>
      <c r="G728" s="73"/>
      <c r="H728" s="79"/>
      <c r="I728" s="79"/>
      <c r="J728" s="14"/>
      <c r="K728" s="38"/>
      <c r="L728" s="38"/>
      <c r="M728" s="17"/>
    </row>
    <row r="729" spans="2:13" ht="14.45" customHeight="1" x14ac:dyDescent="0.25">
      <c r="B729" s="17"/>
      <c r="C729" s="14"/>
      <c r="D729" s="14"/>
      <c r="E729" s="18"/>
      <c r="F729" s="61"/>
      <c r="G729" s="73"/>
      <c r="H729" s="79"/>
      <c r="I729" s="79"/>
      <c r="J729" s="14"/>
      <c r="K729" s="38"/>
      <c r="L729" s="38"/>
      <c r="M729" s="17"/>
    </row>
    <row r="730" spans="2:13" ht="14.45" customHeight="1" x14ac:dyDescent="0.25">
      <c r="B730" s="17"/>
      <c r="C730" s="14"/>
      <c r="D730" s="14"/>
      <c r="E730" s="18"/>
      <c r="F730" s="61"/>
      <c r="G730" s="73"/>
      <c r="H730" s="79"/>
      <c r="I730" s="79"/>
      <c r="J730" s="14"/>
      <c r="K730" s="38"/>
      <c r="L730" s="38"/>
      <c r="M730" s="17"/>
    </row>
    <row r="731" spans="2:13" ht="14.45" customHeight="1" x14ac:dyDescent="0.25">
      <c r="B731" s="17"/>
      <c r="C731" s="14"/>
      <c r="D731" s="14"/>
      <c r="E731" s="18"/>
      <c r="F731" s="61"/>
      <c r="G731" s="73"/>
      <c r="H731" s="79"/>
      <c r="I731" s="79"/>
      <c r="J731" s="14"/>
      <c r="K731" s="38"/>
      <c r="L731" s="38"/>
      <c r="M731" s="17"/>
    </row>
    <row r="732" spans="2:13" ht="14.45" customHeight="1" x14ac:dyDescent="0.25">
      <c r="B732" s="17"/>
      <c r="C732" s="14"/>
      <c r="D732" s="14"/>
      <c r="E732" s="18"/>
      <c r="F732" s="61"/>
      <c r="G732" s="73"/>
      <c r="H732" s="79"/>
      <c r="I732" s="79"/>
      <c r="J732" s="14"/>
      <c r="K732" s="38"/>
      <c r="L732" s="38"/>
      <c r="M732" s="17"/>
    </row>
    <row r="733" spans="2:13" ht="14.45" customHeight="1" x14ac:dyDescent="0.25">
      <c r="B733" s="17"/>
      <c r="C733" s="14"/>
      <c r="D733" s="14"/>
      <c r="E733" s="18"/>
      <c r="F733" s="61"/>
      <c r="G733" s="73"/>
      <c r="H733" s="79"/>
      <c r="I733" s="79"/>
      <c r="J733" s="14"/>
      <c r="K733" s="38"/>
      <c r="L733" s="38"/>
      <c r="M733" s="17"/>
    </row>
    <row r="734" spans="2:13" ht="14.45" customHeight="1" x14ac:dyDescent="0.25">
      <c r="B734" s="17"/>
      <c r="C734" s="14"/>
      <c r="D734" s="14"/>
      <c r="E734" s="18"/>
      <c r="F734" s="61"/>
      <c r="G734" s="73"/>
      <c r="H734" s="79"/>
      <c r="I734" s="79"/>
      <c r="J734" s="14"/>
      <c r="K734" s="38"/>
      <c r="L734" s="38"/>
      <c r="M734" s="17"/>
    </row>
    <row r="735" spans="2:13" ht="14.45" customHeight="1" x14ac:dyDescent="0.25">
      <c r="B735" s="17"/>
      <c r="C735" s="14"/>
      <c r="D735" s="14"/>
      <c r="E735" s="18"/>
      <c r="F735" s="61"/>
      <c r="G735" s="73"/>
      <c r="H735" s="79"/>
      <c r="I735" s="79"/>
      <c r="J735" s="14"/>
      <c r="K735" s="38"/>
      <c r="L735" s="38"/>
      <c r="M735" s="17"/>
    </row>
    <row r="736" spans="2:13" ht="14.45" customHeight="1" x14ac:dyDescent="0.25">
      <c r="B736" s="17"/>
      <c r="C736" s="14"/>
      <c r="D736" s="14"/>
      <c r="E736" s="18"/>
      <c r="F736" s="61"/>
      <c r="G736" s="73"/>
      <c r="H736" s="79"/>
      <c r="I736" s="79"/>
      <c r="J736" s="14"/>
      <c r="K736" s="38"/>
      <c r="L736" s="38"/>
      <c r="M736" s="17"/>
    </row>
    <row r="737" spans="2:13" ht="14.45" customHeight="1" x14ac:dyDescent="0.25">
      <c r="B737" s="17"/>
      <c r="C737" s="14"/>
      <c r="D737" s="14"/>
      <c r="E737" s="18"/>
      <c r="F737" s="61"/>
      <c r="G737" s="73"/>
      <c r="H737" s="79"/>
      <c r="I737" s="79"/>
      <c r="J737" s="14"/>
      <c r="K737" s="38"/>
      <c r="L737" s="38"/>
      <c r="M737" s="17"/>
    </row>
    <row r="738" spans="2:13" ht="14.45" customHeight="1" x14ac:dyDescent="0.25">
      <c r="B738" s="17"/>
      <c r="C738" s="14"/>
      <c r="D738" s="14"/>
      <c r="E738" s="18"/>
      <c r="F738" s="61"/>
      <c r="G738" s="73"/>
      <c r="H738" s="79"/>
      <c r="I738" s="79"/>
      <c r="J738" s="14"/>
      <c r="K738" s="38"/>
      <c r="L738" s="38"/>
      <c r="M738" s="17"/>
    </row>
    <row r="739" spans="2:13" ht="14.45" customHeight="1" x14ac:dyDescent="0.25">
      <c r="B739" s="17"/>
      <c r="C739" s="14"/>
      <c r="D739" s="14"/>
      <c r="E739" s="18"/>
      <c r="F739" s="61"/>
      <c r="G739" s="73"/>
      <c r="H739" s="79"/>
      <c r="I739" s="79"/>
      <c r="J739" s="14"/>
      <c r="K739" s="38"/>
      <c r="L739" s="38"/>
      <c r="M739" s="17"/>
    </row>
    <row r="740" spans="2:13" ht="14.45" customHeight="1" x14ac:dyDescent="0.25">
      <c r="B740" s="17"/>
      <c r="C740" s="14"/>
      <c r="D740" s="14"/>
      <c r="E740" s="18"/>
      <c r="F740" s="61"/>
      <c r="G740" s="73"/>
      <c r="H740" s="79"/>
      <c r="I740" s="79"/>
      <c r="J740" s="14"/>
      <c r="K740" s="38"/>
      <c r="L740" s="38"/>
      <c r="M740" s="17"/>
    </row>
    <row r="741" spans="2:13" ht="14.45" customHeight="1" x14ac:dyDescent="0.25">
      <c r="B741" s="17"/>
      <c r="C741" s="14"/>
      <c r="D741" s="14"/>
      <c r="E741" s="18"/>
      <c r="F741" s="61"/>
      <c r="G741" s="73"/>
      <c r="H741" s="79"/>
      <c r="I741" s="79"/>
      <c r="J741" s="14"/>
      <c r="K741" s="38"/>
      <c r="L741" s="38"/>
      <c r="M741" s="17"/>
    </row>
    <row r="742" spans="2:13" ht="14.45" customHeight="1" x14ac:dyDescent="0.25">
      <c r="B742" s="17"/>
      <c r="C742" s="14"/>
      <c r="D742" s="14"/>
      <c r="E742" s="18"/>
      <c r="F742" s="61"/>
      <c r="G742" s="73"/>
      <c r="H742" s="79"/>
      <c r="I742" s="79"/>
      <c r="J742" s="14"/>
      <c r="K742" s="38"/>
      <c r="L742" s="38"/>
      <c r="M742" s="17"/>
    </row>
    <row r="743" spans="2:13" ht="14.45" customHeight="1" x14ac:dyDescent="0.25">
      <c r="B743" s="17"/>
      <c r="C743" s="14"/>
      <c r="D743" s="14"/>
      <c r="E743" s="18"/>
      <c r="F743" s="61"/>
      <c r="G743" s="73"/>
      <c r="H743" s="79"/>
      <c r="I743" s="79"/>
      <c r="J743" s="14"/>
      <c r="K743" s="38"/>
      <c r="L743" s="38"/>
      <c r="M743" s="17"/>
    </row>
    <row r="744" spans="2:13" ht="14.45" customHeight="1" x14ac:dyDescent="0.25">
      <c r="B744" s="17"/>
      <c r="C744" s="14"/>
      <c r="D744" s="14"/>
      <c r="E744" s="18"/>
      <c r="F744" s="61"/>
      <c r="G744" s="73"/>
      <c r="H744" s="79"/>
      <c r="I744" s="79"/>
      <c r="J744" s="14"/>
      <c r="K744" s="38"/>
      <c r="L744" s="38"/>
      <c r="M744" s="17"/>
    </row>
    <row r="745" spans="2:13" ht="14.45" customHeight="1" x14ac:dyDescent="0.25">
      <c r="B745" s="17"/>
      <c r="C745" s="14"/>
      <c r="D745" s="14"/>
      <c r="E745" s="18"/>
      <c r="F745" s="61"/>
      <c r="G745" s="73"/>
      <c r="H745" s="79"/>
      <c r="I745" s="79"/>
      <c r="J745" s="14"/>
      <c r="K745" s="38"/>
      <c r="L745" s="38"/>
      <c r="M745" s="17"/>
    </row>
    <row r="746" spans="2:13" ht="14.45" customHeight="1" x14ac:dyDescent="0.25">
      <c r="B746" s="17"/>
      <c r="C746" s="14"/>
      <c r="D746" s="14"/>
      <c r="E746" s="18"/>
      <c r="F746" s="61"/>
      <c r="G746" s="73"/>
      <c r="H746" s="79"/>
      <c r="I746" s="79"/>
      <c r="J746" s="14"/>
      <c r="K746" s="38"/>
      <c r="L746" s="38"/>
      <c r="M746" s="17"/>
    </row>
    <row r="747" spans="2:13" ht="14.45" customHeight="1" x14ac:dyDescent="0.25">
      <c r="B747" s="17"/>
      <c r="C747" s="14"/>
      <c r="D747" s="14"/>
      <c r="E747" s="18"/>
      <c r="F747" s="61"/>
      <c r="G747" s="73"/>
      <c r="H747" s="79"/>
      <c r="I747" s="79"/>
      <c r="J747" s="14"/>
      <c r="K747" s="38"/>
      <c r="L747" s="38"/>
      <c r="M747" s="17"/>
    </row>
    <row r="748" spans="2:13" ht="14.45" customHeight="1" x14ac:dyDescent="0.25">
      <c r="B748" s="17"/>
      <c r="C748" s="14"/>
      <c r="D748" s="14"/>
      <c r="E748" s="18"/>
      <c r="F748" s="61"/>
      <c r="G748" s="73"/>
      <c r="H748" s="79"/>
      <c r="I748" s="79"/>
      <c r="J748" s="14"/>
      <c r="K748" s="38"/>
      <c r="L748" s="38"/>
      <c r="M748" s="17"/>
    </row>
    <row r="749" spans="2:13" ht="14.45" customHeight="1" x14ac:dyDescent="0.25">
      <c r="B749" s="17"/>
      <c r="C749" s="14"/>
      <c r="D749" s="14"/>
      <c r="E749" s="18"/>
      <c r="F749" s="61"/>
      <c r="G749" s="73"/>
      <c r="H749" s="79"/>
      <c r="I749" s="79"/>
      <c r="J749" s="14"/>
      <c r="K749" s="38"/>
      <c r="L749" s="38"/>
      <c r="M749" s="17"/>
    </row>
    <row r="750" spans="2:13" ht="14.45" customHeight="1" x14ac:dyDescent="0.25">
      <c r="B750" s="17"/>
      <c r="C750" s="14"/>
      <c r="D750" s="14"/>
      <c r="E750" s="18"/>
      <c r="F750" s="61"/>
      <c r="G750" s="73"/>
      <c r="H750" s="79"/>
      <c r="I750" s="79"/>
      <c r="J750" s="14"/>
      <c r="K750" s="38"/>
      <c r="L750" s="38"/>
      <c r="M750" s="17"/>
    </row>
    <row r="751" spans="2:13" ht="14.45" customHeight="1" x14ac:dyDescent="0.25">
      <c r="B751" s="17"/>
      <c r="C751" s="14"/>
      <c r="D751" s="14"/>
      <c r="E751" s="18"/>
      <c r="F751" s="61"/>
      <c r="G751" s="73"/>
      <c r="H751" s="79"/>
      <c r="I751" s="79"/>
      <c r="J751" s="14"/>
      <c r="K751" s="38"/>
      <c r="L751" s="38"/>
      <c r="M751" s="17"/>
    </row>
    <row r="752" spans="2:13" ht="14.45" customHeight="1" x14ac:dyDescent="0.25">
      <c r="B752" s="17"/>
      <c r="C752" s="14"/>
      <c r="D752" s="14"/>
      <c r="E752" s="18"/>
      <c r="F752" s="61"/>
      <c r="G752" s="73"/>
      <c r="H752" s="79"/>
      <c r="I752" s="79"/>
      <c r="J752" s="14"/>
      <c r="K752" s="38"/>
      <c r="L752" s="38"/>
      <c r="M752" s="17"/>
    </row>
    <row r="753" spans="2:13" ht="14.45" customHeight="1" x14ac:dyDescent="0.25">
      <c r="B753" s="17"/>
      <c r="C753" s="14"/>
      <c r="D753" s="14"/>
      <c r="E753" s="18"/>
      <c r="F753" s="61"/>
      <c r="G753" s="73"/>
      <c r="H753" s="79"/>
      <c r="I753" s="79"/>
      <c r="J753" s="14"/>
      <c r="K753" s="38"/>
      <c r="L753" s="38"/>
      <c r="M753" s="17"/>
    </row>
    <row r="754" spans="2:13" ht="14.45" customHeight="1" x14ac:dyDescent="0.25">
      <c r="B754" s="17"/>
      <c r="C754" s="14"/>
      <c r="D754" s="14"/>
      <c r="E754" s="18"/>
      <c r="F754" s="61"/>
      <c r="G754" s="73"/>
      <c r="H754" s="79"/>
      <c r="I754" s="79"/>
      <c r="J754" s="14"/>
      <c r="K754" s="38"/>
      <c r="L754" s="38"/>
      <c r="M754" s="17"/>
    </row>
    <row r="755" spans="2:13" ht="14.45" customHeight="1" x14ac:dyDescent="0.25">
      <c r="B755" s="17"/>
      <c r="C755" s="14"/>
      <c r="D755" s="14"/>
      <c r="E755" s="18"/>
      <c r="F755" s="61"/>
      <c r="G755" s="73"/>
      <c r="H755" s="79"/>
      <c r="I755" s="79"/>
      <c r="J755" s="14"/>
      <c r="K755" s="38"/>
      <c r="L755" s="38"/>
      <c r="M755" s="17"/>
    </row>
    <row r="756" spans="2:13" ht="14.45" customHeight="1" x14ac:dyDescent="0.25">
      <c r="B756" s="17"/>
      <c r="C756" s="14"/>
      <c r="D756" s="14"/>
      <c r="E756" s="18"/>
      <c r="F756" s="61"/>
      <c r="G756" s="73"/>
      <c r="H756" s="79"/>
      <c r="I756" s="79"/>
      <c r="J756" s="14"/>
      <c r="K756" s="38"/>
      <c r="L756" s="38"/>
      <c r="M756" s="17"/>
    </row>
    <row r="757" spans="2:13" ht="14.45" customHeight="1" x14ac:dyDescent="0.25">
      <c r="B757" s="17"/>
      <c r="C757" s="14"/>
      <c r="D757" s="14"/>
      <c r="E757" s="18"/>
      <c r="F757" s="61"/>
      <c r="G757" s="73"/>
      <c r="H757" s="79"/>
      <c r="I757" s="79"/>
      <c r="J757" s="14"/>
      <c r="K757" s="38"/>
      <c r="L757" s="38"/>
      <c r="M757" s="17"/>
    </row>
    <row r="758" spans="2:13" ht="14.45" customHeight="1" x14ac:dyDescent="0.25">
      <c r="B758" s="17"/>
      <c r="C758" s="14"/>
      <c r="D758" s="14"/>
      <c r="E758" s="18"/>
      <c r="F758" s="61"/>
      <c r="G758" s="73"/>
      <c r="H758" s="79"/>
      <c r="I758" s="79"/>
      <c r="J758" s="14"/>
      <c r="K758" s="38"/>
      <c r="L758" s="38"/>
      <c r="M758" s="17"/>
    </row>
    <row r="759" spans="2:13" ht="14.45" customHeight="1" x14ac:dyDescent="0.25">
      <c r="B759" s="17"/>
      <c r="C759" s="14"/>
      <c r="D759" s="14"/>
      <c r="E759" s="18"/>
      <c r="F759" s="61"/>
      <c r="G759" s="73"/>
      <c r="H759" s="79"/>
      <c r="I759" s="79"/>
      <c r="J759" s="14"/>
      <c r="K759" s="38"/>
      <c r="L759" s="38"/>
      <c r="M759" s="17"/>
    </row>
    <row r="760" spans="2:13" ht="14.45" customHeight="1" x14ac:dyDescent="0.25">
      <c r="B760" s="17"/>
      <c r="C760" s="14"/>
      <c r="D760" s="14"/>
      <c r="E760" s="18"/>
      <c r="F760" s="61"/>
      <c r="G760" s="73"/>
      <c r="H760" s="79"/>
      <c r="I760" s="79"/>
      <c r="J760" s="14"/>
      <c r="K760" s="38"/>
      <c r="L760" s="38"/>
      <c r="M760" s="17"/>
    </row>
    <row r="761" spans="2:13" ht="14.45" customHeight="1" x14ac:dyDescent="0.25">
      <c r="B761" s="17"/>
      <c r="C761" s="14"/>
      <c r="D761" s="14"/>
      <c r="E761" s="18"/>
      <c r="F761" s="61"/>
      <c r="G761" s="73"/>
      <c r="H761" s="79"/>
      <c r="I761" s="79"/>
      <c r="J761" s="14"/>
      <c r="K761" s="38"/>
      <c r="L761" s="38"/>
      <c r="M761" s="17"/>
    </row>
    <row r="762" spans="2:13" ht="14.45" customHeight="1" x14ac:dyDescent="0.25">
      <c r="B762" s="17"/>
      <c r="C762" s="14"/>
      <c r="D762" s="14"/>
      <c r="E762" s="18"/>
      <c r="F762" s="61"/>
      <c r="G762" s="73"/>
      <c r="H762" s="79"/>
      <c r="I762" s="79"/>
      <c r="J762" s="14"/>
      <c r="K762" s="38"/>
      <c r="L762" s="38"/>
      <c r="M762" s="17"/>
    </row>
    <row r="763" spans="2:13" ht="14.45" customHeight="1" x14ac:dyDescent="0.25">
      <c r="B763" s="17"/>
      <c r="C763" s="14"/>
      <c r="D763" s="14"/>
      <c r="E763" s="18"/>
      <c r="F763" s="61"/>
      <c r="G763" s="73"/>
      <c r="H763" s="79"/>
      <c r="I763" s="79"/>
      <c r="J763" s="14"/>
      <c r="K763" s="38"/>
      <c r="L763" s="38"/>
      <c r="M763" s="17"/>
    </row>
    <row r="764" spans="2:13" ht="14.45" customHeight="1" x14ac:dyDescent="0.25">
      <c r="B764" s="17"/>
      <c r="C764" s="14"/>
      <c r="D764" s="14"/>
      <c r="E764" s="18"/>
      <c r="F764" s="61"/>
      <c r="G764" s="73"/>
      <c r="H764" s="79"/>
      <c r="I764" s="79"/>
      <c r="J764" s="14"/>
      <c r="K764" s="38"/>
      <c r="L764" s="38"/>
      <c r="M764" s="17"/>
    </row>
    <row r="765" spans="2:13" ht="14.45" customHeight="1" x14ac:dyDescent="0.25">
      <c r="B765" s="17"/>
      <c r="C765" s="14"/>
      <c r="D765" s="14"/>
      <c r="E765" s="18"/>
      <c r="F765" s="61"/>
      <c r="G765" s="73"/>
      <c r="H765" s="79"/>
      <c r="I765" s="79"/>
      <c r="J765" s="14"/>
      <c r="K765" s="38"/>
      <c r="L765" s="38"/>
      <c r="M765" s="17"/>
    </row>
    <row r="766" spans="2:13" ht="14.45" customHeight="1" x14ac:dyDescent="0.25">
      <c r="B766" s="17"/>
      <c r="C766" s="14"/>
      <c r="D766" s="14"/>
      <c r="E766" s="18"/>
      <c r="F766" s="61"/>
      <c r="G766" s="73"/>
      <c r="H766" s="79"/>
      <c r="I766" s="79"/>
      <c r="J766" s="14"/>
      <c r="K766" s="38"/>
      <c r="L766" s="38"/>
      <c r="M766" s="17"/>
    </row>
    <row r="767" spans="2:13" ht="14.45" customHeight="1" x14ac:dyDescent="0.25">
      <c r="B767" s="17"/>
      <c r="C767" s="14"/>
      <c r="D767" s="14"/>
      <c r="E767" s="18"/>
      <c r="F767" s="61"/>
      <c r="G767" s="73"/>
      <c r="H767" s="79"/>
      <c r="I767" s="79"/>
      <c r="J767" s="14"/>
      <c r="K767" s="38"/>
      <c r="L767" s="38"/>
      <c r="M767" s="17"/>
    </row>
    <row r="768" spans="2:13" ht="14.45" customHeight="1" x14ac:dyDescent="0.25">
      <c r="B768" s="17"/>
      <c r="C768" s="14"/>
      <c r="D768" s="14"/>
      <c r="E768" s="18"/>
      <c r="F768" s="61"/>
      <c r="G768" s="73"/>
      <c r="H768" s="79"/>
      <c r="I768" s="79"/>
      <c r="J768" s="14"/>
      <c r="K768" s="38"/>
      <c r="L768" s="38"/>
      <c r="M768" s="17"/>
    </row>
    <row r="769" spans="2:13" ht="14.45" customHeight="1" x14ac:dyDescent="0.25">
      <c r="B769" s="17"/>
      <c r="C769" s="14"/>
      <c r="D769" s="14"/>
      <c r="E769" s="18"/>
      <c r="F769" s="61"/>
      <c r="G769" s="73"/>
      <c r="H769" s="79"/>
      <c r="I769" s="79"/>
      <c r="J769" s="14"/>
      <c r="K769" s="38"/>
      <c r="L769" s="38"/>
      <c r="M769" s="17"/>
    </row>
    <row r="770" spans="2:13" ht="14.45" customHeight="1" x14ac:dyDescent="0.25">
      <c r="B770" s="17"/>
      <c r="C770" s="14"/>
      <c r="D770" s="14"/>
      <c r="E770" s="18"/>
      <c r="F770" s="61"/>
      <c r="G770" s="73"/>
      <c r="H770" s="79"/>
      <c r="I770" s="79"/>
      <c r="J770" s="14"/>
      <c r="K770" s="38"/>
      <c r="L770" s="38"/>
      <c r="M770" s="17"/>
    </row>
    <row r="771" spans="2:13" ht="14.45" customHeight="1" x14ac:dyDescent="0.25">
      <c r="B771" s="17"/>
      <c r="C771" s="14"/>
      <c r="D771" s="14"/>
      <c r="E771" s="18"/>
      <c r="F771" s="61"/>
      <c r="G771" s="73"/>
      <c r="H771" s="79"/>
      <c r="I771" s="79"/>
      <c r="J771" s="14"/>
      <c r="K771" s="38"/>
      <c r="L771" s="38"/>
      <c r="M771" s="17"/>
    </row>
    <row r="772" spans="2:13" ht="14.45" customHeight="1" x14ac:dyDescent="0.25">
      <c r="B772" s="17"/>
      <c r="C772" s="14"/>
      <c r="D772" s="14"/>
      <c r="E772" s="18"/>
      <c r="F772" s="61"/>
      <c r="G772" s="73"/>
      <c r="H772" s="79"/>
      <c r="I772" s="79"/>
      <c r="J772" s="14"/>
      <c r="K772" s="38"/>
      <c r="L772" s="38"/>
      <c r="M772" s="17"/>
    </row>
    <row r="773" spans="2:13" ht="14.45" customHeight="1" x14ac:dyDescent="0.25">
      <c r="B773" s="17"/>
      <c r="C773" s="14"/>
      <c r="D773" s="14"/>
      <c r="E773" s="18"/>
      <c r="F773" s="61"/>
      <c r="G773" s="73"/>
      <c r="H773" s="79"/>
      <c r="I773" s="79"/>
      <c r="J773" s="14"/>
      <c r="K773" s="38"/>
      <c r="L773" s="38"/>
      <c r="M773" s="17"/>
    </row>
    <row r="774" spans="2:13" ht="14.45" customHeight="1" x14ac:dyDescent="0.25">
      <c r="B774" s="17"/>
      <c r="C774" s="14"/>
      <c r="D774" s="14"/>
      <c r="E774" s="18"/>
      <c r="F774" s="61"/>
      <c r="G774" s="73"/>
      <c r="H774" s="79"/>
      <c r="I774" s="79"/>
      <c r="J774" s="14"/>
      <c r="K774" s="38"/>
      <c r="L774" s="38"/>
      <c r="M774" s="17"/>
    </row>
    <row r="775" spans="2:13" ht="14.45" customHeight="1" x14ac:dyDescent="0.25">
      <c r="B775" s="17"/>
      <c r="C775" s="14"/>
      <c r="D775" s="14"/>
      <c r="E775" s="18"/>
      <c r="F775" s="61"/>
      <c r="G775" s="73"/>
      <c r="H775" s="79"/>
      <c r="I775" s="79"/>
      <c r="J775" s="14"/>
      <c r="K775" s="38"/>
      <c r="L775" s="38"/>
      <c r="M775" s="17"/>
    </row>
    <row r="776" spans="2:13" ht="14.45" customHeight="1" x14ac:dyDescent="0.25">
      <c r="B776" s="17"/>
      <c r="C776" s="14"/>
      <c r="D776" s="14"/>
      <c r="E776" s="18"/>
      <c r="F776" s="61"/>
      <c r="G776" s="73"/>
      <c r="H776" s="79"/>
      <c r="I776" s="79"/>
      <c r="J776" s="14"/>
      <c r="K776" s="38"/>
      <c r="L776" s="38"/>
      <c r="M776" s="17"/>
    </row>
    <row r="777" spans="2:13" ht="14.45" customHeight="1" x14ac:dyDescent="0.25">
      <c r="B777" s="17"/>
      <c r="C777" s="14"/>
      <c r="D777" s="14"/>
      <c r="E777" s="18"/>
      <c r="F777" s="61"/>
      <c r="G777" s="73"/>
      <c r="H777" s="79"/>
      <c r="I777" s="79"/>
      <c r="J777" s="14"/>
      <c r="K777" s="38"/>
      <c r="L777" s="38"/>
      <c r="M777" s="17"/>
    </row>
    <row r="778" spans="2:13" ht="14.45" customHeight="1" x14ac:dyDescent="0.25">
      <c r="B778" s="17"/>
      <c r="C778" s="14"/>
      <c r="D778" s="14"/>
      <c r="E778" s="18"/>
      <c r="F778" s="61"/>
      <c r="G778" s="73"/>
      <c r="H778" s="79"/>
      <c r="I778" s="79"/>
      <c r="J778" s="14"/>
      <c r="K778" s="38"/>
      <c r="L778" s="38"/>
      <c r="M778" s="17"/>
    </row>
    <row r="779" spans="2:13" ht="14.45" customHeight="1" x14ac:dyDescent="0.25">
      <c r="B779" s="17"/>
      <c r="C779" s="14"/>
      <c r="D779" s="14"/>
      <c r="E779" s="18"/>
      <c r="F779" s="61"/>
      <c r="G779" s="73"/>
      <c r="H779" s="79"/>
      <c r="I779" s="79"/>
      <c r="J779" s="14"/>
      <c r="K779" s="38"/>
      <c r="L779" s="38"/>
      <c r="M779" s="17"/>
    </row>
    <row r="780" spans="2:13" ht="14.45" customHeight="1" x14ac:dyDescent="0.25">
      <c r="B780" s="17"/>
      <c r="C780" s="14"/>
      <c r="D780" s="14"/>
      <c r="E780" s="18"/>
      <c r="F780" s="61"/>
      <c r="G780" s="73"/>
      <c r="H780" s="79"/>
      <c r="I780" s="79"/>
      <c r="J780" s="14"/>
      <c r="K780" s="38"/>
      <c r="L780" s="38"/>
      <c r="M780" s="17"/>
    </row>
    <row r="781" spans="2:13" ht="14.45" customHeight="1" x14ac:dyDescent="0.25">
      <c r="B781" s="17"/>
      <c r="C781" s="14"/>
      <c r="D781" s="14"/>
      <c r="E781" s="18"/>
      <c r="F781" s="61"/>
      <c r="G781" s="73"/>
      <c r="H781" s="79"/>
      <c r="I781" s="79"/>
      <c r="J781" s="14"/>
      <c r="K781" s="38"/>
      <c r="L781" s="38"/>
      <c r="M781" s="17"/>
    </row>
    <row r="782" spans="2:13" ht="14.45" customHeight="1" x14ac:dyDescent="0.25">
      <c r="B782" s="17"/>
      <c r="C782" s="14"/>
      <c r="D782" s="14"/>
      <c r="E782" s="18"/>
      <c r="F782" s="61"/>
      <c r="G782" s="73"/>
      <c r="H782" s="79"/>
      <c r="I782" s="79"/>
      <c r="J782" s="14"/>
      <c r="K782" s="38"/>
      <c r="L782" s="38"/>
      <c r="M782" s="17"/>
    </row>
    <row r="783" spans="2:13" ht="14.45" customHeight="1" x14ac:dyDescent="0.25">
      <c r="B783" s="17"/>
      <c r="C783" s="14"/>
      <c r="D783" s="14"/>
      <c r="E783" s="18"/>
      <c r="F783" s="61"/>
      <c r="G783" s="73"/>
      <c r="H783" s="79"/>
      <c r="I783" s="79"/>
      <c r="J783" s="14"/>
      <c r="K783" s="38"/>
      <c r="L783" s="38"/>
      <c r="M783" s="17"/>
    </row>
    <row r="784" spans="2:13" ht="14.45" customHeight="1" x14ac:dyDescent="0.25">
      <c r="B784" s="17"/>
      <c r="C784" s="14"/>
      <c r="D784" s="14"/>
      <c r="E784" s="18"/>
      <c r="F784" s="61"/>
      <c r="G784" s="73"/>
      <c r="H784" s="79"/>
      <c r="I784" s="79"/>
      <c r="J784" s="14"/>
      <c r="K784" s="38"/>
      <c r="L784" s="38"/>
      <c r="M784" s="17"/>
    </row>
    <row r="785" spans="2:13" ht="14.45" customHeight="1" x14ac:dyDescent="0.25">
      <c r="B785" s="17"/>
      <c r="C785" s="14"/>
      <c r="D785" s="14"/>
      <c r="E785" s="18"/>
      <c r="F785" s="61"/>
      <c r="G785" s="73"/>
      <c r="H785" s="79"/>
      <c r="I785" s="79"/>
      <c r="J785" s="14"/>
      <c r="K785" s="38"/>
      <c r="L785" s="38"/>
      <c r="M785" s="17"/>
    </row>
    <row r="786" spans="2:13" ht="14.45" customHeight="1" x14ac:dyDescent="0.25">
      <c r="B786" s="17"/>
      <c r="C786" s="14"/>
      <c r="D786" s="14"/>
      <c r="E786" s="18"/>
      <c r="F786" s="61"/>
      <c r="G786" s="73"/>
      <c r="H786" s="79"/>
      <c r="I786" s="79"/>
      <c r="J786" s="14"/>
      <c r="K786" s="38"/>
      <c r="L786" s="38"/>
      <c r="M786" s="17"/>
    </row>
    <row r="787" spans="2:13" ht="14.45" customHeight="1" x14ac:dyDescent="0.25">
      <c r="B787" s="17"/>
      <c r="C787" s="14"/>
      <c r="D787" s="14"/>
      <c r="E787" s="18"/>
      <c r="F787" s="61"/>
      <c r="G787" s="73"/>
      <c r="H787" s="79"/>
      <c r="I787" s="79"/>
      <c r="J787" s="14"/>
      <c r="K787" s="38"/>
      <c r="L787" s="38"/>
      <c r="M787" s="17"/>
    </row>
    <row r="788" spans="2:13" ht="14.45" customHeight="1" x14ac:dyDescent="0.25">
      <c r="B788" s="17"/>
      <c r="C788" s="14"/>
      <c r="D788" s="14"/>
      <c r="E788" s="18"/>
      <c r="F788" s="61"/>
      <c r="G788" s="73"/>
      <c r="H788" s="79"/>
      <c r="I788" s="79"/>
      <c r="J788" s="14"/>
      <c r="K788" s="38"/>
      <c r="L788" s="38"/>
      <c r="M788" s="17"/>
    </row>
    <row r="789" spans="2:13" ht="14.45" customHeight="1" x14ac:dyDescent="0.25">
      <c r="B789" s="17"/>
      <c r="C789" s="14"/>
      <c r="D789" s="14"/>
      <c r="E789" s="18"/>
      <c r="F789" s="61"/>
      <c r="G789" s="73"/>
      <c r="H789" s="79"/>
      <c r="I789" s="79"/>
      <c r="J789" s="14"/>
      <c r="K789" s="38"/>
      <c r="L789" s="38"/>
      <c r="M789" s="17"/>
    </row>
    <row r="790" spans="2:13" ht="14.45" customHeight="1" x14ac:dyDescent="0.25">
      <c r="B790" s="17"/>
      <c r="C790" s="14"/>
      <c r="D790" s="14"/>
      <c r="E790" s="18"/>
      <c r="F790" s="61"/>
      <c r="G790" s="73"/>
      <c r="H790" s="79"/>
      <c r="I790" s="79"/>
      <c r="J790" s="14"/>
      <c r="K790" s="38"/>
      <c r="L790" s="38"/>
      <c r="M790" s="17"/>
    </row>
    <row r="791" spans="2:13" ht="14.45" customHeight="1" x14ac:dyDescent="0.25">
      <c r="B791" s="17"/>
      <c r="C791" s="14"/>
      <c r="D791" s="14"/>
      <c r="E791" s="18"/>
      <c r="F791" s="61"/>
      <c r="G791" s="73"/>
      <c r="H791" s="79"/>
      <c r="I791" s="79"/>
      <c r="J791" s="14"/>
      <c r="K791" s="38"/>
      <c r="L791" s="38"/>
      <c r="M791" s="17"/>
    </row>
    <row r="792" spans="2:13" ht="14.45" customHeight="1" x14ac:dyDescent="0.25">
      <c r="B792" s="17"/>
      <c r="C792" s="14"/>
      <c r="D792" s="14"/>
      <c r="E792" s="18"/>
      <c r="F792" s="61"/>
      <c r="G792" s="73"/>
      <c r="H792" s="79"/>
      <c r="I792" s="79"/>
      <c r="J792" s="14"/>
      <c r="K792" s="38"/>
      <c r="L792" s="38"/>
      <c r="M792" s="17"/>
    </row>
    <row r="793" spans="2:13" ht="14.45" customHeight="1" x14ac:dyDescent="0.25">
      <c r="B793" s="17"/>
      <c r="C793" s="14"/>
      <c r="D793" s="14"/>
      <c r="E793" s="18"/>
      <c r="F793" s="61"/>
      <c r="G793" s="73"/>
      <c r="H793" s="79"/>
      <c r="I793" s="79"/>
      <c r="J793" s="14"/>
      <c r="K793" s="38"/>
      <c r="L793" s="38"/>
      <c r="M793" s="17"/>
    </row>
    <row r="794" spans="2:13" ht="14.45" customHeight="1" x14ac:dyDescent="0.25">
      <c r="B794" s="17"/>
      <c r="C794" s="14"/>
      <c r="D794" s="14"/>
      <c r="E794" s="18"/>
      <c r="F794" s="61"/>
      <c r="G794" s="73"/>
      <c r="H794" s="79"/>
      <c r="I794" s="79"/>
      <c r="J794" s="14"/>
      <c r="K794" s="38"/>
      <c r="L794" s="38"/>
      <c r="M794" s="17"/>
    </row>
    <row r="795" spans="2:13" ht="14.45" customHeight="1" x14ac:dyDescent="0.25">
      <c r="B795" s="17"/>
      <c r="C795" s="14"/>
      <c r="D795" s="14"/>
      <c r="E795" s="18"/>
      <c r="F795" s="61"/>
      <c r="G795" s="73"/>
      <c r="H795" s="79"/>
      <c r="I795" s="79"/>
      <c r="J795" s="14"/>
      <c r="K795" s="38"/>
      <c r="L795" s="38"/>
      <c r="M795" s="17"/>
    </row>
    <row r="796" spans="2:13" ht="14.45" customHeight="1" x14ac:dyDescent="0.25">
      <c r="B796" s="17"/>
      <c r="C796" s="14"/>
      <c r="D796" s="14"/>
      <c r="E796" s="18"/>
      <c r="F796" s="61"/>
      <c r="G796" s="73"/>
      <c r="H796" s="79"/>
      <c r="I796" s="79"/>
      <c r="J796" s="14"/>
      <c r="K796" s="38"/>
      <c r="L796" s="38"/>
      <c r="M796" s="17"/>
    </row>
    <row r="797" spans="2:13" ht="14.45" customHeight="1" x14ac:dyDescent="0.25">
      <c r="B797" s="17"/>
      <c r="C797" s="14"/>
      <c r="D797" s="14"/>
      <c r="E797" s="18"/>
      <c r="F797" s="61"/>
      <c r="G797" s="73"/>
      <c r="H797" s="79"/>
      <c r="I797" s="79"/>
      <c r="J797" s="14"/>
      <c r="K797" s="38"/>
      <c r="L797" s="38"/>
      <c r="M797" s="17"/>
    </row>
    <row r="798" spans="2:13" ht="14.45" customHeight="1" x14ac:dyDescent="0.25">
      <c r="B798" s="17"/>
      <c r="C798" s="14"/>
      <c r="D798" s="14"/>
      <c r="E798" s="18"/>
      <c r="F798" s="61"/>
      <c r="G798" s="73"/>
      <c r="H798" s="79"/>
      <c r="I798" s="79"/>
      <c r="J798" s="14"/>
      <c r="K798" s="38"/>
      <c r="L798" s="38"/>
      <c r="M798" s="17"/>
    </row>
    <row r="799" spans="2:13" ht="14.45" customHeight="1" x14ac:dyDescent="0.25">
      <c r="B799" s="17"/>
      <c r="C799" s="14"/>
      <c r="D799" s="14"/>
      <c r="E799" s="18"/>
      <c r="F799" s="61"/>
      <c r="G799" s="73"/>
      <c r="H799" s="79"/>
      <c r="I799" s="79"/>
      <c r="J799" s="14"/>
      <c r="K799" s="38"/>
      <c r="L799" s="38"/>
      <c r="M799" s="17"/>
    </row>
    <row r="800" spans="2:13" ht="14.45" customHeight="1" x14ac:dyDescent="0.25">
      <c r="B800" s="17"/>
      <c r="C800" s="14"/>
      <c r="D800" s="14"/>
      <c r="E800" s="18"/>
      <c r="F800" s="61"/>
      <c r="G800" s="73"/>
      <c r="H800" s="79"/>
      <c r="I800" s="79"/>
      <c r="J800" s="14"/>
      <c r="K800" s="38"/>
      <c r="L800" s="38"/>
      <c r="M800" s="17"/>
    </row>
    <row r="801" spans="2:13" ht="14.45" customHeight="1" x14ac:dyDescent="0.25">
      <c r="B801" s="17"/>
      <c r="C801" s="14"/>
      <c r="D801" s="14"/>
      <c r="E801" s="18"/>
      <c r="F801" s="61"/>
      <c r="G801" s="73"/>
      <c r="H801" s="79"/>
      <c r="I801" s="79"/>
      <c r="J801" s="14"/>
      <c r="K801" s="38"/>
      <c r="L801" s="38"/>
      <c r="M801" s="17"/>
    </row>
    <row r="802" spans="2:13" ht="14.45" customHeight="1" x14ac:dyDescent="0.25">
      <c r="B802" s="17"/>
      <c r="C802" s="14"/>
      <c r="D802" s="14"/>
      <c r="E802" s="18"/>
      <c r="F802" s="61"/>
      <c r="G802" s="73"/>
      <c r="H802" s="79"/>
      <c r="I802" s="79"/>
      <c r="J802" s="14"/>
      <c r="K802" s="38"/>
      <c r="L802" s="38"/>
      <c r="M802" s="17"/>
    </row>
    <row r="803" spans="2:13" ht="14.45" customHeight="1" x14ac:dyDescent="0.25">
      <c r="B803" s="17"/>
      <c r="C803" s="14"/>
      <c r="D803" s="14"/>
      <c r="E803" s="18"/>
      <c r="F803" s="61"/>
      <c r="G803" s="73"/>
      <c r="H803" s="79"/>
      <c r="I803" s="79"/>
      <c r="J803" s="14"/>
      <c r="K803" s="38"/>
      <c r="L803" s="38"/>
      <c r="M803" s="17"/>
    </row>
    <row r="804" spans="2:13" ht="14.45" customHeight="1" x14ac:dyDescent="0.25">
      <c r="B804" s="17"/>
      <c r="C804" s="14"/>
      <c r="D804" s="14"/>
      <c r="E804" s="18"/>
      <c r="F804" s="61"/>
      <c r="G804" s="73"/>
      <c r="H804" s="79"/>
      <c r="I804" s="79"/>
      <c r="J804" s="14"/>
      <c r="K804" s="38"/>
      <c r="L804" s="38"/>
      <c r="M804" s="17"/>
    </row>
    <row r="805" spans="2:13" ht="14.45" customHeight="1" x14ac:dyDescent="0.25">
      <c r="B805" s="17"/>
      <c r="C805" s="14"/>
      <c r="D805" s="14"/>
      <c r="E805" s="18"/>
      <c r="F805" s="61"/>
      <c r="G805" s="73"/>
      <c r="H805" s="79"/>
      <c r="I805" s="79"/>
      <c r="J805" s="14"/>
      <c r="K805" s="38"/>
      <c r="L805" s="38"/>
      <c r="M805" s="17"/>
    </row>
    <row r="806" spans="2:13" ht="14.45" customHeight="1" x14ac:dyDescent="0.25">
      <c r="B806" s="17"/>
      <c r="C806" s="14"/>
      <c r="D806" s="14"/>
      <c r="E806" s="18"/>
      <c r="F806" s="61"/>
      <c r="G806" s="73"/>
      <c r="H806" s="79"/>
      <c r="I806" s="79"/>
      <c r="J806" s="14"/>
      <c r="K806" s="38"/>
      <c r="L806" s="38"/>
      <c r="M806" s="17"/>
    </row>
    <row r="807" spans="2:13" ht="14.45" customHeight="1" x14ac:dyDescent="0.25">
      <c r="B807" s="17"/>
      <c r="C807" s="14"/>
      <c r="D807" s="14"/>
      <c r="E807" s="18"/>
      <c r="F807" s="61"/>
      <c r="G807" s="73"/>
      <c r="H807" s="79"/>
      <c r="I807" s="79"/>
      <c r="J807" s="14"/>
      <c r="K807" s="38"/>
      <c r="L807" s="38"/>
      <c r="M807" s="17"/>
    </row>
    <row r="808" spans="2:13" ht="14.45" customHeight="1" x14ac:dyDescent="0.25">
      <c r="B808" s="17"/>
      <c r="C808" s="14"/>
      <c r="D808" s="14"/>
      <c r="E808" s="18"/>
      <c r="F808" s="61"/>
      <c r="G808" s="73"/>
      <c r="H808" s="79"/>
      <c r="I808" s="79"/>
      <c r="J808" s="14"/>
      <c r="K808" s="38"/>
      <c r="L808" s="38"/>
      <c r="M808" s="17"/>
    </row>
    <row r="809" spans="2:13" ht="14.45" customHeight="1" x14ac:dyDescent="0.25">
      <c r="B809" s="17"/>
      <c r="C809" s="14"/>
      <c r="D809" s="14"/>
      <c r="E809" s="18"/>
      <c r="F809" s="61"/>
      <c r="G809" s="73"/>
      <c r="H809" s="79"/>
      <c r="I809" s="79"/>
      <c r="J809" s="14"/>
      <c r="K809" s="38"/>
      <c r="L809" s="38"/>
      <c r="M809" s="17"/>
    </row>
    <row r="810" spans="2:13" ht="14.45" customHeight="1" x14ac:dyDescent="0.25">
      <c r="B810" s="17"/>
      <c r="C810" s="14"/>
      <c r="D810" s="14"/>
      <c r="E810" s="18"/>
      <c r="F810" s="61"/>
      <c r="G810" s="73"/>
      <c r="H810" s="79"/>
      <c r="I810" s="79"/>
      <c r="J810" s="14"/>
      <c r="K810" s="38"/>
      <c r="L810" s="38"/>
      <c r="M810" s="17"/>
    </row>
    <row r="811" spans="2:13" ht="14.45" customHeight="1" x14ac:dyDescent="0.25">
      <c r="B811" s="17"/>
      <c r="C811" s="14"/>
      <c r="D811" s="14"/>
      <c r="E811" s="18"/>
      <c r="F811" s="61"/>
      <c r="G811" s="73"/>
      <c r="H811" s="79"/>
      <c r="I811" s="79"/>
      <c r="J811" s="14"/>
      <c r="K811" s="38"/>
      <c r="L811" s="38"/>
      <c r="M811" s="17"/>
    </row>
    <row r="812" spans="2:13" ht="14.45" customHeight="1" x14ac:dyDescent="0.25">
      <c r="B812" s="17"/>
      <c r="C812" s="14"/>
      <c r="D812" s="14"/>
      <c r="E812" s="18"/>
      <c r="F812" s="61"/>
      <c r="G812" s="73"/>
      <c r="H812" s="79"/>
      <c r="I812" s="79"/>
      <c r="J812" s="14"/>
      <c r="K812" s="38"/>
      <c r="L812" s="38"/>
      <c r="M812" s="17"/>
    </row>
    <row r="813" spans="2:13" ht="14.45" customHeight="1" x14ac:dyDescent="0.25">
      <c r="B813" s="17"/>
      <c r="C813" s="14"/>
      <c r="D813" s="14"/>
      <c r="E813" s="18"/>
      <c r="F813" s="61"/>
      <c r="G813" s="73"/>
      <c r="H813" s="79"/>
      <c r="I813" s="79"/>
      <c r="J813" s="14"/>
      <c r="K813" s="38"/>
      <c r="L813" s="38"/>
      <c r="M813" s="17"/>
    </row>
    <row r="814" spans="2:13" ht="14.45" customHeight="1" x14ac:dyDescent="0.25">
      <c r="B814" s="17"/>
      <c r="C814" s="14"/>
      <c r="D814" s="14"/>
      <c r="E814" s="18"/>
      <c r="F814" s="61"/>
      <c r="G814" s="73"/>
      <c r="H814" s="79"/>
      <c r="I814" s="79"/>
      <c r="J814" s="14"/>
      <c r="K814" s="38"/>
      <c r="L814" s="38"/>
      <c r="M814" s="17"/>
    </row>
    <row r="815" spans="2:13" ht="14.45" customHeight="1" x14ac:dyDescent="0.25">
      <c r="B815" s="17"/>
      <c r="C815" s="14"/>
      <c r="D815" s="14"/>
      <c r="E815" s="18"/>
      <c r="F815" s="61"/>
      <c r="G815" s="73"/>
      <c r="H815" s="79"/>
      <c r="I815" s="79"/>
      <c r="J815" s="14"/>
      <c r="K815" s="38"/>
      <c r="L815" s="38"/>
      <c r="M815" s="17"/>
    </row>
    <row r="816" spans="2:13" ht="14.45" customHeight="1" x14ac:dyDescent="0.25">
      <c r="B816" s="17"/>
      <c r="C816" s="14"/>
      <c r="D816" s="14"/>
      <c r="E816" s="18"/>
      <c r="F816" s="61"/>
      <c r="G816" s="73"/>
      <c r="H816" s="79"/>
      <c r="I816" s="79"/>
      <c r="J816" s="14"/>
      <c r="K816" s="38"/>
      <c r="L816" s="38"/>
      <c r="M816" s="17"/>
    </row>
    <row r="817" spans="2:13" ht="14.45" customHeight="1" x14ac:dyDescent="0.25">
      <c r="B817" s="17"/>
      <c r="C817" s="14"/>
      <c r="D817" s="14"/>
      <c r="E817" s="18"/>
      <c r="F817" s="61"/>
      <c r="G817" s="73"/>
      <c r="H817" s="79"/>
      <c r="I817" s="79"/>
      <c r="J817" s="14"/>
      <c r="K817" s="38"/>
      <c r="L817" s="38"/>
      <c r="M817" s="17"/>
    </row>
    <row r="818" spans="2:13" ht="14.45" customHeight="1" x14ac:dyDescent="0.25">
      <c r="B818" s="17"/>
      <c r="C818" s="14"/>
      <c r="D818" s="14"/>
      <c r="E818" s="18"/>
      <c r="F818" s="61"/>
      <c r="G818" s="73"/>
      <c r="H818" s="79"/>
      <c r="I818" s="79"/>
      <c r="J818" s="14"/>
      <c r="K818" s="38"/>
      <c r="L818" s="38"/>
      <c r="M818" s="17"/>
    </row>
    <row r="819" spans="2:13" ht="14.45" customHeight="1" x14ac:dyDescent="0.25">
      <c r="B819" s="17"/>
      <c r="C819" s="14"/>
      <c r="D819" s="14"/>
      <c r="E819" s="18"/>
      <c r="F819" s="61"/>
      <c r="G819" s="73"/>
      <c r="H819" s="79"/>
      <c r="I819" s="79"/>
      <c r="J819" s="14"/>
      <c r="K819" s="38"/>
      <c r="L819" s="38"/>
      <c r="M819" s="17"/>
    </row>
    <row r="820" spans="2:13" ht="14.45" customHeight="1" x14ac:dyDescent="0.25">
      <c r="B820" s="17"/>
      <c r="C820" s="14"/>
      <c r="D820" s="14"/>
      <c r="E820" s="18"/>
      <c r="F820" s="61"/>
      <c r="G820" s="73"/>
      <c r="H820" s="79"/>
      <c r="I820" s="79"/>
      <c r="J820" s="14"/>
      <c r="K820" s="38"/>
      <c r="L820" s="38"/>
      <c r="M820" s="17"/>
    </row>
    <row r="821" spans="2:13" ht="14.45" customHeight="1" x14ac:dyDescent="0.25">
      <c r="B821" s="17"/>
      <c r="C821" s="14"/>
      <c r="D821" s="14"/>
      <c r="E821" s="18"/>
      <c r="F821" s="61"/>
      <c r="G821" s="73"/>
      <c r="H821" s="79"/>
      <c r="I821" s="79"/>
      <c r="J821" s="14"/>
      <c r="K821" s="38"/>
      <c r="L821" s="38"/>
      <c r="M821" s="17"/>
    </row>
    <row r="822" spans="2:13" ht="14.45" customHeight="1" x14ac:dyDescent="0.25">
      <c r="B822" s="17"/>
      <c r="C822" s="14"/>
      <c r="D822" s="14"/>
      <c r="E822" s="18"/>
      <c r="F822" s="61"/>
      <c r="G822" s="73"/>
      <c r="H822" s="79"/>
      <c r="I822" s="79"/>
      <c r="J822" s="14"/>
      <c r="K822" s="38"/>
      <c r="L822" s="38"/>
      <c r="M822" s="17"/>
    </row>
    <row r="823" spans="2:13" ht="14.45" customHeight="1" x14ac:dyDescent="0.25">
      <c r="B823" s="17"/>
      <c r="C823" s="14"/>
      <c r="D823" s="14"/>
      <c r="E823" s="18"/>
      <c r="F823" s="61"/>
      <c r="G823" s="73"/>
      <c r="H823" s="79"/>
      <c r="I823" s="79"/>
      <c r="J823" s="14"/>
      <c r="K823" s="38"/>
      <c r="L823" s="38"/>
      <c r="M823" s="17"/>
    </row>
    <row r="824" spans="2:13" ht="14.45" customHeight="1" x14ac:dyDescent="0.25">
      <c r="B824" s="17"/>
      <c r="C824" s="14"/>
      <c r="D824" s="14"/>
      <c r="E824" s="18"/>
      <c r="F824" s="61"/>
      <c r="G824" s="73"/>
      <c r="H824" s="79"/>
      <c r="I824" s="79"/>
      <c r="J824" s="14"/>
      <c r="K824" s="38"/>
      <c r="L824" s="38"/>
      <c r="M824" s="17"/>
    </row>
    <row r="825" spans="2:13" ht="14.45" customHeight="1" x14ac:dyDescent="0.25">
      <c r="B825" s="17"/>
      <c r="C825" s="14"/>
      <c r="D825" s="14"/>
      <c r="E825" s="18"/>
      <c r="F825" s="61"/>
      <c r="G825" s="73"/>
      <c r="H825" s="79"/>
      <c r="I825" s="79"/>
      <c r="J825" s="14"/>
      <c r="K825" s="38"/>
      <c r="L825" s="38"/>
      <c r="M825" s="17"/>
    </row>
    <row r="826" spans="2:13" ht="14.45" customHeight="1" x14ac:dyDescent="0.25">
      <c r="B826" s="17"/>
      <c r="C826" s="14"/>
      <c r="D826" s="14"/>
      <c r="E826" s="18"/>
      <c r="F826" s="61"/>
      <c r="G826" s="73"/>
      <c r="H826" s="79"/>
      <c r="I826" s="79"/>
      <c r="J826" s="14"/>
      <c r="K826" s="38"/>
      <c r="L826" s="38"/>
      <c r="M826" s="17"/>
    </row>
    <row r="827" spans="2:13" ht="14.45" customHeight="1" x14ac:dyDescent="0.25">
      <c r="B827" s="17"/>
      <c r="C827" s="14"/>
      <c r="D827" s="14"/>
      <c r="E827" s="18"/>
      <c r="F827" s="61"/>
      <c r="G827" s="73"/>
      <c r="H827" s="79"/>
      <c r="I827" s="79"/>
      <c r="J827" s="14"/>
      <c r="K827" s="38"/>
      <c r="L827" s="38"/>
      <c r="M827" s="17"/>
    </row>
    <row r="828" spans="2:13" ht="14.45" customHeight="1" x14ac:dyDescent="0.25">
      <c r="B828" s="17"/>
      <c r="C828" s="14"/>
      <c r="D828" s="14"/>
      <c r="E828" s="18"/>
      <c r="F828" s="61"/>
      <c r="G828" s="73"/>
      <c r="H828" s="79"/>
      <c r="I828" s="79"/>
      <c r="J828" s="14"/>
      <c r="K828" s="38"/>
      <c r="L828" s="38"/>
      <c r="M828" s="17"/>
    </row>
    <row r="829" spans="2:13" ht="14.45" customHeight="1" x14ac:dyDescent="0.25">
      <c r="B829" s="17"/>
      <c r="C829" s="14"/>
      <c r="D829" s="14"/>
      <c r="E829" s="18"/>
      <c r="F829" s="61"/>
      <c r="G829" s="73"/>
      <c r="H829" s="79"/>
      <c r="I829" s="79"/>
      <c r="J829" s="14"/>
      <c r="K829" s="38"/>
      <c r="L829" s="38"/>
      <c r="M829" s="17"/>
    </row>
    <row r="830" spans="2:13" ht="14.45" customHeight="1" x14ac:dyDescent="0.25">
      <c r="B830" s="17"/>
      <c r="C830" s="14"/>
      <c r="D830" s="14"/>
      <c r="E830" s="18"/>
      <c r="F830" s="61"/>
      <c r="G830" s="73"/>
      <c r="H830" s="79"/>
      <c r="I830" s="79"/>
      <c r="J830" s="14"/>
      <c r="K830" s="38"/>
      <c r="L830" s="38"/>
      <c r="M830" s="17"/>
    </row>
    <row r="831" spans="2:13" ht="14.45" customHeight="1" x14ac:dyDescent="0.25">
      <c r="B831" s="17"/>
      <c r="C831" s="14"/>
      <c r="D831" s="14"/>
      <c r="E831" s="18"/>
      <c r="F831" s="61"/>
      <c r="G831" s="73"/>
      <c r="H831" s="79"/>
      <c r="I831" s="79"/>
      <c r="J831" s="14"/>
      <c r="K831" s="38"/>
      <c r="L831" s="38"/>
      <c r="M831" s="17"/>
    </row>
    <row r="832" spans="2:13" ht="14.45" customHeight="1" x14ac:dyDescent="0.25">
      <c r="B832" s="17"/>
      <c r="C832" s="14"/>
      <c r="D832" s="14"/>
      <c r="E832" s="18"/>
      <c r="F832" s="61"/>
      <c r="G832" s="73"/>
      <c r="H832" s="79"/>
      <c r="I832" s="79"/>
      <c r="J832" s="14"/>
      <c r="K832" s="38"/>
      <c r="L832" s="38"/>
      <c r="M832" s="17"/>
    </row>
    <row r="833" spans="2:13" ht="14.45" customHeight="1" x14ac:dyDescent="0.25">
      <c r="B833" s="17"/>
      <c r="C833" s="14"/>
      <c r="D833" s="14"/>
      <c r="E833" s="18"/>
      <c r="F833" s="61"/>
      <c r="G833" s="73"/>
      <c r="H833" s="79"/>
      <c r="I833" s="79"/>
      <c r="J833" s="14"/>
      <c r="K833" s="38"/>
      <c r="L833" s="38"/>
      <c r="M833" s="17"/>
    </row>
    <row r="834" spans="2:13" ht="14.45" customHeight="1" x14ac:dyDescent="0.25">
      <c r="B834" s="17"/>
      <c r="C834" s="14"/>
      <c r="D834" s="14"/>
      <c r="E834" s="18"/>
      <c r="F834" s="61"/>
      <c r="G834" s="73"/>
      <c r="H834" s="79"/>
      <c r="I834" s="79"/>
      <c r="J834" s="14"/>
      <c r="K834" s="38"/>
      <c r="L834" s="38"/>
      <c r="M834" s="17"/>
    </row>
    <row r="835" spans="2:13" ht="14.45" customHeight="1" x14ac:dyDescent="0.25">
      <c r="B835" s="17"/>
      <c r="C835" s="14"/>
      <c r="D835" s="14"/>
      <c r="E835" s="18"/>
      <c r="F835" s="61"/>
      <c r="G835" s="73"/>
      <c r="H835" s="79"/>
      <c r="I835" s="79"/>
      <c r="J835" s="14"/>
      <c r="K835" s="38"/>
      <c r="L835" s="38"/>
      <c r="M835" s="17"/>
    </row>
    <row r="836" spans="2:13" ht="14.45" customHeight="1" x14ac:dyDescent="0.25">
      <c r="B836" s="17"/>
      <c r="C836" s="14"/>
      <c r="D836" s="14"/>
      <c r="E836" s="18"/>
      <c r="F836" s="61"/>
      <c r="G836" s="73"/>
      <c r="H836" s="79"/>
      <c r="I836" s="79"/>
      <c r="J836" s="14"/>
      <c r="K836" s="38"/>
      <c r="L836" s="38"/>
      <c r="M836" s="17"/>
    </row>
    <row r="837" spans="2:13" ht="14.45" customHeight="1" x14ac:dyDescent="0.25">
      <c r="B837" s="17"/>
      <c r="C837" s="14"/>
      <c r="D837" s="14"/>
      <c r="E837" s="18"/>
      <c r="F837" s="61"/>
      <c r="G837" s="73"/>
      <c r="H837" s="79"/>
      <c r="I837" s="79"/>
      <c r="J837" s="14"/>
      <c r="K837" s="38"/>
      <c r="L837" s="38"/>
      <c r="M837" s="17"/>
    </row>
    <row r="838" spans="2:13" ht="14.45" customHeight="1" x14ac:dyDescent="0.25">
      <c r="B838" s="17"/>
      <c r="C838" s="14"/>
      <c r="D838" s="14"/>
      <c r="E838" s="18"/>
      <c r="F838" s="61"/>
      <c r="G838" s="73"/>
      <c r="H838" s="79"/>
      <c r="I838" s="79"/>
      <c r="J838" s="14"/>
      <c r="K838" s="38"/>
      <c r="L838" s="38"/>
      <c r="M838" s="17"/>
    </row>
    <row r="839" spans="2:13" ht="14.45" customHeight="1" x14ac:dyDescent="0.25">
      <c r="B839" s="17"/>
      <c r="C839" s="14"/>
      <c r="D839" s="14"/>
      <c r="E839" s="18"/>
      <c r="F839" s="61"/>
      <c r="G839" s="73"/>
      <c r="H839" s="79"/>
      <c r="I839" s="79"/>
      <c r="J839" s="14"/>
      <c r="K839" s="38"/>
      <c r="L839" s="38"/>
      <c r="M839" s="17"/>
    </row>
    <row r="840" spans="2:13" ht="14.45" customHeight="1" x14ac:dyDescent="0.25">
      <c r="B840" s="17"/>
      <c r="C840" s="14"/>
      <c r="D840" s="14"/>
      <c r="E840" s="18"/>
      <c r="F840" s="61"/>
      <c r="G840" s="73"/>
      <c r="H840" s="79"/>
      <c r="I840" s="79"/>
      <c r="J840" s="14"/>
      <c r="K840" s="38"/>
      <c r="L840" s="38"/>
      <c r="M840" s="17"/>
    </row>
    <row r="841" spans="2:13" ht="14.45" customHeight="1" x14ac:dyDescent="0.25">
      <c r="B841" s="17"/>
      <c r="C841" s="14"/>
      <c r="D841" s="14"/>
      <c r="E841" s="18"/>
      <c r="F841" s="61"/>
      <c r="G841" s="73"/>
      <c r="H841" s="79"/>
      <c r="I841" s="79"/>
      <c r="J841" s="14"/>
      <c r="K841" s="38"/>
      <c r="L841" s="38"/>
      <c r="M841" s="17"/>
    </row>
    <row r="842" spans="2:13" ht="14.45" customHeight="1" x14ac:dyDescent="0.25">
      <c r="B842" s="17"/>
      <c r="C842" s="14"/>
      <c r="D842" s="14"/>
      <c r="E842" s="18"/>
      <c r="F842" s="61"/>
      <c r="G842" s="73"/>
      <c r="H842" s="79"/>
      <c r="I842" s="79"/>
      <c r="J842" s="14"/>
      <c r="K842" s="38"/>
      <c r="L842" s="38"/>
      <c r="M842" s="17"/>
    </row>
    <row r="843" spans="2:13" ht="14.45" customHeight="1" x14ac:dyDescent="0.25">
      <c r="B843" s="17"/>
      <c r="C843" s="14"/>
      <c r="D843" s="14"/>
      <c r="E843" s="18"/>
      <c r="F843" s="61"/>
      <c r="G843" s="73"/>
      <c r="H843" s="79"/>
      <c r="I843" s="79"/>
      <c r="J843" s="14"/>
      <c r="K843" s="38"/>
      <c r="L843" s="38"/>
      <c r="M843" s="17"/>
    </row>
    <row r="844" spans="2:13" ht="14.45" customHeight="1" x14ac:dyDescent="0.25">
      <c r="B844" s="17"/>
      <c r="C844" s="14"/>
      <c r="D844" s="14"/>
      <c r="E844" s="18"/>
      <c r="F844" s="61"/>
      <c r="G844" s="73"/>
      <c r="H844" s="79"/>
      <c r="I844" s="79"/>
      <c r="J844" s="14"/>
      <c r="K844" s="38"/>
      <c r="L844" s="38"/>
      <c r="M844" s="17"/>
    </row>
    <row r="845" spans="2:13" ht="14.45" customHeight="1" x14ac:dyDescent="0.25">
      <c r="B845" s="17"/>
      <c r="C845" s="14"/>
      <c r="D845" s="14"/>
      <c r="E845" s="18"/>
      <c r="F845" s="61"/>
      <c r="G845" s="73"/>
      <c r="H845" s="79"/>
      <c r="I845" s="79"/>
      <c r="J845" s="14"/>
      <c r="K845" s="38"/>
      <c r="L845" s="38"/>
      <c r="M845" s="17"/>
    </row>
    <row r="846" spans="2:13" ht="14.45" customHeight="1" x14ac:dyDescent="0.25">
      <c r="B846" s="17"/>
      <c r="C846" s="14"/>
      <c r="D846" s="14"/>
      <c r="E846" s="18"/>
      <c r="F846" s="61"/>
      <c r="G846" s="73"/>
      <c r="H846" s="79"/>
      <c r="I846" s="79"/>
      <c r="J846" s="14"/>
      <c r="K846" s="38"/>
      <c r="L846" s="38"/>
      <c r="M846" s="17"/>
    </row>
    <row r="847" spans="2:13" ht="14.45" customHeight="1" x14ac:dyDescent="0.25">
      <c r="B847" s="17"/>
      <c r="C847" s="14"/>
      <c r="D847" s="14"/>
      <c r="E847" s="18"/>
      <c r="F847" s="61"/>
      <c r="G847" s="73"/>
      <c r="H847" s="79"/>
      <c r="I847" s="79"/>
      <c r="J847" s="14"/>
      <c r="K847" s="38"/>
      <c r="L847" s="38"/>
      <c r="M847" s="17"/>
    </row>
    <row r="848" spans="2:13" ht="14.45" customHeight="1" x14ac:dyDescent="0.25">
      <c r="B848" s="17"/>
      <c r="C848" s="14"/>
      <c r="D848" s="14"/>
      <c r="E848" s="18"/>
      <c r="F848" s="61"/>
      <c r="G848" s="73"/>
      <c r="H848" s="79"/>
      <c r="I848" s="79"/>
      <c r="J848" s="14"/>
      <c r="K848" s="38"/>
      <c r="L848" s="38"/>
      <c r="M848" s="17"/>
    </row>
    <row r="849" spans="2:13" ht="14.45" customHeight="1" x14ac:dyDescent="0.25">
      <c r="B849" s="17"/>
      <c r="C849" s="14"/>
      <c r="D849" s="14"/>
      <c r="E849" s="18"/>
      <c r="F849" s="61"/>
      <c r="G849" s="73"/>
      <c r="H849" s="79"/>
      <c r="I849" s="79"/>
      <c r="J849" s="14"/>
      <c r="K849" s="38"/>
      <c r="L849" s="38"/>
      <c r="M849" s="17"/>
    </row>
    <row r="850" spans="2:13" ht="14.45" customHeight="1" x14ac:dyDescent="0.25">
      <c r="B850" s="17"/>
      <c r="C850" s="14"/>
      <c r="D850" s="14"/>
      <c r="E850" s="18"/>
      <c r="F850" s="61"/>
      <c r="G850" s="73"/>
      <c r="H850" s="79"/>
      <c r="I850" s="79"/>
      <c r="J850" s="14"/>
      <c r="K850" s="38"/>
      <c r="L850" s="38"/>
      <c r="M850" s="17"/>
    </row>
    <row r="851" spans="2:13" ht="14.45" customHeight="1" x14ac:dyDescent="0.25">
      <c r="B851" s="17"/>
      <c r="C851" s="14"/>
      <c r="D851" s="14"/>
      <c r="E851" s="18"/>
      <c r="F851" s="61"/>
      <c r="G851" s="73"/>
      <c r="H851" s="79"/>
      <c r="I851" s="79"/>
      <c r="J851" s="14"/>
      <c r="K851" s="38"/>
      <c r="L851" s="38"/>
      <c r="M851" s="17"/>
    </row>
    <row r="852" spans="2:13" ht="14.45" customHeight="1" x14ac:dyDescent="0.25">
      <c r="B852" s="17"/>
      <c r="C852" s="14"/>
      <c r="D852" s="14"/>
      <c r="E852" s="18"/>
      <c r="F852" s="61"/>
      <c r="G852" s="73"/>
      <c r="H852" s="79"/>
      <c r="I852" s="79"/>
      <c r="J852" s="14"/>
      <c r="K852" s="38"/>
      <c r="L852" s="38"/>
      <c r="M852" s="17"/>
    </row>
    <row r="853" spans="2:13" ht="14.45" customHeight="1" x14ac:dyDescent="0.25">
      <c r="B853" s="17"/>
      <c r="C853" s="14"/>
      <c r="D853" s="14"/>
      <c r="E853" s="18"/>
      <c r="F853" s="61"/>
      <c r="G853" s="73"/>
      <c r="H853" s="79"/>
      <c r="I853" s="79"/>
      <c r="J853" s="14"/>
      <c r="K853" s="38"/>
      <c r="L853" s="38"/>
      <c r="M853" s="17"/>
    </row>
    <row r="854" spans="2:13" ht="14.45" customHeight="1" x14ac:dyDescent="0.25">
      <c r="B854" s="17"/>
      <c r="C854" s="14"/>
      <c r="D854" s="14"/>
      <c r="E854" s="18"/>
      <c r="F854" s="61"/>
      <c r="G854" s="73"/>
      <c r="H854" s="79"/>
      <c r="I854" s="79"/>
      <c r="J854" s="14"/>
      <c r="K854" s="38"/>
      <c r="L854" s="38"/>
      <c r="M854" s="17"/>
    </row>
    <row r="855" spans="2:13" ht="14.45" customHeight="1" x14ac:dyDescent="0.25">
      <c r="B855" s="17"/>
      <c r="C855" s="14"/>
      <c r="D855" s="14"/>
      <c r="E855" s="18"/>
      <c r="F855" s="61"/>
      <c r="G855" s="73"/>
      <c r="H855" s="79"/>
      <c r="I855" s="79"/>
      <c r="J855" s="14"/>
      <c r="K855" s="38"/>
      <c r="L855" s="38"/>
      <c r="M855" s="17"/>
    </row>
    <row r="856" spans="2:13" ht="14.45" customHeight="1" x14ac:dyDescent="0.25">
      <c r="B856" s="17"/>
      <c r="C856" s="14"/>
      <c r="D856" s="14"/>
      <c r="E856" s="18"/>
      <c r="F856" s="61"/>
      <c r="G856" s="73"/>
      <c r="H856" s="79"/>
      <c r="I856" s="79"/>
      <c r="J856" s="14"/>
      <c r="K856" s="38"/>
      <c r="L856" s="38"/>
      <c r="M856" s="17"/>
    </row>
    <row r="857" spans="2:13" ht="14.45" customHeight="1" x14ac:dyDescent="0.25">
      <c r="B857" s="17"/>
      <c r="C857" s="14"/>
      <c r="D857" s="14"/>
      <c r="E857" s="18"/>
      <c r="F857" s="61"/>
      <c r="G857" s="73"/>
      <c r="H857" s="79"/>
      <c r="I857" s="79"/>
      <c r="J857" s="14"/>
      <c r="K857" s="38"/>
      <c r="L857" s="38"/>
      <c r="M857" s="17"/>
    </row>
    <row r="858" spans="2:13" ht="14.45" customHeight="1" x14ac:dyDescent="0.25">
      <c r="B858" s="17"/>
      <c r="C858" s="14"/>
      <c r="D858" s="14"/>
      <c r="E858" s="18"/>
      <c r="F858" s="61"/>
      <c r="G858" s="73"/>
      <c r="H858" s="79"/>
      <c r="I858" s="79"/>
      <c r="J858" s="14"/>
      <c r="K858" s="38"/>
      <c r="L858" s="38"/>
      <c r="M858" s="17"/>
    </row>
    <row r="859" spans="2:13" ht="14.45" customHeight="1" x14ac:dyDescent="0.25">
      <c r="B859" s="17"/>
      <c r="C859" s="14"/>
      <c r="D859" s="14"/>
      <c r="E859" s="18"/>
      <c r="F859" s="61"/>
      <c r="G859" s="73"/>
      <c r="H859" s="79"/>
      <c r="I859" s="79"/>
      <c r="J859" s="14"/>
      <c r="K859" s="38"/>
      <c r="L859" s="38"/>
      <c r="M859" s="17"/>
    </row>
    <row r="860" spans="2:13" ht="14.45" customHeight="1" x14ac:dyDescent="0.25">
      <c r="B860" s="17"/>
      <c r="C860" s="14"/>
      <c r="D860" s="14"/>
      <c r="E860" s="18"/>
      <c r="F860" s="61"/>
      <c r="G860" s="73"/>
      <c r="H860" s="79"/>
      <c r="I860" s="79"/>
      <c r="J860" s="14"/>
      <c r="K860" s="38"/>
      <c r="L860" s="38"/>
      <c r="M860" s="17"/>
    </row>
    <row r="861" spans="2:13" ht="14.45" customHeight="1" x14ac:dyDescent="0.25">
      <c r="B861" s="17"/>
      <c r="C861" s="14"/>
      <c r="D861" s="14"/>
      <c r="E861" s="18"/>
      <c r="F861" s="61"/>
      <c r="G861" s="73"/>
      <c r="H861" s="79"/>
      <c r="I861" s="79"/>
      <c r="J861" s="14"/>
      <c r="K861" s="38"/>
      <c r="L861" s="38"/>
      <c r="M861" s="17"/>
    </row>
    <row r="862" spans="2:13" ht="14.45" customHeight="1" x14ac:dyDescent="0.25">
      <c r="B862" s="17"/>
      <c r="C862" s="14"/>
      <c r="D862" s="14"/>
      <c r="E862" s="18"/>
      <c r="F862" s="61"/>
      <c r="G862" s="73"/>
      <c r="H862" s="79"/>
      <c r="I862" s="79"/>
      <c r="J862" s="14"/>
      <c r="K862" s="38"/>
      <c r="L862" s="38"/>
      <c r="M862" s="17"/>
    </row>
    <row r="863" spans="2:13" ht="14.45" customHeight="1" x14ac:dyDescent="0.25">
      <c r="B863" s="17"/>
      <c r="C863" s="14"/>
      <c r="D863" s="14"/>
      <c r="E863" s="18"/>
      <c r="F863" s="61"/>
      <c r="G863" s="73"/>
      <c r="H863" s="79"/>
      <c r="I863" s="79"/>
      <c r="J863" s="14"/>
      <c r="K863" s="38"/>
      <c r="L863" s="38"/>
      <c r="M863" s="17"/>
    </row>
    <row r="864" spans="2:13" ht="14.45" customHeight="1" x14ac:dyDescent="0.25">
      <c r="B864" s="17"/>
      <c r="C864" s="14"/>
      <c r="D864" s="14"/>
      <c r="E864" s="18"/>
      <c r="F864" s="61"/>
      <c r="G864" s="73"/>
      <c r="H864" s="79"/>
      <c r="I864" s="79"/>
      <c r="J864" s="14"/>
      <c r="K864" s="38"/>
      <c r="L864" s="38"/>
      <c r="M864" s="17"/>
    </row>
    <row r="865" spans="2:13" ht="14.45" customHeight="1" x14ac:dyDescent="0.25">
      <c r="B865" s="17"/>
      <c r="C865" s="14"/>
      <c r="D865" s="14"/>
      <c r="E865" s="18"/>
      <c r="F865" s="61"/>
      <c r="G865" s="73"/>
      <c r="H865" s="79"/>
      <c r="I865" s="79"/>
      <c r="J865" s="14"/>
      <c r="K865" s="38"/>
      <c r="L865" s="38"/>
      <c r="M865" s="17"/>
    </row>
    <row r="866" spans="2:13" ht="14.45" customHeight="1" x14ac:dyDescent="0.25">
      <c r="B866" s="17"/>
      <c r="C866" s="14"/>
      <c r="D866" s="14"/>
      <c r="E866" s="18"/>
      <c r="F866" s="61"/>
      <c r="G866" s="73"/>
      <c r="H866" s="79"/>
      <c r="I866" s="79"/>
      <c r="J866" s="14"/>
      <c r="K866" s="38"/>
      <c r="L866" s="38"/>
      <c r="M866" s="17"/>
    </row>
    <row r="867" spans="2:13" ht="14.45" customHeight="1" x14ac:dyDescent="0.25">
      <c r="B867" s="17"/>
      <c r="C867" s="14"/>
      <c r="D867" s="14"/>
      <c r="E867" s="18"/>
      <c r="F867" s="61"/>
      <c r="G867" s="73"/>
      <c r="H867" s="79"/>
      <c r="I867" s="79"/>
      <c r="J867" s="14"/>
      <c r="K867" s="38"/>
      <c r="L867" s="38"/>
      <c r="M867" s="17"/>
    </row>
    <row r="868" spans="2:13" ht="14.45" customHeight="1" x14ac:dyDescent="0.25">
      <c r="B868" s="17"/>
      <c r="C868" s="14"/>
      <c r="D868" s="14"/>
      <c r="E868" s="18"/>
      <c r="F868" s="61"/>
      <c r="G868" s="73"/>
      <c r="H868" s="79"/>
      <c r="I868" s="79"/>
      <c r="J868" s="14"/>
      <c r="K868" s="38"/>
      <c r="L868" s="38"/>
      <c r="M868" s="17"/>
    </row>
    <row r="869" spans="2:13" ht="14.45" customHeight="1" x14ac:dyDescent="0.25">
      <c r="B869" s="17"/>
      <c r="C869" s="14"/>
      <c r="D869" s="14"/>
      <c r="E869" s="18"/>
      <c r="F869" s="61"/>
      <c r="G869" s="73"/>
      <c r="H869" s="79"/>
      <c r="I869" s="79"/>
      <c r="J869" s="14"/>
      <c r="K869" s="38"/>
      <c r="L869" s="38"/>
      <c r="M869" s="17"/>
    </row>
    <row r="870" spans="2:13" ht="14.45" customHeight="1" x14ac:dyDescent="0.25">
      <c r="B870" s="17"/>
      <c r="C870" s="14"/>
      <c r="D870" s="14"/>
      <c r="E870" s="18"/>
      <c r="F870" s="61"/>
      <c r="G870" s="73"/>
      <c r="H870" s="79"/>
      <c r="I870" s="79"/>
      <c r="J870" s="14"/>
      <c r="K870" s="38"/>
      <c r="L870" s="38"/>
      <c r="M870" s="17"/>
    </row>
    <row r="871" spans="2:13" ht="14.45" customHeight="1" x14ac:dyDescent="0.25">
      <c r="B871" s="17"/>
      <c r="C871" s="14"/>
      <c r="D871" s="14"/>
      <c r="E871" s="18"/>
      <c r="F871" s="61"/>
      <c r="G871" s="73"/>
      <c r="H871" s="79"/>
      <c r="I871" s="79"/>
      <c r="J871" s="14"/>
      <c r="K871" s="38"/>
      <c r="L871" s="38"/>
      <c r="M871" s="17"/>
    </row>
    <row r="872" spans="2:13" ht="14.45" customHeight="1" x14ac:dyDescent="0.25">
      <c r="B872" s="17"/>
      <c r="C872" s="14"/>
      <c r="D872" s="14"/>
      <c r="E872" s="18"/>
      <c r="F872" s="61"/>
      <c r="G872" s="73"/>
      <c r="H872" s="79"/>
      <c r="I872" s="79"/>
      <c r="J872" s="14"/>
      <c r="K872" s="38"/>
      <c r="L872" s="38"/>
      <c r="M872" s="17"/>
    </row>
    <row r="873" spans="2:13" ht="14.45" customHeight="1" x14ac:dyDescent="0.25">
      <c r="B873" s="17"/>
      <c r="C873" s="14"/>
      <c r="D873" s="14"/>
      <c r="E873" s="18"/>
      <c r="F873" s="61"/>
      <c r="G873" s="73"/>
      <c r="H873" s="79"/>
      <c r="I873" s="79"/>
      <c r="J873" s="14"/>
      <c r="K873" s="38"/>
      <c r="L873" s="38"/>
      <c r="M873" s="17"/>
    </row>
    <row r="874" spans="2:13" ht="14.45" customHeight="1" x14ac:dyDescent="0.25">
      <c r="B874" s="17"/>
      <c r="C874" s="14"/>
      <c r="D874" s="14"/>
      <c r="E874" s="18"/>
      <c r="F874" s="61"/>
      <c r="G874" s="73"/>
      <c r="H874" s="79"/>
      <c r="I874" s="79"/>
      <c r="J874" s="14"/>
      <c r="K874" s="38"/>
      <c r="L874" s="38"/>
      <c r="M874" s="17"/>
    </row>
    <row r="875" spans="2:13" ht="14.45" customHeight="1" x14ac:dyDescent="0.25">
      <c r="B875" s="17"/>
      <c r="C875" s="14"/>
      <c r="D875" s="14"/>
      <c r="E875" s="18"/>
      <c r="F875" s="61"/>
      <c r="G875" s="73"/>
      <c r="H875" s="79"/>
      <c r="I875" s="79"/>
      <c r="J875" s="14"/>
      <c r="K875" s="38"/>
      <c r="L875" s="38"/>
      <c r="M875" s="17"/>
    </row>
    <row r="876" spans="2:13" ht="14.45" customHeight="1" x14ac:dyDescent="0.25">
      <c r="B876" s="17"/>
      <c r="C876" s="14"/>
      <c r="D876" s="14"/>
      <c r="E876" s="18"/>
      <c r="F876" s="61"/>
      <c r="G876" s="73"/>
      <c r="H876" s="79"/>
      <c r="I876" s="79"/>
      <c r="J876" s="14"/>
      <c r="K876" s="38"/>
      <c r="L876" s="38"/>
      <c r="M876" s="17"/>
    </row>
    <row r="877" spans="2:13" ht="14.45" customHeight="1" x14ac:dyDescent="0.25">
      <c r="B877" s="17"/>
      <c r="C877" s="14"/>
      <c r="D877" s="14"/>
      <c r="E877" s="18"/>
      <c r="F877" s="61"/>
      <c r="G877" s="73"/>
      <c r="H877" s="79"/>
      <c r="I877" s="79"/>
      <c r="J877" s="14"/>
      <c r="K877" s="38"/>
      <c r="L877" s="38"/>
      <c r="M877" s="17"/>
    </row>
    <row r="878" spans="2:13" ht="14.45" customHeight="1" x14ac:dyDescent="0.25">
      <c r="B878" s="17"/>
      <c r="C878" s="14"/>
      <c r="D878" s="14"/>
      <c r="E878" s="18"/>
      <c r="F878" s="61"/>
      <c r="G878" s="73"/>
      <c r="H878" s="79"/>
      <c r="I878" s="79"/>
      <c r="J878" s="14"/>
      <c r="K878" s="38"/>
      <c r="L878" s="38"/>
      <c r="M878" s="17"/>
    </row>
    <row r="879" spans="2:13" ht="14.45" customHeight="1" x14ac:dyDescent="0.25">
      <c r="B879" s="17"/>
      <c r="C879" s="14"/>
      <c r="D879" s="14"/>
      <c r="E879" s="18"/>
      <c r="F879" s="61"/>
      <c r="G879" s="73"/>
      <c r="H879" s="79"/>
      <c r="I879" s="79"/>
      <c r="J879" s="14"/>
      <c r="K879" s="38"/>
      <c r="L879" s="38"/>
      <c r="M879" s="17"/>
    </row>
    <row r="880" spans="2:13" ht="14.45" customHeight="1" x14ac:dyDescent="0.25">
      <c r="B880" s="17"/>
      <c r="C880" s="14"/>
      <c r="D880" s="14"/>
      <c r="E880" s="18"/>
      <c r="F880" s="61"/>
      <c r="G880" s="73"/>
      <c r="H880" s="79"/>
      <c r="I880" s="79"/>
      <c r="J880" s="14"/>
      <c r="K880" s="38"/>
      <c r="L880" s="38"/>
      <c r="M880" s="17"/>
    </row>
    <row r="881" spans="2:13" ht="14.45" customHeight="1" x14ac:dyDescent="0.25">
      <c r="B881" s="17"/>
      <c r="C881" s="14"/>
      <c r="D881" s="14"/>
      <c r="E881" s="18"/>
      <c r="F881" s="61"/>
      <c r="G881" s="73"/>
      <c r="H881" s="79"/>
      <c r="I881" s="79"/>
      <c r="J881" s="14"/>
      <c r="K881" s="38"/>
      <c r="L881" s="38"/>
      <c r="M881" s="17"/>
    </row>
    <row r="882" spans="2:13" ht="14.45" customHeight="1" x14ac:dyDescent="0.25">
      <c r="B882" s="17"/>
      <c r="C882" s="14"/>
      <c r="D882" s="14"/>
      <c r="E882" s="18"/>
      <c r="F882" s="61"/>
      <c r="G882" s="73"/>
      <c r="H882" s="79"/>
      <c r="I882" s="79"/>
      <c r="J882" s="14"/>
      <c r="K882" s="38"/>
      <c r="L882" s="38"/>
      <c r="M882" s="17"/>
    </row>
    <row r="883" spans="2:13" ht="14.45" customHeight="1" x14ac:dyDescent="0.25">
      <c r="B883" s="17"/>
      <c r="C883" s="14"/>
      <c r="D883" s="14"/>
      <c r="E883" s="18"/>
      <c r="F883" s="61"/>
      <c r="G883" s="73"/>
      <c r="H883" s="79"/>
      <c r="I883" s="79"/>
      <c r="J883" s="14"/>
      <c r="K883" s="38"/>
      <c r="L883" s="38"/>
      <c r="M883" s="17"/>
    </row>
    <row r="884" spans="2:13" ht="14.45" customHeight="1" x14ac:dyDescent="0.25">
      <c r="B884" s="17"/>
      <c r="C884" s="14"/>
      <c r="D884" s="14"/>
      <c r="E884" s="18"/>
      <c r="F884" s="61"/>
      <c r="G884" s="73"/>
      <c r="H884" s="79"/>
      <c r="I884" s="79"/>
      <c r="J884" s="14"/>
      <c r="K884" s="38"/>
      <c r="L884" s="38"/>
      <c r="M884" s="17"/>
    </row>
    <row r="885" spans="2:13" ht="14.45" customHeight="1" x14ac:dyDescent="0.25">
      <c r="B885" s="17"/>
      <c r="C885" s="14"/>
      <c r="D885" s="14"/>
      <c r="E885" s="18"/>
      <c r="F885" s="61"/>
      <c r="G885" s="73"/>
      <c r="H885" s="79"/>
      <c r="I885" s="79"/>
      <c r="J885" s="14"/>
      <c r="K885" s="38"/>
      <c r="L885" s="38"/>
      <c r="M885" s="17"/>
    </row>
    <row r="886" spans="2:13" ht="14.45" customHeight="1" x14ac:dyDescent="0.25">
      <c r="B886" s="17"/>
      <c r="C886" s="14"/>
      <c r="D886" s="14"/>
      <c r="E886" s="18"/>
      <c r="F886" s="61"/>
      <c r="G886" s="73"/>
      <c r="H886" s="79"/>
      <c r="I886" s="79"/>
      <c r="J886" s="14"/>
      <c r="K886" s="38"/>
      <c r="L886" s="38"/>
      <c r="M886" s="17"/>
    </row>
    <row r="887" spans="2:13" ht="14.45" customHeight="1" x14ac:dyDescent="0.25">
      <c r="B887" s="17"/>
      <c r="C887" s="14"/>
      <c r="D887" s="14"/>
      <c r="E887" s="18"/>
      <c r="F887" s="61"/>
      <c r="G887" s="73"/>
      <c r="H887" s="79"/>
      <c r="I887" s="79"/>
      <c r="J887" s="14"/>
      <c r="K887" s="38"/>
      <c r="L887" s="38"/>
      <c r="M887" s="17"/>
    </row>
    <row r="888" spans="2:13" ht="14.45" customHeight="1" x14ac:dyDescent="0.25">
      <c r="B888" s="17"/>
      <c r="C888" s="14"/>
      <c r="D888" s="14"/>
      <c r="E888" s="18"/>
      <c r="F888" s="61"/>
      <c r="G888" s="73"/>
      <c r="H888" s="79"/>
      <c r="I888" s="79"/>
      <c r="J888" s="14"/>
      <c r="K888" s="38"/>
      <c r="L888" s="38"/>
      <c r="M888" s="17"/>
    </row>
    <row r="889" spans="2:13" ht="14.45" customHeight="1" x14ac:dyDescent="0.25">
      <c r="B889" s="17"/>
      <c r="C889" s="14"/>
      <c r="D889" s="14"/>
      <c r="E889" s="18"/>
      <c r="F889" s="61"/>
      <c r="G889" s="73"/>
      <c r="H889" s="79"/>
      <c r="I889" s="79"/>
      <c r="J889" s="14"/>
      <c r="K889" s="38"/>
      <c r="L889" s="38"/>
      <c r="M889" s="17"/>
    </row>
    <row r="890" spans="2:13" ht="14.45" customHeight="1" x14ac:dyDescent="0.25">
      <c r="B890" s="17"/>
      <c r="C890" s="14"/>
      <c r="D890" s="14"/>
      <c r="E890" s="18"/>
      <c r="F890" s="61"/>
      <c r="G890" s="73"/>
      <c r="H890" s="79"/>
      <c r="I890" s="79"/>
      <c r="J890" s="14"/>
      <c r="K890" s="38"/>
      <c r="L890" s="38"/>
      <c r="M890" s="17"/>
    </row>
    <row r="891" spans="2:13" ht="14.45" customHeight="1" x14ac:dyDescent="0.25">
      <c r="B891" s="17"/>
      <c r="C891" s="14"/>
      <c r="D891" s="14"/>
      <c r="E891" s="18"/>
      <c r="F891" s="61"/>
      <c r="G891" s="73"/>
      <c r="H891" s="79"/>
      <c r="I891" s="79"/>
      <c r="J891" s="14"/>
      <c r="K891" s="38"/>
      <c r="L891" s="38"/>
      <c r="M891" s="17"/>
    </row>
    <row r="892" spans="2:13" ht="14.45" customHeight="1" x14ac:dyDescent="0.25">
      <c r="B892" s="17"/>
      <c r="C892" s="14"/>
      <c r="D892" s="14"/>
      <c r="E892" s="18"/>
      <c r="F892" s="61"/>
      <c r="G892" s="73"/>
      <c r="H892" s="79"/>
      <c r="I892" s="79"/>
      <c r="J892" s="14"/>
      <c r="K892" s="38"/>
      <c r="L892" s="38"/>
      <c r="M892" s="17"/>
    </row>
    <row r="893" spans="2:13" ht="14.45" customHeight="1" x14ac:dyDescent="0.25">
      <c r="B893" s="17"/>
      <c r="C893" s="14"/>
      <c r="D893" s="14"/>
      <c r="E893" s="18"/>
      <c r="F893" s="61"/>
      <c r="G893" s="73"/>
      <c r="H893" s="79"/>
      <c r="I893" s="79"/>
      <c r="J893" s="14"/>
      <c r="K893" s="38"/>
      <c r="L893" s="38"/>
      <c r="M893" s="17"/>
    </row>
    <row r="894" spans="2:13" ht="14.45" customHeight="1" x14ac:dyDescent="0.25">
      <c r="B894" s="17"/>
      <c r="C894" s="14"/>
      <c r="D894" s="14"/>
      <c r="E894" s="18"/>
      <c r="F894" s="61"/>
      <c r="G894" s="73"/>
      <c r="H894" s="79"/>
      <c r="I894" s="79"/>
      <c r="J894" s="14"/>
      <c r="K894" s="38"/>
      <c r="L894" s="38"/>
      <c r="M894" s="17"/>
    </row>
    <row r="895" spans="2:13" ht="14.45" customHeight="1" x14ac:dyDescent="0.25">
      <c r="B895" s="17"/>
      <c r="C895" s="14"/>
      <c r="D895" s="14"/>
      <c r="E895" s="18"/>
      <c r="F895" s="61"/>
      <c r="G895" s="73"/>
      <c r="H895" s="79"/>
      <c r="I895" s="79"/>
      <c r="J895" s="14"/>
      <c r="K895" s="38"/>
      <c r="L895" s="38"/>
      <c r="M895" s="17"/>
    </row>
    <row r="896" spans="2:13" ht="14.45" customHeight="1" x14ac:dyDescent="0.25">
      <c r="B896" s="17"/>
      <c r="C896" s="14"/>
      <c r="D896" s="14"/>
      <c r="E896" s="18"/>
      <c r="F896" s="61"/>
      <c r="G896" s="73"/>
      <c r="H896" s="79"/>
      <c r="I896" s="79"/>
      <c r="J896" s="14"/>
      <c r="K896" s="38"/>
      <c r="L896" s="38"/>
      <c r="M896" s="17"/>
    </row>
    <row r="897" spans="2:13" ht="14.45" customHeight="1" x14ac:dyDescent="0.25">
      <c r="B897" s="17"/>
      <c r="C897" s="14"/>
      <c r="D897" s="14"/>
      <c r="E897" s="18"/>
      <c r="F897" s="61"/>
      <c r="G897" s="73"/>
      <c r="H897" s="79"/>
      <c r="I897" s="79"/>
      <c r="J897" s="14"/>
      <c r="K897" s="38"/>
      <c r="L897" s="38"/>
      <c r="M897" s="17"/>
    </row>
    <row r="898" spans="2:13" ht="14.45" customHeight="1" x14ac:dyDescent="0.25">
      <c r="B898" s="17"/>
      <c r="C898" s="14"/>
      <c r="D898" s="14"/>
      <c r="E898" s="18"/>
      <c r="F898" s="61"/>
      <c r="G898" s="73"/>
      <c r="H898" s="79"/>
      <c r="I898" s="79"/>
      <c r="J898" s="14"/>
      <c r="K898" s="38"/>
      <c r="L898" s="38"/>
      <c r="M898" s="17"/>
    </row>
    <row r="899" spans="2:13" ht="14.45" customHeight="1" x14ac:dyDescent="0.25">
      <c r="B899" s="17"/>
      <c r="C899" s="14"/>
      <c r="D899" s="14"/>
      <c r="E899" s="18"/>
      <c r="F899" s="61"/>
      <c r="G899" s="73"/>
      <c r="H899" s="79"/>
      <c r="I899" s="79"/>
      <c r="J899" s="14"/>
      <c r="K899" s="38"/>
      <c r="L899" s="38"/>
      <c r="M899" s="17"/>
    </row>
    <row r="900" spans="2:13" ht="14.45" customHeight="1" x14ac:dyDescent="0.25">
      <c r="B900" s="17"/>
      <c r="C900" s="14"/>
      <c r="D900" s="14"/>
      <c r="E900" s="18"/>
      <c r="F900" s="61"/>
      <c r="G900" s="73"/>
      <c r="H900" s="79"/>
      <c r="I900" s="79"/>
      <c r="J900" s="14"/>
      <c r="K900" s="38"/>
      <c r="L900" s="38"/>
      <c r="M900" s="17"/>
    </row>
    <row r="901" spans="2:13" ht="14.45" customHeight="1" x14ac:dyDescent="0.25">
      <c r="B901" s="17"/>
      <c r="C901" s="14"/>
      <c r="D901" s="14"/>
      <c r="E901" s="18"/>
      <c r="F901" s="61"/>
      <c r="G901" s="73"/>
      <c r="H901" s="79"/>
      <c r="I901" s="79"/>
      <c r="J901" s="14"/>
      <c r="K901" s="38"/>
      <c r="L901" s="38"/>
      <c r="M901" s="17"/>
    </row>
    <row r="902" spans="2:13" ht="14.45" customHeight="1" x14ac:dyDescent="0.25">
      <c r="B902" s="17"/>
      <c r="C902" s="14"/>
      <c r="D902" s="14"/>
      <c r="E902" s="18"/>
      <c r="F902" s="61"/>
      <c r="G902" s="73"/>
      <c r="H902" s="79"/>
      <c r="I902" s="79"/>
      <c r="J902" s="14"/>
      <c r="K902" s="38"/>
      <c r="L902" s="38"/>
      <c r="M902" s="17"/>
    </row>
    <row r="903" spans="2:13" ht="14.45" customHeight="1" x14ac:dyDescent="0.25">
      <c r="B903" s="17"/>
      <c r="C903" s="14"/>
      <c r="D903" s="14"/>
      <c r="E903" s="18"/>
      <c r="F903" s="61"/>
      <c r="G903" s="73"/>
      <c r="H903" s="79"/>
      <c r="I903" s="79"/>
      <c r="J903" s="14"/>
      <c r="K903" s="38"/>
      <c r="L903" s="38"/>
      <c r="M903" s="17"/>
    </row>
    <row r="904" spans="2:13" ht="14.45" customHeight="1" x14ac:dyDescent="0.25">
      <c r="B904" s="17"/>
      <c r="C904" s="14"/>
      <c r="D904" s="14"/>
      <c r="E904" s="18"/>
      <c r="F904" s="61"/>
      <c r="G904" s="73"/>
      <c r="H904" s="79"/>
      <c r="I904" s="79"/>
      <c r="J904" s="14"/>
      <c r="K904" s="38"/>
      <c r="L904" s="38"/>
      <c r="M904" s="17"/>
    </row>
    <row r="905" spans="2:13" ht="14.45" customHeight="1" x14ac:dyDescent="0.25">
      <c r="B905" s="17"/>
      <c r="C905" s="14"/>
      <c r="D905" s="14"/>
      <c r="E905" s="18"/>
      <c r="F905" s="61"/>
      <c r="G905" s="73"/>
      <c r="H905" s="79"/>
      <c r="I905" s="79"/>
      <c r="J905" s="14"/>
      <c r="K905" s="38"/>
      <c r="L905" s="38"/>
      <c r="M905" s="17"/>
    </row>
    <row r="906" spans="2:13" ht="14.45" customHeight="1" x14ac:dyDescent="0.25">
      <c r="B906" s="17"/>
      <c r="C906" s="14"/>
      <c r="D906" s="14"/>
      <c r="E906" s="18"/>
      <c r="F906" s="61"/>
      <c r="G906" s="73"/>
      <c r="H906" s="79"/>
      <c r="I906" s="79"/>
      <c r="J906" s="14"/>
      <c r="K906" s="38"/>
      <c r="L906" s="38"/>
      <c r="M906" s="17"/>
    </row>
    <row r="907" spans="2:13" ht="14.45" customHeight="1" x14ac:dyDescent="0.25">
      <c r="B907" s="17"/>
      <c r="C907" s="14"/>
      <c r="D907" s="14"/>
      <c r="E907" s="18"/>
      <c r="F907" s="61"/>
      <c r="G907" s="73"/>
      <c r="H907" s="79"/>
      <c r="I907" s="79"/>
      <c r="J907" s="14"/>
      <c r="K907" s="38"/>
      <c r="L907" s="38"/>
      <c r="M907" s="17"/>
    </row>
    <row r="908" spans="2:13" ht="14.45" customHeight="1" x14ac:dyDescent="0.25">
      <c r="B908" s="17"/>
      <c r="C908" s="14"/>
      <c r="D908" s="14"/>
      <c r="E908" s="18"/>
      <c r="F908" s="61"/>
      <c r="G908" s="73"/>
      <c r="H908" s="79"/>
      <c r="I908" s="79"/>
      <c r="J908" s="14"/>
      <c r="K908" s="38"/>
      <c r="L908" s="38"/>
      <c r="M908" s="17"/>
    </row>
    <row r="909" spans="2:13" ht="14.45" customHeight="1" x14ac:dyDescent="0.25">
      <c r="B909" s="17"/>
      <c r="C909" s="14"/>
      <c r="D909" s="14"/>
      <c r="E909" s="18"/>
      <c r="F909" s="61"/>
      <c r="G909" s="73"/>
      <c r="H909" s="79"/>
      <c r="I909" s="79"/>
      <c r="J909" s="14"/>
      <c r="K909" s="38"/>
      <c r="L909" s="38"/>
      <c r="M909" s="17"/>
    </row>
    <row r="910" spans="2:13" ht="14.45" customHeight="1" x14ac:dyDescent="0.25">
      <c r="B910" s="17"/>
      <c r="C910" s="14"/>
      <c r="D910" s="14"/>
      <c r="E910" s="18"/>
      <c r="F910" s="61"/>
      <c r="G910" s="73"/>
      <c r="H910" s="79"/>
      <c r="I910" s="79"/>
      <c r="J910" s="14"/>
      <c r="K910" s="38"/>
      <c r="L910" s="38"/>
      <c r="M910" s="17"/>
    </row>
    <row r="911" spans="2:13" ht="14.45" customHeight="1" x14ac:dyDescent="0.25">
      <c r="B911" s="17"/>
      <c r="C911" s="14"/>
      <c r="D911" s="14"/>
      <c r="E911" s="18"/>
      <c r="F911" s="61"/>
      <c r="G911" s="73"/>
      <c r="H911" s="79"/>
      <c r="I911" s="79"/>
      <c r="J911" s="14"/>
      <c r="K911" s="38"/>
      <c r="L911" s="38"/>
      <c r="M911" s="17"/>
    </row>
    <row r="912" spans="2:13" ht="14.45" customHeight="1" x14ac:dyDescent="0.25">
      <c r="B912" s="17"/>
      <c r="C912" s="14"/>
      <c r="D912" s="14"/>
      <c r="E912" s="18"/>
      <c r="F912" s="61"/>
      <c r="G912" s="73"/>
      <c r="H912" s="79"/>
      <c r="I912" s="79"/>
      <c r="J912" s="14"/>
      <c r="K912" s="38"/>
      <c r="L912" s="38"/>
      <c r="M912" s="17"/>
    </row>
    <row r="913" spans="2:13" ht="14.45" customHeight="1" x14ac:dyDescent="0.25">
      <c r="B913" s="17"/>
      <c r="C913" s="14"/>
      <c r="D913" s="14"/>
      <c r="E913" s="18"/>
      <c r="F913" s="61"/>
      <c r="G913" s="73"/>
      <c r="H913" s="79"/>
      <c r="I913" s="79"/>
      <c r="J913" s="14"/>
      <c r="K913" s="38"/>
      <c r="L913" s="38"/>
      <c r="M913" s="17"/>
    </row>
    <row r="914" spans="2:13" ht="14.45" customHeight="1" x14ac:dyDescent="0.25">
      <c r="B914" s="17"/>
      <c r="C914" s="14"/>
      <c r="D914" s="14"/>
      <c r="E914" s="18"/>
      <c r="F914" s="61"/>
      <c r="G914" s="73"/>
      <c r="H914" s="79"/>
      <c r="I914" s="79"/>
      <c r="J914" s="14"/>
      <c r="K914" s="38"/>
      <c r="L914" s="38"/>
      <c r="M914" s="17"/>
    </row>
    <row r="915" spans="2:13" ht="14.45" customHeight="1" x14ac:dyDescent="0.25">
      <c r="B915" s="17"/>
      <c r="C915" s="14"/>
      <c r="D915" s="14"/>
      <c r="E915" s="18"/>
      <c r="F915" s="61"/>
      <c r="G915" s="73"/>
      <c r="H915" s="79"/>
      <c r="I915" s="79"/>
      <c r="J915" s="14"/>
      <c r="K915" s="38"/>
      <c r="L915" s="38"/>
      <c r="M915" s="17"/>
    </row>
    <row r="916" spans="2:13" ht="14.45" customHeight="1" x14ac:dyDescent="0.25">
      <c r="B916" s="17"/>
      <c r="C916" s="14"/>
      <c r="D916" s="14"/>
      <c r="E916" s="18"/>
      <c r="F916" s="61"/>
      <c r="G916" s="73"/>
      <c r="H916" s="79"/>
      <c r="I916" s="79"/>
      <c r="J916" s="14"/>
      <c r="K916" s="38"/>
      <c r="L916" s="38"/>
      <c r="M916" s="17"/>
    </row>
    <row r="917" spans="2:13" ht="14.45" customHeight="1" x14ac:dyDescent="0.25">
      <c r="B917" s="17"/>
      <c r="C917" s="14"/>
      <c r="D917" s="14"/>
      <c r="E917" s="18"/>
      <c r="F917" s="61"/>
      <c r="G917" s="73"/>
      <c r="H917" s="79"/>
      <c r="I917" s="79"/>
      <c r="J917" s="14"/>
      <c r="K917" s="38"/>
      <c r="L917" s="38"/>
      <c r="M917" s="17"/>
    </row>
    <row r="918" spans="2:13" ht="14.45" customHeight="1" x14ac:dyDescent="0.25">
      <c r="B918" s="17"/>
      <c r="C918" s="14"/>
      <c r="D918" s="14"/>
      <c r="E918" s="18"/>
      <c r="F918" s="61"/>
      <c r="G918" s="73"/>
      <c r="H918" s="79"/>
      <c r="I918" s="79"/>
      <c r="J918" s="14"/>
      <c r="K918" s="38"/>
      <c r="L918" s="38"/>
      <c r="M918" s="17"/>
    </row>
    <row r="919" spans="2:13" ht="14.45" customHeight="1" x14ac:dyDescent="0.25">
      <c r="B919" s="17"/>
      <c r="C919" s="14"/>
      <c r="D919" s="14"/>
      <c r="E919" s="18"/>
      <c r="F919" s="61"/>
      <c r="G919" s="73"/>
      <c r="H919" s="79"/>
      <c r="I919" s="79"/>
      <c r="J919" s="14"/>
      <c r="K919" s="38"/>
      <c r="L919" s="38"/>
      <c r="M919" s="17"/>
    </row>
    <row r="920" spans="2:13" ht="14.45" customHeight="1" x14ac:dyDescent="0.25">
      <c r="B920" s="17"/>
      <c r="C920" s="14"/>
      <c r="D920" s="14"/>
      <c r="E920" s="18"/>
      <c r="F920" s="61"/>
      <c r="G920" s="73"/>
      <c r="H920" s="79"/>
      <c r="I920" s="79"/>
      <c r="J920" s="14"/>
      <c r="K920" s="38"/>
      <c r="L920" s="38"/>
      <c r="M920" s="17"/>
    </row>
    <row r="921" spans="2:13" ht="14.45" customHeight="1" x14ac:dyDescent="0.25">
      <c r="B921" s="17"/>
      <c r="C921" s="14"/>
      <c r="D921" s="14"/>
      <c r="E921" s="18"/>
      <c r="F921" s="61"/>
      <c r="G921" s="73"/>
      <c r="H921" s="79"/>
      <c r="I921" s="79"/>
      <c r="J921" s="14"/>
      <c r="K921" s="38"/>
      <c r="L921" s="38"/>
      <c r="M921" s="17"/>
    </row>
    <row r="922" spans="2:13" ht="14.45" customHeight="1" x14ac:dyDescent="0.25">
      <c r="B922" s="17"/>
      <c r="C922" s="14"/>
      <c r="D922" s="14"/>
      <c r="E922" s="18"/>
      <c r="F922" s="61"/>
      <c r="G922" s="73"/>
      <c r="H922" s="79"/>
      <c r="I922" s="79"/>
      <c r="J922" s="14"/>
      <c r="K922" s="38"/>
      <c r="L922" s="38"/>
      <c r="M922" s="17"/>
    </row>
    <row r="923" spans="2:13" ht="14.45" customHeight="1" x14ac:dyDescent="0.25">
      <c r="B923" s="17"/>
      <c r="C923" s="14"/>
      <c r="D923" s="14"/>
      <c r="E923" s="18"/>
      <c r="F923" s="61"/>
      <c r="G923" s="73"/>
      <c r="H923" s="79"/>
      <c r="I923" s="79"/>
      <c r="J923" s="14"/>
      <c r="K923" s="38"/>
      <c r="L923" s="38"/>
      <c r="M923" s="17"/>
    </row>
    <row r="924" spans="2:13" ht="14.45" customHeight="1" x14ac:dyDescent="0.25">
      <c r="B924" s="17"/>
      <c r="C924" s="14"/>
      <c r="D924" s="14"/>
      <c r="E924" s="18"/>
      <c r="F924" s="61"/>
      <c r="G924" s="73"/>
      <c r="H924" s="79"/>
      <c r="I924" s="79"/>
      <c r="J924" s="14"/>
      <c r="K924" s="38"/>
      <c r="L924" s="38"/>
      <c r="M924" s="17"/>
    </row>
    <row r="925" spans="2:13" ht="14.45" customHeight="1" x14ac:dyDescent="0.25">
      <c r="B925" s="17"/>
      <c r="C925" s="14"/>
      <c r="D925" s="14"/>
      <c r="E925" s="18"/>
      <c r="F925" s="61"/>
      <c r="G925" s="73"/>
      <c r="H925" s="79"/>
      <c r="I925" s="79"/>
      <c r="J925" s="14"/>
      <c r="K925" s="38"/>
      <c r="L925" s="38"/>
      <c r="M925" s="17"/>
    </row>
    <row r="926" spans="2:13" ht="14.45" customHeight="1" x14ac:dyDescent="0.25">
      <c r="B926" s="17"/>
      <c r="C926" s="14"/>
      <c r="D926" s="14"/>
      <c r="E926" s="18"/>
      <c r="F926" s="61"/>
      <c r="G926" s="73"/>
      <c r="H926" s="79"/>
      <c r="I926" s="79"/>
      <c r="J926" s="14"/>
      <c r="K926" s="38"/>
      <c r="L926" s="38"/>
      <c r="M926" s="17"/>
    </row>
    <row r="927" spans="2:13" ht="14.45" customHeight="1" x14ac:dyDescent="0.25">
      <c r="B927" s="17"/>
      <c r="C927" s="14"/>
      <c r="D927" s="14"/>
      <c r="E927" s="18"/>
      <c r="F927" s="61"/>
      <c r="G927" s="73"/>
      <c r="H927" s="79"/>
      <c r="I927" s="79"/>
      <c r="J927" s="14"/>
      <c r="K927" s="38"/>
      <c r="L927" s="38"/>
      <c r="M927" s="17"/>
    </row>
    <row r="928" spans="2:13" ht="14.45" customHeight="1" x14ac:dyDescent="0.25">
      <c r="B928" s="17"/>
      <c r="C928" s="14"/>
      <c r="D928" s="14"/>
      <c r="E928" s="18"/>
      <c r="F928" s="61"/>
      <c r="G928" s="73"/>
      <c r="H928" s="79"/>
      <c r="I928" s="79"/>
      <c r="J928" s="14"/>
      <c r="K928" s="38"/>
      <c r="L928" s="38"/>
      <c r="M928" s="17"/>
    </row>
    <row r="929" spans="2:13" ht="14.45" customHeight="1" x14ac:dyDescent="0.25">
      <c r="B929" s="17"/>
      <c r="C929" s="14"/>
      <c r="D929" s="14"/>
      <c r="E929" s="18"/>
      <c r="F929" s="61"/>
      <c r="G929" s="73"/>
      <c r="H929" s="79"/>
      <c r="I929" s="79"/>
      <c r="J929" s="14"/>
      <c r="K929" s="38"/>
      <c r="L929" s="38"/>
      <c r="M929" s="17"/>
    </row>
    <row r="930" spans="2:13" ht="14.45" customHeight="1" x14ac:dyDescent="0.25">
      <c r="B930" s="17"/>
      <c r="C930" s="14"/>
      <c r="D930" s="14"/>
      <c r="E930" s="18"/>
      <c r="F930" s="61"/>
      <c r="G930" s="73"/>
      <c r="H930" s="79"/>
      <c r="I930" s="79"/>
      <c r="J930" s="14"/>
      <c r="K930" s="38"/>
      <c r="L930" s="38"/>
      <c r="M930" s="17"/>
    </row>
    <row r="931" spans="2:13" ht="14.45" customHeight="1" x14ac:dyDescent="0.25">
      <c r="B931" s="17"/>
      <c r="C931" s="14"/>
      <c r="D931" s="14"/>
      <c r="E931" s="18"/>
      <c r="F931" s="61"/>
      <c r="G931" s="73"/>
      <c r="H931" s="79"/>
      <c r="I931" s="79"/>
      <c r="J931" s="14"/>
      <c r="K931" s="38"/>
      <c r="L931" s="38"/>
      <c r="M931" s="17"/>
    </row>
    <row r="932" spans="2:13" ht="14.45" customHeight="1" x14ac:dyDescent="0.25">
      <c r="B932" s="17"/>
      <c r="C932" s="14"/>
      <c r="D932" s="14"/>
      <c r="E932" s="18"/>
      <c r="F932" s="61"/>
      <c r="G932" s="73"/>
      <c r="H932" s="79"/>
      <c r="I932" s="79"/>
      <c r="J932" s="14"/>
      <c r="K932" s="38"/>
      <c r="L932" s="38"/>
      <c r="M932" s="17"/>
    </row>
    <row r="933" spans="2:13" ht="14.45" customHeight="1" x14ac:dyDescent="0.25">
      <c r="B933" s="17"/>
      <c r="C933" s="14"/>
      <c r="D933" s="14"/>
      <c r="E933" s="18"/>
      <c r="F933" s="61"/>
      <c r="G933" s="73"/>
      <c r="H933" s="79"/>
      <c r="I933" s="79"/>
      <c r="J933" s="14"/>
      <c r="K933" s="38"/>
      <c r="L933" s="38"/>
      <c r="M933" s="17"/>
    </row>
    <row r="934" spans="2:13" ht="14.45" customHeight="1" x14ac:dyDescent="0.25">
      <c r="B934" s="17"/>
      <c r="C934" s="14"/>
      <c r="D934" s="14"/>
      <c r="E934" s="18"/>
      <c r="F934" s="61"/>
      <c r="G934" s="73"/>
      <c r="H934" s="79"/>
      <c r="I934" s="79"/>
      <c r="J934" s="14"/>
      <c r="K934" s="38"/>
      <c r="L934" s="38"/>
      <c r="M934" s="17"/>
    </row>
    <row r="935" spans="2:13" ht="14.45" customHeight="1" x14ac:dyDescent="0.25">
      <c r="B935" s="17"/>
      <c r="C935" s="14"/>
      <c r="D935" s="14"/>
      <c r="E935" s="18"/>
      <c r="F935" s="61"/>
      <c r="G935" s="73"/>
      <c r="H935" s="79"/>
      <c r="I935" s="79"/>
      <c r="J935" s="14"/>
      <c r="K935" s="38"/>
      <c r="L935" s="38"/>
      <c r="M935" s="17"/>
    </row>
    <row r="936" spans="2:13" ht="14.45" customHeight="1" x14ac:dyDescent="0.25">
      <c r="B936" s="17"/>
      <c r="C936" s="14"/>
      <c r="D936" s="14"/>
      <c r="E936" s="18"/>
      <c r="F936" s="61"/>
      <c r="G936" s="73"/>
      <c r="H936" s="79"/>
      <c r="I936" s="79"/>
      <c r="J936" s="14"/>
      <c r="K936" s="38"/>
      <c r="L936" s="38"/>
      <c r="M936" s="17"/>
    </row>
    <row r="937" spans="2:13" ht="14.45" customHeight="1" x14ac:dyDescent="0.25">
      <c r="B937" s="17"/>
      <c r="C937" s="14"/>
      <c r="D937" s="14"/>
      <c r="E937" s="18"/>
      <c r="F937" s="61"/>
      <c r="G937" s="73"/>
      <c r="H937" s="79"/>
      <c r="I937" s="79"/>
      <c r="J937" s="14"/>
      <c r="K937" s="38"/>
      <c r="L937" s="38"/>
      <c r="M937" s="17"/>
    </row>
    <row r="938" spans="2:13" ht="14.45" customHeight="1" x14ac:dyDescent="0.25">
      <c r="B938" s="17"/>
      <c r="C938" s="14"/>
      <c r="D938" s="14"/>
      <c r="E938" s="18"/>
      <c r="F938" s="61"/>
      <c r="G938" s="73"/>
      <c r="H938" s="79"/>
      <c r="I938" s="79"/>
      <c r="J938" s="14"/>
      <c r="K938" s="38"/>
      <c r="L938" s="38"/>
      <c r="M938" s="17"/>
    </row>
    <row r="939" spans="2:13" ht="14.45" customHeight="1" x14ac:dyDescent="0.25">
      <c r="B939" s="17"/>
      <c r="C939" s="14"/>
      <c r="D939" s="14"/>
      <c r="E939" s="18"/>
      <c r="F939" s="61"/>
      <c r="G939" s="73"/>
      <c r="H939" s="79"/>
      <c r="I939" s="79"/>
      <c r="J939" s="14"/>
      <c r="K939" s="38"/>
      <c r="L939" s="38"/>
      <c r="M939" s="17"/>
    </row>
    <row r="940" spans="2:13" ht="14.45" customHeight="1" x14ac:dyDescent="0.25">
      <c r="B940" s="17"/>
      <c r="C940" s="14"/>
      <c r="D940" s="14"/>
      <c r="E940" s="18"/>
      <c r="F940" s="61"/>
      <c r="G940" s="73"/>
      <c r="H940" s="79"/>
      <c r="I940" s="79"/>
      <c r="J940" s="14"/>
      <c r="K940" s="38"/>
      <c r="L940" s="38"/>
      <c r="M940" s="17"/>
    </row>
    <row r="941" spans="2:13" ht="14.45" customHeight="1" x14ac:dyDescent="0.25">
      <c r="B941" s="17"/>
      <c r="C941" s="14"/>
      <c r="D941" s="14"/>
      <c r="E941" s="18"/>
      <c r="F941" s="61"/>
      <c r="G941" s="73"/>
      <c r="H941" s="79"/>
      <c r="I941" s="79"/>
      <c r="J941" s="14"/>
      <c r="K941" s="38"/>
      <c r="L941" s="38"/>
      <c r="M941" s="17"/>
    </row>
    <row r="942" spans="2:13" ht="14.45" customHeight="1" x14ac:dyDescent="0.25">
      <c r="B942" s="17"/>
      <c r="C942" s="14"/>
      <c r="D942" s="14"/>
      <c r="E942" s="18"/>
      <c r="F942" s="61"/>
      <c r="G942" s="73"/>
      <c r="H942" s="79"/>
      <c r="I942" s="79"/>
      <c r="J942" s="14"/>
      <c r="K942" s="38"/>
      <c r="L942" s="38"/>
      <c r="M942" s="17"/>
    </row>
    <row r="943" spans="2:13" ht="14.45" customHeight="1" x14ac:dyDescent="0.25">
      <c r="B943" s="17"/>
      <c r="C943" s="14"/>
      <c r="D943" s="14"/>
      <c r="E943" s="18"/>
      <c r="F943" s="61"/>
      <c r="G943" s="73"/>
      <c r="H943" s="79"/>
      <c r="I943" s="79"/>
      <c r="J943" s="14"/>
      <c r="K943" s="38"/>
      <c r="L943" s="38"/>
      <c r="M943" s="17"/>
    </row>
    <row r="944" spans="2:13" ht="14.45" customHeight="1" x14ac:dyDescent="0.25">
      <c r="B944" s="17"/>
      <c r="C944" s="14"/>
      <c r="D944" s="14"/>
      <c r="E944" s="18"/>
      <c r="F944" s="61"/>
      <c r="G944" s="73"/>
      <c r="H944" s="79"/>
      <c r="I944" s="79"/>
      <c r="J944" s="14"/>
      <c r="K944" s="38"/>
      <c r="L944" s="38"/>
      <c r="M944" s="17"/>
    </row>
    <row r="945" spans="2:13" ht="14.45" customHeight="1" x14ac:dyDescent="0.25">
      <c r="B945" s="17"/>
      <c r="C945" s="14"/>
      <c r="D945" s="14"/>
      <c r="E945" s="18"/>
      <c r="F945" s="61"/>
      <c r="G945" s="73"/>
      <c r="H945" s="79"/>
      <c r="I945" s="79"/>
      <c r="J945" s="14"/>
      <c r="K945" s="38"/>
      <c r="L945" s="38"/>
      <c r="M945" s="17"/>
    </row>
    <row r="946" spans="2:13" ht="14.45" customHeight="1" x14ac:dyDescent="0.25">
      <c r="B946" s="17"/>
      <c r="C946" s="14"/>
      <c r="D946" s="14"/>
      <c r="E946" s="18"/>
      <c r="F946" s="61"/>
      <c r="G946" s="73"/>
      <c r="H946" s="79"/>
      <c r="I946" s="79"/>
      <c r="J946" s="14"/>
      <c r="K946" s="38"/>
      <c r="L946" s="38"/>
      <c r="M946" s="17"/>
    </row>
    <row r="947" spans="2:13" ht="14.45" customHeight="1" x14ac:dyDescent="0.25">
      <c r="B947" s="17"/>
      <c r="C947" s="14"/>
      <c r="D947" s="14"/>
      <c r="E947" s="18"/>
      <c r="F947" s="61"/>
      <c r="G947" s="73"/>
      <c r="H947" s="79"/>
      <c r="I947" s="79"/>
      <c r="J947" s="14"/>
      <c r="K947" s="38"/>
      <c r="L947" s="38"/>
      <c r="M947" s="17"/>
    </row>
    <row r="948" spans="2:13" ht="14.45" customHeight="1" x14ac:dyDescent="0.25">
      <c r="B948" s="17"/>
      <c r="C948" s="14"/>
      <c r="D948" s="14"/>
      <c r="E948" s="18"/>
      <c r="F948" s="61"/>
      <c r="G948" s="73"/>
      <c r="H948" s="79"/>
      <c r="I948" s="79"/>
      <c r="J948" s="14"/>
      <c r="K948" s="38"/>
      <c r="L948" s="38"/>
      <c r="M948" s="17"/>
    </row>
    <row r="949" spans="2:13" ht="14.45" customHeight="1" x14ac:dyDescent="0.25">
      <c r="B949" s="17"/>
      <c r="C949" s="14"/>
      <c r="D949" s="14"/>
      <c r="E949" s="18"/>
      <c r="F949" s="61"/>
      <c r="G949" s="73"/>
      <c r="H949" s="79"/>
      <c r="I949" s="79"/>
      <c r="J949" s="14"/>
      <c r="K949" s="38"/>
      <c r="L949" s="38"/>
      <c r="M949" s="17"/>
    </row>
    <row r="950" spans="2:13" ht="14.45" customHeight="1" x14ac:dyDescent="0.25">
      <c r="B950" s="17"/>
      <c r="C950" s="14"/>
      <c r="D950" s="14"/>
      <c r="E950" s="18"/>
      <c r="F950" s="61"/>
      <c r="G950" s="73"/>
      <c r="H950" s="79"/>
      <c r="I950" s="79"/>
      <c r="J950" s="14"/>
      <c r="K950" s="38"/>
      <c r="L950" s="38"/>
      <c r="M950" s="17"/>
    </row>
    <row r="951" spans="2:13" ht="14.45" customHeight="1" x14ac:dyDescent="0.25">
      <c r="B951" s="17"/>
      <c r="C951" s="14"/>
      <c r="D951" s="14"/>
      <c r="E951" s="18"/>
      <c r="F951" s="61"/>
      <c r="G951" s="73"/>
      <c r="H951" s="79"/>
      <c r="I951" s="79"/>
      <c r="J951" s="14"/>
      <c r="K951" s="38"/>
      <c r="L951" s="38"/>
      <c r="M951" s="17"/>
    </row>
    <row r="952" spans="2:13" ht="14.45" customHeight="1" x14ac:dyDescent="0.25">
      <c r="B952" s="17"/>
      <c r="C952" s="14"/>
      <c r="D952" s="14"/>
      <c r="E952" s="18"/>
      <c r="F952" s="61"/>
      <c r="G952" s="73"/>
      <c r="H952" s="79"/>
      <c r="I952" s="79"/>
      <c r="J952" s="14"/>
      <c r="K952" s="38"/>
      <c r="L952" s="38"/>
      <c r="M952" s="17"/>
    </row>
    <row r="953" spans="2:13" ht="14.45" customHeight="1" x14ac:dyDescent="0.25">
      <c r="B953" s="17"/>
      <c r="C953" s="14"/>
      <c r="D953" s="14"/>
      <c r="E953" s="18"/>
      <c r="F953" s="61"/>
      <c r="G953" s="73"/>
      <c r="H953" s="79"/>
      <c r="I953" s="79"/>
      <c r="J953" s="14"/>
      <c r="K953" s="38"/>
      <c r="L953" s="38"/>
      <c r="M953" s="17"/>
    </row>
    <row r="954" spans="2:13" ht="14.45" customHeight="1" x14ac:dyDescent="0.25">
      <c r="B954" s="17"/>
      <c r="C954" s="14"/>
      <c r="D954" s="14"/>
      <c r="E954" s="18"/>
      <c r="F954" s="61"/>
      <c r="G954" s="73"/>
      <c r="H954" s="79"/>
      <c r="I954" s="79"/>
      <c r="J954" s="14"/>
      <c r="K954" s="38"/>
      <c r="L954" s="38"/>
      <c r="M954" s="17"/>
    </row>
    <row r="955" spans="2:13" ht="14.45" customHeight="1" x14ac:dyDescent="0.25">
      <c r="B955" s="17"/>
      <c r="C955" s="14"/>
      <c r="D955" s="14"/>
      <c r="E955" s="18"/>
      <c r="F955" s="61"/>
      <c r="G955" s="73"/>
      <c r="H955" s="79"/>
      <c r="I955" s="79"/>
      <c r="J955" s="14"/>
      <c r="K955" s="38"/>
      <c r="L955" s="38"/>
      <c r="M955" s="17"/>
    </row>
    <row r="956" spans="2:13" ht="14.45" customHeight="1" x14ac:dyDescent="0.25">
      <c r="B956" s="17"/>
      <c r="C956" s="14"/>
      <c r="D956" s="14"/>
      <c r="E956" s="18"/>
      <c r="F956" s="61"/>
      <c r="G956" s="73"/>
      <c r="H956" s="79"/>
      <c r="I956" s="79"/>
      <c r="J956" s="14"/>
      <c r="K956" s="38"/>
      <c r="L956" s="38"/>
      <c r="M956" s="17"/>
    </row>
    <row r="957" spans="2:13" ht="14.45" customHeight="1" x14ac:dyDescent="0.25">
      <c r="B957" s="17"/>
      <c r="C957" s="14"/>
      <c r="D957" s="14"/>
      <c r="E957" s="18"/>
      <c r="F957" s="61"/>
      <c r="G957" s="73"/>
      <c r="H957" s="79"/>
      <c r="I957" s="79"/>
      <c r="J957" s="14"/>
      <c r="K957" s="38"/>
      <c r="L957" s="38"/>
      <c r="M957" s="17"/>
    </row>
    <row r="958" spans="2:13" ht="14.45" customHeight="1" x14ac:dyDescent="0.25">
      <c r="B958" s="17"/>
      <c r="C958" s="14"/>
      <c r="D958" s="14"/>
      <c r="E958" s="18"/>
      <c r="F958" s="61"/>
      <c r="G958" s="73"/>
      <c r="H958" s="79"/>
      <c r="I958" s="79"/>
      <c r="J958" s="14"/>
      <c r="K958" s="38"/>
      <c r="L958" s="38"/>
      <c r="M958" s="17"/>
    </row>
    <row r="959" spans="2:13" ht="14.45" customHeight="1" x14ac:dyDescent="0.25">
      <c r="B959" s="17"/>
      <c r="C959" s="14"/>
      <c r="D959" s="14"/>
      <c r="E959" s="18"/>
      <c r="F959" s="61"/>
      <c r="G959" s="73"/>
      <c r="H959" s="79"/>
      <c r="I959" s="79"/>
      <c r="J959" s="14"/>
      <c r="K959" s="38"/>
      <c r="L959" s="38"/>
      <c r="M959" s="17"/>
    </row>
    <row r="960" spans="2:13" ht="14.45" customHeight="1" x14ac:dyDescent="0.25">
      <c r="B960" s="17"/>
      <c r="C960" s="14"/>
      <c r="D960" s="14"/>
      <c r="E960" s="18"/>
      <c r="F960" s="61"/>
      <c r="G960" s="73"/>
      <c r="H960" s="79"/>
      <c r="I960" s="79"/>
      <c r="J960" s="14"/>
      <c r="K960" s="38"/>
      <c r="L960" s="38"/>
      <c r="M960" s="17"/>
    </row>
    <row r="961" spans="2:13" ht="14.45" customHeight="1" x14ac:dyDescent="0.25">
      <c r="B961" s="17"/>
      <c r="C961" s="14"/>
      <c r="D961" s="14"/>
      <c r="E961" s="18"/>
      <c r="F961" s="61"/>
      <c r="G961" s="73"/>
      <c r="H961" s="79"/>
      <c r="I961" s="79"/>
      <c r="J961" s="14"/>
      <c r="K961" s="38"/>
      <c r="L961" s="38"/>
      <c r="M961" s="17"/>
    </row>
    <row r="962" spans="2:13" ht="14.45" customHeight="1" x14ac:dyDescent="0.25">
      <c r="B962" s="17"/>
      <c r="C962" s="14"/>
      <c r="D962" s="14"/>
      <c r="E962" s="18"/>
      <c r="F962" s="61"/>
      <c r="G962" s="73"/>
      <c r="H962" s="79"/>
      <c r="I962" s="79"/>
      <c r="J962" s="14"/>
      <c r="K962" s="38"/>
      <c r="L962" s="38"/>
      <c r="M962" s="17"/>
    </row>
    <row r="963" spans="2:13" ht="14.45" customHeight="1" x14ac:dyDescent="0.25">
      <c r="B963" s="17"/>
      <c r="C963" s="14"/>
      <c r="D963" s="14"/>
      <c r="E963" s="18"/>
      <c r="F963" s="61"/>
      <c r="G963" s="73"/>
      <c r="H963" s="79"/>
      <c r="I963" s="79"/>
      <c r="J963" s="14"/>
      <c r="K963" s="38"/>
      <c r="L963" s="38"/>
      <c r="M963" s="17"/>
    </row>
    <row r="964" spans="2:13" ht="14.45" customHeight="1" x14ac:dyDescent="0.25">
      <c r="B964" s="17"/>
      <c r="C964" s="14"/>
      <c r="D964" s="14"/>
      <c r="E964" s="18"/>
      <c r="F964" s="61"/>
      <c r="G964" s="73"/>
      <c r="H964" s="79"/>
      <c r="I964" s="79"/>
      <c r="J964" s="14"/>
      <c r="K964" s="38"/>
      <c r="L964" s="38"/>
      <c r="M964" s="17"/>
    </row>
    <row r="965" spans="2:13" ht="14.45" customHeight="1" x14ac:dyDescent="0.25">
      <c r="B965" s="17"/>
      <c r="C965" s="14"/>
      <c r="D965" s="14"/>
      <c r="E965" s="18"/>
      <c r="F965" s="61"/>
      <c r="G965" s="73"/>
      <c r="H965" s="79"/>
      <c r="I965" s="79"/>
      <c r="J965" s="14"/>
      <c r="K965" s="38"/>
      <c r="L965" s="38"/>
      <c r="M965" s="17"/>
    </row>
    <row r="966" spans="2:13" ht="14.45" customHeight="1" x14ac:dyDescent="0.25">
      <c r="B966" s="17"/>
      <c r="C966" s="14"/>
      <c r="D966" s="14"/>
      <c r="E966" s="18"/>
      <c r="F966" s="61"/>
      <c r="G966" s="73"/>
      <c r="H966" s="79"/>
      <c r="I966" s="79"/>
      <c r="J966" s="14"/>
      <c r="K966" s="38"/>
      <c r="L966" s="38"/>
      <c r="M966" s="17"/>
    </row>
    <row r="967" spans="2:13" ht="14.45" customHeight="1" x14ac:dyDescent="0.25">
      <c r="B967" s="17"/>
      <c r="C967" s="14"/>
      <c r="D967" s="14"/>
      <c r="E967" s="18"/>
      <c r="F967" s="61"/>
      <c r="G967" s="73"/>
      <c r="H967" s="79"/>
      <c r="I967" s="79"/>
      <c r="J967" s="14"/>
      <c r="K967" s="38"/>
      <c r="L967" s="38"/>
      <c r="M967" s="17"/>
    </row>
    <row r="968" spans="2:13" ht="14.45" customHeight="1" x14ac:dyDescent="0.25">
      <c r="B968" s="17"/>
      <c r="C968" s="14"/>
      <c r="D968" s="14"/>
      <c r="E968" s="18"/>
      <c r="F968" s="61"/>
      <c r="G968" s="73"/>
      <c r="H968" s="79"/>
      <c r="I968" s="79"/>
      <c r="J968" s="14"/>
      <c r="K968" s="38"/>
      <c r="L968" s="38"/>
      <c r="M968" s="17"/>
    </row>
    <row r="969" spans="2:13" ht="14.45" customHeight="1" x14ac:dyDescent="0.25">
      <c r="B969" s="17"/>
      <c r="C969" s="14"/>
      <c r="D969" s="14"/>
      <c r="E969" s="18"/>
      <c r="F969" s="61"/>
      <c r="G969" s="73"/>
      <c r="H969" s="79"/>
      <c r="I969" s="79"/>
      <c r="J969" s="14"/>
      <c r="K969" s="38"/>
      <c r="L969" s="38"/>
      <c r="M969" s="17"/>
    </row>
    <row r="970" spans="2:13" ht="14.45" customHeight="1" x14ac:dyDescent="0.25">
      <c r="B970" s="17"/>
      <c r="C970" s="14"/>
      <c r="D970" s="14"/>
      <c r="E970" s="18"/>
      <c r="F970" s="61"/>
      <c r="G970" s="73"/>
      <c r="H970" s="79"/>
      <c r="I970" s="79"/>
      <c r="J970" s="14"/>
      <c r="K970" s="38"/>
      <c r="L970" s="38"/>
      <c r="M970" s="17"/>
    </row>
    <row r="971" spans="2:13" ht="14.45" customHeight="1" x14ac:dyDescent="0.25">
      <c r="B971" s="17"/>
      <c r="C971" s="14"/>
      <c r="D971" s="14"/>
      <c r="E971" s="18"/>
      <c r="F971" s="61"/>
      <c r="G971" s="73"/>
      <c r="H971" s="79"/>
      <c r="I971" s="79"/>
      <c r="J971" s="14"/>
      <c r="K971" s="38"/>
      <c r="L971" s="38"/>
      <c r="M971" s="17"/>
    </row>
    <row r="972" spans="2:13" ht="14.45" customHeight="1" x14ac:dyDescent="0.25">
      <c r="B972" s="17"/>
      <c r="C972" s="14"/>
      <c r="D972" s="14"/>
      <c r="E972" s="18"/>
      <c r="F972" s="61"/>
      <c r="G972" s="73"/>
      <c r="H972" s="79"/>
      <c r="I972" s="79"/>
      <c r="J972" s="14"/>
      <c r="K972" s="38"/>
      <c r="L972" s="38"/>
      <c r="M972" s="17"/>
    </row>
    <row r="973" spans="2:13" ht="14.45" customHeight="1" x14ac:dyDescent="0.25">
      <c r="B973" s="17"/>
      <c r="C973" s="14"/>
      <c r="D973" s="14"/>
      <c r="E973" s="18"/>
      <c r="F973" s="61"/>
      <c r="G973" s="73"/>
      <c r="H973" s="79"/>
      <c r="I973" s="79"/>
      <c r="J973" s="14"/>
      <c r="K973" s="38"/>
      <c r="L973" s="38"/>
      <c r="M973" s="17"/>
    </row>
    <row r="974" spans="2:13" ht="14.45" customHeight="1" x14ac:dyDescent="0.25">
      <c r="B974" s="17"/>
      <c r="C974" s="14"/>
      <c r="D974" s="14"/>
      <c r="E974" s="18"/>
      <c r="F974" s="61"/>
      <c r="G974" s="73"/>
      <c r="H974" s="79"/>
      <c r="I974" s="79"/>
      <c r="J974" s="14"/>
      <c r="K974" s="38"/>
      <c r="L974" s="38"/>
      <c r="M974" s="17"/>
    </row>
    <row r="975" spans="2:13" ht="14.45" customHeight="1" x14ac:dyDescent="0.25">
      <c r="B975" s="17"/>
      <c r="C975" s="14"/>
      <c r="D975" s="14"/>
      <c r="E975" s="18"/>
      <c r="F975" s="61"/>
      <c r="G975" s="73"/>
      <c r="H975" s="79"/>
      <c r="I975" s="79"/>
      <c r="J975" s="14"/>
      <c r="K975" s="38"/>
      <c r="L975" s="38"/>
      <c r="M975" s="17"/>
    </row>
    <row r="976" spans="2:13" ht="14.45" customHeight="1" x14ac:dyDescent="0.25">
      <c r="B976" s="17"/>
      <c r="C976" s="14"/>
      <c r="D976" s="14"/>
      <c r="E976" s="18"/>
      <c r="F976" s="61"/>
      <c r="G976" s="73"/>
      <c r="H976" s="79"/>
      <c r="I976" s="79"/>
      <c r="J976" s="14"/>
      <c r="K976" s="38"/>
      <c r="L976" s="38"/>
      <c r="M976" s="17"/>
    </row>
    <row r="977" spans="2:13" ht="14.45" customHeight="1" x14ac:dyDescent="0.25">
      <c r="B977" s="17"/>
      <c r="C977" s="14"/>
      <c r="D977" s="14"/>
      <c r="E977" s="18"/>
      <c r="F977" s="61"/>
      <c r="G977" s="73"/>
      <c r="H977" s="79"/>
      <c r="I977" s="79"/>
      <c r="J977" s="14"/>
      <c r="K977" s="38"/>
      <c r="L977" s="38"/>
      <c r="M977" s="17"/>
    </row>
    <row r="978" spans="2:13" ht="14.45" customHeight="1" x14ac:dyDescent="0.25">
      <c r="B978" s="17"/>
      <c r="C978" s="14"/>
      <c r="D978" s="14"/>
      <c r="E978" s="18"/>
      <c r="F978" s="61"/>
      <c r="G978" s="73"/>
      <c r="H978" s="79"/>
      <c r="I978" s="79"/>
      <c r="J978" s="14"/>
      <c r="K978" s="38"/>
      <c r="L978" s="38"/>
      <c r="M978" s="17"/>
    </row>
    <row r="979" spans="2:13" ht="14.45" customHeight="1" x14ac:dyDescent="0.25">
      <c r="B979" s="17"/>
      <c r="C979" s="14"/>
      <c r="D979" s="14"/>
      <c r="E979" s="18"/>
      <c r="F979" s="61"/>
      <c r="G979" s="73"/>
      <c r="H979" s="79"/>
      <c r="I979" s="79"/>
      <c r="J979" s="14"/>
      <c r="K979" s="38"/>
      <c r="L979" s="38"/>
      <c r="M979" s="17"/>
    </row>
    <row r="980" spans="2:13" ht="14.45" customHeight="1" x14ac:dyDescent="0.25">
      <c r="B980" s="17"/>
      <c r="C980" s="14"/>
      <c r="D980" s="14"/>
      <c r="E980" s="18"/>
      <c r="F980" s="61"/>
      <c r="G980" s="73"/>
      <c r="H980" s="79"/>
      <c r="I980" s="79"/>
      <c r="J980" s="14"/>
      <c r="K980" s="38"/>
      <c r="L980" s="38"/>
      <c r="M980" s="17"/>
    </row>
    <row r="981" spans="2:13" ht="14.45" customHeight="1" x14ac:dyDescent="0.25">
      <c r="B981" s="17"/>
      <c r="C981" s="14"/>
      <c r="D981" s="14"/>
      <c r="E981" s="18"/>
      <c r="F981" s="61"/>
      <c r="G981" s="73"/>
      <c r="H981" s="79"/>
      <c r="I981" s="79"/>
      <c r="J981" s="14"/>
      <c r="K981" s="38"/>
      <c r="L981" s="38"/>
      <c r="M981" s="17"/>
    </row>
    <row r="982" spans="2:13" ht="14.45" customHeight="1" x14ac:dyDescent="0.25">
      <c r="B982" s="17"/>
      <c r="C982" s="14"/>
      <c r="D982" s="14"/>
      <c r="E982" s="18"/>
      <c r="F982" s="61"/>
      <c r="G982" s="73"/>
      <c r="H982" s="79"/>
      <c r="I982" s="79"/>
      <c r="J982" s="14"/>
      <c r="K982" s="38"/>
      <c r="L982" s="38"/>
      <c r="M982" s="17"/>
    </row>
    <row r="983" spans="2:13" ht="14.45" customHeight="1" x14ac:dyDescent="0.25">
      <c r="B983" s="17"/>
      <c r="C983" s="14"/>
      <c r="D983" s="14"/>
      <c r="E983" s="18"/>
      <c r="F983" s="61"/>
      <c r="G983" s="73"/>
      <c r="H983" s="79"/>
      <c r="I983" s="79"/>
      <c r="J983" s="14"/>
      <c r="K983" s="38"/>
      <c r="L983" s="38"/>
      <c r="M983" s="17"/>
    </row>
    <row r="984" spans="2:13" ht="14.45" customHeight="1" x14ac:dyDescent="0.25">
      <c r="B984" s="17"/>
      <c r="C984" s="14"/>
      <c r="D984" s="14"/>
      <c r="E984" s="18"/>
      <c r="F984" s="61"/>
      <c r="G984" s="73"/>
      <c r="H984" s="79"/>
      <c r="I984" s="79"/>
      <c r="J984" s="14"/>
      <c r="K984" s="38"/>
      <c r="L984" s="38"/>
      <c r="M984" s="17"/>
    </row>
    <row r="985" spans="2:13" ht="14.45" customHeight="1" x14ac:dyDescent="0.25">
      <c r="B985" s="17"/>
      <c r="C985" s="14"/>
      <c r="D985" s="14"/>
      <c r="E985" s="18"/>
      <c r="F985" s="61"/>
      <c r="G985" s="73"/>
      <c r="H985" s="79"/>
      <c r="I985" s="79"/>
      <c r="J985" s="14"/>
      <c r="K985" s="38"/>
      <c r="L985" s="38"/>
      <c r="M985" s="17"/>
    </row>
    <row r="986" spans="2:13" ht="14.45" customHeight="1" x14ac:dyDescent="0.25">
      <c r="B986" s="17"/>
      <c r="C986" s="14"/>
      <c r="D986" s="14"/>
      <c r="E986" s="18"/>
      <c r="F986" s="61"/>
      <c r="G986" s="73"/>
      <c r="H986" s="79"/>
      <c r="I986" s="79"/>
      <c r="J986" s="14"/>
      <c r="K986" s="38"/>
      <c r="L986" s="38"/>
      <c r="M986" s="17"/>
    </row>
    <row r="987" spans="2:13" ht="14.45" customHeight="1" x14ac:dyDescent="0.25">
      <c r="B987" s="17"/>
      <c r="C987" s="14"/>
      <c r="D987" s="14"/>
      <c r="E987" s="18"/>
      <c r="F987" s="61"/>
      <c r="G987" s="73"/>
      <c r="H987" s="79"/>
      <c r="I987" s="79"/>
      <c r="J987" s="14"/>
      <c r="K987" s="38"/>
      <c r="L987" s="38"/>
      <c r="M987" s="17"/>
    </row>
    <row r="988" spans="2:13" ht="14.45" customHeight="1" x14ac:dyDescent="0.25">
      <c r="B988" s="17"/>
      <c r="C988" s="14"/>
      <c r="D988" s="14"/>
      <c r="E988" s="18"/>
      <c r="F988" s="61"/>
      <c r="G988" s="73"/>
      <c r="H988" s="79"/>
      <c r="I988" s="79"/>
      <c r="J988" s="14"/>
      <c r="K988" s="38"/>
      <c r="L988" s="38"/>
      <c r="M988" s="17"/>
    </row>
    <row r="989" spans="2:13" ht="14.45" customHeight="1" x14ac:dyDescent="0.25">
      <c r="B989" s="17"/>
      <c r="C989" s="14"/>
      <c r="D989" s="14"/>
      <c r="E989" s="18"/>
      <c r="F989" s="61"/>
      <c r="G989" s="73"/>
      <c r="H989" s="79"/>
      <c r="I989" s="79"/>
      <c r="J989" s="14"/>
      <c r="K989" s="38"/>
      <c r="L989" s="38"/>
      <c r="M989" s="17"/>
    </row>
    <row r="990" spans="2:13" ht="14.45" customHeight="1" x14ac:dyDescent="0.25">
      <c r="B990" s="17"/>
      <c r="C990" s="14"/>
      <c r="D990" s="14"/>
      <c r="E990" s="18"/>
      <c r="F990" s="61"/>
      <c r="G990" s="73"/>
      <c r="H990" s="79"/>
      <c r="I990" s="79"/>
      <c r="J990" s="14"/>
      <c r="K990" s="38"/>
      <c r="L990" s="38"/>
      <c r="M990" s="17"/>
    </row>
    <row r="991" spans="2:13" ht="14.45" customHeight="1" x14ac:dyDescent="0.25">
      <c r="B991" s="17"/>
      <c r="C991" s="14"/>
      <c r="D991" s="14"/>
      <c r="E991" s="18"/>
      <c r="F991" s="61"/>
      <c r="G991" s="73"/>
      <c r="H991" s="79"/>
      <c r="I991" s="79"/>
      <c r="J991" s="14"/>
      <c r="K991" s="38"/>
      <c r="L991" s="38"/>
      <c r="M991" s="17"/>
    </row>
    <row r="992" spans="2:13" ht="14.45" customHeight="1" x14ac:dyDescent="0.25">
      <c r="B992" s="17"/>
      <c r="C992" s="14"/>
      <c r="D992" s="14"/>
      <c r="E992" s="18"/>
      <c r="F992" s="61"/>
      <c r="G992" s="73"/>
      <c r="H992" s="79"/>
      <c r="I992" s="79"/>
      <c r="J992" s="14"/>
      <c r="K992" s="38"/>
      <c r="L992" s="38"/>
      <c r="M992" s="17"/>
    </row>
    <row r="993" spans="2:13" ht="14.45" customHeight="1" x14ac:dyDescent="0.25">
      <c r="B993" s="17"/>
      <c r="C993" s="14"/>
      <c r="D993" s="14"/>
      <c r="E993" s="18"/>
      <c r="F993" s="61"/>
      <c r="G993" s="73"/>
      <c r="H993" s="79"/>
      <c r="I993" s="79"/>
      <c r="J993" s="14"/>
      <c r="K993" s="38"/>
      <c r="L993" s="38"/>
      <c r="M993" s="17"/>
    </row>
    <row r="994" spans="2:13" ht="14.45" customHeight="1" x14ac:dyDescent="0.25">
      <c r="B994" s="17"/>
      <c r="C994" s="14"/>
      <c r="D994" s="14"/>
      <c r="E994" s="18"/>
      <c r="F994" s="61"/>
      <c r="G994" s="73"/>
      <c r="H994" s="79"/>
      <c r="I994" s="79"/>
      <c r="J994" s="14"/>
      <c r="K994" s="38"/>
      <c r="L994" s="38"/>
      <c r="M994" s="17"/>
    </row>
    <row r="995" spans="2:13" ht="14.45" customHeight="1" x14ac:dyDescent="0.25">
      <c r="B995" s="17"/>
      <c r="C995" s="14"/>
      <c r="D995" s="14"/>
      <c r="E995" s="18"/>
      <c r="F995" s="61"/>
      <c r="G995" s="73"/>
      <c r="H995" s="79"/>
      <c r="I995" s="79"/>
      <c r="J995" s="14"/>
      <c r="K995" s="38"/>
      <c r="L995" s="38"/>
      <c r="M995" s="17"/>
    </row>
    <row r="996" spans="2:13" ht="14.45" customHeight="1" x14ac:dyDescent="0.25">
      <c r="B996" s="17"/>
      <c r="C996" s="14"/>
      <c r="D996" s="14"/>
      <c r="E996" s="18"/>
      <c r="F996" s="61"/>
      <c r="G996" s="73"/>
      <c r="H996" s="79"/>
      <c r="I996" s="79"/>
      <c r="J996" s="14"/>
      <c r="K996" s="38"/>
      <c r="L996" s="38"/>
      <c r="M996" s="17"/>
    </row>
    <row r="997" spans="2:13" ht="14.45" customHeight="1" x14ac:dyDescent="0.25">
      <c r="B997" s="17"/>
      <c r="C997" s="14"/>
      <c r="D997" s="14"/>
      <c r="E997" s="18"/>
      <c r="F997" s="61"/>
      <c r="G997" s="73"/>
      <c r="H997" s="79"/>
      <c r="I997" s="79"/>
      <c r="J997" s="14"/>
      <c r="K997" s="38"/>
      <c r="L997" s="38"/>
      <c r="M997" s="17"/>
    </row>
    <row r="998" spans="2:13" ht="14.45" customHeight="1" x14ac:dyDescent="0.25">
      <c r="B998" s="17"/>
      <c r="C998" s="14"/>
      <c r="D998" s="14"/>
      <c r="E998" s="18"/>
      <c r="F998" s="61"/>
      <c r="G998" s="73"/>
      <c r="H998" s="79"/>
      <c r="I998" s="79"/>
      <c r="J998" s="14"/>
      <c r="K998" s="38"/>
      <c r="L998" s="38"/>
      <c r="M998" s="17"/>
    </row>
    <row r="999" spans="2:13" ht="14.45" customHeight="1" x14ac:dyDescent="0.25">
      <c r="B999" s="17"/>
      <c r="C999" s="14"/>
      <c r="D999" s="14"/>
      <c r="E999" s="18"/>
      <c r="F999" s="61"/>
      <c r="G999" s="73"/>
      <c r="H999" s="79"/>
      <c r="I999" s="79"/>
      <c r="J999" s="14"/>
      <c r="K999" s="38"/>
      <c r="L999" s="38"/>
      <c r="M999" s="17"/>
    </row>
    <row r="1000" spans="2:13" ht="14.45" customHeight="1" x14ac:dyDescent="0.25">
      <c r="B1000" s="17"/>
      <c r="C1000" s="14"/>
      <c r="D1000" s="14"/>
      <c r="E1000" s="18"/>
      <c r="F1000" s="61"/>
      <c r="G1000" s="73"/>
      <c r="H1000" s="79"/>
      <c r="I1000" s="79"/>
      <c r="J1000" s="14"/>
      <c r="K1000" s="38"/>
      <c r="L1000" s="38"/>
      <c r="M1000" s="17"/>
    </row>
  </sheetData>
  <sheetProtection algorithmName="SHA-512" hashValue="bqxEAei4KT1mJmbMgTxenqf7ScrHKRl6wphm5WbPq3ZySLFGGFRpJAQyZKgFxkVA3w+gasvEuGI/vIinzKy64A==" saltValue="rU8W4C8C82s9u/mYafk+RQ==" spinCount="100000" sheet="1" objects="1" scenarios="1"/>
  <mergeCells count="2">
    <mergeCell ref="C10:F10"/>
    <mergeCell ref="H10:I10"/>
  </mergeCells>
  <conditionalFormatting sqref="M10 H10">
    <cfRule type="cellIs" dxfId="172" priority="2" operator="greaterThanOrEqual">
      <formula>6750</formula>
    </cfRule>
  </conditionalFormatting>
  <conditionalFormatting sqref="K13:K1000">
    <cfRule type="cellIs" dxfId="171" priority="1" operator="lessThan">
      <formula>0</formula>
    </cfRule>
  </conditionalFormatting>
  <dataValidations count="1">
    <dataValidation type="list" allowBlank="1" showInputMessage="1" showErrorMessage="1" sqref="H13:H1000" xr:uid="{FD19C8FB-992F-42A9-80BD-FC8472FCFBC8}">
      <formula1>"Ativa,Cancelada"</formula1>
    </dataValidation>
  </dataValidations>
  <printOptions horizontalCentered="1"/>
  <pageMargins left="0.19685039370078741" right="0.19685039370078741" top="0.39370078740157483" bottom="0.78740157480314965" header="0.31496062992125984" footer="0.31496062992125984"/>
  <pageSetup paperSize="9" scale="54" fitToHeight="50" orientation="portrait" r:id="rId1"/>
  <headerFooter>
    <oddHeader>&amp;L&amp;"Calibri"&amp;12&amp;K008000 Documento Público&amp;1#_x000D_</oddHeader>
    <oddFooter>Página &amp;P de &amp;N</oddFooter>
  </headerFooter>
  <rowBreaks count="1" manualBreakCount="1">
    <brk id="63" min="1" max="5" man="1"/>
  </rowBreaks>
  <drawing r:id="rId2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AFE991-8FD4-48C4-BB08-66B233005ACA}">
  <sheetPr codeName="Planilha9">
    <tabColor theme="8" tint="-0.499984740745262"/>
    <pageSetUpPr fitToPage="1"/>
  </sheetPr>
  <dimension ref="A1:Q1000"/>
  <sheetViews>
    <sheetView showGridLines="0" showRowColHeaders="0" zoomScaleNormal="100" workbookViewId="0">
      <pane ySplit="12" topLeftCell="A984" activePane="bottomLeft" state="frozen"/>
      <selection activeCell="D23" sqref="D23"/>
      <selection pane="bottomLeft" activeCell="H10" sqref="H10:I10"/>
    </sheetView>
  </sheetViews>
  <sheetFormatPr defaultColWidth="0" defaultRowHeight="14.45" customHeight="1" x14ac:dyDescent="0.25"/>
  <cols>
    <col min="1" max="1" width="1.7109375" customWidth="1"/>
    <col min="2" max="2" width="15.28515625" customWidth="1"/>
    <col min="3" max="3" width="35.85546875" customWidth="1"/>
    <col min="4" max="4" width="20.7109375" customWidth="1"/>
    <col min="5" max="5" width="42.28515625" customWidth="1"/>
    <col min="6" max="6" width="25.7109375" customWidth="1"/>
    <col min="7" max="7" width="12.28515625" bestFit="1" customWidth="1"/>
    <col min="8" max="8" width="12.28515625" customWidth="1"/>
    <col min="9" max="9" width="21.42578125" bestFit="1" customWidth="1"/>
    <col min="10" max="10" width="16.140625" customWidth="1"/>
    <col min="11" max="11" width="13" customWidth="1"/>
    <col min="12" max="12" width="11.28515625" customWidth="1"/>
    <col min="13" max="13" width="18.28515625" customWidth="1"/>
    <col min="14" max="14" width="5.7109375" customWidth="1"/>
    <col min="15" max="15" width="25" hidden="1" customWidth="1"/>
    <col min="16" max="16" width="6.7109375" hidden="1" customWidth="1"/>
    <col min="17" max="17" width="3.85546875" hidden="1" customWidth="1"/>
    <col min="18" max="16384" width="8.85546875" hidden="1"/>
  </cols>
  <sheetData>
    <row r="1" spans="2:13" ht="15" x14ac:dyDescent="0.25"/>
    <row r="2" spans="2:13" ht="15" x14ac:dyDescent="0.25"/>
    <row r="3" spans="2:13" ht="15" x14ac:dyDescent="0.25">
      <c r="J3" s="9" t="str">
        <f>IF(H10&gt;=6750,"ATENÇÃO: Você atingiu o limite de faturamento mensal de R$ 6.750,00",IF(H10&gt;=6000,"O limite de faturamento mensal de R$ 6.750,00 está quase sendo atingido.",""))</f>
        <v/>
      </c>
    </row>
    <row r="4" spans="2:13" ht="1.9" customHeight="1" x14ac:dyDescent="0.25"/>
    <row r="5" spans="2:13" s="1" customFormat="1" ht="4.9000000000000004" customHeight="1" x14ac:dyDescent="0.25"/>
    <row r="6" spans="2:13" ht="3" customHeight="1" x14ac:dyDescent="0.25"/>
    <row r="7" spans="2:13" s="1" customFormat="1" ht="4.9000000000000004" customHeight="1" x14ac:dyDescent="0.25"/>
    <row r="8" spans="2:13" ht="1.9" customHeight="1" x14ac:dyDescent="0.25"/>
    <row r="9" spans="2:13" ht="30" customHeight="1" x14ac:dyDescent="0.25"/>
    <row r="10" spans="2:13" ht="34.9" customHeight="1" x14ac:dyDescent="0.25">
      <c r="B10" s="4" t="s">
        <v>0</v>
      </c>
      <c r="C10" s="94" t="str">
        <f>Menu!G26</f>
        <v>Empresa ABCDE</v>
      </c>
      <c r="D10" s="95"/>
      <c r="E10" s="95"/>
      <c r="F10" s="95"/>
      <c r="G10" s="87"/>
      <c r="H10" s="93">
        <f>SUMIF(MAI[Status Nota Fiscal],"Ativa",MAI[Valor da Parcela a Receber])</f>
        <v>0</v>
      </c>
      <c r="I10" s="93"/>
      <c r="J10" s="85"/>
      <c r="M10" s="86"/>
    </row>
    <row r="11" spans="2:13" ht="4.9000000000000004" customHeight="1" x14ac:dyDescent="0.25"/>
    <row r="12" spans="2:13" ht="30" customHeight="1" x14ac:dyDescent="0.25">
      <c r="B12" s="5" t="s">
        <v>2</v>
      </c>
      <c r="C12" s="6" t="s">
        <v>3</v>
      </c>
      <c r="D12" s="6" t="s">
        <v>4</v>
      </c>
      <c r="E12" s="6" t="s">
        <v>5</v>
      </c>
      <c r="F12" s="7" t="s">
        <v>6</v>
      </c>
      <c r="G12" s="7" t="s">
        <v>7</v>
      </c>
      <c r="H12" s="7" t="s">
        <v>8</v>
      </c>
      <c r="I12" s="7" t="s">
        <v>9</v>
      </c>
      <c r="J12" s="7" t="s">
        <v>10</v>
      </c>
      <c r="K12" s="7" t="s">
        <v>11</v>
      </c>
      <c r="L12" s="7" t="s">
        <v>12</v>
      </c>
      <c r="M12" s="8" t="s">
        <v>13</v>
      </c>
    </row>
    <row r="13" spans="2:13" ht="14.45" customHeight="1" x14ac:dyDescent="0.25">
      <c r="B13" s="24"/>
      <c r="C13" s="25"/>
      <c r="D13" s="25"/>
      <c r="E13" s="25"/>
      <c r="F13" s="26"/>
      <c r="G13" s="62"/>
      <c r="H13" s="62"/>
      <c r="I13" s="62"/>
      <c r="J13" s="27"/>
      <c r="K13" s="28"/>
      <c r="L13" s="28"/>
      <c r="M13" s="29"/>
    </row>
    <row r="14" spans="2:13" ht="14.45" customHeight="1" x14ac:dyDescent="0.25">
      <c r="B14" s="30"/>
      <c r="C14" s="31"/>
      <c r="D14" s="31"/>
      <c r="E14" s="31"/>
      <c r="F14" s="32"/>
      <c r="G14" s="63"/>
      <c r="H14" s="63"/>
      <c r="I14" s="63"/>
      <c r="J14" s="33"/>
      <c r="K14" s="34"/>
      <c r="L14" s="34"/>
      <c r="M14" s="35"/>
    </row>
    <row r="15" spans="2:13" ht="14.45" customHeight="1" x14ac:dyDescent="0.25">
      <c r="B15" s="36"/>
      <c r="C15" s="14"/>
      <c r="D15" s="14"/>
      <c r="E15" s="18"/>
      <c r="F15" s="20"/>
      <c r="G15" s="64"/>
      <c r="H15" s="68"/>
      <c r="I15" s="68"/>
      <c r="J15" s="37"/>
      <c r="K15" s="38"/>
      <c r="L15" s="38"/>
      <c r="M15" s="36"/>
    </row>
    <row r="16" spans="2:13" ht="14.45" customHeight="1" x14ac:dyDescent="0.25">
      <c r="B16" s="17"/>
      <c r="C16" s="14"/>
      <c r="D16" s="14"/>
      <c r="E16" s="18"/>
      <c r="F16" s="20"/>
      <c r="G16" s="64"/>
      <c r="H16" s="68"/>
      <c r="I16" s="68"/>
      <c r="J16" s="15"/>
      <c r="K16" s="38"/>
      <c r="L16" s="38"/>
      <c r="M16" s="17"/>
    </row>
    <row r="17" spans="2:13" ht="14.45" customHeight="1" x14ac:dyDescent="0.25">
      <c r="B17" s="17"/>
      <c r="C17" s="14"/>
      <c r="D17" s="14"/>
      <c r="E17" s="18"/>
      <c r="F17" s="20"/>
      <c r="G17" s="64"/>
      <c r="H17" s="68"/>
      <c r="I17" s="68"/>
      <c r="J17" s="15"/>
      <c r="K17" s="38"/>
      <c r="L17" s="38"/>
      <c r="M17" s="17"/>
    </row>
    <row r="18" spans="2:13" ht="14.45" customHeight="1" x14ac:dyDescent="0.25">
      <c r="B18" s="17"/>
      <c r="C18" s="14"/>
      <c r="D18" s="14"/>
      <c r="E18" s="18"/>
      <c r="F18" s="20"/>
      <c r="G18" s="64"/>
      <c r="H18" s="68"/>
      <c r="I18" s="68"/>
      <c r="J18" s="15"/>
      <c r="K18" s="38"/>
      <c r="L18" s="38"/>
      <c r="M18" s="17"/>
    </row>
    <row r="19" spans="2:13" ht="14.45" customHeight="1" x14ac:dyDescent="0.25">
      <c r="B19" s="17"/>
      <c r="C19" s="14"/>
      <c r="D19" s="14"/>
      <c r="E19" s="18"/>
      <c r="F19" s="20"/>
      <c r="G19" s="64"/>
      <c r="H19" s="68"/>
      <c r="I19" s="68"/>
      <c r="J19" s="15"/>
      <c r="K19" s="38"/>
      <c r="L19" s="38"/>
      <c r="M19" s="17"/>
    </row>
    <row r="20" spans="2:13" ht="14.45" customHeight="1" x14ac:dyDescent="0.25">
      <c r="B20" s="17"/>
      <c r="C20" s="14"/>
      <c r="D20" s="14"/>
      <c r="E20" s="18"/>
      <c r="F20" s="20"/>
      <c r="G20" s="64"/>
      <c r="H20" s="68"/>
      <c r="I20" s="68"/>
      <c r="J20" s="15"/>
      <c r="K20" s="38"/>
      <c r="L20" s="38"/>
      <c r="M20" s="17"/>
    </row>
    <row r="21" spans="2:13" ht="14.45" customHeight="1" x14ac:dyDescent="0.25">
      <c r="B21" s="17"/>
      <c r="C21" s="14"/>
      <c r="D21" s="14"/>
      <c r="E21" s="18"/>
      <c r="F21" s="20"/>
      <c r="G21" s="64"/>
      <c r="H21" s="68"/>
      <c r="I21" s="68"/>
      <c r="J21" s="15"/>
      <c r="K21" s="38"/>
      <c r="L21" s="38"/>
      <c r="M21" s="17"/>
    </row>
    <row r="22" spans="2:13" ht="14.45" customHeight="1" x14ac:dyDescent="0.25">
      <c r="B22" s="17"/>
      <c r="C22" s="14"/>
      <c r="D22" s="14"/>
      <c r="E22" s="18"/>
      <c r="F22" s="20"/>
      <c r="G22" s="64"/>
      <c r="H22" s="68"/>
      <c r="I22" s="68"/>
      <c r="J22" s="15"/>
      <c r="K22" s="38"/>
      <c r="L22" s="38"/>
      <c r="M22" s="17"/>
    </row>
    <row r="23" spans="2:13" ht="14.45" customHeight="1" x14ac:dyDescent="0.25">
      <c r="B23" s="17"/>
      <c r="C23" s="14"/>
      <c r="D23" s="14"/>
      <c r="E23" s="18"/>
      <c r="F23" s="20"/>
      <c r="G23" s="64"/>
      <c r="H23" s="68"/>
      <c r="I23" s="68"/>
      <c r="J23" s="15"/>
      <c r="K23" s="38"/>
      <c r="L23" s="38"/>
      <c r="M23" s="17"/>
    </row>
    <row r="24" spans="2:13" ht="14.45" customHeight="1" x14ac:dyDescent="0.25">
      <c r="B24" s="17"/>
      <c r="C24" s="14"/>
      <c r="D24" s="14"/>
      <c r="E24" s="18"/>
      <c r="F24" s="20"/>
      <c r="G24" s="64"/>
      <c r="H24" s="68"/>
      <c r="I24" s="68"/>
      <c r="J24" s="15"/>
      <c r="K24" s="38"/>
      <c r="L24" s="38"/>
      <c r="M24" s="17"/>
    </row>
    <row r="25" spans="2:13" ht="14.45" customHeight="1" x14ac:dyDescent="0.25">
      <c r="B25" s="17"/>
      <c r="C25" s="14"/>
      <c r="D25" s="14"/>
      <c r="E25" s="18"/>
      <c r="F25" s="20"/>
      <c r="G25" s="64"/>
      <c r="H25" s="68"/>
      <c r="I25" s="68"/>
      <c r="J25" s="15"/>
      <c r="K25" s="38"/>
      <c r="L25" s="38"/>
      <c r="M25" s="17"/>
    </row>
    <row r="26" spans="2:13" ht="14.45" customHeight="1" x14ac:dyDescent="0.25">
      <c r="B26" s="17"/>
      <c r="C26" s="14"/>
      <c r="D26" s="14"/>
      <c r="E26" s="18"/>
      <c r="F26" s="20"/>
      <c r="G26" s="64"/>
      <c r="H26" s="68"/>
      <c r="I26" s="68"/>
      <c r="J26" s="15"/>
      <c r="K26" s="38"/>
      <c r="L26" s="38"/>
      <c r="M26" s="17"/>
    </row>
    <row r="27" spans="2:13" ht="14.45" customHeight="1" x14ac:dyDescent="0.25">
      <c r="B27" s="17"/>
      <c r="C27" s="14"/>
      <c r="D27" s="14"/>
      <c r="E27" s="18"/>
      <c r="F27" s="20"/>
      <c r="G27" s="64"/>
      <c r="H27" s="68"/>
      <c r="I27" s="68"/>
      <c r="J27" s="15"/>
      <c r="K27" s="38"/>
      <c r="L27" s="38"/>
      <c r="M27" s="17"/>
    </row>
    <row r="28" spans="2:13" ht="14.45" customHeight="1" x14ac:dyDescent="0.25">
      <c r="B28" s="17"/>
      <c r="C28" s="14"/>
      <c r="D28" s="14"/>
      <c r="E28" s="18"/>
      <c r="F28" s="20"/>
      <c r="G28" s="64"/>
      <c r="H28" s="68"/>
      <c r="I28" s="68"/>
      <c r="J28" s="15"/>
      <c r="K28" s="38"/>
      <c r="L28" s="38"/>
      <c r="M28" s="17"/>
    </row>
    <row r="29" spans="2:13" ht="14.45" customHeight="1" x14ac:dyDescent="0.25">
      <c r="B29" s="17"/>
      <c r="C29" s="14"/>
      <c r="D29" s="14"/>
      <c r="E29" s="18"/>
      <c r="F29" s="20"/>
      <c r="G29" s="64"/>
      <c r="H29" s="68"/>
      <c r="I29" s="68"/>
      <c r="J29" s="15"/>
      <c r="K29" s="38"/>
      <c r="L29" s="38"/>
      <c r="M29" s="17"/>
    </row>
    <row r="30" spans="2:13" ht="14.45" customHeight="1" x14ac:dyDescent="0.25">
      <c r="B30" s="17"/>
      <c r="C30" s="14"/>
      <c r="D30" s="14"/>
      <c r="E30" s="18"/>
      <c r="F30" s="20"/>
      <c r="G30" s="64"/>
      <c r="H30" s="68"/>
      <c r="I30" s="68"/>
      <c r="J30" s="15"/>
      <c r="K30" s="38"/>
      <c r="L30" s="38"/>
      <c r="M30" s="17"/>
    </row>
    <row r="31" spans="2:13" ht="14.45" customHeight="1" x14ac:dyDescent="0.25">
      <c r="B31" s="17"/>
      <c r="C31" s="14"/>
      <c r="D31" s="14"/>
      <c r="E31" s="18"/>
      <c r="F31" s="20"/>
      <c r="G31" s="64"/>
      <c r="H31" s="68"/>
      <c r="I31" s="68"/>
      <c r="J31" s="15"/>
      <c r="K31" s="38"/>
      <c r="L31" s="38"/>
      <c r="M31" s="17"/>
    </row>
    <row r="32" spans="2:13" ht="14.45" customHeight="1" x14ac:dyDescent="0.25">
      <c r="B32" s="17"/>
      <c r="C32" s="14"/>
      <c r="D32" s="14"/>
      <c r="E32" s="18"/>
      <c r="F32" s="20"/>
      <c r="G32" s="64"/>
      <c r="H32" s="68"/>
      <c r="I32" s="68"/>
      <c r="J32" s="15"/>
      <c r="K32" s="38"/>
      <c r="L32" s="38"/>
      <c r="M32" s="17"/>
    </row>
    <row r="33" spans="2:13" ht="14.45" customHeight="1" x14ac:dyDescent="0.25">
      <c r="B33" s="17"/>
      <c r="C33" s="14"/>
      <c r="D33" s="14"/>
      <c r="E33" s="18"/>
      <c r="F33" s="20"/>
      <c r="G33" s="64"/>
      <c r="H33" s="68"/>
      <c r="I33" s="68"/>
      <c r="J33" s="15"/>
      <c r="K33" s="38"/>
      <c r="L33" s="38"/>
      <c r="M33" s="17"/>
    </row>
    <row r="34" spans="2:13" ht="14.45" customHeight="1" x14ac:dyDescent="0.25">
      <c r="B34" s="17"/>
      <c r="C34" s="14"/>
      <c r="D34" s="14"/>
      <c r="E34" s="18"/>
      <c r="F34" s="20"/>
      <c r="G34" s="64"/>
      <c r="H34" s="68"/>
      <c r="I34" s="68"/>
      <c r="J34" s="15"/>
      <c r="K34" s="38"/>
      <c r="L34" s="38"/>
      <c r="M34" s="17"/>
    </row>
    <row r="35" spans="2:13" ht="14.45" customHeight="1" x14ac:dyDescent="0.25">
      <c r="B35" s="39"/>
      <c r="C35" s="40"/>
      <c r="D35" s="40"/>
      <c r="E35" s="41"/>
      <c r="F35" s="42"/>
      <c r="G35" s="65"/>
      <c r="H35" s="70"/>
      <c r="I35" s="70"/>
      <c r="J35" s="43"/>
      <c r="K35" s="38"/>
      <c r="L35" s="38"/>
      <c r="M35" s="17"/>
    </row>
    <row r="36" spans="2:13" ht="14.45" customHeight="1" x14ac:dyDescent="0.25">
      <c r="B36" s="17"/>
      <c r="C36" s="14"/>
      <c r="D36" s="14"/>
      <c r="E36" s="18"/>
      <c r="F36" s="20"/>
      <c r="G36" s="64"/>
      <c r="H36" s="68"/>
      <c r="I36" s="68"/>
      <c r="J36" s="14"/>
      <c r="K36" s="38"/>
      <c r="L36" s="38"/>
      <c r="M36" s="17"/>
    </row>
    <row r="37" spans="2:13" ht="14.45" customHeight="1" x14ac:dyDescent="0.25">
      <c r="B37" s="39"/>
      <c r="C37" s="40"/>
      <c r="D37" s="40"/>
      <c r="E37" s="41"/>
      <c r="F37" s="42"/>
      <c r="G37" s="65"/>
      <c r="H37" s="70"/>
      <c r="I37" s="70"/>
      <c r="J37" s="40"/>
      <c r="K37" s="38"/>
      <c r="L37" s="38"/>
      <c r="M37" s="17"/>
    </row>
    <row r="38" spans="2:13" ht="14.45" customHeight="1" x14ac:dyDescent="0.25">
      <c r="B38" s="44"/>
      <c r="C38" s="45"/>
      <c r="D38" s="45"/>
      <c r="E38" s="46"/>
      <c r="F38" s="47"/>
      <c r="G38" s="66"/>
      <c r="H38" s="77"/>
      <c r="I38" s="77"/>
      <c r="J38" s="45"/>
      <c r="K38" s="38"/>
      <c r="L38" s="38"/>
      <c r="M38" s="17"/>
    </row>
    <row r="39" spans="2:13" ht="14.45" customHeight="1" x14ac:dyDescent="0.25">
      <c r="B39" s="39"/>
      <c r="C39" s="48"/>
      <c r="D39" s="48"/>
      <c r="E39" s="49"/>
      <c r="F39" s="50"/>
      <c r="G39" s="67"/>
      <c r="H39" s="67"/>
      <c r="I39" s="67"/>
      <c r="J39" s="51"/>
      <c r="K39" s="38"/>
      <c r="L39" s="38"/>
      <c r="M39" s="17"/>
    </row>
    <row r="40" spans="2:13" ht="14.45" customHeight="1" x14ac:dyDescent="0.25">
      <c r="B40" s="17"/>
      <c r="C40" s="14"/>
      <c r="D40" s="14"/>
      <c r="E40" s="19"/>
      <c r="F40" s="21"/>
      <c r="G40" s="68"/>
      <c r="H40" s="68"/>
      <c r="I40" s="68"/>
      <c r="J40" s="52"/>
      <c r="K40" s="38"/>
      <c r="L40" s="38"/>
      <c r="M40" s="17"/>
    </row>
    <row r="41" spans="2:13" ht="14.45" customHeight="1" x14ac:dyDescent="0.25">
      <c r="B41" s="17"/>
      <c r="C41" s="14"/>
      <c r="D41" s="14"/>
      <c r="E41" s="19"/>
      <c r="F41" s="21"/>
      <c r="G41" s="68"/>
      <c r="H41" s="68"/>
      <c r="I41" s="68"/>
      <c r="J41" s="52"/>
      <c r="K41" s="38"/>
      <c r="L41" s="38"/>
      <c r="M41" s="17"/>
    </row>
    <row r="42" spans="2:13" ht="14.45" customHeight="1" x14ac:dyDescent="0.25">
      <c r="B42" s="17"/>
      <c r="C42" s="14"/>
      <c r="D42" s="14"/>
      <c r="E42" s="19"/>
      <c r="F42" s="21"/>
      <c r="G42" s="68"/>
      <c r="H42" s="68"/>
      <c r="I42" s="68"/>
      <c r="J42" s="52"/>
      <c r="K42" s="38"/>
      <c r="L42" s="38"/>
      <c r="M42" s="17"/>
    </row>
    <row r="43" spans="2:13" ht="14.45" customHeight="1" x14ac:dyDescent="0.25">
      <c r="B43" s="17"/>
      <c r="C43" s="14"/>
      <c r="D43" s="14"/>
      <c r="E43" s="19"/>
      <c r="F43" s="21"/>
      <c r="G43" s="68"/>
      <c r="H43" s="68"/>
      <c r="I43" s="68"/>
      <c r="J43" s="52"/>
      <c r="K43" s="38"/>
      <c r="L43" s="38"/>
      <c r="M43" s="17"/>
    </row>
    <row r="44" spans="2:13" ht="14.45" customHeight="1" x14ac:dyDescent="0.25">
      <c r="B44" s="17"/>
      <c r="C44" s="14"/>
      <c r="D44" s="14"/>
      <c r="E44" s="19"/>
      <c r="F44" s="21"/>
      <c r="G44" s="68"/>
      <c r="H44" s="68"/>
      <c r="I44" s="68"/>
      <c r="J44" s="52"/>
      <c r="K44" s="38"/>
      <c r="L44" s="38"/>
      <c r="M44" s="17"/>
    </row>
    <row r="45" spans="2:13" ht="14.45" customHeight="1" x14ac:dyDescent="0.25">
      <c r="B45" s="17"/>
      <c r="C45" s="14"/>
      <c r="D45" s="14"/>
      <c r="E45" s="19"/>
      <c r="F45" s="21"/>
      <c r="G45" s="68"/>
      <c r="H45" s="68"/>
      <c r="I45" s="68"/>
      <c r="J45" s="52"/>
      <c r="K45" s="38"/>
      <c r="L45" s="38"/>
      <c r="M45" s="17"/>
    </row>
    <row r="46" spans="2:13" ht="14.45" customHeight="1" x14ac:dyDescent="0.25">
      <c r="B46" s="17"/>
      <c r="C46" s="14"/>
      <c r="D46" s="14"/>
      <c r="E46" s="19"/>
      <c r="F46" s="21"/>
      <c r="G46" s="68"/>
      <c r="H46" s="68"/>
      <c r="I46" s="68"/>
      <c r="J46" s="52"/>
      <c r="K46" s="38"/>
      <c r="L46" s="38"/>
      <c r="M46" s="17"/>
    </row>
    <row r="47" spans="2:13" ht="14.45" customHeight="1" x14ac:dyDescent="0.25">
      <c r="B47" s="17"/>
      <c r="C47" s="14"/>
      <c r="D47" s="14"/>
      <c r="E47" s="19"/>
      <c r="F47" s="21"/>
      <c r="G47" s="68"/>
      <c r="H47" s="68"/>
      <c r="I47" s="68"/>
      <c r="J47" s="52"/>
      <c r="K47" s="38"/>
      <c r="L47" s="38"/>
      <c r="M47" s="17"/>
    </row>
    <row r="48" spans="2:13" ht="14.45" customHeight="1" x14ac:dyDescent="0.25">
      <c r="B48" s="17"/>
      <c r="C48" s="14"/>
      <c r="D48" s="14"/>
      <c r="E48" s="19"/>
      <c r="F48" s="21"/>
      <c r="G48" s="68"/>
      <c r="H48" s="68"/>
      <c r="I48" s="68"/>
      <c r="J48" s="52"/>
      <c r="K48" s="38"/>
      <c r="L48" s="38"/>
      <c r="M48" s="17"/>
    </row>
    <row r="49" spans="2:13" ht="14.45" customHeight="1" x14ac:dyDescent="0.25">
      <c r="B49" s="17"/>
      <c r="C49" s="14"/>
      <c r="D49" s="14"/>
      <c r="E49" s="19"/>
      <c r="F49" s="21"/>
      <c r="G49" s="68"/>
      <c r="H49" s="68"/>
      <c r="I49" s="68"/>
      <c r="J49" s="52"/>
      <c r="K49" s="38"/>
      <c r="L49" s="38"/>
      <c r="M49" s="17"/>
    </row>
    <row r="50" spans="2:13" ht="14.45" customHeight="1" x14ac:dyDescent="0.25">
      <c r="B50" s="53"/>
      <c r="C50" s="40"/>
      <c r="D50" s="40"/>
      <c r="E50" s="54"/>
      <c r="F50" s="55"/>
      <c r="G50" s="69"/>
      <c r="H50" s="78"/>
      <c r="I50" s="78"/>
      <c r="J50" s="56"/>
      <c r="K50" s="38"/>
      <c r="L50" s="38"/>
      <c r="M50" s="17"/>
    </row>
    <row r="51" spans="2:13" ht="14.45" customHeight="1" x14ac:dyDescent="0.25">
      <c r="B51" s="44"/>
      <c r="C51" s="45"/>
      <c r="D51" s="45"/>
      <c r="E51" s="46"/>
      <c r="F51" s="47"/>
      <c r="G51" s="66"/>
      <c r="H51" s="77"/>
      <c r="I51" s="77"/>
      <c r="J51" s="45"/>
      <c r="K51" s="38"/>
      <c r="L51" s="38"/>
      <c r="M51" s="17"/>
    </row>
    <row r="52" spans="2:13" ht="14.45" customHeight="1" x14ac:dyDescent="0.25">
      <c r="B52" s="39"/>
      <c r="C52" s="48"/>
      <c r="D52" s="48"/>
      <c r="E52" s="49"/>
      <c r="F52" s="50"/>
      <c r="G52" s="67"/>
      <c r="H52" s="67"/>
      <c r="I52" s="67"/>
      <c r="J52" s="51"/>
      <c r="K52" s="38"/>
      <c r="L52" s="38"/>
      <c r="M52" s="17"/>
    </row>
    <row r="53" spans="2:13" ht="14.45" customHeight="1" x14ac:dyDescent="0.25">
      <c r="B53" s="17"/>
      <c r="C53" s="14"/>
      <c r="D53" s="14"/>
      <c r="E53" s="19"/>
      <c r="F53" s="21"/>
      <c r="G53" s="68"/>
      <c r="H53" s="68"/>
      <c r="I53" s="68"/>
      <c r="J53" s="52"/>
      <c r="K53" s="38"/>
      <c r="L53" s="38"/>
      <c r="M53" s="17"/>
    </row>
    <row r="54" spans="2:13" ht="14.45" customHeight="1" x14ac:dyDescent="0.25">
      <c r="B54" s="17"/>
      <c r="C54" s="14"/>
      <c r="D54" s="14"/>
      <c r="E54" s="19"/>
      <c r="F54" s="21"/>
      <c r="G54" s="68"/>
      <c r="H54" s="68"/>
      <c r="I54" s="68"/>
      <c r="J54" s="52"/>
      <c r="K54" s="38"/>
      <c r="L54" s="38"/>
      <c r="M54" s="17"/>
    </row>
    <row r="55" spans="2:13" ht="14.45" customHeight="1" x14ac:dyDescent="0.25">
      <c r="B55" s="17"/>
      <c r="C55" s="14"/>
      <c r="D55" s="14"/>
      <c r="E55" s="19"/>
      <c r="F55" s="21"/>
      <c r="G55" s="68"/>
      <c r="H55" s="68"/>
      <c r="I55" s="68"/>
      <c r="J55" s="52"/>
      <c r="K55" s="38"/>
      <c r="L55" s="38"/>
      <c r="M55" s="17"/>
    </row>
    <row r="56" spans="2:13" ht="14.45" customHeight="1" x14ac:dyDescent="0.25">
      <c r="B56" s="17"/>
      <c r="C56" s="14"/>
      <c r="D56" s="14"/>
      <c r="E56" s="19"/>
      <c r="F56" s="21"/>
      <c r="G56" s="68"/>
      <c r="H56" s="68"/>
      <c r="I56" s="68"/>
      <c r="J56" s="52"/>
      <c r="K56" s="38"/>
      <c r="L56" s="38"/>
      <c r="M56" s="17"/>
    </row>
    <row r="57" spans="2:13" ht="14.45" customHeight="1" x14ac:dyDescent="0.25">
      <c r="B57" s="17"/>
      <c r="C57" s="14"/>
      <c r="D57" s="14"/>
      <c r="E57" s="19"/>
      <c r="F57" s="21"/>
      <c r="G57" s="68"/>
      <c r="H57" s="68"/>
      <c r="I57" s="68"/>
      <c r="J57" s="52"/>
      <c r="K57" s="38"/>
      <c r="L57" s="38"/>
      <c r="M57" s="17"/>
    </row>
    <row r="58" spans="2:13" ht="14.45" customHeight="1" x14ac:dyDescent="0.25">
      <c r="B58" s="17"/>
      <c r="C58" s="14"/>
      <c r="D58" s="14"/>
      <c r="E58" s="19"/>
      <c r="F58" s="21"/>
      <c r="G58" s="68"/>
      <c r="H58" s="68"/>
      <c r="I58" s="68"/>
      <c r="J58" s="52"/>
      <c r="K58" s="38"/>
      <c r="L58" s="38"/>
      <c r="M58" s="17"/>
    </row>
    <row r="59" spans="2:13" ht="14.45" customHeight="1" x14ac:dyDescent="0.25">
      <c r="B59" s="17"/>
      <c r="C59" s="14"/>
      <c r="D59" s="14"/>
      <c r="E59" s="19"/>
      <c r="F59" s="21"/>
      <c r="G59" s="68"/>
      <c r="H59" s="68"/>
      <c r="I59" s="68"/>
      <c r="J59" s="52"/>
      <c r="K59" s="38"/>
      <c r="L59" s="38"/>
      <c r="M59" s="17"/>
    </row>
    <row r="60" spans="2:13" ht="14.45" customHeight="1" x14ac:dyDescent="0.25">
      <c r="B60" s="17"/>
      <c r="C60" s="14"/>
      <c r="D60" s="14"/>
      <c r="E60" s="19"/>
      <c r="F60" s="21"/>
      <c r="G60" s="68"/>
      <c r="H60" s="68"/>
      <c r="I60" s="68"/>
      <c r="J60" s="52"/>
      <c r="K60" s="38"/>
      <c r="L60" s="38"/>
      <c r="M60" s="17"/>
    </row>
    <row r="61" spans="2:13" ht="14.45" customHeight="1" x14ac:dyDescent="0.25">
      <c r="B61" s="17"/>
      <c r="C61" s="14"/>
      <c r="D61" s="14"/>
      <c r="E61" s="19"/>
      <c r="F61" s="21"/>
      <c r="G61" s="68"/>
      <c r="H61" s="68"/>
      <c r="I61" s="68"/>
      <c r="J61" s="52"/>
      <c r="K61" s="38"/>
      <c r="L61" s="38"/>
      <c r="M61" s="17"/>
    </row>
    <row r="62" spans="2:13" ht="14.45" customHeight="1" x14ac:dyDescent="0.25">
      <c r="B62" s="17"/>
      <c r="C62" s="14"/>
      <c r="D62" s="14"/>
      <c r="E62" s="19"/>
      <c r="F62" s="21"/>
      <c r="G62" s="68"/>
      <c r="H62" s="68"/>
      <c r="I62" s="68"/>
      <c r="J62" s="52"/>
      <c r="K62" s="38"/>
      <c r="L62" s="38"/>
      <c r="M62" s="17"/>
    </row>
    <row r="63" spans="2:13" ht="14.45" customHeight="1" x14ac:dyDescent="0.25">
      <c r="B63" s="53"/>
      <c r="C63" s="40"/>
      <c r="D63" s="40"/>
      <c r="E63" s="54"/>
      <c r="F63" s="55"/>
      <c r="G63" s="69"/>
      <c r="H63" s="78"/>
      <c r="I63" s="78"/>
      <c r="J63" s="56"/>
      <c r="K63" s="38"/>
      <c r="L63" s="38"/>
      <c r="M63" s="17"/>
    </row>
    <row r="64" spans="2:13" ht="14.45" customHeight="1" x14ac:dyDescent="0.25">
      <c r="B64" s="44"/>
      <c r="C64" s="45"/>
      <c r="D64" s="45"/>
      <c r="E64" s="46"/>
      <c r="F64" s="47"/>
      <c r="G64" s="66"/>
      <c r="H64" s="77"/>
      <c r="I64" s="77"/>
      <c r="J64" s="45"/>
      <c r="K64" s="38"/>
      <c r="L64" s="38"/>
      <c r="M64" s="17"/>
    </row>
    <row r="65" spans="2:13" ht="14.45" customHeight="1" x14ac:dyDescent="0.25">
      <c r="B65" s="53"/>
      <c r="C65" s="40"/>
      <c r="D65" s="40"/>
      <c r="E65" s="41"/>
      <c r="F65" s="57"/>
      <c r="G65" s="70"/>
      <c r="H65" s="70"/>
      <c r="I65" s="70"/>
      <c r="J65" s="16"/>
      <c r="K65" s="38"/>
      <c r="L65" s="38"/>
      <c r="M65" s="17"/>
    </row>
    <row r="66" spans="2:13" ht="14.45" customHeight="1" x14ac:dyDescent="0.25">
      <c r="B66" s="44"/>
      <c r="C66" s="45"/>
      <c r="D66" s="45"/>
      <c r="E66" s="46"/>
      <c r="F66" s="47"/>
      <c r="G66" s="66"/>
      <c r="H66" s="77"/>
      <c r="I66" s="77"/>
      <c r="J66" s="45"/>
      <c r="K66" s="38"/>
      <c r="L66" s="38"/>
      <c r="M66" s="17"/>
    </row>
    <row r="67" spans="2:13" ht="14.45" customHeight="1" x14ac:dyDescent="0.25">
      <c r="B67" s="39"/>
      <c r="C67" s="48"/>
      <c r="D67" s="48"/>
      <c r="E67" s="49"/>
      <c r="F67" s="57"/>
      <c r="G67" s="70"/>
      <c r="H67" s="70"/>
      <c r="I67" s="70"/>
      <c r="J67" s="58"/>
      <c r="K67" s="38"/>
      <c r="L67" s="38"/>
      <c r="M67" s="17"/>
    </row>
    <row r="68" spans="2:13" ht="14.45" customHeight="1" x14ac:dyDescent="0.25">
      <c r="B68" s="44"/>
      <c r="C68" s="45"/>
      <c r="D68" s="45"/>
      <c r="E68" s="46"/>
      <c r="F68" s="47"/>
      <c r="G68" s="66"/>
      <c r="H68" s="77"/>
      <c r="I68" s="77"/>
      <c r="J68" s="45"/>
      <c r="K68" s="38"/>
      <c r="L68" s="38"/>
      <c r="M68" s="17"/>
    </row>
    <row r="69" spans="2:13" ht="14.45" customHeight="1" x14ac:dyDescent="0.25">
      <c r="B69" s="53"/>
      <c r="C69" s="40"/>
      <c r="D69" s="40"/>
      <c r="E69" s="41"/>
      <c r="F69" s="42"/>
      <c r="G69" s="65"/>
      <c r="H69" s="70"/>
      <c r="I69" s="70"/>
      <c r="J69" s="40"/>
      <c r="K69" s="38"/>
      <c r="L69" s="38"/>
      <c r="M69" s="17"/>
    </row>
    <row r="70" spans="2:13" ht="14.45" customHeight="1" x14ac:dyDescent="0.25">
      <c r="B70" s="53"/>
      <c r="C70" s="40"/>
      <c r="D70" s="40"/>
      <c r="E70" s="41"/>
      <c r="F70" s="42"/>
      <c r="G70" s="65"/>
      <c r="H70" s="70"/>
      <c r="I70" s="70"/>
      <c r="J70" s="59"/>
      <c r="K70" s="38"/>
      <c r="L70" s="38"/>
      <c r="M70" s="17"/>
    </row>
    <row r="71" spans="2:13" ht="14.45" customHeight="1" x14ac:dyDescent="0.25">
      <c r="B71" s="17"/>
      <c r="C71" s="14"/>
      <c r="D71" s="14"/>
      <c r="E71" s="18"/>
      <c r="F71" s="22"/>
      <c r="G71" s="71"/>
      <c r="H71" s="68"/>
      <c r="I71" s="68"/>
      <c r="J71" s="15"/>
      <c r="K71" s="38"/>
      <c r="L71" s="38"/>
      <c r="M71" s="17"/>
    </row>
    <row r="72" spans="2:13" ht="14.45" customHeight="1" x14ac:dyDescent="0.25">
      <c r="B72" s="17"/>
      <c r="C72" s="14"/>
      <c r="D72" s="14"/>
      <c r="E72" s="18"/>
      <c r="F72" s="22"/>
      <c r="G72" s="71"/>
      <c r="H72" s="68"/>
      <c r="I72" s="68"/>
      <c r="J72" s="15"/>
      <c r="K72" s="38"/>
      <c r="L72" s="38"/>
      <c r="M72" s="17"/>
    </row>
    <row r="73" spans="2:13" ht="14.45" customHeight="1" x14ac:dyDescent="0.25">
      <c r="B73" s="17"/>
      <c r="C73" s="14"/>
      <c r="D73" s="14"/>
      <c r="E73" s="18"/>
      <c r="F73" s="22"/>
      <c r="G73" s="71"/>
      <c r="H73" s="68"/>
      <c r="I73" s="68"/>
      <c r="J73" s="15"/>
      <c r="K73" s="38"/>
      <c r="L73" s="38"/>
      <c r="M73" s="17"/>
    </row>
    <row r="74" spans="2:13" ht="14.45" customHeight="1" x14ac:dyDescent="0.25">
      <c r="B74" s="17"/>
      <c r="C74" s="14"/>
      <c r="D74" s="14"/>
      <c r="E74" s="18"/>
      <c r="F74" s="22"/>
      <c r="G74" s="71"/>
      <c r="H74" s="68"/>
      <c r="I74" s="68"/>
      <c r="J74" s="15"/>
      <c r="K74" s="38"/>
      <c r="L74" s="38"/>
      <c r="M74" s="17"/>
    </row>
    <row r="75" spans="2:13" ht="14.45" customHeight="1" x14ac:dyDescent="0.25">
      <c r="B75" s="17"/>
      <c r="C75" s="14"/>
      <c r="D75" s="14"/>
      <c r="E75" s="18"/>
      <c r="F75" s="22"/>
      <c r="G75" s="71"/>
      <c r="H75" s="68"/>
      <c r="I75" s="68"/>
      <c r="J75" s="15"/>
      <c r="K75" s="38"/>
      <c r="L75" s="38"/>
      <c r="M75" s="17"/>
    </row>
    <row r="76" spans="2:13" ht="14.45" customHeight="1" x14ac:dyDescent="0.25">
      <c r="B76" s="17"/>
      <c r="C76" s="14"/>
      <c r="D76" s="14"/>
      <c r="E76" s="18"/>
      <c r="F76" s="22"/>
      <c r="G76" s="71"/>
      <c r="H76" s="68"/>
      <c r="I76" s="68"/>
      <c r="J76" s="15"/>
      <c r="K76" s="38"/>
      <c r="L76" s="38"/>
      <c r="M76" s="17"/>
    </row>
    <row r="77" spans="2:13" ht="14.45" customHeight="1" x14ac:dyDescent="0.25">
      <c r="B77" s="17"/>
      <c r="C77" s="14"/>
      <c r="D77" s="14"/>
      <c r="E77" s="18"/>
      <c r="F77" s="22"/>
      <c r="G77" s="71"/>
      <c r="H77" s="68"/>
      <c r="I77" s="68"/>
      <c r="J77" s="15"/>
      <c r="K77" s="38"/>
      <c r="L77" s="38"/>
      <c r="M77" s="17"/>
    </row>
    <row r="78" spans="2:13" ht="14.45" customHeight="1" x14ac:dyDescent="0.25">
      <c r="B78" s="17"/>
      <c r="C78" s="14"/>
      <c r="D78" s="14"/>
      <c r="E78" s="18"/>
      <c r="F78" s="22"/>
      <c r="G78" s="71"/>
      <c r="H78" s="68"/>
      <c r="I78" s="68"/>
      <c r="J78" s="15"/>
      <c r="K78" s="38"/>
      <c r="L78" s="38"/>
      <c r="M78" s="17"/>
    </row>
    <row r="79" spans="2:13" ht="14.45" customHeight="1" x14ac:dyDescent="0.25">
      <c r="B79" s="17"/>
      <c r="C79" s="14"/>
      <c r="D79" s="14"/>
      <c r="E79" s="18"/>
      <c r="F79" s="22"/>
      <c r="G79" s="71"/>
      <c r="H79" s="68"/>
      <c r="I79" s="68"/>
      <c r="J79" s="15"/>
      <c r="K79" s="38"/>
      <c r="L79" s="38"/>
      <c r="M79" s="17"/>
    </row>
    <row r="80" spans="2:13" ht="14.45" customHeight="1" x14ac:dyDescent="0.25">
      <c r="B80" s="17"/>
      <c r="C80" s="14"/>
      <c r="D80" s="14"/>
      <c r="E80" s="18"/>
      <c r="F80" s="22"/>
      <c r="G80" s="71"/>
      <c r="H80" s="68"/>
      <c r="I80" s="68"/>
      <c r="J80" s="15"/>
      <c r="K80" s="38"/>
      <c r="L80" s="38"/>
      <c r="M80" s="17"/>
    </row>
    <row r="81" spans="2:13" ht="14.45" customHeight="1" x14ac:dyDescent="0.25">
      <c r="B81" s="53"/>
      <c r="C81" s="40"/>
      <c r="D81" s="40"/>
      <c r="E81" s="41"/>
      <c r="F81" s="42"/>
      <c r="G81" s="65"/>
      <c r="H81" s="70"/>
      <c r="I81" s="70"/>
      <c r="J81" s="43"/>
      <c r="K81" s="38"/>
      <c r="L81" s="38"/>
      <c r="M81" s="17"/>
    </row>
    <row r="82" spans="2:13" ht="14.45" customHeight="1" x14ac:dyDescent="0.25">
      <c r="B82" s="53"/>
      <c r="C82" s="40"/>
      <c r="D82" s="40"/>
      <c r="E82" s="41"/>
      <c r="F82" s="42"/>
      <c r="G82" s="65"/>
      <c r="H82" s="70"/>
      <c r="I82" s="70"/>
      <c r="J82" s="43"/>
      <c r="K82" s="38"/>
      <c r="L82" s="38"/>
      <c r="M82" s="17"/>
    </row>
    <row r="83" spans="2:13" ht="14.45" customHeight="1" x14ac:dyDescent="0.25">
      <c r="B83" s="44"/>
      <c r="C83" s="45"/>
      <c r="D83" s="45"/>
      <c r="E83" s="46"/>
      <c r="F83" s="47"/>
      <c r="G83" s="66"/>
      <c r="H83" s="77"/>
      <c r="I83" s="77"/>
      <c r="J83" s="45"/>
      <c r="K83" s="38"/>
      <c r="L83" s="38"/>
      <c r="M83" s="17"/>
    </row>
    <row r="84" spans="2:13" ht="14.45" customHeight="1" x14ac:dyDescent="0.25">
      <c r="B84" s="39"/>
      <c r="C84" s="48"/>
      <c r="D84" s="48"/>
      <c r="E84" s="49"/>
      <c r="F84" s="60"/>
      <c r="G84" s="72"/>
      <c r="H84" s="67"/>
      <c r="I84" s="67"/>
      <c r="J84" s="43"/>
      <c r="K84" s="38"/>
      <c r="L84" s="38"/>
      <c r="M84" s="17"/>
    </row>
    <row r="85" spans="2:13" ht="14.45" customHeight="1" x14ac:dyDescent="0.25">
      <c r="B85" s="17"/>
      <c r="C85" s="14"/>
      <c r="D85" s="14"/>
      <c r="E85" s="18"/>
      <c r="F85" s="20"/>
      <c r="G85" s="64"/>
      <c r="H85" s="68"/>
      <c r="I85" s="68"/>
      <c r="J85" s="14"/>
      <c r="K85" s="38"/>
      <c r="L85" s="38"/>
      <c r="M85" s="17"/>
    </row>
    <row r="86" spans="2:13" ht="14.45" customHeight="1" x14ac:dyDescent="0.25">
      <c r="B86" s="39"/>
      <c r="C86" s="40"/>
      <c r="D86" s="40"/>
      <c r="E86" s="41"/>
      <c r="F86" s="42"/>
      <c r="G86" s="65"/>
      <c r="H86" s="70"/>
      <c r="I86" s="70"/>
      <c r="J86" s="40"/>
      <c r="K86" s="38"/>
      <c r="L86" s="38"/>
      <c r="M86" s="17"/>
    </row>
    <row r="87" spans="2:13" ht="14.45" customHeight="1" x14ac:dyDescent="0.25">
      <c r="B87" s="53"/>
      <c r="C87" s="40"/>
      <c r="D87" s="40"/>
      <c r="E87" s="41"/>
      <c r="F87" s="42"/>
      <c r="G87" s="65"/>
      <c r="H87" s="70"/>
      <c r="I87" s="70"/>
      <c r="J87" s="43"/>
      <c r="K87" s="38"/>
      <c r="L87" s="38"/>
      <c r="M87" s="17"/>
    </row>
    <row r="88" spans="2:13" ht="14.45" customHeight="1" x14ac:dyDescent="0.25">
      <c r="B88" s="17"/>
      <c r="C88" s="14"/>
      <c r="D88" s="14"/>
      <c r="E88" s="18"/>
      <c r="F88" s="61"/>
      <c r="G88" s="73"/>
      <c r="H88" s="79"/>
      <c r="I88" s="79"/>
      <c r="J88" s="14"/>
      <c r="K88" s="38"/>
      <c r="L88" s="38"/>
      <c r="M88" s="17"/>
    </row>
    <row r="89" spans="2:13" ht="14.45" customHeight="1" x14ac:dyDescent="0.25">
      <c r="B89" s="17"/>
      <c r="C89" s="14"/>
      <c r="D89" s="14"/>
      <c r="E89" s="18"/>
      <c r="F89" s="61"/>
      <c r="G89" s="73"/>
      <c r="H89" s="79"/>
      <c r="I89" s="79"/>
      <c r="J89" s="14"/>
      <c r="K89" s="38"/>
      <c r="L89" s="38"/>
      <c r="M89" s="17"/>
    </row>
    <row r="90" spans="2:13" ht="14.45" customHeight="1" x14ac:dyDescent="0.25">
      <c r="B90" s="17"/>
      <c r="C90" s="14"/>
      <c r="D90" s="14"/>
      <c r="E90" s="18"/>
      <c r="F90" s="61"/>
      <c r="G90" s="73"/>
      <c r="H90" s="79"/>
      <c r="I90" s="79"/>
      <c r="J90" s="14"/>
      <c r="K90" s="38"/>
      <c r="L90" s="38"/>
      <c r="M90" s="17"/>
    </row>
    <row r="91" spans="2:13" ht="14.45" customHeight="1" x14ac:dyDescent="0.25">
      <c r="B91" s="17"/>
      <c r="C91" s="14"/>
      <c r="D91" s="14"/>
      <c r="E91" s="18"/>
      <c r="F91" s="61"/>
      <c r="G91" s="73"/>
      <c r="H91" s="79"/>
      <c r="I91" s="79"/>
      <c r="J91" s="14"/>
      <c r="K91" s="38"/>
      <c r="L91" s="38"/>
      <c r="M91" s="17"/>
    </row>
    <row r="92" spans="2:13" ht="14.45" customHeight="1" x14ac:dyDescent="0.25">
      <c r="B92" s="17"/>
      <c r="C92" s="14"/>
      <c r="D92" s="14"/>
      <c r="E92" s="18"/>
      <c r="F92" s="61"/>
      <c r="G92" s="73"/>
      <c r="H92" s="79"/>
      <c r="I92" s="79"/>
      <c r="J92" s="14"/>
      <c r="K92" s="38"/>
      <c r="L92" s="38"/>
      <c r="M92" s="17"/>
    </row>
    <row r="93" spans="2:13" ht="14.45" customHeight="1" x14ac:dyDescent="0.25">
      <c r="B93" s="17"/>
      <c r="C93" s="14"/>
      <c r="D93" s="14"/>
      <c r="E93" s="18"/>
      <c r="F93" s="61"/>
      <c r="G93" s="73"/>
      <c r="H93" s="79"/>
      <c r="I93" s="79"/>
      <c r="J93" s="14"/>
      <c r="K93" s="38"/>
      <c r="L93" s="38"/>
      <c r="M93" s="17"/>
    </row>
    <row r="94" spans="2:13" ht="14.45" customHeight="1" x14ac:dyDescent="0.25">
      <c r="B94" s="17"/>
      <c r="C94" s="14"/>
      <c r="D94" s="14"/>
      <c r="E94" s="18"/>
      <c r="F94" s="61"/>
      <c r="G94" s="73"/>
      <c r="H94" s="79"/>
      <c r="I94" s="79"/>
      <c r="J94" s="14"/>
      <c r="K94" s="38"/>
      <c r="L94" s="38"/>
      <c r="M94" s="17"/>
    </row>
    <row r="95" spans="2:13" ht="14.45" customHeight="1" x14ac:dyDescent="0.25">
      <c r="B95" s="17"/>
      <c r="C95" s="14"/>
      <c r="D95" s="14"/>
      <c r="E95" s="18"/>
      <c r="F95" s="61"/>
      <c r="G95" s="73"/>
      <c r="H95" s="79"/>
      <c r="I95" s="79"/>
      <c r="J95" s="14"/>
      <c r="K95" s="38"/>
      <c r="L95" s="38"/>
      <c r="M95" s="17"/>
    </row>
    <row r="96" spans="2:13" ht="14.45" customHeight="1" x14ac:dyDescent="0.25">
      <c r="B96" s="17"/>
      <c r="C96" s="14"/>
      <c r="D96" s="14"/>
      <c r="E96" s="18"/>
      <c r="F96" s="61"/>
      <c r="G96" s="73"/>
      <c r="H96" s="79"/>
      <c r="I96" s="79"/>
      <c r="J96" s="14"/>
      <c r="K96" s="38"/>
      <c r="L96" s="38"/>
      <c r="M96" s="17"/>
    </row>
    <row r="97" spans="2:13" ht="14.45" customHeight="1" x14ac:dyDescent="0.25">
      <c r="B97" s="17"/>
      <c r="C97" s="14"/>
      <c r="D97" s="14"/>
      <c r="E97" s="18"/>
      <c r="F97" s="61"/>
      <c r="G97" s="73"/>
      <c r="H97" s="79"/>
      <c r="I97" s="79"/>
      <c r="J97" s="14"/>
      <c r="K97" s="38"/>
      <c r="L97" s="38"/>
      <c r="M97" s="17"/>
    </row>
    <row r="98" spans="2:13" ht="14.45" customHeight="1" x14ac:dyDescent="0.25">
      <c r="B98" s="17"/>
      <c r="C98" s="14"/>
      <c r="D98" s="14"/>
      <c r="E98" s="18"/>
      <c r="F98" s="61"/>
      <c r="G98" s="73"/>
      <c r="H98" s="79"/>
      <c r="I98" s="79"/>
      <c r="J98" s="14"/>
      <c r="K98" s="38"/>
      <c r="L98" s="38"/>
      <c r="M98" s="17"/>
    </row>
    <row r="99" spans="2:13" ht="14.45" customHeight="1" x14ac:dyDescent="0.25">
      <c r="B99" s="17"/>
      <c r="C99" s="14"/>
      <c r="D99" s="14"/>
      <c r="E99" s="18"/>
      <c r="F99" s="61"/>
      <c r="G99" s="73"/>
      <c r="H99" s="79"/>
      <c r="I99" s="79"/>
      <c r="J99" s="14"/>
      <c r="K99" s="38"/>
      <c r="L99" s="38"/>
      <c r="M99" s="17"/>
    </row>
    <row r="100" spans="2:13" ht="14.45" customHeight="1" x14ac:dyDescent="0.25">
      <c r="B100" s="17"/>
      <c r="C100" s="14"/>
      <c r="D100" s="14"/>
      <c r="E100" s="18"/>
      <c r="F100" s="61"/>
      <c r="G100" s="73"/>
      <c r="H100" s="79"/>
      <c r="I100" s="79"/>
      <c r="J100" s="14"/>
      <c r="K100" s="38"/>
      <c r="L100" s="38"/>
      <c r="M100" s="17"/>
    </row>
    <row r="101" spans="2:13" ht="14.45" customHeight="1" x14ac:dyDescent="0.25">
      <c r="B101" s="17"/>
      <c r="C101" s="14"/>
      <c r="D101" s="14"/>
      <c r="E101" s="18"/>
      <c r="F101" s="61"/>
      <c r="G101" s="73"/>
      <c r="H101" s="79"/>
      <c r="I101" s="79"/>
      <c r="J101" s="14"/>
      <c r="K101" s="38"/>
      <c r="L101" s="38"/>
      <c r="M101" s="17"/>
    </row>
    <row r="102" spans="2:13" ht="14.45" customHeight="1" x14ac:dyDescent="0.25">
      <c r="B102" s="17"/>
      <c r="C102" s="14"/>
      <c r="D102" s="14"/>
      <c r="E102" s="18"/>
      <c r="F102" s="61"/>
      <c r="G102" s="73"/>
      <c r="H102" s="79"/>
      <c r="I102" s="79"/>
      <c r="J102" s="14"/>
      <c r="K102" s="38"/>
      <c r="L102" s="38"/>
      <c r="M102" s="17"/>
    </row>
    <row r="103" spans="2:13" ht="14.45" customHeight="1" x14ac:dyDescent="0.25">
      <c r="B103" s="17"/>
      <c r="C103" s="14"/>
      <c r="D103" s="14"/>
      <c r="E103" s="18"/>
      <c r="F103" s="61"/>
      <c r="G103" s="73"/>
      <c r="H103" s="79"/>
      <c r="I103" s="79"/>
      <c r="J103" s="14"/>
      <c r="K103" s="38"/>
      <c r="L103" s="38"/>
      <c r="M103" s="17"/>
    </row>
    <row r="104" spans="2:13" ht="14.45" customHeight="1" x14ac:dyDescent="0.25">
      <c r="B104" s="17"/>
      <c r="C104" s="14"/>
      <c r="D104" s="14"/>
      <c r="E104" s="18"/>
      <c r="F104" s="61"/>
      <c r="G104" s="73"/>
      <c r="H104" s="79"/>
      <c r="I104" s="79"/>
      <c r="J104" s="14"/>
      <c r="K104" s="38"/>
      <c r="L104" s="38"/>
      <c r="M104" s="17"/>
    </row>
    <row r="105" spans="2:13" ht="14.45" customHeight="1" x14ac:dyDescent="0.25">
      <c r="B105" s="17"/>
      <c r="C105" s="14"/>
      <c r="D105" s="14"/>
      <c r="E105" s="18"/>
      <c r="F105" s="61"/>
      <c r="G105" s="73"/>
      <c r="H105" s="79"/>
      <c r="I105" s="79"/>
      <c r="J105" s="14"/>
      <c r="K105" s="38"/>
      <c r="L105" s="38"/>
      <c r="M105" s="17"/>
    </row>
    <row r="106" spans="2:13" ht="14.45" customHeight="1" x14ac:dyDescent="0.25">
      <c r="B106" s="17"/>
      <c r="C106" s="14"/>
      <c r="D106" s="14"/>
      <c r="E106" s="18"/>
      <c r="F106" s="61"/>
      <c r="G106" s="73"/>
      <c r="H106" s="79"/>
      <c r="I106" s="79"/>
      <c r="J106" s="14"/>
      <c r="K106" s="38"/>
      <c r="L106" s="38"/>
      <c r="M106" s="17"/>
    </row>
    <row r="107" spans="2:13" ht="14.45" customHeight="1" x14ac:dyDescent="0.25">
      <c r="B107" s="17"/>
      <c r="C107" s="14"/>
      <c r="D107" s="14"/>
      <c r="E107" s="18"/>
      <c r="F107" s="61"/>
      <c r="G107" s="73"/>
      <c r="H107" s="79"/>
      <c r="I107" s="79"/>
      <c r="J107" s="14"/>
      <c r="K107" s="38"/>
      <c r="L107" s="38"/>
      <c r="M107" s="17"/>
    </row>
    <row r="108" spans="2:13" ht="14.45" customHeight="1" x14ac:dyDescent="0.25">
      <c r="B108" s="17"/>
      <c r="C108" s="14"/>
      <c r="D108" s="14"/>
      <c r="E108" s="18"/>
      <c r="F108" s="61"/>
      <c r="G108" s="73"/>
      <c r="H108" s="79"/>
      <c r="I108" s="79"/>
      <c r="J108" s="14"/>
      <c r="K108" s="38"/>
      <c r="L108" s="38"/>
      <c r="M108" s="17"/>
    </row>
    <row r="109" spans="2:13" ht="14.45" customHeight="1" x14ac:dyDescent="0.25">
      <c r="B109" s="17"/>
      <c r="C109" s="14"/>
      <c r="D109" s="14"/>
      <c r="E109" s="18"/>
      <c r="F109" s="61"/>
      <c r="G109" s="73"/>
      <c r="H109" s="79"/>
      <c r="I109" s="79"/>
      <c r="J109" s="14"/>
      <c r="K109" s="38"/>
      <c r="L109" s="38"/>
      <c r="M109" s="17"/>
    </row>
    <row r="110" spans="2:13" ht="14.45" customHeight="1" x14ac:dyDescent="0.25">
      <c r="B110" s="17"/>
      <c r="C110" s="14"/>
      <c r="D110" s="14"/>
      <c r="E110" s="18"/>
      <c r="F110" s="61"/>
      <c r="G110" s="73"/>
      <c r="H110" s="79"/>
      <c r="I110" s="79"/>
      <c r="J110" s="14"/>
      <c r="K110" s="38"/>
      <c r="L110" s="38"/>
      <c r="M110" s="17"/>
    </row>
    <row r="111" spans="2:13" ht="14.45" customHeight="1" x14ac:dyDescent="0.25">
      <c r="B111" s="17"/>
      <c r="C111" s="14"/>
      <c r="D111" s="14"/>
      <c r="E111" s="18"/>
      <c r="F111" s="61"/>
      <c r="G111" s="73"/>
      <c r="H111" s="79"/>
      <c r="I111" s="79"/>
      <c r="J111" s="14"/>
      <c r="K111" s="38"/>
      <c r="L111" s="38"/>
      <c r="M111" s="17"/>
    </row>
    <row r="112" spans="2:13" ht="14.45" customHeight="1" x14ac:dyDescent="0.25">
      <c r="B112" s="17"/>
      <c r="C112" s="14"/>
      <c r="D112" s="14"/>
      <c r="E112" s="18"/>
      <c r="F112" s="61"/>
      <c r="G112" s="73"/>
      <c r="H112" s="79"/>
      <c r="I112" s="79"/>
      <c r="J112" s="14"/>
      <c r="K112" s="38"/>
      <c r="L112" s="38"/>
      <c r="M112" s="17"/>
    </row>
    <row r="113" spans="2:13" ht="14.45" customHeight="1" x14ac:dyDescent="0.25">
      <c r="B113" s="17"/>
      <c r="C113" s="14"/>
      <c r="D113" s="14"/>
      <c r="E113" s="18"/>
      <c r="F113" s="61"/>
      <c r="G113" s="73"/>
      <c r="H113" s="79"/>
      <c r="I113" s="79"/>
      <c r="J113" s="14"/>
      <c r="K113" s="38"/>
      <c r="L113" s="38"/>
      <c r="M113" s="17"/>
    </row>
    <row r="114" spans="2:13" ht="14.45" customHeight="1" x14ac:dyDescent="0.25">
      <c r="B114" s="17"/>
      <c r="C114" s="14"/>
      <c r="D114" s="14"/>
      <c r="E114" s="18"/>
      <c r="F114" s="61"/>
      <c r="G114" s="73"/>
      <c r="H114" s="79"/>
      <c r="I114" s="79"/>
      <c r="J114" s="14"/>
      <c r="K114" s="38"/>
      <c r="L114" s="38"/>
      <c r="M114" s="17"/>
    </row>
    <row r="115" spans="2:13" ht="14.45" customHeight="1" x14ac:dyDescent="0.25">
      <c r="B115" s="17"/>
      <c r="C115" s="14"/>
      <c r="D115" s="14"/>
      <c r="E115" s="18"/>
      <c r="F115" s="61"/>
      <c r="G115" s="73"/>
      <c r="H115" s="79"/>
      <c r="I115" s="79"/>
      <c r="J115" s="14"/>
      <c r="K115" s="38"/>
      <c r="L115" s="38"/>
      <c r="M115" s="17"/>
    </row>
    <row r="116" spans="2:13" ht="14.45" customHeight="1" x14ac:dyDescent="0.25">
      <c r="B116" s="17"/>
      <c r="C116" s="14"/>
      <c r="D116" s="14"/>
      <c r="E116" s="18"/>
      <c r="F116" s="61"/>
      <c r="G116" s="73"/>
      <c r="H116" s="79"/>
      <c r="I116" s="79"/>
      <c r="J116" s="14"/>
      <c r="K116" s="38"/>
      <c r="L116" s="38"/>
      <c r="M116" s="17"/>
    </row>
    <row r="117" spans="2:13" ht="14.45" customHeight="1" x14ac:dyDescent="0.25">
      <c r="B117" s="17"/>
      <c r="C117" s="14"/>
      <c r="D117" s="14"/>
      <c r="E117" s="18"/>
      <c r="F117" s="61"/>
      <c r="G117" s="73"/>
      <c r="H117" s="79"/>
      <c r="I117" s="79"/>
      <c r="J117" s="14"/>
      <c r="K117" s="38"/>
      <c r="L117" s="38"/>
      <c r="M117" s="17"/>
    </row>
    <row r="118" spans="2:13" ht="14.45" customHeight="1" x14ac:dyDescent="0.25">
      <c r="B118" s="17"/>
      <c r="C118" s="14"/>
      <c r="D118" s="14"/>
      <c r="E118" s="18"/>
      <c r="F118" s="61"/>
      <c r="G118" s="73"/>
      <c r="H118" s="79"/>
      <c r="I118" s="79"/>
      <c r="J118" s="14"/>
      <c r="K118" s="38"/>
      <c r="L118" s="38"/>
      <c r="M118" s="17"/>
    </row>
    <row r="119" spans="2:13" ht="14.45" customHeight="1" x14ac:dyDescent="0.25">
      <c r="B119" s="17"/>
      <c r="C119" s="14"/>
      <c r="D119" s="14"/>
      <c r="E119" s="18"/>
      <c r="F119" s="61"/>
      <c r="G119" s="73"/>
      <c r="H119" s="79"/>
      <c r="I119" s="79"/>
      <c r="J119" s="14"/>
      <c r="K119" s="38"/>
      <c r="L119" s="38"/>
      <c r="M119" s="17"/>
    </row>
    <row r="120" spans="2:13" ht="14.45" customHeight="1" x14ac:dyDescent="0.25">
      <c r="B120" s="17"/>
      <c r="C120" s="14"/>
      <c r="D120" s="14"/>
      <c r="E120" s="18"/>
      <c r="F120" s="61"/>
      <c r="G120" s="73"/>
      <c r="H120" s="79"/>
      <c r="I120" s="79"/>
      <c r="J120" s="14"/>
      <c r="K120" s="38"/>
      <c r="L120" s="38"/>
      <c r="M120" s="17"/>
    </row>
    <row r="121" spans="2:13" ht="14.45" customHeight="1" x14ac:dyDescent="0.25">
      <c r="B121" s="17"/>
      <c r="C121" s="14"/>
      <c r="D121" s="14"/>
      <c r="E121" s="18"/>
      <c r="F121" s="61"/>
      <c r="G121" s="73"/>
      <c r="H121" s="79"/>
      <c r="I121" s="79"/>
      <c r="J121" s="14"/>
      <c r="K121" s="38"/>
      <c r="L121" s="38"/>
      <c r="M121" s="17"/>
    </row>
    <row r="122" spans="2:13" ht="14.45" customHeight="1" x14ac:dyDescent="0.25">
      <c r="B122" s="17"/>
      <c r="C122" s="14"/>
      <c r="D122" s="14"/>
      <c r="E122" s="18"/>
      <c r="F122" s="61"/>
      <c r="G122" s="73"/>
      <c r="H122" s="79"/>
      <c r="I122" s="79"/>
      <c r="J122" s="14"/>
      <c r="K122" s="38"/>
      <c r="L122" s="38"/>
      <c r="M122" s="17"/>
    </row>
    <row r="123" spans="2:13" ht="14.45" customHeight="1" x14ac:dyDescent="0.25">
      <c r="B123" s="17"/>
      <c r="C123" s="14"/>
      <c r="D123" s="14"/>
      <c r="E123" s="18"/>
      <c r="F123" s="61"/>
      <c r="G123" s="73"/>
      <c r="H123" s="79"/>
      <c r="I123" s="79"/>
      <c r="J123" s="14"/>
      <c r="K123" s="38"/>
      <c r="L123" s="38"/>
      <c r="M123" s="17"/>
    </row>
    <row r="124" spans="2:13" ht="14.45" customHeight="1" x14ac:dyDescent="0.25">
      <c r="B124" s="17"/>
      <c r="C124" s="14"/>
      <c r="D124" s="14"/>
      <c r="E124" s="18"/>
      <c r="F124" s="61"/>
      <c r="G124" s="73"/>
      <c r="H124" s="79"/>
      <c r="I124" s="79"/>
      <c r="J124" s="14"/>
      <c r="K124" s="38"/>
      <c r="L124" s="38"/>
      <c r="M124" s="17"/>
    </row>
    <row r="125" spans="2:13" ht="14.45" customHeight="1" x14ac:dyDescent="0.25">
      <c r="B125" s="17"/>
      <c r="C125" s="14"/>
      <c r="D125" s="14"/>
      <c r="E125" s="18"/>
      <c r="F125" s="61"/>
      <c r="G125" s="73"/>
      <c r="H125" s="79"/>
      <c r="I125" s="79"/>
      <c r="J125" s="14"/>
      <c r="K125" s="38"/>
      <c r="L125" s="38"/>
      <c r="M125" s="17"/>
    </row>
    <row r="126" spans="2:13" ht="14.45" customHeight="1" x14ac:dyDescent="0.25">
      <c r="B126" s="17"/>
      <c r="C126" s="14"/>
      <c r="D126" s="14"/>
      <c r="E126" s="18"/>
      <c r="F126" s="61"/>
      <c r="G126" s="73"/>
      <c r="H126" s="79"/>
      <c r="I126" s="79"/>
      <c r="J126" s="14"/>
      <c r="K126" s="38"/>
      <c r="L126" s="38"/>
      <c r="M126" s="17"/>
    </row>
    <row r="127" spans="2:13" ht="14.45" customHeight="1" x14ac:dyDescent="0.25">
      <c r="B127" s="17"/>
      <c r="C127" s="14"/>
      <c r="D127" s="14"/>
      <c r="E127" s="18"/>
      <c r="F127" s="61"/>
      <c r="G127" s="73"/>
      <c r="H127" s="79"/>
      <c r="I127" s="79"/>
      <c r="J127" s="14"/>
      <c r="K127" s="38"/>
      <c r="L127" s="38"/>
      <c r="M127" s="17"/>
    </row>
    <row r="128" spans="2:13" ht="14.45" customHeight="1" x14ac:dyDescent="0.25">
      <c r="B128" s="17"/>
      <c r="C128" s="14"/>
      <c r="D128" s="14"/>
      <c r="E128" s="18"/>
      <c r="F128" s="61"/>
      <c r="G128" s="73"/>
      <c r="H128" s="79"/>
      <c r="I128" s="79"/>
      <c r="J128" s="14"/>
      <c r="K128" s="38"/>
      <c r="L128" s="38"/>
      <c r="M128" s="17"/>
    </row>
    <row r="129" spans="2:13" ht="14.45" customHeight="1" x14ac:dyDescent="0.25">
      <c r="B129" s="17"/>
      <c r="C129" s="14"/>
      <c r="D129" s="14"/>
      <c r="E129" s="18"/>
      <c r="F129" s="61"/>
      <c r="G129" s="73"/>
      <c r="H129" s="79"/>
      <c r="I129" s="79"/>
      <c r="J129" s="14"/>
      <c r="K129" s="38"/>
      <c r="L129" s="38"/>
      <c r="M129" s="17"/>
    </row>
    <row r="130" spans="2:13" ht="14.45" customHeight="1" x14ac:dyDescent="0.25">
      <c r="B130" s="17"/>
      <c r="C130" s="14"/>
      <c r="D130" s="14"/>
      <c r="E130" s="18"/>
      <c r="F130" s="61"/>
      <c r="G130" s="73"/>
      <c r="H130" s="79"/>
      <c r="I130" s="79"/>
      <c r="J130" s="14"/>
      <c r="K130" s="38"/>
      <c r="L130" s="38"/>
      <c r="M130" s="17"/>
    </row>
    <row r="131" spans="2:13" ht="14.45" customHeight="1" x14ac:dyDescent="0.25">
      <c r="B131" s="17"/>
      <c r="C131" s="14"/>
      <c r="D131" s="14"/>
      <c r="E131" s="18"/>
      <c r="F131" s="61"/>
      <c r="G131" s="73"/>
      <c r="H131" s="79"/>
      <c r="I131" s="79"/>
      <c r="J131" s="14"/>
      <c r="K131" s="38"/>
      <c r="L131" s="38"/>
      <c r="M131" s="17"/>
    </row>
    <row r="132" spans="2:13" ht="14.45" customHeight="1" x14ac:dyDescent="0.25">
      <c r="B132" s="17"/>
      <c r="C132" s="14"/>
      <c r="D132" s="14"/>
      <c r="E132" s="18"/>
      <c r="F132" s="61"/>
      <c r="G132" s="73"/>
      <c r="H132" s="79"/>
      <c r="I132" s="79"/>
      <c r="J132" s="14"/>
      <c r="K132" s="38"/>
      <c r="L132" s="38"/>
      <c r="M132" s="17"/>
    </row>
    <row r="133" spans="2:13" ht="14.45" customHeight="1" x14ac:dyDescent="0.25">
      <c r="B133" s="17"/>
      <c r="C133" s="14"/>
      <c r="D133" s="14"/>
      <c r="E133" s="18"/>
      <c r="F133" s="61"/>
      <c r="G133" s="73"/>
      <c r="H133" s="79"/>
      <c r="I133" s="79"/>
      <c r="J133" s="14"/>
      <c r="K133" s="38"/>
      <c r="L133" s="38"/>
      <c r="M133" s="17"/>
    </row>
    <row r="134" spans="2:13" ht="14.45" customHeight="1" x14ac:dyDescent="0.25">
      <c r="B134" s="17"/>
      <c r="C134" s="14"/>
      <c r="D134" s="14"/>
      <c r="E134" s="18"/>
      <c r="F134" s="61"/>
      <c r="G134" s="73"/>
      <c r="H134" s="79"/>
      <c r="I134" s="79"/>
      <c r="J134" s="14"/>
      <c r="K134" s="38"/>
      <c r="L134" s="38"/>
      <c r="M134" s="17"/>
    </row>
    <row r="135" spans="2:13" ht="14.45" customHeight="1" x14ac:dyDescent="0.25">
      <c r="B135" s="17"/>
      <c r="C135" s="14"/>
      <c r="D135" s="14"/>
      <c r="E135" s="18"/>
      <c r="F135" s="61"/>
      <c r="G135" s="73"/>
      <c r="H135" s="79"/>
      <c r="I135" s="79"/>
      <c r="J135" s="14"/>
      <c r="K135" s="38"/>
      <c r="L135" s="38"/>
      <c r="M135" s="17"/>
    </row>
    <row r="136" spans="2:13" ht="14.45" customHeight="1" x14ac:dyDescent="0.25">
      <c r="B136" s="17"/>
      <c r="C136" s="14"/>
      <c r="D136" s="14"/>
      <c r="E136" s="18"/>
      <c r="F136" s="61"/>
      <c r="G136" s="73"/>
      <c r="H136" s="79"/>
      <c r="I136" s="79"/>
      <c r="J136" s="14"/>
      <c r="K136" s="38"/>
      <c r="L136" s="38"/>
      <c r="M136" s="17"/>
    </row>
    <row r="137" spans="2:13" ht="14.45" customHeight="1" x14ac:dyDescent="0.25">
      <c r="B137" s="17"/>
      <c r="C137" s="14"/>
      <c r="D137" s="14"/>
      <c r="E137" s="18"/>
      <c r="F137" s="61"/>
      <c r="G137" s="73"/>
      <c r="H137" s="79"/>
      <c r="I137" s="79"/>
      <c r="J137" s="14"/>
      <c r="K137" s="38"/>
      <c r="L137" s="38"/>
      <c r="M137" s="17"/>
    </row>
    <row r="138" spans="2:13" ht="14.45" customHeight="1" x14ac:dyDescent="0.25">
      <c r="B138" s="17"/>
      <c r="C138" s="14"/>
      <c r="D138" s="14"/>
      <c r="E138" s="18"/>
      <c r="F138" s="61"/>
      <c r="G138" s="73"/>
      <c r="H138" s="79"/>
      <c r="I138" s="79"/>
      <c r="J138" s="14"/>
      <c r="K138" s="38"/>
      <c r="L138" s="38"/>
      <c r="M138" s="17"/>
    </row>
    <row r="139" spans="2:13" ht="14.45" customHeight="1" x14ac:dyDescent="0.25">
      <c r="B139" s="17"/>
      <c r="C139" s="14"/>
      <c r="D139" s="14"/>
      <c r="E139" s="18"/>
      <c r="F139" s="61"/>
      <c r="G139" s="73"/>
      <c r="H139" s="79"/>
      <c r="I139" s="79"/>
      <c r="J139" s="14"/>
      <c r="K139" s="38"/>
      <c r="L139" s="38"/>
      <c r="M139" s="17"/>
    </row>
    <row r="140" spans="2:13" ht="14.45" customHeight="1" x14ac:dyDescent="0.25">
      <c r="B140" s="17"/>
      <c r="C140" s="14"/>
      <c r="D140" s="14"/>
      <c r="E140" s="18"/>
      <c r="F140" s="61"/>
      <c r="G140" s="73"/>
      <c r="H140" s="79"/>
      <c r="I140" s="79"/>
      <c r="J140" s="14"/>
      <c r="K140" s="38"/>
      <c r="L140" s="38"/>
      <c r="M140" s="17"/>
    </row>
    <row r="141" spans="2:13" ht="14.45" customHeight="1" x14ac:dyDescent="0.25">
      <c r="B141" s="17"/>
      <c r="C141" s="14"/>
      <c r="D141" s="14"/>
      <c r="E141" s="18"/>
      <c r="F141" s="61"/>
      <c r="G141" s="73"/>
      <c r="H141" s="79"/>
      <c r="I141" s="79"/>
      <c r="J141" s="14"/>
      <c r="K141" s="38"/>
      <c r="L141" s="38"/>
      <c r="M141" s="17"/>
    </row>
    <row r="142" spans="2:13" ht="14.45" customHeight="1" x14ac:dyDescent="0.25">
      <c r="B142" s="17"/>
      <c r="C142" s="14"/>
      <c r="D142" s="14"/>
      <c r="E142" s="18"/>
      <c r="F142" s="61"/>
      <c r="G142" s="73"/>
      <c r="H142" s="79"/>
      <c r="I142" s="79"/>
      <c r="J142" s="14"/>
      <c r="K142" s="38"/>
      <c r="L142" s="38"/>
      <c r="M142" s="17"/>
    </row>
    <row r="143" spans="2:13" ht="14.45" customHeight="1" x14ac:dyDescent="0.25">
      <c r="B143" s="17"/>
      <c r="C143" s="14"/>
      <c r="D143" s="14"/>
      <c r="E143" s="18"/>
      <c r="F143" s="61"/>
      <c r="G143" s="73"/>
      <c r="H143" s="79"/>
      <c r="I143" s="79"/>
      <c r="J143" s="14"/>
      <c r="K143" s="38"/>
      <c r="L143" s="38"/>
      <c r="M143" s="17"/>
    </row>
    <row r="144" spans="2:13" ht="14.45" customHeight="1" x14ac:dyDescent="0.25">
      <c r="B144" s="17"/>
      <c r="C144" s="14"/>
      <c r="D144" s="14"/>
      <c r="E144" s="18"/>
      <c r="F144" s="61"/>
      <c r="G144" s="73"/>
      <c r="H144" s="79"/>
      <c r="I144" s="79"/>
      <c r="J144" s="14"/>
      <c r="K144" s="38"/>
      <c r="L144" s="38"/>
      <c r="M144" s="17"/>
    </row>
    <row r="145" spans="2:13" ht="14.45" customHeight="1" x14ac:dyDescent="0.25">
      <c r="B145" s="17"/>
      <c r="C145" s="14"/>
      <c r="D145" s="14"/>
      <c r="E145" s="18"/>
      <c r="F145" s="61"/>
      <c r="G145" s="73"/>
      <c r="H145" s="79"/>
      <c r="I145" s="79"/>
      <c r="J145" s="14"/>
      <c r="K145" s="38"/>
      <c r="L145" s="38"/>
      <c r="M145" s="17"/>
    </row>
    <row r="146" spans="2:13" ht="14.45" customHeight="1" x14ac:dyDescent="0.25">
      <c r="B146" s="17"/>
      <c r="C146" s="14"/>
      <c r="D146" s="14"/>
      <c r="E146" s="18"/>
      <c r="F146" s="61"/>
      <c r="G146" s="73"/>
      <c r="H146" s="79"/>
      <c r="I146" s="79"/>
      <c r="J146" s="14"/>
      <c r="K146" s="38"/>
      <c r="L146" s="38"/>
      <c r="M146" s="17"/>
    </row>
    <row r="147" spans="2:13" ht="14.45" customHeight="1" x14ac:dyDescent="0.25">
      <c r="B147" s="17"/>
      <c r="C147" s="14"/>
      <c r="D147" s="14"/>
      <c r="E147" s="18"/>
      <c r="F147" s="61"/>
      <c r="G147" s="73"/>
      <c r="H147" s="79"/>
      <c r="I147" s="79"/>
      <c r="J147" s="14"/>
      <c r="K147" s="38"/>
      <c r="L147" s="38"/>
      <c r="M147" s="17"/>
    </row>
    <row r="148" spans="2:13" ht="14.45" customHeight="1" x14ac:dyDescent="0.25">
      <c r="B148" s="17"/>
      <c r="C148" s="14"/>
      <c r="D148" s="14"/>
      <c r="E148" s="18"/>
      <c r="F148" s="61"/>
      <c r="G148" s="73"/>
      <c r="H148" s="79"/>
      <c r="I148" s="79"/>
      <c r="J148" s="14"/>
      <c r="K148" s="38"/>
      <c r="L148" s="38"/>
      <c r="M148" s="17"/>
    </row>
    <row r="149" spans="2:13" ht="14.45" customHeight="1" x14ac:dyDescent="0.25">
      <c r="B149" s="17"/>
      <c r="C149" s="14"/>
      <c r="D149" s="14"/>
      <c r="E149" s="18"/>
      <c r="F149" s="61"/>
      <c r="G149" s="73"/>
      <c r="H149" s="79"/>
      <c r="I149" s="79"/>
      <c r="J149" s="14"/>
      <c r="K149" s="38"/>
      <c r="L149" s="38"/>
      <c r="M149" s="17"/>
    </row>
    <row r="150" spans="2:13" ht="14.45" customHeight="1" x14ac:dyDescent="0.25">
      <c r="B150" s="17"/>
      <c r="C150" s="14"/>
      <c r="D150" s="14"/>
      <c r="E150" s="18"/>
      <c r="F150" s="61"/>
      <c r="G150" s="73"/>
      <c r="H150" s="79"/>
      <c r="I150" s="79"/>
      <c r="J150" s="14"/>
      <c r="K150" s="38"/>
      <c r="L150" s="38"/>
      <c r="M150" s="17"/>
    </row>
    <row r="151" spans="2:13" ht="14.45" customHeight="1" x14ac:dyDescent="0.25">
      <c r="B151" s="17"/>
      <c r="C151" s="14"/>
      <c r="D151" s="14"/>
      <c r="E151" s="18"/>
      <c r="F151" s="61"/>
      <c r="G151" s="73"/>
      <c r="H151" s="79"/>
      <c r="I151" s="79"/>
      <c r="J151" s="14"/>
      <c r="K151" s="38"/>
      <c r="L151" s="38"/>
      <c r="M151" s="17"/>
    </row>
    <row r="152" spans="2:13" ht="14.45" customHeight="1" x14ac:dyDescent="0.25">
      <c r="B152" s="17"/>
      <c r="C152" s="14"/>
      <c r="D152" s="14"/>
      <c r="E152" s="18"/>
      <c r="F152" s="61"/>
      <c r="G152" s="73"/>
      <c r="H152" s="79"/>
      <c r="I152" s="79"/>
      <c r="J152" s="14"/>
      <c r="K152" s="38"/>
      <c r="L152" s="38"/>
      <c r="M152" s="17"/>
    </row>
    <row r="153" spans="2:13" ht="14.45" customHeight="1" x14ac:dyDescent="0.25">
      <c r="B153" s="17"/>
      <c r="C153" s="14"/>
      <c r="D153" s="14"/>
      <c r="E153" s="18"/>
      <c r="F153" s="61"/>
      <c r="G153" s="73"/>
      <c r="H153" s="79"/>
      <c r="I153" s="79"/>
      <c r="J153" s="14"/>
      <c r="K153" s="38"/>
      <c r="L153" s="38"/>
      <c r="M153" s="17"/>
    </row>
    <row r="154" spans="2:13" ht="14.45" customHeight="1" x14ac:dyDescent="0.25">
      <c r="B154" s="17"/>
      <c r="C154" s="14"/>
      <c r="D154" s="14"/>
      <c r="E154" s="18"/>
      <c r="F154" s="61"/>
      <c r="G154" s="73"/>
      <c r="H154" s="79"/>
      <c r="I154" s="79"/>
      <c r="J154" s="14"/>
      <c r="K154" s="38"/>
      <c r="L154" s="38"/>
      <c r="M154" s="17"/>
    </row>
    <row r="155" spans="2:13" ht="14.45" customHeight="1" x14ac:dyDescent="0.25">
      <c r="B155" s="17"/>
      <c r="C155" s="14"/>
      <c r="D155" s="14"/>
      <c r="E155" s="18"/>
      <c r="F155" s="61"/>
      <c r="G155" s="73"/>
      <c r="H155" s="79"/>
      <c r="I155" s="79"/>
      <c r="J155" s="14"/>
      <c r="K155" s="38"/>
      <c r="L155" s="38"/>
      <c r="M155" s="17"/>
    </row>
    <row r="156" spans="2:13" ht="14.45" customHeight="1" x14ac:dyDescent="0.25">
      <c r="B156" s="17"/>
      <c r="C156" s="14"/>
      <c r="D156" s="14"/>
      <c r="E156" s="18"/>
      <c r="F156" s="61"/>
      <c r="G156" s="73"/>
      <c r="H156" s="79"/>
      <c r="I156" s="79"/>
      <c r="J156" s="14"/>
      <c r="K156" s="38"/>
      <c r="L156" s="38"/>
      <c r="M156" s="17"/>
    </row>
    <row r="157" spans="2:13" ht="14.45" customHeight="1" x14ac:dyDescent="0.25">
      <c r="B157" s="17"/>
      <c r="C157" s="14"/>
      <c r="D157" s="14"/>
      <c r="E157" s="18"/>
      <c r="F157" s="61"/>
      <c r="G157" s="73"/>
      <c r="H157" s="79"/>
      <c r="I157" s="79"/>
      <c r="J157" s="14"/>
      <c r="K157" s="38"/>
      <c r="L157" s="38"/>
      <c r="M157" s="17"/>
    </row>
    <row r="158" spans="2:13" ht="14.45" customHeight="1" x14ac:dyDescent="0.25">
      <c r="B158" s="17"/>
      <c r="C158" s="14"/>
      <c r="D158" s="14"/>
      <c r="E158" s="18"/>
      <c r="F158" s="61"/>
      <c r="G158" s="73"/>
      <c r="H158" s="79"/>
      <c r="I158" s="79"/>
      <c r="J158" s="14"/>
      <c r="K158" s="38"/>
      <c r="L158" s="38"/>
      <c r="M158" s="17"/>
    </row>
    <row r="159" spans="2:13" ht="14.45" customHeight="1" x14ac:dyDescent="0.25">
      <c r="B159" s="17"/>
      <c r="C159" s="14"/>
      <c r="D159" s="14"/>
      <c r="E159" s="18"/>
      <c r="F159" s="61"/>
      <c r="G159" s="73"/>
      <c r="H159" s="79"/>
      <c r="I159" s="79"/>
      <c r="J159" s="14"/>
      <c r="K159" s="38"/>
      <c r="L159" s="38"/>
      <c r="M159" s="17"/>
    </row>
    <row r="160" spans="2:13" ht="14.45" customHeight="1" x14ac:dyDescent="0.25">
      <c r="B160" s="17"/>
      <c r="C160" s="14"/>
      <c r="D160" s="14"/>
      <c r="E160" s="18"/>
      <c r="F160" s="61"/>
      <c r="G160" s="73"/>
      <c r="H160" s="79"/>
      <c r="I160" s="79"/>
      <c r="J160" s="14"/>
      <c r="K160" s="38"/>
      <c r="L160" s="38"/>
      <c r="M160" s="17"/>
    </row>
    <row r="161" spans="2:13" ht="14.45" customHeight="1" x14ac:dyDescent="0.25">
      <c r="B161" s="17"/>
      <c r="C161" s="14"/>
      <c r="D161" s="14"/>
      <c r="E161" s="18"/>
      <c r="F161" s="61"/>
      <c r="G161" s="73"/>
      <c r="H161" s="79"/>
      <c r="I161" s="79"/>
      <c r="J161" s="14"/>
      <c r="K161" s="38"/>
      <c r="L161" s="38"/>
      <c r="M161" s="17"/>
    </row>
    <row r="162" spans="2:13" ht="14.45" customHeight="1" x14ac:dyDescent="0.25">
      <c r="B162" s="17"/>
      <c r="C162" s="14"/>
      <c r="D162" s="14"/>
      <c r="E162" s="18"/>
      <c r="F162" s="61"/>
      <c r="G162" s="73"/>
      <c r="H162" s="79"/>
      <c r="I162" s="79"/>
      <c r="J162" s="14"/>
      <c r="K162" s="38"/>
      <c r="L162" s="38"/>
      <c r="M162" s="17"/>
    </row>
    <row r="163" spans="2:13" ht="14.45" customHeight="1" x14ac:dyDescent="0.25">
      <c r="B163" s="17"/>
      <c r="C163" s="14"/>
      <c r="D163" s="14"/>
      <c r="E163" s="18"/>
      <c r="F163" s="61"/>
      <c r="G163" s="73"/>
      <c r="H163" s="79"/>
      <c r="I163" s="79"/>
      <c r="J163" s="14"/>
      <c r="K163" s="38"/>
      <c r="L163" s="38"/>
      <c r="M163" s="17"/>
    </row>
    <row r="164" spans="2:13" ht="14.45" customHeight="1" x14ac:dyDescent="0.25">
      <c r="B164" s="17"/>
      <c r="C164" s="14"/>
      <c r="D164" s="14"/>
      <c r="E164" s="18"/>
      <c r="F164" s="61"/>
      <c r="G164" s="73"/>
      <c r="H164" s="79"/>
      <c r="I164" s="79"/>
      <c r="J164" s="14"/>
      <c r="K164" s="38"/>
      <c r="L164" s="38"/>
      <c r="M164" s="17"/>
    </row>
    <row r="165" spans="2:13" ht="14.45" customHeight="1" x14ac:dyDescent="0.25">
      <c r="B165" s="17"/>
      <c r="C165" s="14"/>
      <c r="D165" s="14"/>
      <c r="E165" s="18"/>
      <c r="F165" s="61"/>
      <c r="G165" s="73"/>
      <c r="H165" s="79"/>
      <c r="I165" s="79"/>
      <c r="J165" s="14"/>
      <c r="K165" s="38"/>
      <c r="L165" s="38"/>
      <c r="M165" s="17"/>
    </row>
    <row r="166" spans="2:13" ht="14.45" customHeight="1" x14ac:dyDescent="0.25">
      <c r="B166" s="17"/>
      <c r="C166" s="14"/>
      <c r="D166" s="14"/>
      <c r="E166" s="18"/>
      <c r="F166" s="61"/>
      <c r="G166" s="73"/>
      <c r="H166" s="79"/>
      <c r="I166" s="79"/>
      <c r="J166" s="14"/>
      <c r="K166" s="38"/>
      <c r="L166" s="38"/>
      <c r="M166" s="17"/>
    </row>
    <row r="167" spans="2:13" ht="14.45" customHeight="1" x14ac:dyDescent="0.25">
      <c r="B167" s="17"/>
      <c r="C167" s="14"/>
      <c r="D167" s="14"/>
      <c r="E167" s="18"/>
      <c r="F167" s="61"/>
      <c r="G167" s="73"/>
      <c r="H167" s="79"/>
      <c r="I167" s="79"/>
      <c r="J167" s="14"/>
      <c r="K167" s="38"/>
      <c r="L167" s="38"/>
      <c r="M167" s="17"/>
    </row>
    <row r="168" spans="2:13" ht="14.45" customHeight="1" x14ac:dyDescent="0.25">
      <c r="B168" s="17"/>
      <c r="C168" s="14"/>
      <c r="D168" s="14"/>
      <c r="E168" s="18"/>
      <c r="F168" s="61"/>
      <c r="G168" s="73"/>
      <c r="H168" s="79"/>
      <c r="I168" s="79"/>
      <c r="J168" s="14"/>
      <c r="K168" s="38"/>
      <c r="L168" s="38"/>
      <c r="M168" s="17"/>
    </row>
    <row r="169" spans="2:13" ht="14.45" customHeight="1" x14ac:dyDescent="0.25">
      <c r="B169" s="17"/>
      <c r="C169" s="14"/>
      <c r="D169" s="14"/>
      <c r="E169" s="18"/>
      <c r="F169" s="61"/>
      <c r="G169" s="73"/>
      <c r="H169" s="79"/>
      <c r="I169" s="79"/>
      <c r="J169" s="14"/>
      <c r="K169" s="38"/>
      <c r="L169" s="38"/>
      <c r="M169" s="17"/>
    </row>
    <row r="170" spans="2:13" ht="14.45" customHeight="1" x14ac:dyDescent="0.25">
      <c r="B170" s="17"/>
      <c r="C170" s="14"/>
      <c r="D170" s="14"/>
      <c r="E170" s="18"/>
      <c r="F170" s="61"/>
      <c r="G170" s="73"/>
      <c r="H170" s="79"/>
      <c r="I170" s="79"/>
      <c r="J170" s="14"/>
      <c r="K170" s="38"/>
      <c r="L170" s="38"/>
      <c r="M170" s="17"/>
    </row>
    <row r="171" spans="2:13" ht="14.45" customHeight="1" x14ac:dyDescent="0.25">
      <c r="B171" s="17"/>
      <c r="C171" s="14"/>
      <c r="D171" s="14"/>
      <c r="E171" s="18"/>
      <c r="F171" s="61"/>
      <c r="G171" s="73"/>
      <c r="H171" s="79"/>
      <c r="I171" s="79"/>
      <c r="J171" s="14"/>
      <c r="K171" s="38"/>
      <c r="L171" s="38"/>
      <c r="M171" s="17"/>
    </row>
    <row r="172" spans="2:13" ht="14.45" customHeight="1" x14ac:dyDescent="0.25">
      <c r="B172" s="17"/>
      <c r="C172" s="14"/>
      <c r="D172" s="14"/>
      <c r="E172" s="18"/>
      <c r="F172" s="61"/>
      <c r="G172" s="73"/>
      <c r="H172" s="79"/>
      <c r="I172" s="79"/>
      <c r="J172" s="14"/>
      <c r="K172" s="38"/>
      <c r="L172" s="38"/>
      <c r="M172" s="17"/>
    </row>
    <row r="173" spans="2:13" ht="14.45" customHeight="1" x14ac:dyDescent="0.25">
      <c r="B173" s="17"/>
      <c r="C173" s="14"/>
      <c r="D173" s="14"/>
      <c r="E173" s="18"/>
      <c r="F173" s="61"/>
      <c r="G173" s="73"/>
      <c r="H173" s="79"/>
      <c r="I173" s="79"/>
      <c r="J173" s="14"/>
      <c r="K173" s="38"/>
      <c r="L173" s="38"/>
      <c r="M173" s="17"/>
    </row>
    <row r="174" spans="2:13" ht="14.45" customHeight="1" x14ac:dyDescent="0.25">
      <c r="B174" s="17"/>
      <c r="C174" s="14"/>
      <c r="D174" s="14"/>
      <c r="E174" s="18"/>
      <c r="F174" s="61"/>
      <c r="G174" s="73"/>
      <c r="H174" s="79"/>
      <c r="I174" s="79"/>
      <c r="J174" s="14"/>
      <c r="K174" s="38"/>
      <c r="L174" s="38"/>
      <c r="M174" s="17"/>
    </row>
    <row r="175" spans="2:13" ht="14.45" customHeight="1" x14ac:dyDescent="0.25">
      <c r="B175" s="17"/>
      <c r="C175" s="14"/>
      <c r="D175" s="14"/>
      <c r="E175" s="18"/>
      <c r="F175" s="61"/>
      <c r="G175" s="73"/>
      <c r="H175" s="79"/>
      <c r="I175" s="79"/>
      <c r="J175" s="14"/>
      <c r="K175" s="38"/>
      <c r="L175" s="38"/>
      <c r="M175" s="17"/>
    </row>
    <row r="176" spans="2:13" ht="14.45" customHeight="1" x14ac:dyDescent="0.25">
      <c r="B176" s="17"/>
      <c r="C176" s="14"/>
      <c r="D176" s="14"/>
      <c r="E176" s="18"/>
      <c r="F176" s="61"/>
      <c r="G176" s="73"/>
      <c r="H176" s="79"/>
      <c r="I176" s="79"/>
      <c r="J176" s="14"/>
      <c r="K176" s="38"/>
      <c r="L176" s="38"/>
      <c r="M176" s="17"/>
    </row>
    <row r="177" spans="2:13" ht="14.45" customHeight="1" x14ac:dyDescent="0.25">
      <c r="B177" s="17"/>
      <c r="C177" s="14"/>
      <c r="D177" s="14"/>
      <c r="E177" s="18"/>
      <c r="F177" s="61"/>
      <c r="G177" s="73"/>
      <c r="H177" s="79"/>
      <c r="I177" s="79"/>
      <c r="J177" s="14"/>
      <c r="K177" s="38"/>
      <c r="L177" s="38"/>
      <c r="M177" s="17"/>
    </row>
    <row r="178" spans="2:13" ht="14.45" customHeight="1" x14ac:dyDescent="0.25">
      <c r="B178" s="17"/>
      <c r="C178" s="14"/>
      <c r="D178" s="14"/>
      <c r="E178" s="18"/>
      <c r="F178" s="61"/>
      <c r="G178" s="73"/>
      <c r="H178" s="79"/>
      <c r="I178" s="79"/>
      <c r="J178" s="14"/>
      <c r="K178" s="38"/>
      <c r="L178" s="38"/>
      <c r="M178" s="17"/>
    </row>
    <row r="179" spans="2:13" ht="14.45" customHeight="1" x14ac:dyDescent="0.25">
      <c r="B179" s="17"/>
      <c r="C179" s="14"/>
      <c r="D179" s="14"/>
      <c r="E179" s="18"/>
      <c r="F179" s="61"/>
      <c r="G179" s="73"/>
      <c r="H179" s="79"/>
      <c r="I179" s="79"/>
      <c r="J179" s="14"/>
      <c r="K179" s="38"/>
      <c r="L179" s="38"/>
      <c r="M179" s="17"/>
    </row>
    <row r="180" spans="2:13" ht="14.45" customHeight="1" x14ac:dyDescent="0.25">
      <c r="B180" s="17"/>
      <c r="C180" s="14"/>
      <c r="D180" s="14"/>
      <c r="E180" s="18"/>
      <c r="F180" s="61"/>
      <c r="G180" s="73"/>
      <c r="H180" s="79"/>
      <c r="I180" s="79"/>
      <c r="J180" s="14"/>
      <c r="K180" s="38"/>
      <c r="L180" s="38"/>
      <c r="M180" s="17"/>
    </row>
    <row r="181" spans="2:13" ht="14.45" customHeight="1" x14ac:dyDescent="0.25">
      <c r="B181" s="17"/>
      <c r="C181" s="14"/>
      <c r="D181" s="14"/>
      <c r="E181" s="18"/>
      <c r="F181" s="61"/>
      <c r="G181" s="73"/>
      <c r="H181" s="79"/>
      <c r="I181" s="79"/>
      <c r="J181" s="14"/>
      <c r="K181" s="38"/>
      <c r="L181" s="38"/>
      <c r="M181" s="17"/>
    </row>
    <row r="182" spans="2:13" ht="14.45" customHeight="1" x14ac:dyDescent="0.25">
      <c r="B182" s="17"/>
      <c r="C182" s="14"/>
      <c r="D182" s="14"/>
      <c r="E182" s="18"/>
      <c r="F182" s="61"/>
      <c r="G182" s="73"/>
      <c r="H182" s="79"/>
      <c r="I182" s="79"/>
      <c r="J182" s="14"/>
      <c r="K182" s="38"/>
      <c r="L182" s="38"/>
      <c r="M182" s="17"/>
    </row>
    <row r="183" spans="2:13" ht="14.45" customHeight="1" x14ac:dyDescent="0.25">
      <c r="B183" s="17"/>
      <c r="C183" s="14"/>
      <c r="D183" s="14"/>
      <c r="E183" s="18"/>
      <c r="F183" s="61"/>
      <c r="G183" s="73"/>
      <c r="H183" s="79"/>
      <c r="I183" s="79"/>
      <c r="J183" s="14"/>
      <c r="K183" s="38"/>
      <c r="L183" s="38"/>
      <c r="M183" s="17"/>
    </row>
    <row r="184" spans="2:13" ht="14.45" customHeight="1" x14ac:dyDescent="0.25">
      <c r="B184" s="17"/>
      <c r="C184" s="14"/>
      <c r="D184" s="14"/>
      <c r="E184" s="18"/>
      <c r="F184" s="61"/>
      <c r="G184" s="73"/>
      <c r="H184" s="79"/>
      <c r="I184" s="79"/>
      <c r="J184" s="14"/>
      <c r="K184" s="38"/>
      <c r="L184" s="38"/>
      <c r="M184" s="17"/>
    </row>
    <row r="185" spans="2:13" ht="14.45" customHeight="1" x14ac:dyDescent="0.25">
      <c r="B185" s="17"/>
      <c r="C185" s="14"/>
      <c r="D185" s="14"/>
      <c r="E185" s="18"/>
      <c r="F185" s="61"/>
      <c r="G185" s="73"/>
      <c r="H185" s="79"/>
      <c r="I185" s="79"/>
      <c r="J185" s="14"/>
      <c r="K185" s="38"/>
      <c r="L185" s="38"/>
      <c r="M185" s="17"/>
    </row>
    <row r="186" spans="2:13" ht="14.45" customHeight="1" x14ac:dyDescent="0.25">
      <c r="B186" s="17"/>
      <c r="C186" s="14"/>
      <c r="D186" s="14"/>
      <c r="E186" s="18"/>
      <c r="F186" s="61"/>
      <c r="G186" s="73"/>
      <c r="H186" s="79"/>
      <c r="I186" s="79"/>
      <c r="J186" s="14"/>
      <c r="K186" s="38"/>
      <c r="L186" s="38"/>
      <c r="M186" s="17"/>
    </row>
    <row r="187" spans="2:13" ht="14.45" customHeight="1" x14ac:dyDescent="0.25">
      <c r="B187" s="17"/>
      <c r="C187" s="14"/>
      <c r="D187" s="14"/>
      <c r="E187" s="18"/>
      <c r="F187" s="61"/>
      <c r="G187" s="73"/>
      <c r="H187" s="79"/>
      <c r="I187" s="79"/>
      <c r="J187" s="14"/>
      <c r="K187" s="38"/>
      <c r="L187" s="38"/>
      <c r="M187" s="17"/>
    </row>
    <row r="188" spans="2:13" ht="14.45" customHeight="1" x14ac:dyDescent="0.25">
      <c r="B188" s="17"/>
      <c r="C188" s="14"/>
      <c r="D188" s="14"/>
      <c r="E188" s="18"/>
      <c r="F188" s="61"/>
      <c r="G188" s="73"/>
      <c r="H188" s="79"/>
      <c r="I188" s="79"/>
      <c r="J188" s="14"/>
      <c r="K188" s="38"/>
      <c r="L188" s="38"/>
      <c r="M188" s="17"/>
    </row>
    <row r="189" spans="2:13" ht="14.45" customHeight="1" x14ac:dyDescent="0.25">
      <c r="B189" s="17"/>
      <c r="C189" s="14"/>
      <c r="D189" s="14"/>
      <c r="E189" s="18"/>
      <c r="F189" s="61"/>
      <c r="G189" s="73"/>
      <c r="H189" s="79"/>
      <c r="I189" s="79"/>
      <c r="J189" s="14"/>
      <c r="K189" s="38"/>
      <c r="L189" s="38"/>
      <c r="M189" s="17"/>
    </row>
    <row r="190" spans="2:13" ht="14.45" customHeight="1" x14ac:dyDescent="0.25">
      <c r="B190" s="17"/>
      <c r="C190" s="14"/>
      <c r="D190" s="14"/>
      <c r="E190" s="18"/>
      <c r="F190" s="61"/>
      <c r="G190" s="73"/>
      <c r="H190" s="79"/>
      <c r="I190" s="79"/>
      <c r="J190" s="14"/>
      <c r="K190" s="38"/>
      <c r="L190" s="38"/>
      <c r="M190" s="17"/>
    </row>
    <row r="191" spans="2:13" ht="14.45" customHeight="1" x14ac:dyDescent="0.25">
      <c r="B191" s="17"/>
      <c r="C191" s="14"/>
      <c r="D191" s="14"/>
      <c r="E191" s="18"/>
      <c r="F191" s="61"/>
      <c r="G191" s="73"/>
      <c r="H191" s="79"/>
      <c r="I191" s="79"/>
      <c r="J191" s="14"/>
      <c r="K191" s="38"/>
      <c r="L191" s="38"/>
      <c r="M191" s="17"/>
    </row>
    <row r="192" spans="2:13" ht="14.45" customHeight="1" x14ac:dyDescent="0.25">
      <c r="B192" s="17"/>
      <c r="C192" s="14"/>
      <c r="D192" s="14"/>
      <c r="E192" s="18"/>
      <c r="F192" s="61"/>
      <c r="G192" s="73"/>
      <c r="H192" s="79"/>
      <c r="I192" s="79"/>
      <c r="J192" s="14"/>
      <c r="K192" s="38"/>
      <c r="L192" s="38"/>
      <c r="M192" s="17"/>
    </row>
    <row r="193" spans="2:13" ht="14.45" customHeight="1" x14ac:dyDescent="0.25">
      <c r="B193" s="17"/>
      <c r="C193" s="14"/>
      <c r="D193" s="14"/>
      <c r="E193" s="18"/>
      <c r="F193" s="61"/>
      <c r="G193" s="73"/>
      <c r="H193" s="79"/>
      <c r="I193" s="79"/>
      <c r="J193" s="14"/>
      <c r="K193" s="38"/>
      <c r="L193" s="38"/>
      <c r="M193" s="17"/>
    </row>
    <row r="194" spans="2:13" ht="14.45" customHeight="1" x14ac:dyDescent="0.25">
      <c r="B194" s="17"/>
      <c r="C194" s="14"/>
      <c r="D194" s="14"/>
      <c r="E194" s="18"/>
      <c r="F194" s="61"/>
      <c r="G194" s="73"/>
      <c r="H194" s="79"/>
      <c r="I194" s="79"/>
      <c r="J194" s="14"/>
      <c r="K194" s="38"/>
      <c r="L194" s="38"/>
      <c r="M194" s="17"/>
    </row>
    <row r="195" spans="2:13" ht="14.45" customHeight="1" x14ac:dyDescent="0.25">
      <c r="B195" s="17"/>
      <c r="C195" s="14"/>
      <c r="D195" s="14"/>
      <c r="E195" s="18"/>
      <c r="F195" s="61"/>
      <c r="G195" s="73"/>
      <c r="H195" s="79"/>
      <c r="I195" s="79"/>
      <c r="J195" s="14"/>
      <c r="K195" s="38"/>
      <c r="L195" s="38"/>
      <c r="M195" s="17"/>
    </row>
    <row r="196" spans="2:13" ht="14.45" customHeight="1" x14ac:dyDescent="0.25">
      <c r="B196" s="17"/>
      <c r="C196" s="14"/>
      <c r="D196" s="14"/>
      <c r="E196" s="18"/>
      <c r="F196" s="61"/>
      <c r="G196" s="73"/>
      <c r="H196" s="79"/>
      <c r="I196" s="79"/>
      <c r="J196" s="14"/>
      <c r="K196" s="38"/>
      <c r="L196" s="38"/>
      <c r="M196" s="17"/>
    </row>
    <row r="197" spans="2:13" ht="14.45" customHeight="1" x14ac:dyDescent="0.25">
      <c r="B197" s="17"/>
      <c r="C197" s="14"/>
      <c r="D197" s="14"/>
      <c r="E197" s="18"/>
      <c r="F197" s="61"/>
      <c r="G197" s="73"/>
      <c r="H197" s="79"/>
      <c r="I197" s="79"/>
      <c r="J197" s="14"/>
      <c r="K197" s="38"/>
      <c r="L197" s="38"/>
      <c r="M197" s="17"/>
    </row>
    <row r="198" spans="2:13" ht="14.45" customHeight="1" x14ac:dyDescent="0.25">
      <c r="B198" s="17"/>
      <c r="C198" s="14"/>
      <c r="D198" s="14"/>
      <c r="E198" s="18"/>
      <c r="F198" s="61"/>
      <c r="G198" s="73"/>
      <c r="H198" s="79"/>
      <c r="I198" s="79"/>
      <c r="J198" s="14"/>
      <c r="K198" s="38"/>
      <c r="L198" s="38"/>
      <c r="M198" s="17"/>
    </row>
    <row r="199" spans="2:13" ht="14.45" customHeight="1" x14ac:dyDescent="0.25">
      <c r="B199" s="17"/>
      <c r="C199" s="14"/>
      <c r="D199" s="14"/>
      <c r="E199" s="18"/>
      <c r="F199" s="61"/>
      <c r="G199" s="73"/>
      <c r="H199" s="79"/>
      <c r="I199" s="79"/>
      <c r="J199" s="14"/>
      <c r="K199" s="38"/>
      <c r="L199" s="38"/>
      <c r="M199" s="17"/>
    </row>
    <row r="200" spans="2:13" ht="14.45" customHeight="1" x14ac:dyDescent="0.25">
      <c r="B200" s="17"/>
      <c r="C200" s="14"/>
      <c r="D200" s="14"/>
      <c r="E200" s="18"/>
      <c r="F200" s="61"/>
      <c r="G200" s="73"/>
      <c r="H200" s="79"/>
      <c r="I200" s="79"/>
      <c r="J200" s="14"/>
      <c r="K200" s="38"/>
      <c r="L200" s="38"/>
      <c r="M200" s="17"/>
    </row>
    <row r="201" spans="2:13" ht="14.45" customHeight="1" x14ac:dyDescent="0.25">
      <c r="B201" s="17"/>
      <c r="C201" s="14"/>
      <c r="D201" s="14"/>
      <c r="E201" s="18"/>
      <c r="F201" s="61"/>
      <c r="G201" s="73"/>
      <c r="H201" s="79"/>
      <c r="I201" s="79"/>
      <c r="J201" s="14"/>
      <c r="K201" s="38"/>
      <c r="L201" s="38"/>
      <c r="M201" s="17"/>
    </row>
    <row r="202" spans="2:13" ht="14.45" customHeight="1" x14ac:dyDescent="0.25">
      <c r="B202" s="17"/>
      <c r="C202" s="14"/>
      <c r="D202" s="14"/>
      <c r="E202" s="18"/>
      <c r="F202" s="61"/>
      <c r="G202" s="73"/>
      <c r="H202" s="79"/>
      <c r="I202" s="79"/>
      <c r="J202" s="14"/>
      <c r="K202" s="38"/>
      <c r="L202" s="38"/>
      <c r="M202" s="17"/>
    </row>
    <row r="203" spans="2:13" ht="14.45" customHeight="1" x14ac:dyDescent="0.25">
      <c r="B203" s="17"/>
      <c r="C203" s="14"/>
      <c r="D203" s="14"/>
      <c r="E203" s="18"/>
      <c r="F203" s="61"/>
      <c r="G203" s="73"/>
      <c r="H203" s="79"/>
      <c r="I203" s="79"/>
      <c r="J203" s="14"/>
      <c r="K203" s="38"/>
      <c r="L203" s="38"/>
      <c r="M203" s="17"/>
    </row>
    <row r="204" spans="2:13" ht="14.45" customHeight="1" x14ac:dyDescent="0.25">
      <c r="B204" s="17"/>
      <c r="C204" s="14"/>
      <c r="D204" s="14"/>
      <c r="E204" s="18"/>
      <c r="F204" s="61"/>
      <c r="G204" s="73"/>
      <c r="H204" s="79"/>
      <c r="I204" s="79"/>
      <c r="J204" s="14"/>
      <c r="K204" s="38"/>
      <c r="L204" s="38"/>
      <c r="M204" s="17"/>
    </row>
    <row r="205" spans="2:13" ht="14.45" customHeight="1" x14ac:dyDescent="0.25">
      <c r="B205" s="17"/>
      <c r="C205" s="14"/>
      <c r="D205" s="14"/>
      <c r="E205" s="18"/>
      <c r="F205" s="61"/>
      <c r="G205" s="73"/>
      <c r="H205" s="79"/>
      <c r="I205" s="79"/>
      <c r="J205" s="14"/>
      <c r="K205" s="38"/>
      <c r="L205" s="38"/>
      <c r="M205" s="17"/>
    </row>
    <row r="206" spans="2:13" ht="14.45" customHeight="1" x14ac:dyDescent="0.25">
      <c r="B206" s="17"/>
      <c r="C206" s="14"/>
      <c r="D206" s="14"/>
      <c r="E206" s="18"/>
      <c r="F206" s="61"/>
      <c r="G206" s="73"/>
      <c r="H206" s="79"/>
      <c r="I206" s="79"/>
      <c r="J206" s="14"/>
      <c r="K206" s="38"/>
      <c r="L206" s="38"/>
      <c r="M206" s="17"/>
    </row>
    <row r="207" spans="2:13" ht="14.45" customHeight="1" x14ac:dyDescent="0.25">
      <c r="B207" s="17"/>
      <c r="C207" s="14"/>
      <c r="D207" s="14"/>
      <c r="E207" s="18"/>
      <c r="F207" s="61"/>
      <c r="G207" s="73"/>
      <c r="H207" s="79"/>
      <c r="I207" s="79"/>
      <c r="J207" s="14"/>
      <c r="K207" s="38"/>
      <c r="L207" s="38"/>
      <c r="M207" s="17"/>
    </row>
    <row r="208" spans="2:13" ht="14.45" customHeight="1" x14ac:dyDescent="0.25">
      <c r="B208" s="17"/>
      <c r="C208" s="14"/>
      <c r="D208" s="14"/>
      <c r="E208" s="18"/>
      <c r="F208" s="61"/>
      <c r="G208" s="73"/>
      <c r="H208" s="79"/>
      <c r="I208" s="79"/>
      <c r="J208" s="14"/>
      <c r="K208" s="38"/>
      <c r="L208" s="38"/>
      <c r="M208" s="17"/>
    </row>
    <row r="209" spans="2:13" ht="14.45" customHeight="1" x14ac:dyDescent="0.25">
      <c r="B209" s="17"/>
      <c r="C209" s="14"/>
      <c r="D209" s="14"/>
      <c r="E209" s="18"/>
      <c r="F209" s="61"/>
      <c r="G209" s="73"/>
      <c r="H209" s="79"/>
      <c r="I209" s="79"/>
      <c r="J209" s="14"/>
      <c r="K209" s="38"/>
      <c r="L209" s="38"/>
      <c r="M209" s="17"/>
    </row>
    <row r="210" spans="2:13" ht="14.45" customHeight="1" x14ac:dyDescent="0.25">
      <c r="B210" s="17"/>
      <c r="C210" s="14"/>
      <c r="D210" s="14"/>
      <c r="E210" s="18"/>
      <c r="F210" s="61"/>
      <c r="G210" s="73"/>
      <c r="H210" s="79"/>
      <c r="I210" s="79"/>
      <c r="J210" s="14"/>
      <c r="K210" s="38"/>
      <c r="L210" s="38"/>
      <c r="M210" s="17"/>
    </row>
    <row r="211" spans="2:13" ht="14.45" customHeight="1" x14ac:dyDescent="0.25">
      <c r="B211" s="17"/>
      <c r="C211" s="14"/>
      <c r="D211" s="14"/>
      <c r="E211" s="18"/>
      <c r="F211" s="61"/>
      <c r="G211" s="73"/>
      <c r="H211" s="79"/>
      <c r="I211" s="79"/>
      <c r="J211" s="14"/>
      <c r="K211" s="38"/>
      <c r="L211" s="38"/>
      <c r="M211" s="17"/>
    </row>
    <row r="212" spans="2:13" ht="14.45" customHeight="1" x14ac:dyDescent="0.25">
      <c r="B212" s="17"/>
      <c r="C212" s="14"/>
      <c r="D212" s="14"/>
      <c r="E212" s="18"/>
      <c r="F212" s="61"/>
      <c r="G212" s="73"/>
      <c r="H212" s="79"/>
      <c r="I212" s="79"/>
      <c r="J212" s="14"/>
      <c r="K212" s="38"/>
      <c r="L212" s="38"/>
      <c r="M212" s="17"/>
    </row>
    <row r="213" spans="2:13" ht="14.45" customHeight="1" x14ac:dyDescent="0.25">
      <c r="B213" s="17"/>
      <c r="C213" s="14"/>
      <c r="D213" s="14"/>
      <c r="E213" s="18"/>
      <c r="F213" s="61"/>
      <c r="G213" s="73"/>
      <c r="H213" s="79"/>
      <c r="I213" s="79"/>
      <c r="J213" s="14"/>
      <c r="K213" s="38"/>
      <c r="L213" s="38"/>
      <c r="M213" s="17"/>
    </row>
    <row r="214" spans="2:13" ht="14.45" customHeight="1" x14ac:dyDescent="0.25">
      <c r="B214" s="17"/>
      <c r="C214" s="14"/>
      <c r="D214" s="14"/>
      <c r="E214" s="18"/>
      <c r="F214" s="61"/>
      <c r="G214" s="73"/>
      <c r="H214" s="79"/>
      <c r="I214" s="79"/>
      <c r="J214" s="14"/>
      <c r="K214" s="38"/>
      <c r="L214" s="38"/>
      <c r="M214" s="17"/>
    </row>
    <row r="215" spans="2:13" ht="14.45" customHeight="1" x14ac:dyDescent="0.25">
      <c r="B215" s="17"/>
      <c r="C215" s="14"/>
      <c r="D215" s="14"/>
      <c r="E215" s="18"/>
      <c r="F215" s="61"/>
      <c r="G215" s="73"/>
      <c r="H215" s="79"/>
      <c r="I215" s="79"/>
      <c r="J215" s="14"/>
      <c r="K215" s="38"/>
      <c r="L215" s="38"/>
      <c r="M215" s="17"/>
    </row>
    <row r="216" spans="2:13" ht="14.45" customHeight="1" x14ac:dyDescent="0.25">
      <c r="B216" s="17"/>
      <c r="C216" s="14"/>
      <c r="D216" s="14"/>
      <c r="E216" s="18"/>
      <c r="F216" s="61"/>
      <c r="G216" s="73"/>
      <c r="H216" s="79"/>
      <c r="I216" s="79"/>
      <c r="J216" s="14"/>
      <c r="K216" s="38"/>
      <c r="L216" s="38"/>
      <c r="M216" s="17"/>
    </row>
    <row r="217" spans="2:13" ht="14.45" customHeight="1" x14ac:dyDescent="0.25">
      <c r="B217" s="17"/>
      <c r="C217" s="14"/>
      <c r="D217" s="14"/>
      <c r="E217" s="18"/>
      <c r="F217" s="61"/>
      <c r="G217" s="73"/>
      <c r="H217" s="79"/>
      <c r="I217" s="79"/>
      <c r="J217" s="14"/>
      <c r="K217" s="38"/>
      <c r="L217" s="38"/>
      <c r="M217" s="17"/>
    </row>
    <row r="218" spans="2:13" ht="14.45" customHeight="1" x14ac:dyDescent="0.25">
      <c r="B218" s="17"/>
      <c r="C218" s="14"/>
      <c r="D218" s="14"/>
      <c r="E218" s="18"/>
      <c r="F218" s="61"/>
      <c r="G218" s="73"/>
      <c r="H218" s="79"/>
      <c r="I218" s="79"/>
      <c r="J218" s="14"/>
      <c r="K218" s="38"/>
      <c r="L218" s="38"/>
      <c r="M218" s="17"/>
    </row>
    <row r="219" spans="2:13" ht="14.45" customHeight="1" x14ac:dyDescent="0.25">
      <c r="B219" s="17"/>
      <c r="C219" s="14"/>
      <c r="D219" s="14"/>
      <c r="E219" s="18"/>
      <c r="F219" s="61"/>
      <c r="G219" s="73"/>
      <c r="H219" s="79"/>
      <c r="I219" s="79"/>
      <c r="J219" s="14"/>
      <c r="K219" s="38"/>
      <c r="L219" s="38"/>
      <c r="M219" s="17"/>
    </row>
    <row r="220" spans="2:13" ht="14.45" customHeight="1" x14ac:dyDescent="0.25">
      <c r="B220" s="17"/>
      <c r="C220" s="14"/>
      <c r="D220" s="14"/>
      <c r="E220" s="18"/>
      <c r="F220" s="61"/>
      <c r="G220" s="73"/>
      <c r="H220" s="79"/>
      <c r="I220" s="79"/>
      <c r="J220" s="14"/>
      <c r="K220" s="38"/>
      <c r="L220" s="38"/>
      <c r="M220" s="17"/>
    </row>
    <row r="221" spans="2:13" ht="14.45" customHeight="1" x14ac:dyDescent="0.25">
      <c r="B221" s="17"/>
      <c r="C221" s="14"/>
      <c r="D221" s="14"/>
      <c r="E221" s="18"/>
      <c r="F221" s="61"/>
      <c r="G221" s="73"/>
      <c r="H221" s="79"/>
      <c r="I221" s="79"/>
      <c r="J221" s="14"/>
      <c r="K221" s="38"/>
      <c r="L221" s="38"/>
      <c r="M221" s="17"/>
    </row>
    <row r="222" spans="2:13" ht="14.45" customHeight="1" x14ac:dyDescent="0.25">
      <c r="B222" s="17"/>
      <c r="C222" s="14"/>
      <c r="D222" s="14"/>
      <c r="E222" s="18"/>
      <c r="F222" s="61"/>
      <c r="G222" s="73"/>
      <c r="H222" s="79"/>
      <c r="I222" s="79"/>
      <c r="J222" s="14"/>
      <c r="K222" s="38"/>
      <c r="L222" s="38"/>
      <c r="M222" s="17"/>
    </row>
    <row r="223" spans="2:13" ht="14.45" customHeight="1" x14ac:dyDescent="0.25">
      <c r="B223" s="17"/>
      <c r="C223" s="14"/>
      <c r="D223" s="14"/>
      <c r="E223" s="18"/>
      <c r="F223" s="61"/>
      <c r="G223" s="73"/>
      <c r="H223" s="79"/>
      <c r="I223" s="79"/>
      <c r="J223" s="14"/>
      <c r="K223" s="38"/>
      <c r="L223" s="38"/>
      <c r="M223" s="17"/>
    </row>
    <row r="224" spans="2:13" ht="14.45" customHeight="1" x14ac:dyDescent="0.25">
      <c r="B224" s="17"/>
      <c r="C224" s="14"/>
      <c r="D224" s="14"/>
      <c r="E224" s="18"/>
      <c r="F224" s="61"/>
      <c r="G224" s="73"/>
      <c r="H224" s="79"/>
      <c r="I224" s="79"/>
      <c r="J224" s="14"/>
      <c r="K224" s="38"/>
      <c r="L224" s="38"/>
      <c r="M224" s="17"/>
    </row>
    <row r="225" spans="2:13" ht="14.45" customHeight="1" x14ac:dyDescent="0.25">
      <c r="B225" s="17"/>
      <c r="C225" s="14"/>
      <c r="D225" s="14"/>
      <c r="E225" s="18"/>
      <c r="F225" s="61"/>
      <c r="G225" s="73"/>
      <c r="H225" s="79"/>
      <c r="I225" s="79"/>
      <c r="J225" s="14"/>
      <c r="K225" s="38"/>
      <c r="L225" s="38"/>
      <c r="M225" s="17"/>
    </row>
    <row r="226" spans="2:13" ht="14.45" customHeight="1" x14ac:dyDescent="0.25">
      <c r="B226" s="17"/>
      <c r="C226" s="14"/>
      <c r="D226" s="14"/>
      <c r="E226" s="18"/>
      <c r="F226" s="61"/>
      <c r="G226" s="73"/>
      <c r="H226" s="79"/>
      <c r="I226" s="79"/>
      <c r="J226" s="14"/>
      <c r="K226" s="38"/>
      <c r="L226" s="38"/>
      <c r="M226" s="17"/>
    </row>
    <row r="227" spans="2:13" ht="14.45" customHeight="1" x14ac:dyDescent="0.25">
      <c r="B227" s="17"/>
      <c r="C227" s="14"/>
      <c r="D227" s="14"/>
      <c r="E227" s="18"/>
      <c r="F227" s="61"/>
      <c r="G227" s="73"/>
      <c r="H227" s="79"/>
      <c r="I227" s="79"/>
      <c r="J227" s="14"/>
      <c r="K227" s="38"/>
      <c r="L227" s="38"/>
      <c r="M227" s="17"/>
    </row>
    <row r="228" spans="2:13" ht="14.45" customHeight="1" x14ac:dyDescent="0.25">
      <c r="B228" s="17"/>
      <c r="C228" s="14"/>
      <c r="D228" s="14"/>
      <c r="E228" s="18"/>
      <c r="F228" s="61"/>
      <c r="G228" s="73"/>
      <c r="H228" s="79"/>
      <c r="I228" s="79"/>
      <c r="J228" s="14"/>
      <c r="K228" s="38"/>
      <c r="L228" s="38"/>
      <c r="M228" s="17"/>
    </row>
    <row r="229" spans="2:13" ht="14.45" customHeight="1" x14ac:dyDescent="0.25">
      <c r="B229" s="17"/>
      <c r="C229" s="14"/>
      <c r="D229" s="14"/>
      <c r="E229" s="18"/>
      <c r="F229" s="61"/>
      <c r="G229" s="73"/>
      <c r="H229" s="79"/>
      <c r="I229" s="79"/>
      <c r="J229" s="14"/>
      <c r="K229" s="38"/>
      <c r="L229" s="38"/>
      <c r="M229" s="17"/>
    </row>
    <row r="230" spans="2:13" ht="14.45" customHeight="1" x14ac:dyDescent="0.25">
      <c r="B230" s="17"/>
      <c r="C230" s="14"/>
      <c r="D230" s="14"/>
      <c r="E230" s="18"/>
      <c r="F230" s="61"/>
      <c r="G230" s="73"/>
      <c r="H230" s="79"/>
      <c r="I230" s="79"/>
      <c r="J230" s="14"/>
      <c r="K230" s="38"/>
      <c r="L230" s="38"/>
      <c r="M230" s="17"/>
    </row>
    <row r="231" spans="2:13" ht="14.45" customHeight="1" x14ac:dyDescent="0.25">
      <c r="B231" s="17"/>
      <c r="C231" s="14"/>
      <c r="D231" s="14"/>
      <c r="E231" s="18"/>
      <c r="F231" s="61"/>
      <c r="G231" s="73"/>
      <c r="H231" s="79"/>
      <c r="I231" s="79"/>
      <c r="J231" s="14"/>
      <c r="K231" s="38"/>
      <c r="L231" s="38"/>
      <c r="M231" s="17"/>
    </row>
    <row r="232" spans="2:13" ht="14.45" customHeight="1" x14ac:dyDescent="0.25">
      <c r="B232" s="17"/>
      <c r="C232" s="14"/>
      <c r="D232" s="14"/>
      <c r="E232" s="18"/>
      <c r="F232" s="61"/>
      <c r="G232" s="73"/>
      <c r="H232" s="79"/>
      <c r="I232" s="79"/>
      <c r="J232" s="14"/>
      <c r="K232" s="38"/>
      <c r="L232" s="38"/>
      <c r="M232" s="17"/>
    </row>
    <row r="233" spans="2:13" ht="14.45" customHeight="1" x14ac:dyDescent="0.25">
      <c r="B233" s="17"/>
      <c r="C233" s="14"/>
      <c r="D233" s="14"/>
      <c r="E233" s="18"/>
      <c r="F233" s="61"/>
      <c r="G233" s="73"/>
      <c r="H233" s="79"/>
      <c r="I233" s="79"/>
      <c r="J233" s="14"/>
      <c r="K233" s="38"/>
      <c r="L233" s="38"/>
      <c r="M233" s="17"/>
    </row>
    <row r="234" spans="2:13" ht="14.45" customHeight="1" x14ac:dyDescent="0.25">
      <c r="B234" s="17"/>
      <c r="C234" s="14"/>
      <c r="D234" s="14"/>
      <c r="E234" s="18"/>
      <c r="F234" s="61"/>
      <c r="G234" s="73"/>
      <c r="H234" s="79"/>
      <c r="I234" s="79"/>
      <c r="J234" s="14"/>
      <c r="K234" s="38"/>
      <c r="L234" s="38"/>
      <c r="M234" s="17"/>
    </row>
    <row r="235" spans="2:13" ht="14.45" customHeight="1" x14ac:dyDescent="0.25">
      <c r="B235" s="17"/>
      <c r="C235" s="14"/>
      <c r="D235" s="14"/>
      <c r="E235" s="18"/>
      <c r="F235" s="61"/>
      <c r="G235" s="73"/>
      <c r="H235" s="79"/>
      <c r="I235" s="79"/>
      <c r="J235" s="14"/>
      <c r="K235" s="38"/>
      <c r="L235" s="38"/>
      <c r="M235" s="17"/>
    </row>
    <row r="236" spans="2:13" ht="14.45" customHeight="1" x14ac:dyDescent="0.25">
      <c r="B236" s="17"/>
      <c r="C236" s="14"/>
      <c r="D236" s="14"/>
      <c r="E236" s="18"/>
      <c r="F236" s="61"/>
      <c r="G236" s="73"/>
      <c r="H236" s="79"/>
      <c r="I236" s="79"/>
      <c r="J236" s="14"/>
      <c r="K236" s="38"/>
      <c r="L236" s="38"/>
      <c r="M236" s="17"/>
    </row>
    <row r="237" spans="2:13" ht="14.45" customHeight="1" x14ac:dyDescent="0.25">
      <c r="B237" s="17"/>
      <c r="C237" s="14"/>
      <c r="D237" s="14"/>
      <c r="E237" s="18"/>
      <c r="F237" s="61"/>
      <c r="G237" s="73"/>
      <c r="H237" s="79"/>
      <c r="I237" s="79"/>
      <c r="J237" s="14"/>
      <c r="K237" s="38"/>
      <c r="L237" s="38"/>
      <c r="M237" s="17"/>
    </row>
    <row r="238" spans="2:13" ht="14.45" customHeight="1" x14ac:dyDescent="0.25">
      <c r="B238" s="17"/>
      <c r="C238" s="14"/>
      <c r="D238" s="14"/>
      <c r="E238" s="18"/>
      <c r="F238" s="61"/>
      <c r="G238" s="73"/>
      <c r="H238" s="79"/>
      <c r="I238" s="79"/>
      <c r="J238" s="14"/>
      <c r="K238" s="38"/>
      <c r="L238" s="38"/>
      <c r="M238" s="17"/>
    </row>
    <row r="239" spans="2:13" ht="14.45" customHeight="1" x14ac:dyDescent="0.25">
      <c r="B239" s="17"/>
      <c r="C239" s="14"/>
      <c r="D239" s="14"/>
      <c r="E239" s="18"/>
      <c r="F239" s="61"/>
      <c r="G239" s="73"/>
      <c r="H239" s="79"/>
      <c r="I239" s="79"/>
      <c r="J239" s="14"/>
      <c r="K239" s="38"/>
      <c r="L239" s="38"/>
      <c r="M239" s="17"/>
    </row>
    <row r="240" spans="2:13" ht="14.45" customHeight="1" x14ac:dyDescent="0.25">
      <c r="B240" s="17"/>
      <c r="C240" s="14"/>
      <c r="D240" s="14"/>
      <c r="E240" s="18"/>
      <c r="F240" s="61"/>
      <c r="G240" s="73"/>
      <c r="H240" s="79"/>
      <c r="I240" s="79"/>
      <c r="J240" s="14"/>
      <c r="K240" s="38"/>
      <c r="L240" s="38"/>
      <c r="M240" s="17"/>
    </row>
    <row r="241" spans="2:13" ht="14.45" customHeight="1" x14ac:dyDescent="0.25">
      <c r="B241" s="17"/>
      <c r="C241" s="14"/>
      <c r="D241" s="14"/>
      <c r="E241" s="18"/>
      <c r="F241" s="61"/>
      <c r="G241" s="73"/>
      <c r="H241" s="79"/>
      <c r="I241" s="79"/>
      <c r="J241" s="14"/>
      <c r="K241" s="38"/>
      <c r="L241" s="38"/>
      <c r="M241" s="17"/>
    </row>
    <row r="242" spans="2:13" ht="14.45" customHeight="1" x14ac:dyDescent="0.25">
      <c r="B242" s="17"/>
      <c r="C242" s="14"/>
      <c r="D242" s="14"/>
      <c r="E242" s="18"/>
      <c r="F242" s="61"/>
      <c r="G242" s="73"/>
      <c r="H242" s="79"/>
      <c r="I242" s="79"/>
      <c r="J242" s="14"/>
      <c r="K242" s="38"/>
      <c r="L242" s="38"/>
      <c r="M242" s="17"/>
    </row>
    <row r="243" spans="2:13" ht="14.45" customHeight="1" x14ac:dyDescent="0.25">
      <c r="B243" s="17"/>
      <c r="C243" s="14"/>
      <c r="D243" s="14"/>
      <c r="E243" s="18"/>
      <c r="F243" s="61"/>
      <c r="G243" s="73"/>
      <c r="H243" s="79"/>
      <c r="I243" s="79"/>
      <c r="J243" s="14"/>
      <c r="K243" s="38"/>
      <c r="L243" s="38"/>
      <c r="M243" s="17"/>
    </row>
    <row r="244" spans="2:13" ht="14.45" customHeight="1" x14ac:dyDescent="0.25">
      <c r="B244" s="17"/>
      <c r="C244" s="14"/>
      <c r="D244" s="14"/>
      <c r="E244" s="18"/>
      <c r="F244" s="61"/>
      <c r="G244" s="73"/>
      <c r="H244" s="79"/>
      <c r="I244" s="79"/>
      <c r="J244" s="14"/>
      <c r="K244" s="38"/>
      <c r="L244" s="38"/>
      <c r="M244" s="17"/>
    </row>
    <row r="245" spans="2:13" ht="14.45" customHeight="1" x14ac:dyDescent="0.25">
      <c r="B245" s="17"/>
      <c r="C245" s="14"/>
      <c r="D245" s="14"/>
      <c r="E245" s="18"/>
      <c r="F245" s="61"/>
      <c r="G245" s="73"/>
      <c r="H245" s="79"/>
      <c r="I245" s="79"/>
      <c r="J245" s="14"/>
      <c r="K245" s="38"/>
      <c r="L245" s="38"/>
      <c r="M245" s="17"/>
    </row>
    <row r="246" spans="2:13" ht="14.45" customHeight="1" x14ac:dyDescent="0.25">
      <c r="B246" s="17"/>
      <c r="C246" s="14"/>
      <c r="D246" s="14"/>
      <c r="E246" s="18"/>
      <c r="F246" s="61"/>
      <c r="G246" s="73"/>
      <c r="H246" s="79"/>
      <c r="I246" s="79"/>
      <c r="J246" s="14"/>
      <c r="K246" s="38"/>
      <c r="L246" s="38"/>
      <c r="M246" s="17"/>
    </row>
    <row r="247" spans="2:13" ht="14.45" customHeight="1" x14ac:dyDescent="0.25">
      <c r="B247" s="17"/>
      <c r="C247" s="14"/>
      <c r="D247" s="14"/>
      <c r="E247" s="18"/>
      <c r="F247" s="61"/>
      <c r="G247" s="73"/>
      <c r="H247" s="79"/>
      <c r="I247" s="79"/>
      <c r="J247" s="14"/>
      <c r="K247" s="38"/>
      <c r="L247" s="38"/>
      <c r="M247" s="17"/>
    </row>
    <row r="248" spans="2:13" ht="14.45" customHeight="1" x14ac:dyDescent="0.25">
      <c r="B248" s="17"/>
      <c r="C248" s="14"/>
      <c r="D248" s="14"/>
      <c r="E248" s="18"/>
      <c r="F248" s="61"/>
      <c r="G248" s="73"/>
      <c r="H248" s="79"/>
      <c r="I248" s="79"/>
      <c r="J248" s="14"/>
      <c r="K248" s="38"/>
      <c r="L248" s="38"/>
      <c r="M248" s="17"/>
    </row>
    <row r="249" spans="2:13" ht="14.45" customHeight="1" x14ac:dyDescent="0.25">
      <c r="B249" s="17"/>
      <c r="C249" s="14"/>
      <c r="D249" s="14"/>
      <c r="E249" s="18"/>
      <c r="F249" s="61"/>
      <c r="G249" s="73"/>
      <c r="H249" s="79"/>
      <c r="I249" s="79"/>
      <c r="J249" s="14"/>
      <c r="K249" s="38"/>
      <c r="L249" s="38"/>
      <c r="M249" s="17"/>
    </row>
    <row r="250" spans="2:13" ht="14.45" customHeight="1" x14ac:dyDescent="0.25">
      <c r="B250" s="17"/>
      <c r="C250" s="14"/>
      <c r="D250" s="14"/>
      <c r="E250" s="18"/>
      <c r="F250" s="61"/>
      <c r="G250" s="73"/>
      <c r="H250" s="79"/>
      <c r="I250" s="79"/>
      <c r="J250" s="14"/>
      <c r="K250" s="38"/>
      <c r="L250" s="38"/>
      <c r="M250" s="17"/>
    </row>
    <row r="251" spans="2:13" ht="14.45" customHeight="1" x14ac:dyDescent="0.25">
      <c r="B251" s="17"/>
      <c r="C251" s="14"/>
      <c r="D251" s="14"/>
      <c r="E251" s="18"/>
      <c r="F251" s="61"/>
      <c r="G251" s="73"/>
      <c r="H251" s="79"/>
      <c r="I251" s="79"/>
      <c r="J251" s="14"/>
      <c r="K251" s="38"/>
      <c r="L251" s="38"/>
      <c r="M251" s="17"/>
    </row>
    <row r="252" spans="2:13" ht="14.45" customHeight="1" x14ac:dyDescent="0.25">
      <c r="B252" s="17"/>
      <c r="C252" s="14"/>
      <c r="D252" s="14"/>
      <c r="E252" s="18"/>
      <c r="F252" s="61"/>
      <c r="G252" s="73"/>
      <c r="H252" s="79"/>
      <c r="I252" s="79"/>
      <c r="J252" s="14"/>
      <c r="K252" s="38"/>
      <c r="L252" s="38"/>
      <c r="M252" s="17"/>
    </row>
    <row r="253" spans="2:13" ht="14.45" customHeight="1" x14ac:dyDescent="0.25">
      <c r="B253" s="17"/>
      <c r="C253" s="14"/>
      <c r="D253" s="14"/>
      <c r="E253" s="18"/>
      <c r="F253" s="61"/>
      <c r="G253" s="73"/>
      <c r="H253" s="79"/>
      <c r="I253" s="79"/>
      <c r="J253" s="14"/>
      <c r="K253" s="38"/>
      <c r="L253" s="38"/>
      <c r="M253" s="17"/>
    </row>
    <row r="254" spans="2:13" ht="14.45" customHeight="1" x14ac:dyDescent="0.25">
      <c r="B254" s="17"/>
      <c r="C254" s="14"/>
      <c r="D254" s="14"/>
      <c r="E254" s="18"/>
      <c r="F254" s="61"/>
      <c r="G254" s="73"/>
      <c r="H254" s="79"/>
      <c r="I254" s="79"/>
      <c r="J254" s="14"/>
      <c r="K254" s="38"/>
      <c r="L254" s="38"/>
      <c r="M254" s="17"/>
    </row>
    <row r="255" spans="2:13" ht="14.45" customHeight="1" x14ac:dyDescent="0.25">
      <c r="B255" s="17"/>
      <c r="C255" s="14"/>
      <c r="D255" s="14"/>
      <c r="E255" s="18"/>
      <c r="F255" s="61"/>
      <c r="G255" s="73"/>
      <c r="H255" s="79"/>
      <c r="I255" s="79"/>
      <c r="J255" s="14"/>
      <c r="K255" s="38"/>
      <c r="L255" s="38"/>
      <c r="M255" s="17"/>
    </row>
    <row r="256" spans="2:13" ht="14.45" customHeight="1" x14ac:dyDescent="0.25">
      <c r="B256" s="17"/>
      <c r="C256" s="14"/>
      <c r="D256" s="14"/>
      <c r="E256" s="18"/>
      <c r="F256" s="61"/>
      <c r="G256" s="73"/>
      <c r="H256" s="79"/>
      <c r="I256" s="79"/>
      <c r="J256" s="14"/>
      <c r="K256" s="38"/>
      <c r="L256" s="38"/>
      <c r="M256" s="17"/>
    </row>
    <row r="257" spans="2:13" ht="14.45" customHeight="1" x14ac:dyDescent="0.25">
      <c r="B257" s="17"/>
      <c r="C257" s="14"/>
      <c r="D257" s="14"/>
      <c r="E257" s="18"/>
      <c r="F257" s="61"/>
      <c r="G257" s="73"/>
      <c r="H257" s="79"/>
      <c r="I257" s="79"/>
      <c r="J257" s="14"/>
      <c r="K257" s="38"/>
      <c r="L257" s="38"/>
      <c r="M257" s="17"/>
    </row>
    <row r="258" spans="2:13" ht="14.45" customHeight="1" x14ac:dyDescent="0.25">
      <c r="B258" s="17"/>
      <c r="C258" s="14"/>
      <c r="D258" s="14"/>
      <c r="E258" s="18"/>
      <c r="F258" s="61"/>
      <c r="G258" s="73"/>
      <c r="H258" s="79"/>
      <c r="I258" s="79"/>
      <c r="J258" s="14"/>
      <c r="K258" s="38"/>
      <c r="L258" s="38"/>
      <c r="M258" s="17"/>
    </row>
    <row r="259" spans="2:13" ht="14.45" customHeight="1" x14ac:dyDescent="0.25">
      <c r="B259" s="17"/>
      <c r="C259" s="14"/>
      <c r="D259" s="14"/>
      <c r="E259" s="18"/>
      <c r="F259" s="61"/>
      <c r="G259" s="73"/>
      <c r="H259" s="79"/>
      <c r="I259" s="79"/>
      <c r="J259" s="14"/>
      <c r="K259" s="38"/>
      <c r="L259" s="38"/>
      <c r="M259" s="17"/>
    </row>
    <row r="260" spans="2:13" ht="14.45" customHeight="1" x14ac:dyDescent="0.25">
      <c r="B260" s="17"/>
      <c r="C260" s="14"/>
      <c r="D260" s="14"/>
      <c r="E260" s="18"/>
      <c r="F260" s="61"/>
      <c r="G260" s="73"/>
      <c r="H260" s="79"/>
      <c r="I260" s="79"/>
      <c r="J260" s="14"/>
      <c r="K260" s="38"/>
      <c r="L260" s="38"/>
      <c r="M260" s="17"/>
    </row>
    <row r="261" spans="2:13" ht="14.45" customHeight="1" x14ac:dyDescent="0.25">
      <c r="B261" s="17"/>
      <c r="C261" s="14"/>
      <c r="D261" s="14"/>
      <c r="E261" s="18"/>
      <c r="F261" s="61"/>
      <c r="G261" s="73"/>
      <c r="H261" s="79"/>
      <c r="I261" s="79"/>
      <c r="J261" s="14"/>
      <c r="K261" s="38"/>
      <c r="L261" s="38"/>
      <c r="M261" s="17"/>
    </row>
    <row r="262" spans="2:13" ht="14.45" customHeight="1" x14ac:dyDescent="0.25">
      <c r="B262" s="17"/>
      <c r="C262" s="14"/>
      <c r="D262" s="14"/>
      <c r="E262" s="18"/>
      <c r="F262" s="61"/>
      <c r="G262" s="73"/>
      <c r="H262" s="79"/>
      <c r="I262" s="79"/>
      <c r="J262" s="14"/>
      <c r="K262" s="38"/>
      <c r="L262" s="38"/>
      <c r="M262" s="17"/>
    </row>
    <row r="263" spans="2:13" ht="14.45" customHeight="1" x14ac:dyDescent="0.25">
      <c r="B263" s="17"/>
      <c r="C263" s="14"/>
      <c r="D263" s="14"/>
      <c r="E263" s="18"/>
      <c r="F263" s="61"/>
      <c r="G263" s="73"/>
      <c r="H263" s="79"/>
      <c r="I263" s="79"/>
      <c r="J263" s="14"/>
      <c r="K263" s="38"/>
      <c r="L263" s="38"/>
      <c r="M263" s="17"/>
    </row>
    <row r="264" spans="2:13" ht="14.45" customHeight="1" x14ac:dyDescent="0.25">
      <c r="B264" s="17"/>
      <c r="C264" s="14"/>
      <c r="D264" s="14"/>
      <c r="E264" s="18"/>
      <c r="F264" s="61"/>
      <c r="G264" s="73"/>
      <c r="H264" s="79"/>
      <c r="I264" s="79"/>
      <c r="J264" s="14"/>
      <c r="K264" s="38"/>
      <c r="L264" s="38"/>
      <c r="M264" s="17"/>
    </row>
    <row r="265" spans="2:13" ht="14.45" customHeight="1" x14ac:dyDescent="0.25">
      <c r="B265" s="17"/>
      <c r="C265" s="14"/>
      <c r="D265" s="14"/>
      <c r="E265" s="18"/>
      <c r="F265" s="61"/>
      <c r="G265" s="73"/>
      <c r="H265" s="79"/>
      <c r="I265" s="79"/>
      <c r="J265" s="14"/>
      <c r="K265" s="38"/>
      <c r="L265" s="38"/>
      <c r="M265" s="17"/>
    </row>
    <row r="266" spans="2:13" ht="14.45" customHeight="1" x14ac:dyDescent="0.25">
      <c r="B266" s="17"/>
      <c r="C266" s="14"/>
      <c r="D266" s="14"/>
      <c r="E266" s="18"/>
      <c r="F266" s="61"/>
      <c r="G266" s="73"/>
      <c r="H266" s="79"/>
      <c r="I266" s="79"/>
      <c r="J266" s="14"/>
      <c r="K266" s="38"/>
      <c r="L266" s="38"/>
      <c r="M266" s="17"/>
    </row>
    <row r="267" spans="2:13" ht="14.45" customHeight="1" x14ac:dyDescent="0.25">
      <c r="B267" s="17"/>
      <c r="C267" s="14"/>
      <c r="D267" s="14"/>
      <c r="E267" s="18"/>
      <c r="F267" s="61"/>
      <c r="G267" s="73"/>
      <c r="H267" s="79"/>
      <c r="I267" s="79"/>
      <c r="J267" s="14"/>
      <c r="K267" s="38"/>
      <c r="L267" s="38"/>
      <c r="M267" s="17"/>
    </row>
    <row r="268" spans="2:13" ht="14.45" customHeight="1" x14ac:dyDescent="0.25">
      <c r="B268" s="17"/>
      <c r="C268" s="14"/>
      <c r="D268" s="14"/>
      <c r="E268" s="18"/>
      <c r="F268" s="61"/>
      <c r="G268" s="73"/>
      <c r="H268" s="79"/>
      <c r="I268" s="79"/>
      <c r="J268" s="14"/>
      <c r="K268" s="38"/>
      <c r="L268" s="38"/>
      <c r="M268" s="17"/>
    </row>
    <row r="269" spans="2:13" ht="14.45" customHeight="1" x14ac:dyDescent="0.25">
      <c r="B269" s="17"/>
      <c r="C269" s="14"/>
      <c r="D269" s="14"/>
      <c r="E269" s="18"/>
      <c r="F269" s="61"/>
      <c r="G269" s="73"/>
      <c r="H269" s="79"/>
      <c r="I269" s="79"/>
      <c r="J269" s="14"/>
      <c r="K269" s="38"/>
      <c r="L269" s="38"/>
      <c r="M269" s="17"/>
    </row>
    <row r="270" spans="2:13" ht="14.45" customHeight="1" x14ac:dyDescent="0.25">
      <c r="B270" s="17"/>
      <c r="C270" s="14"/>
      <c r="D270" s="14"/>
      <c r="E270" s="18"/>
      <c r="F270" s="61"/>
      <c r="G270" s="73"/>
      <c r="H270" s="79"/>
      <c r="I270" s="79"/>
      <c r="J270" s="14"/>
      <c r="K270" s="38"/>
      <c r="L270" s="38"/>
      <c r="M270" s="17"/>
    </row>
    <row r="271" spans="2:13" ht="14.45" customHeight="1" x14ac:dyDescent="0.25">
      <c r="B271" s="17"/>
      <c r="C271" s="14"/>
      <c r="D271" s="14"/>
      <c r="E271" s="18"/>
      <c r="F271" s="61"/>
      <c r="G271" s="73"/>
      <c r="H271" s="79"/>
      <c r="I271" s="79"/>
      <c r="J271" s="14"/>
      <c r="K271" s="38"/>
      <c r="L271" s="38"/>
      <c r="M271" s="17"/>
    </row>
    <row r="272" spans="2:13" ht="14.45" customHeight="1" x14ac:dyDescent="0.25">
      <c r="B272" s="17"/>
      <c r="C272" s="14"/>
      <c r="D272" s="14"/>
      <c r="E272" s="18"/>
      <c r="F272" s="61"/>
      <c r="G272" s="73"/>
      <c r="H272" s="79"/>
      <c r="I272" s="79"/>
      <c r="J272" s="14"/>
      <c r="K272" s="38"/>
      <c r="L272" s="38"/>
      <c r="M272" s="17"/>
    </row>
    <row r="273" spans="2:13" ht="14.45" customHeight="1" x14ac:dyDescent="0.25">
      <c r="B273" s="17"/>
      <c r="C273" s="14"/>
      <c r="D273" s="14"/>
      <c r="E273" s="18"/>
      <c r="F273" s="61"/>
      <c r="G273" s="73"/>
      <c r="H273" s="79"/>
      <c r="I273" s="79"/>
      <c r="J273" s="14"/>
      <c r="K273" s="38"/>
      <c r="L273" s="38"/>
      <c r="M273" s="17"/>
    </row>
    <row r="274" spans="2:13" ht="14.45" customHeight="1" x14ac:dyDescent="0.25">
      <c r="B274" s="17"/>
      <c r="C274" s="14"/>
      <c r="D274" s="14"/>
      <c r="E274" s="18"/>
      <c r="F274" s="61"/>
      <c r="G274" s="73"/>
      <c r="H274" s="79"/>
      <c r="I274" s="79"/>
      <c r="J274" s="14"/>
      <c r="K274" s="38"/>
      <c r="L274" s="38"/>
      <c r="M274" s="17"/>
    </row>
    <row r="275" spans="2:13" ht="14.45" customHeight="1" x14ac:dyDescent="0.25">
      <c r="B275" s="17"/>
      <c r="C275" s="14"/>
      <c r="D275" s="14"/>
      <c r="E275" s="18"/>
      <c r="F275" s="61"/>
      <c r="G275" s="73"/>
      <c r="H275" s="79"/>
      <c r="I275" s="79"/>
      <c r="J275" s="14"/>
      <c r="K275" s="38"/>
      <c r="L275" s="38"/>
      <c r="M275" s="17"/>
    </row>
    <row r="276" spans="2:13" ht="14.45" customHeight="1" x14ac:dyDescent="0.25">
      <c r="B276" s="17"/>
      <c r="C276" s="14"/>
      <c r="D276" s="14"/>
      <c r="E276" s="18"/>
      <c r="F276" s="61"/>
      <c r="G276" s="73"/>
      <c r="H276" s="79"/>
      <c r="I276" s="79"/>
      <c r="J276" s="14"/>
      <c r="K276" s="38"/>
      <c r="L276" s="38"/>
      <c r="M276" s="17"/>
    </row>
    <row r="277" spans="2:13" ht="14.45" customHeight="1" x14ac:dyDescent="0.25">
      <c r="B277" s="17"/>
      <c r="C277" s="14"/>
      <c r="D277" s="14"/>
      <c r="E277" s="18"/>
      <c r="F277" s="61"/>
      <c r="G277" s="73"/>
      <c r="H277" s="79"/>
      <c r="I277" s="79"/>
      <c r="J277" s="14"/>
      <c r="K277" s="38"/>
      <c r="L277" s="38"/>
      <c r="M277" s="17"/>
    </row>
    <row r="278" spans="2:13" ht="14.45" customHeight="1" x14ac:dyDescent="0.25">
      <c r="B278" s="17"/>
      <c r="C278" s="14"/>
      <c r="D278" s="14"/>
      <c r="E278" s="18"/>
      <c r="F278" s="61"/>
      <c r="G278" s="73"/>
      <c r="H278" s="79"/>
      <c r="I278" s="79"/>
      <c r="J278" s="14"/>
      <c r="K278" s="38"/>
      <c r="L278" s="38"/>
      <c r="M278" s="17"/>
    </row>
    <row r="279" spans="2:13" ht="14.45" customHeight="1" x14ac:dyDescent="0.25">
      <c r="B279" s="17"/>
      <c r="C279" s="14"/>
      <c r="D279" s="14"/>
      <c r="E279" s="18"/>
      <c r="F279" s="61"/>
      <c r="G279" s="73"/>
      <c r="H279" s="79"/>
      <c r="I279" s="79"/>
      <c r="J279" s="14"/>
      <c r="K279" s="38"/>
      <c r="L279" s="38"/>
      <c r="M279" s="17"/>
    </row>
    <row r="280" spans="2:13" ht="14.45" customHeight="1" x14ac:dyDescent="0.25">
      <c r="B280" s="17"/>
      <c r="C280" s="14"/>
      <c r="D280" s="14"/>
      <c r="E280" s="18"/>
      <c r="F280" s="61"/>
      <c r="G280" s="73"/>
      <c r="H280" s="79"/>
      <c r="I280" s="79"/>
      <c r="J280" s="14"/>
      <c r="K280" s="38"/>
      <c r="L280" s="38"/>
      <c r="M280" s="17"/>
    </row>
    <row r="281" spans="2:13" ht="14.45" customHeight="1" x14ac:dyDescent="0.25">
      <c r="B281" s="17"/>
      <c r="C281" s="14"/>
      <c r="D281" s="14"/>
      <c r="E281" s="18"/>
      <c r="F281" s="61"/>
      <c r="G281" s="73"/>
      <c r="H281" s="79"/>
      <c r="I281" s="79"/>
      <c r="J281" s="14"/>
      <c r="K281" s="38"/>
      <c r="L281" s="38"/>
      <c r="M281" s="17"/>
    </row>
    <row r="282" spans="2:13" ht="14.45" customHeight="1" x14ac:dyDescent="0.25">
      <c r="B282" s="17"/>
      <c r="C282" s="14"/>
      <c r="D282" s="14"/>
      <c r="E282" s="18"/>
      <c r="F282" s="61"/>
      <c r="G282" s="73"/>
      <c r="H282" s="79"/>
      <c r="I282" s="79"/>
      <c r="J282" s="14"/>
      <c r="K282" s="38"/>
      <c r="L282" s="38"/>
      <c r="M282" s="17"/>
    </row>
    <row r="283" spans="2:13" ht="14.45" customHeight="1" x14ac:dyDescent="0.25">
      <c r="B283" s="17"/>
      <c r="C283" s="14"/>
      <c r="D283" s="14"/>
      <c r="E283" s="18"/>
      <c r="F283" s="61"/>
      <c r="G283" s="73"/>
      <c r="H283" s="79"/>
      <c r="I283" s="79"/>
      <c r="J283" s="14"/>
      <c r="K283" s="38"/>
      <c r="L283" s="38"/>
      <c r="M283" s="17"/>
    </row>
    <row r="284" spans="2:13" ht="14.45" customHeight="1" x14ac:dyDescent="0.25">
      <c r="B284" s="17"/>
      <c r="C284" s="14"/>
      <c r="D284" s="14"/>
      <c r="E284" s="18"/>
      <c r="F284" s="61"/>
      <c r="G284" s="73"/>
      <c r="H284" s="79"/>
      <c r="I284" s="79"/>
      <c r="J284" s="14"/>
      <c r="K284" s="38"/>
      <c r="L284" s="38"/>
      <c r="M284" s="17"/>
    </row>
    <row r="285" spans="2:13" ht="14.45" customHeight="1" x14ac:dyDescent="0.25">
      <c r="B285" s="17"/>
      <c r="C285" s="14"/>
      <c r="D285" s="14"/>
      <c r="E285" s="18"/>
      <c r="F285" s="61"/>
      <c r="G285" s="73"/>
      <c r="H285" s="79"/>
      <c r="I285" s="79"/>
      <c r="J285" s="14"/>
      <c r="K285" s="38"/>
      <c r="L285" s="38"/>
      <c r="M285" s="17"/>
    </row>
    <row r="286" spans="2:13" ht="14.45" customHeight="1" x14ac:dyDescent="0.25">
      <c r="B286" s="17"/>
      <c r="C286" s="14"/>
      <c r="D286" s="14"/>
      <c r="E286" s="18"/>
      <c r="F286" s="61"/>
      <c r="G286" s="73"/>
      <c r="H286" s="79"/>
      <c r="I286" s="79"/>
      <c r="J286" s="14"/>
      <c r="K286" s="38"/>
      <c r="L286" s="38"/>
      <c r="M286" s="17"/>
    </row>
    <row r="287" spans="2:13" ht="14.45" customHeight="1" x14ac:dyDescent="0.25">
      <c r="B287" s="17"/>
      <c r="C287" s="14"/>
      <c r="D287" s="14"/>
      <c r="E287" s="18"/>
      <c r="F287" s="61"/>
      <c r="G287" s="73"/>
      <c r="H287" s="79"/>
      <c r="I287" s="79"/>
      <c r="J287" s="14"/>
      <c r="K287" s="38"/>
      <c r="L287" s="38"/>
      <c r="M287" s="17"/>
    </row>
    <row r="288" spans="2:13" ht="14.45" customHeight="1" x14ac:dyDescent="0.25">
      <c r="B288" s="17"/>
      <c r="C288" s="14"/>
      <c r="D288" s="14"/>
      <c r="E288" s="18"/>
      <c r="F288" s="61"/>
      <c r="G288" s="73"/>
      <c r="H288" s="79"/>
      <c r="I288" s="79"/>
      <c r="J288" s="14"/>
      <c r="K288" s="38"/>
      <c r="L288" s="38"/>
      <c r="M288" s="17"/>
    </row>
    <row r="289" spans="2:13" ht="14.45" customHeight="1" x14ac:dyDescent="0.25">
      <c r="B289" s="17"/>
      <c r="C289" s="14"/>
      <c r="D289" s="14"/>
      <c r="E289" s="18"/>
      <c r="F289" s="61"/>
      <c r="G289" s="73"/>
      <c r="H289" s="79"/>
      <c r="I289" s="79"/>
      <c r="J289" s="14"/>
      <c r="K289" s="38"/>
      <c r="L289" s="38"/>
      <c r="M289" s="17"/>
    </row>
    <row r="290" spans="2:13" ht="14.45" customHeight="1" x14ac:dyDescent="0.25">
      <c r="B290" s="17"/>
      <c r="C290" s="14"/>
      <c r="D290" s="14"/>
      <c r="E290" s="18"/>
      <c r="F290" s="61"/>
      <c r="G290" s="73"/>
      <c r="H290" s="79"/>
      <c r="I290" s="79"/>
      <c r="J290" s="14"/>
      <c r="K290" s="38"/>
      <c r="L290" s="38"/>
      <c r="M290" s="17"/>
    </row>
    <row r="291" spans="2:13" ht="14.45" customHeight="1" x14ac:dyDescent="0.25">
      <c r="B291" s="17"/>
      <c r="C291" s="14"/>
      <c r="D291" s="14"/>
      <c r="E291" s="18"/>
      <c r="F291" s="61"/>
      <c r="G291" s="73"/>
      <c r="H291" s="79"/>
      <c r="I291" s="79"/>
      <c r="J291" s="14"/>
      <c r="K291" s="38"/>
      <c r="L291" s="38"/>
      <c r="M291" s="17"/>
    </row>
    <row r="292" spans="2:13" ht="14.45" customHeight="1" x14ac:dyDescent="0.25">
      <c r="B292" s="17"/>
      <c r="C292" s="14"/>
      <c r="D292" s="14"/>
      <c r="E292" s="18"/>
      <c r="F292" s="61"/>
      <c r="G292" s="73"/>
      <c r="H292" s="79"/>
      <c r="I292" s="79"/>
      <c r="J292" s="14"/>
      <c r="K292" s="38"/>
      <c r="L292" s="38"/>
      <c r="M292" s="17"/>
    </row>
    <row r="293" spans="2:13" ht="14.45" customHeight="1" x14ac:dyDescent="0.25">
      <c r="B293" s="17"/>
      <c r="C293" s="14"/>
      <c r="D293" s="14"/>
      <c r="E293" s="18"/>
      <c r="F293" s="61"/>
      <c r="G293" s="73"/>
      <c r="H293" s="79"/>
      <c r="I293" s="79"/>
      <c r="J293" s="14"/>
      <c r="K293" s="38"/>
      <c r="L293" s="38"/>
      <c r="M293" s="17"/>
    </row>
    <row r="294" spans="2:13" ht="14.45" customHeight="1" x14ac:dyDescent="0.25">
      <c r="B294" s="17"/>
      <c r="C294" s="14"/>
      <c r="D294" s="14"/>
      <c r="E294" s="18"/>
      <c r="F294" s="61"/>
      <c r="G294" s="73"/>
      <c r="H294" s="79"/>
      <c r="I294" s="79"/>
      <c r="J294" s="14"/>
      <c r="K294" s="38"/>
      <c r="L294" s="38"/>
      <c r="M294" s="17"/>
    </row>
    <row r="295" spans="2:13" ht="14.45" customHeight="1" x14ac:dyDescent="0.25">
      <c r="B295" s="17"/>
      <c r="C295" s="14"/>
      <c r="D295" s="14"/>
      <c r="E295" s="18"/>
      <c r="F295" s="61"/>
      <c r="G295" s="73"/>
      <c r="H295" s="79"/>
      <c r="I295" s="79"/>
      <c r="J295" s="14"/>
      <c r="K295" s="38"/>
      <c r="L295" s="38"/>
      <c r="M295" s="17"/>
    </row>
    <row r="296" spans="2:13" ht="14.45" customHeight="1" x14ac:dyDescent="0.25">
      <c r="B296" s="17"/>
      <c r="C296" s="14"/>
      <c r="D296" s="14"/>
      <c r="E296" s="18"/>
      <c r="F296" s="61"/>
      <c r="G296" s="73"/>
      <c r="H296" s="79"/>
      <c r="I296" s="79"/>
      <c r="J296" s="14"/>
      <c r="K296" s="38"/>
      <c r="L296" s="38"/>
      <c r="M296" s="17"/>
    </row>
    <row r="297" spans="2:13" ht="14.45" customHeight="1" x14ac:dyDescent="0.25">
      <c r="B297" s="17"/>
      <c r="C297" s="14"/>
      <c r="D297" s="14"/>
      <c r="E297" s="18"/>
      <c r="F297" s="61"/>
      <c r="G297" s="73"/>
      <c r="H297" s="79"/>
      <c r="I297" s="79"/>
      <c r="J297" s="14"/>
      <c r="K297" s="38"/>
      <c r="L297" s="38"/>
      <c r="M297" s="17"/>
    </row>
    <row r="298" spans="2:13" ht="14.45" customHeight="1" x14ac:dyDescent="0.25">
      <c r="B298" s="17"/>
      <c r="C298" s="14"/>
      <c r="D298" s="14"/>
      <c r="E298" s="18"/>
      <c r="F298" s="61"/>
      <c r="G298" s="73"/>
      <c r="H298" s="79"/>
      <c r="I298" s="79"/>
      <c r="J298" s="14"/>
      <c r="K298" s="38"/>
      <c r="L298" s="38"/>
      <c r="M298" s="17"/>
    </row>
    <row r="299" spans="2:13" ht="14.45" customHeight="1" x14ac:dyDescent="0.25">
      <c r="B299" s="17"/>
      <c r="C299" s="14"/>
      <c r="D299" s="14"/>
      <c r="E299" s="18"/>
      <c r="F299" s="61"/>
      <c r="G299" s="73"/>
      <c r="H299" s="79"/>
      <c r="I299" s="79"/>
      <c r="J299" s="14"/>
      <c r="K299" s="38"/>
      <c r="L299" s="38"/>
      <c r="M299" s="17"/>
    </row>
    <row r="300" spans="2:13" ht="14.45" customHeight="1" x14ac:dyDescent="0.25">
      <c r="B300" s="17"/>
      <c r="C300" s="14"/>
      <c r="D300" s="14"/>
      <c r="E300" s="18"/>
      <c r="F300" s="61"/>
      <c r="G300" s="73"/>
      <c r="H300" s="79"/>
      <c r="I300" s="79"/>
      <c r="J300" s="14"/>
      <c r="K300" s="38"/>
      <c r="L300" s="38"/>
      <c r="M300" s="17"/>
    </row>
    <row r="301" spans="2:13" ht="14.45" customHeight="1" x14ac:dyDescent="0.25">
      <c r="B301" s="17"/>
      <c r="C301" s="14"/>
      <c r="D301" s="14"/>
      <c r="E301" s="18"/>
      <c r="F301" s="61"/>
      <c r="G301" s="73"/>
      <c r="H301" s="79"/>
      <c r="I301" s="79"/>
      <c r="J301" s="14"/>
      <c r="K301" s="38"/>
      <c r="L301" s="38"/>
      <c r="M301" s="17"/>
    </row>
    <row r="302" spans="2:13" ht="14.45" customHeight="1" x14ac:dyDescent="0.25">
      <c r="B302" s="17"/>
      <c r="C302" s="14"/>
      <c r="D302" s="14"/>
      <c r="E302" s="18"/>
      <c r="F302" s="61"/>
      <c r="G302" s="73"/>
      <c r="H302" s="79"/>
      <c r="I302" s="79"/>
      <c r="J302" s="14"/>
      <c r="K302" s="38"/>
      <c r="L302" s="38"/>
      <c r="M302" s="17"/>
    </row>
    <row r="303" spans="2:13" ht="14.45" customHeight="1" x14ac:dyDescent="0.25">
      <c r="B303" s="17"/>
      <c r="C303" s="14"/>
      <c r="D303" s="14"/>
      <c r="E303" s="18"/>
      <c r="F303" s="61"/>
      <c r="G303" s="73"/>
      <c r="H303" s="79"/>
      <c r="I303" s="79"/>
      <c r="J303" s="14"/>
      <c r="K303" s="38"/>
      <c r="L303" s="38"/>
      <c r="M303" s="17"/>
    </row>
    <row r="304" spans="2:13" ht="14.45" customHeight="1" x14ac:dyDescent="0.25">
      <c r="B304" s="17"/>
      <c r="C304" s="14"/>
      <c r="D304" s="14"/>
      <c r="E304" s="18"/>
      <c r="F304" s="61"/>
      <c r="G304" s="73"/>
      <c r="H304" s="79"/>
      <c r="I304" s="79"/>
      <c r="J304" s="14"/>
      <c r="K304" s="38"/>
      <c r="L304" s="38"/>
      <c r="M304" s="17"/>
    </row>
    <row r="305" spans="2:13" ht="14.45" customHeight="1" x14ac:dyDescent="0.25">
      <c r="B305" s="17"/>
      <c r="C305" s="14"/>
      <c r="D305" s="14"/>
      <c r="E305" s="18"/>
      <c r="F305" s="61"/>
      <c r="G305" s="73"/>
      <c r="H305" s="79"/>
      <c r="I305" s="79"/>
      <c r="J305" s="14"/>
      <c r="K305" s="38"/>
      <c r="L305" s="38"/>
      <c r="M305" s="17"/>
    </row>
    <row r="306" spans="2:13" ht="14.45" customHeight="1" x14ac:dyDescent="0.25">
      <c r="B306" s="17"/>
      <c r="C306" s="14"/>
      <c r="D306" s="14"/>
      <c r="E306" s="18"/>
      <c r="F306" s="61"/>
      <c r="G306" s="73"/>
      <c r="H306" s="79"/>
      <c r="I306" s="79"/>
      <c r="J306" s="14"/>
      <c r="K306" s="38"/>
      <c r="L306" s="38"/>
      <c r="M306" s="17"/>
    </row>
    <row r="307" spans="2:13" ht="14.45" customHeight="1" x14ac:dyDescent="0.25">
      <c r="B307" s="17"/>
      <c r="C307" s="14"/>
      <c r="D307" s="14"/>
      <c r="E307" s="18"/>
      <c r="F307" s="61"/>
      <c r="G307" s="73"/>
      <c r="H307" s="79"/>
      <c r="I307" s="79"/>
      <c r="J307" s="14"/>
      <c r="K307" s="38"/>
      <c r="L307" s="38"/>
      <c r="M307" s="17"/>
    </row>
    <row r="308" spans="2:13" ht="14.45" customHeight="1" x14ac:dyDescent="0.25">
      <c r="B308" s="17"/>
      <c r="C308" s="14"/>
      <c r="D308" s="14"/>
      <c r="E308" s="18"/>
      <c r="F308" s="61"/>
      <c r="G308" s="73"/>
      <c r="H308" s="79"/>
      <c r="I308" s="79"/>
      <c r="J308" s="14"/>
      <c r="K308" s="38"/>
      <c r="L308" s="38"/>
      <c r="M308" s="17"/>
    </row>
    <row r="309" spans="2:13" ht="14.45" customHeight="1" x14ac:dyDescent="0.25">
      <c r="B309" s="17"/>
      <c r="C309" s="14"/>
      <c r="D309" s="14"/>
      <c r="E309" s="18"/>
      <c r="F309" s="61"/>
      <c r="G309" s="73"/>
      <c r="H309" s="79"/>
      <c r="I309" s="79"/>
      <c r="J309" s="14"/>
      <c r="K309" s="38"/>
      <c r="L309" s="38"/>
      <c r="M309" s="17"/>
    </row>
    <row r="310" spans="2:13" ht="14.45" customHeight="1" x14ac:dyDescent="0.25">
      <c r="B310" s="17"/>
      <c r="C310" s="14"/>
      <c r="D310" s="14"/>
      <c r="E310" s="18"/>
      <c r="F310" s="61"/>
      <c r="G310" s="73"/>
      <c r="H310" s="79"/>
      <c r="I310" s="79"/>
      <c r="J310" s="14"/>
      <c r="K310" s="38"/>
      <c r="L310" s="38"/>
      <c r="M310" s="17"/>
    </row>
    <row r="311" spans="2:13" ht="14.45" customHeight="1" x14ac:dyDescent="0.25">
      <c r="B311" s="17"/>
      <c r="C311" s="14"/>
      <c r="D311" s="14"/>
      <c r="E311" s="18"/>
      <c r="F311" s="61"/>
      <c r="G311" s="73"/>
      <c r="H311" s="79"/>
      <c r="I311" s="79"/>
      <c r="J311" s="14"/>
      <c r="K311" s="38"/>
      <c r="L311" s="38"/>
      <c r="M311" s="17"/>
    </row>
    <row r="312" spans="2:13" ht="14.45" customHeight="1" x14ac:dyDescent="0.25">
      <c r="B312" s="17"/>
      <c r="C312" s="14"/>
      <c r="D312" s="14"/>
      <c r="E312" s="18"/>
      <c r="F312" s="61"/>
      <c r="G312" s="73"/>
      <c r="H312" s="79"/>
      <c r="I312" s="79"/>
      <c r="J312" s="14"/>
      <c r="K312" s="38"/>
      <c r="L312" s="38"/>
      <c r="M312" s="17"/>
    </row>
    <row r="313" spans="2:13" ht="14.45" customHeight="1" x14ac:dyDescent="0.25">
      <c r="B313" s="17"/>
      <c r="C313" s="14"/>
      <c r="D313" s="14"/>
      <c r="E313" s="18"/>
      <c r="F313" s="61"/>
      <c r="G313" s="73"/>
      <c r="H313" s="79"/>
      <c r="I313" s="79"/>
      <c r="J313" s="14"/>
      <c r="K313" s="38"/>
      <c r="L313" s="38"/>
      <c r="M313" s="17"/>
    </row>
    <row r="314" spans="2:13" ht="14.45" customHeight="1" x14ac:dyDescent="0.25">
      <c r="B314" s="17"/>
      <c r="C314" s="14"/>
      <c r="D314" s="14"/>
      <c r="E314" s="18"/>
      <c r="F314" s="61"/>
      <c r="G314" s="73"/>
      <c r="H314" s="79"/>
      <c r="I314" s="79"/>
      <c r="J314" s="14"/>
      <c r="K314" s="38"/>
      <c r="L314" s="38"/>
      <c r="M314" s="17"/>
    </row>
    <row r="315" spans="2:13" ht="14.45" customHeight="1" x14ac:dyDescent="0.25">
      <c r="B315" s="17"/>
      <c r="C315" s="14"/>
      <c r="D315" s="14"/>
      <c r="E315" s="18"/>
      <c r="F315" s="61"/>
      <c r="G315" s="73"/>
      <c r="H315" s="79"/>
      <c r="I315" s="79"/>
      <c r="J315" s="14"/>
      <c r="K315" s="38"/>
      <c r="L315" s="38"/>
      <c r="M315" s="17"/>
    </row>
    <row r="316" spans="2:13" ht="14.45" customHeight="1" x14ac:dyDescent="0.25">
      <c r="B316" s="17"/>
      <c r="C316" s="14"/>
      <c r="D316" s="14"/>
      <c r="E316" s="18"/>
      <c r="F316" s="61"/>
      <c r="G316" s="73"/>
      <c r="H316" s="79"/>
      <c r="I316" s="79"/>
      <c r="J316" s="14"/>
      <c r="K316" s="38"/>
      <c r="L316" s="38"/>
      <c r="M316" s="17"/>
    </row>
    <row r="317" spans="2:13" ht="14.45" customHeight="1" x14ac:dyDescent="0.25">
      <c r="B317" s="17"/>
      <c r="C317" s="14"/>
      <c r="D317" s="14"/>
      <c r="E317" s="18"/>
      <c r="F317" s="61"/>
      <c r="G317" s="73"/>
      <c r="H317" s="79"/>
      <c r="I317" s="79"/>
      <c r="J317" s="14"/>
      <c r="K317" s="38"/>
      <c r="L317" s="38"/>
      <c r="M317" s="17"/>
    </row>
    <row r="318" spans="2:13" ht="14.45" customHeight="1" x14ac:dyDescent="0.25">
      <c r="B318" s="17"/>
      <c r="C318" s="14"/>
      <c r="D318" s="14"/>
      <c r="E318" s="18"/>
      <c r="F318" s="61"/>
      <c r="G318" s="73"/>
      <c r="H318" s="79"/>
      <c r="I318" s="79"/>
      <c r="J318" s="14"/>
      <c r="K318" s="38"/>
      <c r="L318" s="38"/>
      <c r="M318" s="17"/>
    </row>
    <row r="319" spans="2:13" ht="14.45" customHeight="1" x14ac:dyDescent="0.25">
      <c r="B319" s="17"/>
      <c r="C319" s="14"/>
      <c r="D319" s="14"/>
      <c r="E319" s="18"/>
      <c r="F319" s="61"/>
      <c r="G319" s="73"/>
      <c r="H319" s="79"/>
      <c r="I319" s="79"/>
      <c r="J319" s="14"/>
      <c r="K319" s="38"/>
      <c r="L319" s="38"/>
      <c r="M319" s="17"/>
    </row>
    <row r="320" spans="2:13" ht="14.45" customHeight="1" x14ac:dyDescent="0.25">
      <c r="B320" s="17"/>
      <c r="C320" s="14"/>
      <c r="D320" s="14"/>
      <c r="E320" s="18"/>
      <c r="F320" s="61"/>
      <c r="G320" s="73"/>
      <c r="H320" s="79"/>
      <c r="I320" s="79"/>
      <c r="J320" s="14"/>
      <c r="K320" s="38"/>
      <c r="L320" s="38"/>
      <c r="M320" s="17"/>
    </row>
    <row r="321" spans="2:13" ht="14.45" customHeight="1" x14ac:dyDescent="0.25">
      <c r="B321" s="17"/>
      <c r="C321" s="14"/>
      <c r="D321" s="14"/>
      <c r="E321" s="18"/>
      <c r="F321" s="61"/>
      <c r="G321" s="73"/>
      <c r="H321" s="79"/>
      <c r="I321" s="79"/>
      <c r="J321" s="14"/>
      <c r="K321" s="38"/>
      <c r="L321" s="38"/>
      <c r="M321" s="17"/>
    </row>
    <row r="322" spans="2:13" ht="14.45" customHeight="1" x14ac:dyDescent="0.25">
      <c r="B322" s="17"/>
      <c r="C322" s="14"/>
      <c r="D322" s="14"/>
      <c r="E322" s="18"/>
      <c r="F322" s="61"/>
      <c r="G322" s="73"/>
      <c r="H322" s="79"/>
      <c r="I322" s="79"/>
      <c r="J322" s="14"/>
      <c r="K322" s="38"/>
      <c r="L322" s="38"/>
      <c r="M322" s="17"/>
    </row>
    <row r="323" spans="2:13" ht="14.45" customHeight="1" x14ac:dyDescent="0.25">
      <c r="B323" s="17"/>
      <c r="C323" s="14"/>
      <c r="D323" s="14"/>
      <c r="E323" s="18"/>
      <c r="F323" s="61"/>
      <c r="G323" s="73"/>
      <c r="H323" s="79"/>
      <c r="I323" s="79"/>
      <c r="J323" s="14"/>
      <c r="K323" s="38"/>
      <c r="L323" s="38"/>
      <c r="M323" s="17"/>
    </row>
    <row r="324" spans="2:13" ht="14.45" customHeight="1" x14ac:dyDescent="0.25">
      <c r="B324" s="17"/>
      <c r="C324" s="14"/>
      <c r="D324" s="14"/>
      <c r="E324" s="18"/>
      <c r="F324" s="61"/>
      <c r="G324" s="73"/>
      <c r="H324" s="79"/>
      <c r="I324" s="79"/>
      <c r="J324" s="14"/>
      <c r="K324" s="38"/>
      <c r="L324" s="38"/>
      <c r="M324" s="17"/>
    </row>
    <row r="325" spans="2:13" ht="14.45" customHeight="1" x14ac:dyDescent="0.25">
      <c r="B325" s="17"/>
      <c r="C325" s="14"/>
      <c r="D325" s="14"/>
      <c r="E325" s="18"/>
      <c r="F325" s="61"/>
      <c r="G325" s="73"/>
      <c r="H325" s="79"/>
      <c r="I325" s="79"/>
      <c r="J325" s="14"/>
      <c r="K325" s="38"/>
      <c r="L325" s="38"/>
      <c r="M325" s="17"/>
    </row>
    <row r="326" spans="2:13" ht="14.45" customHeight="1" x14ac:dyDescent="0.25">
      <c r="B326" s="17"/>
      <c r="C326" s="14"/>
      <c r="D326" s="14"/>
      <c r="E326" s="18"/>
      <c r="F326" s="61"/>
      <c r="G326" s="73"/>
      <c r="H326" s="79"/>
      <c r="I326" s="79"/>
      <c r="J326" s="14"/>
      <c r="K326" s="38"/>
      <c r="L326" s="38"/>
      <c r="M326" s="17"/>
    </row>
    <row r="327" spans="2:13" ht="14.45" customHeight="1" x14ac:dyDescent="0.25">
      <c r="B327" s="17"/>
      <c r="C327" s="14"/>
      <c r="D327" s="14"/>
      <c r="E327" s="18"/>
      <c r="F327" s="61"/>
      <c r="G327" s="73"/>
      <c r="H327" s="79"/>
      <c r="I327" s="79"/>
      <c r="J327" s="14"/>
      <c r="K327" s="38"/>
      <c r="L327" s="38"/>
      <c r="M327" s="17"/>
    </row>
    <row r="328" spans="2:13" ht="14.45" customHeight="1" x14ac:dyDescent="0.25">
      <c r="B328" s="17"/>
      <c r="C328" s="14"/>
      <c r="D328" s="14"/>
      <c r="E328" s="18"/>
      <c r="F328" s="61"/>
      <c r="G328" s="73"/>
      <c r="H328" s="79"/>
      <c r="I328" s="79"/>
      <c r="J328" s="14"/>
      <c r="K328" s="38"/>
      <c r="L328" s="38"/>
      <c r="M328" s="17"/>
    </row>
    <row r="329" spans="2:13" ht="14.45" customHeight="1" x14ac:dyDescent="0.25">
      <c r="B329" s="17"/>
      <c r="C329" s="14"/>
      <c r="D329" s="14"/>
      <c r="E329" s="18"/>
      <c r="F329" s="61"/>
      <c r="G329" s="73"/>
      <c r="H329" s="79"/>
      <c r="I329" s="79"/>
      <c r="J329" s="14"/>
      <c r="K329" s="38"/>
      <c r="L329" s="38"/>
      <c r="M329" s="17"/>
    </row>
    <row r="330" spans="2:13" ht="14.45" customHeight="1" x14ac:dyDescent="0.25">
      <c r="B330" s="17"/>
      <c r="C330" s="14"/>
      <c r="D330" s="14"/>
      <c r="E330" s="18"/>
      <c r="F330" s="61"/>
      <c r="G330" s="73"/>
      <c r="H330" s="79"/>
      <c r="I330" s="79"/>
      <c r="J330" s="14"/>
      <c r="K330" s="38"/>
      <c r="L330" s="38"/>
      <c r="M330" s="17"/>
    </row>
    <row r="331" spans="2:13" ht="14.45" customHeight="1" x14ac:dyDescent="0.25">
      <c r="B331" s="17"/>
      <c r="C331" s="14"/>
      <c r="D331" s="14"/>
      <c r="E331" s="18"/>
      <c r="F331" s="61"/>
      <c r="G331" s="73"/>
      <c r="H331" s="79"/>
      <c r="I331" s="79"/>
      <c r="J331" s="14"/>
      <c r="K331" s="38"/>
      <c r="L331" s="38"/>
      <c r="M331" s="17"/>
    </row>
    <row r="332" spans="2:13" ht="14.45" customHeight="1" x14ac:dyDescent="0.25">
      <c r="B332" s="17"/>
      <c r="C332" s="14"/>
      <c r="D332" s="14"/>
      <c r="E332" s="18"/>
      <c r="F332" s="61"/>
      <c r="G332" s="73"/>
      <c r="H332" s="79"/>
      <c r="I332" s="79"/>
      <c r="J332" s="14"/>
      <c r="K332" s="38"/>
      <c r="L332" s="38"/>
      <c r="M332" s="17"/>
    </row>
    <row r="333" spans="2:13" ht="14.45" customHeight="1" x14ac:dyDescent="0.25">
      <c r="B333" s="17"/>
      <c r="C333" s="14"/>
      <c r="D333" s="14"/>
      <c r="E333" s="18"/>
      <c r="F333" s="61"/>
      <c r="G333" s="73"/>
      <c r="H333" s="79"/>
      <c r="I333" s="79"/>
      <c r="J333" s="14"/>
      <c r="K333" s="38"/>
      <c r="L333" s="38"/>
      <c r="M333" s="17"/>
    </row>
    <row r="334" spans="2:13" ht="14.45" customHeight="1" x14ac:dyDescent="0.25">
      <c r="B334" s="17"/>
      <c r="C334" s="14"/>
      <c r="D334" s="14"/>
      <c r="E334" s="18"/>
      <c r="F334" s="61"/>
      <c r="G334" s="73"/>
      <c r="H334" s="79"/>
      <c r="I334" s="79"/>
      <c r="J334" s="14"/>
      <c r="K334" s="38"/>
      <c r="L334" s="38"/>
      <c r="M334" s="17"/>
    </row>
    <row r="335" spans="2:13" ht="14.45" customHeight="1" x14ac:dyDescent="0.25">
      <c r="B335" s="17"/>
      <c r="C335" s="14"/>
      <c r="D335" s="14"/>
      <c r="E335" s="18"/>
      <c r="F335" s="61"/>
      <c r="G335" s="73"/>
      <c r="H335" s="79"/>
      <c r="I335" s="79"/>
      <c r="J335" s="14"/>
      <c r="K335" s="38"/>
      <c r="L335" s="38"/>
      <c r="M335" s="17"/>
    </row>
    <row r="336" spans="2:13" ht="14.45" customHeight="1" x14ac:dyDescent="0.25">
      <c r="B336" s="17"/>
      <c r="C336" s="14"/>
      <c r="D336" s="14"/>
      <c r="E336" s="18"/>
      <c r="F336" s="61"/>
      <c r="G336" s="73"/>
      <c r="H336" s="79"/>
      <c r="I336" s="79"/>
      <c r="J336" s="14"/>
      <c r="K336" s="38"/>
      <c r="L336" s="38"/>
      <c r="M336" s="17"/>
    </row>
    <row r="337" spans="2:13" ht="14.45" customHeight="1" x14ac:dyDescent="0.25">
      <c r="B337" s="17"/>
      <c r="C337" s="14"/>
      <c r="D337" s="14"/>
      <c r="E337" s="18"/>
      <c r="F337" s="61"/>
      <c r="G337" s="73"/>
      <c r="H337" s="79"/>
      <c r="I337" s="79"/>
      <c r="J337" s="14"/>
      <c r="K337" s="38"/>
      <c r="L337" s="38"/>
      <c r="M337" s="17"/>
    </row>
    <row r="338" spans="2:13" ht="14.45" customHeight="1" x14ac:dyDescent="0.25">
      <c r="B338" s="17"/>
      <c r="C338" s="14"/>
      <c r="D338" s="14"/>
      <c r="E338" s="18"/>
      <c r="F338" s="61"/>
      <c r="G338" s="73"/>
      <c r="H338" s="79"/>
      <c r="I338" s="79"/>
      <c r="J338" s="14"/>
      <c r="K338" s="38"/>
      <c r="L338" s="38"/>
      <c r="M338" s="17"/>
    </row>
    <row r="339" spans="2:13" ht="14.45" customHeight="1" x14ac:dyDescent="0.25">
      <c r="B339" s="17"/>
      <c r="C339" s="14"/>
      <c r="D339" s="14"/>
      <c r="E339" s="18"/>
      <c r="F339" s="61"/>
      <c r="G339" s="73"/>
      <c r="H339" s="79"/>
      <c r="I339" s="79"/>
      <c r="J339" s="14"/>
      <c r="K339" s="38"/>
      <c r="L339" s="38"/>
      <c r="M339" s="17"/>
    </row>
    <row r="340" spans="2:13" ht="14.45" customHeight="1" x14ac:dyDescent="0.25">
      <c r="B340" s="17"/>
      <c r="C340" s="14"/>
      <c r="D340" s="14"/>
      <c r="E340" s="18"/>
      <c r="F340" s="61"/>
      <c r="G340" s="73"/>
      <c r="H340" s="79"/>
      <c r="I340" s="79"/>
      <c r="J340" s="14"/>
      <c r="K340" s="38"/>
      <c r="L340" s="38"/>
      <c r="M340" s="17"/>
    </row>
    <row r="341" spans="2:13" ht="14.45" customHeight="1" x14ac:dyDescent="0.25">
      <c r="B341" s="17"/>
      <c r="C341" s="14"/>
      <c r="D341" s="14"/>
      <c r="E341" s="18"/>
      <c r="F341" s="61"/>
      <c r="G341" s="73"/>
      <c r="H341" s="79"/>
      <c r="I341" s="79"/>
      <c r="J341" s="14"/>
      <c r="K341" s="38"/>
      <c r="L341" s="38"/>
      <c r="M341" s="17"/>
    </row>
    <row r="342" spans="2:13" ht="14.45" customHeight="1" x14ac:dyDescent="0.25">
      <c r="B342" s="17"/>
      <c r="C342" s="14"/>
      <c r="D342" s="14"/>
      <c r="E342" s="18"/>
      <c r="F342" s="61"/>
      <c r="G342" s="73"/>
      <c r="H342" s="79"/>
      <c r="I342" s="79"/>
      <c r="J342" s="14"/>
      <c r="K342" s="38"/>
      <c r="L342" s="38"/>
      <c r="M342" s="17"/>
    </row>
    <row r="343" spans="2:13" ht="14.45" customHeight="1" x14ac:dyDescent="0.25">
      <c r="B343" s="17"/>
      <c r="C343" s="14"/>
      <c r="D343" s="14"/>
      <c r="E343" s="18"/>
      <c r="F343" s="61"/>
      <c r="G343" s="73"/>
      <c r="H343" s="79"/>
      <c r="I343" s="79"/>
      <c r="J343" s="14"/>
      <c r="K343" s="38"/>
      <c r="L343" s="38"/>
      <c r="M343" s="17"/>
    </row>
    <row r="344" spans="2:13" ht="14.45" customHeight="1" x14ac:dyDescent="0.25">
      <c r="B344" s="17"/>
      <c r="C344" s="14"/>
      <c r="D344" s="14"/>
      <c r="E344" s="18"/>
      <c r="F344" s="61"/>
      <c r="G344" s="73"/>
      <c r="H344" s="79"/>
      <c r="I344" s="79"/>
      <c r="J344" s="14"/>
      <c r="K344" s="38"/>
      <c r="L344" s="38"/>
      <c r="M344" s="17"/>
    </row>
    <row r="345" spans="2:13" ht="14.45" customHeight="1" x14ac:dyDescent="0.25">
      <c r="B345" s="17"/>
      <c r="C345" s="14"/>
      <c r="D345" s="14"/>
      <c r="E345" s="18"/>
      <c r="F345" s="61"/>
      <c r="G345" s="73"/>
      <c r="H345" s="79"/>
      <c r="I345" s="79"/>
      <c r="J345" s="14"/>
      <c r="K345" s="38"/>
      <c r="L345" s="38"/>
      <c r="M345" s="17"/>
    </row>
    <row r="346" spans="2:13" ht="14.45" customHeight="1" x14ac:dyDescent="0.25">
      <c r="B346" s="17"/>
      <c r="C346" s="14"/>
      <c r="D346" s="14"/>
      <c r="E346" s="18"/>
      <c r="F346" s="61"/>
      <c r="G346" s="73"/>
      <c r="H346" s="79"/>
      <c r="I346" s="79"/>
      <c r="J346" s="14"/>
      <c r="K346" s="38"/>
      <c r="L346" s="38"/>
      <c r="M346" s="17"/>
    </row>
    <row r="347" spans="2:13" ht="14.45" customHeight="1" x14ac:dyDescent="0.25">
      <c r="B347" s="17"/>
      <c r="C347" s="14"/>
      <c r="D347" s="14"/>
      <c r="E347" s="18"/>
      <c r="F347" s="61"/>
      <c r="G347" s="73"/>
      <c r="H347" s="79"/>
      <c r="I347" s="79"/>
      <c r="J347" s="14"/>
      <c r="K347" s="38"/>
      <c r="L347" s="38"/>
      <c r="M347" s="17"/>
    </row>
    <row r="348" spans="2:13" ht="14.45" customHeight="1" x14ac:dyDescent="0.25">
      <c r="B348" s="17"/>
      <c r="C348" s="14"/>
      <c r="D348" s="14"/>
      <c r="E348" s="18"/>
      <c r="F348" s="61"/>
      <c r="G348" s="73"/>
      <c r="H348" s="79"/>
      <c r="I348" s="79"/>
      <c r="J348" s="14"/>
      <c r="K348" s="38"/>
      <c r="L348" s="38"/>
      <c r="M348" s="17"/>
    </row>
    <row r="349" spans="2:13" ht="14.45" customHeight="1" x14ac:dyDescent="0.25">
      <c r="B349" s="17"/>
      <c r="C349" s="14"/>
      <c r="D349" s="14"/>
      <c r="E349" s="18"/>
      <c r="F349" s="61"/>
      <c r="G349" s="73"/>
      <c r="H349" s="79"/>
      <c r="I349" s="79"/>
      <c r="J349" s="14"/>
      <c r="K349" s="38"/>
      <c r="L349" s="38"/>
      <c r="M349" s="17"/>
    </row>
    <row r="350" spans="2:13" ht="14.45" customHeight="1" x14ac:dyDescent="0.25">
      <c r="B350" s="17"/>
      <c r="C350" s="14"/>
      <c r="D350" s="14"/>
      <c r="E350" s="18"/>
      <c r="F350" s="61"/>
      <c r="G350" s="73"/>
      <c r="H350" s="79"/>
      <c r="I350" s="79"/>
      <c r="J350" s="14"/>
      <c r="K350" s="38"/>
      <c r="L350" s="38"/>
      <c r="M350" s="17"/>
    </row>
    <row r="351" spans="2:13" ht="14.45" customHeight="1" x14ac:dyDescent="0.25">
      <c r="B351" s="17"/>
      <c r="C351" s="14"/>
      <c r="D351" s="14"/>
      <c r="E351" s="18"/>
      <c r="F351" s="61"/>
      <c r="G351" s="73"/>
      <c r="H351" s="79"/>
      <c r="I351" s="79"/>
      <c r="J351" s="14"/>
      <c r="K351" s="38"/>
      <c r="L351" s="38"/>
      <c r="M351" s="17"/>
    </row>
    <row r="352" spans="2:13" ht="14.45" customHeight="1" x14ac:dyDescent="0.25">
      <c r="B352" s="17"/>
      <c r="C352" s="14"/>
      <c r="D352" s="14"/>
      <c r="E352" s="18"/>
      <c r="F352" s="61"/>
      <c r="G352" s="73"/>
      <c r="H352" s="79"/>
      <c r="I352" s="79"/>
      <c r="J352" s="14"/>
      <c r="K352" s="38"/>
      <c r="L352" s="38"/>
      <c r="M352" s="17"/>
    </row>
    <row r="353" spans="2:13" ht="14.45" customHeight="1" x14ac:dyDescent="0.25">
      <c r="B353" s="17"/>
      <c r="C353" s="14"/>
      <c r="D353" s="14"/>
      <c r="E353" s="18"/>
      <c r="F353" s="61"/>
      <c r="G353" s="73"/>
      <c r="H353" s="79"/>
      <c r="I353" s="79"/>
      <c r="J353" s="14"/>
      <c r="K353" s="38"/>
      <c r="L353" s="38"/>
      <c r="M353" s="17"/>
    </row>
    <row r="354" spans="2:13" ht="14.45" customHeight="1" x14ac:dyDescent="0.25">
      <c r="B354" s="17"/>
      <c r="C354" s="14"/>
      <c r="D354" s="14"/>
      <c r="E354" s="18"/>
      <c r="F354" s="61"/>
      <c r="G354" s="73"/>
      <c r="H354" s="79"/>
      <c r="I354" s="79"/>
      <c r="J354" s="14"/>
      <c r="K354" s="38"/>
      <c r="L354" s="38"/>
      <c r="M354" s="17"/>
    </row>
    <row r="355" spans="2:13" ht="14.45" customHeight="1" x14ac:dyDescent="0.25">
      <c r="B355" s="17"/>
      <c r="C355" s="14"/>
      <c r="D355" s="14"/>
      <c r="E355" s="18"/>
      <c r="F355" s="61"/>
      <c r="G355" s="73"/>
      <c r="H355" s="79"/>
      <c r="I355" s="79"/>
      <c r="J355" s="14"/>
      <c r="K355" s="38"/>
      <c r="L355" s="38"/>
      <c r="M355" s="17"/>
    </row>
    <row r="356" spans="2:13" ht="14.45" customHeight="1" x14ac:dyDescent="0.25">
      <c r="B356" s="17"/>
      <c r="C356" s="14"/>
      <c r="D356" s="14"/>
      <c r="E356" s="18"/>
      <c r="F356" s="61"/>
      <c r="G356" s="73"/>
      <c r="H356" s="79"/>
      <c r="I356" s="79"/>
      <c r="J356" s="14"/>
      <c r="K356" s="38"/>
      <c r="L356" s="38"/>
      <c r="M356" s="17"/>
    </row>
    <row r="357" spans="2:13" ht="14.45" customHeight="1" x14ac:dyDescent="0.25">
      <c r="B357" s="17"/>
      <c r="C357" s="14"/>
      <c r="D357" s="14"/>
      <c r="E357" s="18"/>
      <c r="F357" s="61"/>
      <c r="G357" s="73"/>
      <c r="H357" s="79"/>
      <c r="I357" s="79"/>
      <c r="J357" s="14"/>
      <c r="K357" s="38"/>
      <c r="L357" s="38"/>
      <c r="M357" s="17"/>
    </row>
    <row r="358" spans="2:13" ht="14.45" customHeight="1" x14ac:dyDescent="0.25">
      <c r="B358" s="17"/>
      <c r="C358" s="14"/>
      <c r="D358" s="14"/>
      <c r="E358" s="18"/>
      <c r="F358" s="61"/>
      <c r="G358" s="73"/>
      <c r="H358" s="79"/>
      <c r="I358" s="79"/>
      <c r="J358" s="14"/>
      <c r="K358" s="38"/>
      <c r="L358" s="38"/>
      <c r="M358" s="17"/>
    </row>
    <row r="359" spans="2:13" ht="14.45" customHeight="1" x14ac:dyDescent="0.25">
      <c r="B359" s="17"/>
      <c r="C359" s="14"/>
      <c r="D359" s="14"/>
      <c r="E359" s="18"/>
      <c r="F359" s="61"/>
      <c r="G359" s="73"/>
      <c r="H359" s="79"/>
      <c r="I359" s="79"/>
      <c r="J359" s="14"/>
      <c r="K359" s="38"/>
      <c r="L359" s="38"/>
      <c r="M359" s="17"/>
    </row>
    <row r="360" spans="2:13" ht="14.45" customHeight="1" x14ac:dyDescent="0.25">
      <c r="B360" s="17"/>
      <c r="C360" s="14"/>
      <c r="D360" s="14"/>
      <c r="E360" s="18"/>
      <c r="F360" s="61"/>
      <c r="G360" s="73"/>
      <c r="H360" s="79"/>
      <c r="I360" s="79"/>
      <c r="J360" s="14"/>
      <c r="K360" s="38"/>
      <c r="L360" s="38"/>
      <c r="M360" s="17"/>
    </row>
    <row r="361" spans="2:13" ht="14.45" customHeight="1" x14ac:dyDescent="0.25">
      <c r="B361" s="17"/>
      <c r="C361" s="14"/>
      <c r="D361" s="14"/>
      <c r="E361" s="18"/>
      <c r="F361" s="61"/>
      <c r="G361" s="73"/>
      <c r="H361" s="79"/>
      <c r="I361" s="79"/>
      <c r="J361" s="14"/>
      <c r="K361" s="38"/>
      <c r="L361" s="38"/>
      <c r="M361" s="17"/>
    </row>
    <row r="362" spans="2:13" ht="14.45" customHeight="1" x14ac:dyDescent="0.25">
      <c r="B362" s="17"/>
      <c r="C362" s="14"/>
      <c r="D362" s="14"/>
      <c r="E362" s="18"/>
      <c r="F362" s="61"/>
      <c r="G362" s="73"/>
      <c r="H362" s="79"/>
      <c r="I362" s="79"/>
      <c r="J362" s="14"/>
      <c r="K362" s="38"/>
      <c r="L362" s="38"/>
      <c r="M362" s="17"/>
    </row>
    <row r="363" spans="2:13" ht="14.45" customHeight="1" x14ac:dyDescent="0.25">
      <c r="B363" s="17"/>
      <c r="C363" s="14"/>
      <c r="D363" s="14"/>
      <c r="E363" s="18"/>
      <c r="F363" s="61"/>
      <c r="G363" s="73"/>
      <c r="H363" s="79"/>
      <c r="I363" s="79"/>
      <c r="J363" s="14"/>
      <c r="K363" s="38"/>
      <c r="L363" s="38"/>
      <c r="M363" s="17"/>
    </row>
    <row r="364" spans="2:13" ht="14.45" customHeight="1" x14ac:dyDescent="0.25">
      <c r="B364" s="17"/>
      <c r="C364" s="14"/>
      <c r="D364" s="14"/>
      <c r="E364" s="18"/>
      <c r="F364" s="61"/>
      <c r="G364" s="73"/>
      <c r="H364" s="79"/>
      <c r="I364" s="79"/>
      <c r="J364" s="14"/>
      <c r="K364" s="38"/>
      <c r="L364" s="38"/>
      <c r="M364" s="17"/>
    </row>
    <row r="365" spans="2:13" ht="14.45" customHeight="1" x14ac:dyDescent="0.25">
      <c r="B365" s="17"/>
      <c r="C365" s="14"/>
      <c r="D365" s="14"/>
      <c r="E365" s="18"/>
      <c r="F365" s="61"/>
      <c r="G365" s="73"/>
      <c r="H365" s="79"/>
      <c r="I365" s="79"/>
      <c r="J365" s="14"/>
      <c r="K365" s="38"/>
      <c r="L365" s="38"/>
      <c r="M365" s="17"/>
    </row>
    <row r="366" spans="2:13" ht="14.45" customHeight="1" x14ac:dyDescent="0.25">
      <c r="B366" s="17"/>
      <c r="C366" s="14"/>
      <c r="D366" s="14"/>
      <c r="E366" s="18"/>
      <c r="F366" s="61"/>
      <c r="G366" s="73"/>
      <c r="H366" s="79"/>
      <c r="I366" s="79"/>
      <c r="J366" s="14"/>
      <c r="K366" s="38"/>
      <c r="L366" s="38"/>
      <c r="M366" s="17"/>
    </row>
    <row r="367" spans="2:13" ht="14.45" customHeight="1" x14ac:dyDescent="0.25">
      <c r="B367" s="17"/>
      <c r="C367" s="14"/>
      <c r="D367" s="14"/>
      <c r="E367" s="18"/>
      <c r="F367" s="61"/>
      <c r="G367" s="73"/>
      <c r="H367" s="79"/>
      <c r="I367" s="79"/>
      <c r="J367" s="14"/>
      <c r="K367" s="38"/>
      <c r="L367" s="38"/>
      <c r="M367" s="17"/>
    </row>
    <row r="368" spans="2:13" ht="14.45" customHeight="1" x14ac:dyDescent="0.25">
      <c r="B368" s="17"/>
      <c r="C368" s="14"/>
      <c r="D368" s="14"/>
      <c r="E368" s="18"/>
      <c r="F368" s="61"/>
      <c r="G368" s="73"/>
      <c r="H368" s="79"/>
      <c r="I368" s="79"/>
      <c r="J368" s="14"/>
      <c r="K368" s="38"/>
      <c r="L368" s="38"/>
      <c r="M368" s="17"/>
    </row>
    <row r="369" spans="2:13" ht="14.45" customHeight="1" x14ac:dyDescent="0.25">
      <c r="B369" s="17"/>
      <c r="C369" s="14"/>
      <c r="D369" s="14"/>
      <c r="E369" s="18"/>
      <c r="F369" s="61"/>
      <c r="G369" s="73"/>
      <c r="H369" s="79"/>
      <c r="I369" s="79"/>
      <c r="J369" s="14"/>
      <c r="K369" s="38"/>
      <c r="L369" s="38"/>
      <c r="M369" s="17"/>
    </row>
    <row r="370" spans="2:13" ht="14.45" customHeight="1" x14ac:dyDescent="0.25">
      <c r="B370" s="17"/>
      <c r="C370" s="14"/>
      <c r="D370" s="14"/>
      <c r="E370" s="18"/>
      <c r="F370" s="61"/>
      <c r="G370" s="73"/>
      <c r="H370" s="79"/>
      <c r="I370" s="79"/>
      <c r="J370" s="14"/>
      <c r="K370" s="38"/>
      <c r="L370" s="38"/>
      <c r="M370" s="17"/>
    </row>
    <row r="371" spans="2:13" ht="14.45" customHeight="1" x14ac:dyDescent="0.25">
      <c r="B371" s="17"/>
      <c r="C371" s="14"/>
      <c r="D371" s="14"/>
      <c r="E371" s="18"/>
      <c r="F371" s="61"/>
      <c r="G371" s="73"/>
      <c r="H371" s="79"/>
      <c r="I371" s="79"/>
      <c r="J371" s="14"/>
      <c r="K371" s="38"/>
      <c r="L371" s="38"/>
      <c r="M371" s="17"/>
    </row>
    <row r="372" spans="2:13" ht="14.45" customHeight="1" x14ac:dyDescent="0.25">
      <c r="B372" s="17"/>
      <c r="C372" s="14"/>
      <c r="D372" s="14"/>
      <c r="E372" s="18"/>
      <c r="F372" s="61"/>
      <c r="G372" s="73"/>
      <c r="H372" s="79"/>
      <c r="I372" s="79"/>
      <c r="J372" s="14"/>
      <c r="K372" s="38"/>
      <c r="L372" s="38"/>
      <c r="M372" s="17"/>
    </row>
    <row r="373" spans="2:13" ht="14.45" customHeight="1" x14ac:dyDescent="0.25">
      <c r="B373" s="17"/>
      <c r="C373" s="14"/>
      <c r="D373" s="14"/>
      <c r="E373" s="18"/>
      <c r="F373" s="61"/>
      <c r="G373" s="73"/>
      <c r="H373" s="79"/>
      <c r="I373" s="79"/>
      <c r="J373" s="14"/>
      <c r="K373" s="38"/>
      <c r="L373" s="38"/>
      <c r="M373" s="17"/>
    </row>
    <row r="374" spans="2:13" ht="14.45" customHeight="1" x14ac:dyDescent="0.25">
      <c r="B374" s="17"/>
      <c r="C374" s="14"/>
      <c r="D374" s="14"/>
      <c r="E374" s="18"/>
      <c r="F374" s="61"/>
      <c r="G374" s="73"/>
      <c r="H374" s="79"/>
      <c r="I374" s="79"/>
      <c r="J374" s="14"/>
      <c r="K374" s="38"/>
      <c r="L374" s="38"/>
      <c r="M374" s="17"/>
    </row>
    <row r="375" spans="2:13" ht="14.45" customHeight="1" x14ac:dyDescent="0.25">
      <c r="B375" s="17"/>
      <c r="C375" s="14"/>
      <c r="D375" s="14"/>
      <c r="E375" s="18"/>
      <c r="F375" s="61"/>
      <c r="G375" s="73"/>
      <c r="H375" s="79"/>
      <c r="I375" s="79"/>
      <c r="J375" s="14"/>
      <c r="K375" s="38"/>
      <c r="L375" s="38"/>
      <c r="M375" s="17"/>
    </row>
    <row r="376" spans="2:13" ht="14.45" customHeight="1" x14ac:dyDescent="0.25">
      <c r="B376" s="17"/>
      <c r="C376" s="14"/>
      <c r="D376" s="14"/>
      <c r="E376" s="18"/>
      <c r="F376" s="61"/>
      <c r="G376" s="73"/>
      <c r="H376" s="79"/>
      <c r="I376" s="79"/>
      <c r="J376" s="14"/>
      <c r="K376" s="38"/>
      <c r="L376" s="38"/>
      <c r="M376" s="17"/>
    </row>
    <row r="377" spans="2:13" ht="14.45" customHeight="1" x14ac:dyDescent="0.25">
      <c r="B377" s="17"/>
      <c r="C377" s="14"/>
      <c r="D377" s="14"/>
      <c r="E377" s="18"/>
      <c r="F377" s="61"/>
      <c r="G377" s="73"/>
      <c r="H377" s="79"/>
      <c r="I377" s="79"/>
      <c r="J377" s="14"/>
      <c r="K377" s="38"/>
      <c r="L377" s="38"/>
      <c r="M377" s="17"/>
    </row>
    <row r="378" spans="2:13" ht="14.45" customHeight="1" x14ac:dyDescent="0.25">
      <c r="B378" s="17"/>
      <c r="C378" s="14"/>
      <c r="D378" s="14"/>
      <c r="E378" s="18"/>
      <c r="F378" s="61"/>
      <c r="G378" s="73"/>
      <c r="H378" s="79"/>
      <c r="I378" s="79"/>
      <c r="J378" s="14"/>
      <c r="K378" s="38"/>
      <c r="L378" s="38"/>
      <c r="M378" s="17"/>
    </row>
    <row r="379" spans="2:13" ht="14.45" customHeight="1" x14ac:dyDescent="0.25">
      <c r="B379" s="17"/>
      <c r="C379" s="14"/>
      <c r="D379" s="14"/>
      <c r="E379" s="18"/>
      <c r="F379" s="61"/>
      <c r="G379" s="73"/>
      <c r="H379" s="79"/>
      <c r="I379" s="79"/>
      <c r="J379" s="14"/>
      <c r="K379" s="38"/>
      <c r="L379" s="38"/>
      <c r="M379" s="17"/>
    </row>
    <row r="380" spans="2:13" ht="14.45" customHeight="1" x14ac:dyDescent="0.25">
      <c r="B380" s="17"/>
      <c r="C380" s="14"/>
      <c r="D380" s="14"/>
      <c r="E380" s="18"/>
      <c r="F380" s="61"/>
      <c r="G380" s="73"/>
      <c r="H380" s="79"/>
      <c r="I380" s="79"/>
      <c r="J380" s="14"/>
      <c r="K380" s="38"/>
      <c r="L380" s="38"/>
      <c r="M380" s="17"/>
    </row>
    <row r="381" spans="2:13" ht="14.45" customHeight="1" x14ac:dyDescent="0.25">
      <c r="B381" s="17"/>
      <c r="C381" s="14"/>
      <c r="D381" s="14"/>
      <c r="E381" s="18"/>
      <c r="F381" s="61"/>
      <c r="G381" s="73"/>
      <c r="H381" s="79"/>
      <c r="I381" s="79"/>
      <c r="J381" s="14"/>
      <c r="K381" s="38"/>
      <c r="L381" s="38"/>
      <c r="M381" s="17"/>
    </row>
    <row r="382" spans="2:13" ht="14.45" customHeight="1" x14ac:dyDescent="0.25">
      <c r="B382" s="17"/>
      <c r="C382" s="14"/>
      <c r="D382" s="14"/>
      <c r="E382" s="18"/>
      <c r="F382" s="61"/>
      <c r="G382" s="73"/>
      <c r="H382" s="79"/>
      <c r="I382" s="79"/>
      <c r="J382" s="14"/>
      <c r="K382" s="38"/>
      <c r="L382" s="38"/>
      <c r="M382" s="17"/>
    </row>
    <row r="383" spans="2:13" ht="14.45" customHeight="1" x14ac:dyDescent="0.25">
      <c r="B383" s="17"/>
      <c r="C383" s="14"/>
      <c r="D383" s="14"/>
      <c r="E383" s="18"/>
      <c r="F383" s="61"/>
      <c r="G383" s="73"/>
      <c r="H383" s="79"/>
      <c r="I383" s="79"/>
      <c r="J383" s="14"/>
      <c r="K383" s="38"/>
      <c r="L383" s="38"/>
      <c r="M383" s="17"/>
    </row>
    <row r="384" spans="2:13" ht="14.45" customHeight="1" x14ac:dyDescent="0.25">
      <c r="B384" s="17"/>
      <c r="C384" s="14"/>
      <c r="D384" s="14"/>
      <c r="E384" s="18"/>
      <c r="F384" s="61"/>
      <c r="G384" s="73"/>
      <c r="H384" s="79"/>
      <c r="I384" s="79"/>
      <c r="J384" s="14"/>
      <c r="K384" s="38"/>
      <c r="L384" s="38"/>
      <c r="M384" s="17"/>
    </row>
    <row r="385" spans="2:13" ht="14.45" customHeight="1" x14ac:dyDescent="0.25">
      <c r="B385" s="17"/>
      <c r="C385" s="14"/>
      <c r="D385" s="14"/>
      <c r="E385" s="18"/>
      <c r="F385" s="61"/>
      <c r="G385" s="73"/>
      <c r="H385" s="79"/>
      <c r="I385" s="79"/>
      <c r="J385" s="14"/>
      <c r="K385" s="38"/>
      <c r="L385" s="38"/>
      <c r="M385" s="17"/>
    </row>
    <row r="386" spans="2:13" ht="14.45" customHeight="1" x14ac:dyDescent="0.25">
      <c r="B386" s="17"/>
      <c r="C386" s="14"/>
      <c r="D386" s="14"/>
      <c r="E386" s="18"/>
      <c r="F386" s="61"/>
      <c r="G386" s="73"/>
      <c r="H386" s="79"/>
      <c r="I386" s="79"/>
      <c r="J386" s="14"/>
      <c r="K386" s="38"/>
      <c r="L386" s="38"/>
      <c r="M386" s="17"/>
    </row>
    <row r="387" spans="2:13" ht="14.45" customHeight="1" x14ac:dyDescent="0.25">
      <c r="B387" s="17"/>
      <c r="C387" s="14"/>
      <c r="D387" s="14"/>
      <c r="E387" s="18"/>
      <c r="F387" s="61"/>
      <c r="G387" s="73"/>
      <c r="H387" s="79"/>
      <c r="I387" s="79"/>
      <c r="J387" s="14"/>
      <c r="K387" s="38"/>
      <c r="L387" s="38"/>
      <c r="M387" s="17"/>
    </row>
    <row r="388" spans="2:13" ht="14.45" customHeight="1" x14ac:dyDescent="0.25">
      <c r="B388" s="17"/>
      <c r="C388" s="14"/>
      <c r="D388" s="14"/>
      <c r="E388" s="18"/>
      <c r="F388" s="61"/>
      <c r="G388" s="73"/>
      <c r="H388" s="79"/>
      <c r="I388" s="79"/>
      <c r="J388" s="14"/>
      <c r="K388" s="38"/>
      <c r="L388" s="38"/>
      <c r="M388" s="17"/>
    </row>
    <row r="389" spans="2:13" ht="14.45" customHeight="1" x14ac:dyDescent="0.25">
      <c r="B389" s="17"/>
      <c r="C389" s="14"/>
      <c r="D389" s="14"/>
      <c r="E389" s="18"/>
      <c r="F389" s="61"/>
      <c r="G389" s="73"/>
      <c r="H389" s="79"/>
      <c r="I389" s="79"/>
      <c r="J389" s="14"/>
      <c r="K389" s="38"/>
      <c r="L389" s="38"/>
      <c r="M389" s="17"/>
    </row>
    <row r="390" spans="2:13" ht="14.45" customHeight="1" x14ac:dyDescent="0.25">
      <c r="B390" s="17"/>
      <c r="C390" s="14"/>
      <c r="D390" s="14"/>
      <c r="E390" s="18"/>
      <c r="F390" s="61"/>
      <c r="G390" s="73"/>
      <c r="H390" s="79"/>
      <c r="I390" s="79"/>
      <c r="J390" s="14"/>
      <c r="K390" s="38"/>
      <c r="L390" s="38"/>
      <c r="M390" s="17"/>
    </row>
    <row r="391" spans="2:13" ht="14.45" customHeight="1" x14ac:dyDescent="0.25">
      <c r="B391" s="17"/>
      <c r="C391" s="14"/>
      <c r="D391" s="14"/>
      <c r="E391" s="18"/>
      <c r="F391" s="61"/>
      <c r="G391" s="73"/>
      <c r="H391" s="79"/>
      <c r="I391" s="79"/>
      <c r="J391" s="14"/>
      <c r="K391" s="38"/>
      <c r="L391" s="38"/>
      <c r="M391" s="17"/>
    </row>
    <row r="392" spans="2:13" ht="14.45" customHeight="1" x14ac:dyDescent="0.25">
      <c r="B392" s="17"/>
      <c r="C392" s="14"/>
      <c r="D392" s="14"/>
      <c r="E392" s="18"/>
      <c r="F392" s="61"/>
      <c r="G392" s="73"/>
      <c r="H392" s="79"/>
      <c r="I392" s="79"/>
      <c r="J392" s="14"/>
      <c r="K392" s="38"/>
      <c r="L392" s="38"/>
      <c r="M392" s="17"/>
    </row>
    <row r="393" spans="2:13" ht="14.45" customHeight="1" x14ac:dyDescent="0.25">
      <c r="B393" s="17"/>
      <c r="C393" s="14"/>
      <c r="D393" s="14"/>
      <c r="E393" s="18"/>
      <c r="F393" s="61"/>
      <c r="G393" s="73"/>
      <c r="H393" s="79"/>
      <c r="I393" s="79"/>
      <c r="J393" s="14"/>
      <c r="K393" s="38"/>
      <c r="L393" s="38"/>
      <c r="M393" s="17"/>
    </row>
    <row r="394" spans="2:13" ht="14.45" customHeight="1" x14ac:dyDescent="0.25">
      <c r="B394" s="17"/>
      <c r="C394" s="14"/>
      <c r="D394" s="14"/>
      <c r="E394" s="18"/>
      <c r="F394" s="61"/>
      <c r="G394" s="73"/>
      <c r="H394" s="79"/>
      <c r="I394" s="79"/>
      <c r="J394" s="14"/>
      <c r="K394" s="38"/>
      <c r="L394" s="38"/>
      <c r="M394" s="17"/>
    </row>
    <row r="395" spans="2:13" ht="14.45" customHeight="1" x14ac:dyDescent="0.25">
      <c r="B395" s="17"/>
      <c r="C395" s="14"/>
      <c r="D395" s="14"/>
      <c r="E395" s="18"/>
      <c r="F395" s="61"/>
      <c r="G395" s="73"/>
      <c r="H395" s="79"/>
      <c r="I395" s="79"/>
      <c r="J395" s="14"/>
      <c r="K395" s="38"/>
      <c r="L395" s="38"/>
      <c r="M395" s="17"/>
    </row>
    <row r="396" spans="2:13" ht="14.45" customHeight="1" x14ac:dyDescent="0.25">
      <c r="B396" s="17"/>
      <c r="C396" s="14"/>
      <c r="D396" s="14"/>
      <c r="E396" s="18"/>
      <c r="F396" s="61"/>
      <c r="G396" s="73"/>
      <c r="H396" s="79"/>
      <c r="I396" s="79"/>
      <c r="J396" s="14"/>
      <c r="K396" s="38"/>
      <c r="L396" s="38"/>
      <c r="M396" s="17"/>
    </row>
    <row r="397" spans="2:13" ht="14.45" customHeight="1" x14ac:dyDescent="0.25">
      <c r="B397" s="17"/>
      <c r="C397" s="14"/>
      <c r="D397" s="14"/>
      <c r="E397" s="18"/>
      <c r="F397" s="61"/>
      <c r="G397" s="73"/>
      <c r="H397" s="79"/>
      <c r="I397" s="79"/>
      <c r="J397" s="14"/>
      <c r="K397" s="38"/>
      <c r="L397" s="38"/>
      <c r="M397" s="17"/>
    </row>
    <row r="398" spans="2:13" ht="14.45" customHeight="1" x14ac:dyDescent="0.25">
      <c r="B398" s="17"/>
      <c r="C398" s="14"/>
      <c r="D398" s="14"/>
      <c r="E398" s="18"/>
      <c r="F398" s="61"/>
      <c r="G398" s="73"/>
      <c r="H398" s="79"/>
      <c r="I398" s="79"/>
      <c r="J398" s="14"/>
      <c r="K398" s="38"/>
      <c r="L398" s="38"/>
      <c r="M398" s="17"/>
    </row>
    <row r="399" spans="2:13" ht="14.45" customHeight="1" x14ac:dyDescent="0.25">
      <c r="B399" s="17"/>
      <c r="C399" s="14"/>
      <c r="D399" s="14"/>
      <c r="E399" s="18"/>
      <c r="F399" s="61"/>
      <c r="G399" s="73"/>
      <c r="H399" s="79"/>
      <c r="I399" s="79"/>
      <c r="J399" s="14"/>
      <c r="K399" s="38"/>
      <c r="L399" s="38"/>
      <c r="M399" s="17"/>
    </row>
    <row r="400" spans="2:13" ht="14.45" customHeight="1" x14ac:dyDescent="0.25">
      <c r="B400" s="17"/>
      <c r="C400" s="14"/>
      <c r="D400" s="14"/>
      <c r="E400" s="18"/>
      <c r="F400" s="61"/>
      <c r="G400" s="73"/>
      <c r="H400" s="79"/>
      <c r="I400" s="79"/>
      <c r="J400" s="14"/>
      <c r="K400" s="38"/>
      <c r="L400" s="38"/>
      <c r="M400" s="17"/>
    </row>
    <row r="401" spans="2:13" ht="14.45" customHeight="1" x14ac:dyDescent="0.25">
      <c r="B401" s="17"/>
      <c r="C401" s="14"/>
      <c r="D401" s="14"/>
      <c r="E401" s="18"/>
      <c r="F401" s="61"/>
      <c r="G401" s="73"/>
      <c r="H401" s="79"/>
      <c r="I401" s="79"/>
      <c r="J401" s="14"/>
      <c r="K401" s="38"/>
      <c r="L401" s="38"/>
      <c r="M401" s="17"/>
    </row>
    <row r="402" spans="2:13" ht="14.45" customHeight="1" x14ac:dyDescent="0.25">
      <c r="B402" s="17"/>
      <c r="C402" s="14"/>
      <c r="D402" s="14"/>
      <c r="E402" s="18"/>
      <c r="F402" s="61"/>
      <c r="G402" s="73"/>
      <c r="H402" s="79"/>
      <c r="I402" s="79"/>
      <c r="J402" s="14"/>
      <c r="K402" s="38"/>
      <c r="L402" s="38"/>
      <c r="M402" s="17"/>
    </row>
    <row r="403" spans="2:13" ht="14.45" customHeight="1" x14ac:dyDescent="0.25">
      <c r="B403" s="17"/>
      <c r="C403" s="14"/>
      <c r="D403" s="14"/>
      <c r="E403" s="18"/>
      <c r="F403" s="61"/>
      <c r="G403" s="73"/>
      <c r="H403" s="79"/>
      <c r="I403" s="79"/>
      <c r="J403" s="14"/>
      <c r="K403" s="38"/>
      <c r="L403" s="38"/>
      <c r="M403" s="17"/>
    </row>
    <row r="404" spans="2:13" ht="14.45" customHeight="1" x14ac:dyDescent="0.25">
      <c r="B404" s="17"/>
      <c r="C404" s="14"/>
      <c r="D404" s="14"/>
      <c r="E404" s="18"/>
      <c r="F404" s="61"/>
      <c r="G404" s="73"/>
      <c r="H404" s="79"/>
      <c r="I404" s="79"/>
      <c r="J404" s="14"/>
      <c r="K404" s="38"/>
      <c r="L404" s="38"/>
      <c r="M404" s="17"/>
    </row>
    <row r="405" spans="2:13" ht="14.45" customHeight="1" x14ac:dyDescent="0.25">
      <c r="B405" s="17"/>
      <c r="C405" s="14"/>
      <c r="D405" s="14"/>
      <c r="E405" s="18"/>
      <c r="F405" s="61"/>
      <c r="G405" s="73"/>
      <c r="H405" s="79"/>
      <c r="I405" s="79"/>
      <c r="J405" s="14"/>
      <c r="K405" s="38"/>
      <c r="L405" s="38"/>
      <c r="M405" s="17"/>
    </row>
    <row r="406" spans="2:13" ht="14.45" customHeight="1" x14ac:dyDescent="0.25">
      <c r="B406" s="17"/>
      <c r="C406" s="14"/>
      <c r="D406" s="14"/>
      <c r="E406" s="18"/>
      <c r="F406" s="61"/>
      <c r="G406" s="73"/>
      <c r="H406" s="79"/>
      <c r="I406" s="79"/>
      <c r="J406" s="14"/>
      <c r="K406" s="38"/>
      <c r="L406" s="38"/>
      <c r="M406" s="17"/>
    </row>
    <row r="407" spans="2:13" ht="14.45" customHeight="1" x14ac:dyDescent="0.25">
      <c r="B407" s="17"/>
      <c r="C407" s="14"/>
      <c r="D407" s="14"/>
      <c r="E407" s="18"/>
      <c r="F407" s="61"/>
      <c r="G407" s="73"/>
      <c r="H407" s="79"/>
      <c r="I407" s="79"/>
      <c r="J407" s="14"/>
      <c r="K407" s="38"/>
      <c r="L407" s="38"/>
      <c r="M407" s="17"/>
    </row>
    <row r="408" spans="2:13" ht="14.45" customHeight="1" x14ac:dyDescent="0.25">
      <c r="B408" s="17"/>
      <c r="C408" s="14"/>
      <c r="D408" s="14"/>
      <c r="E408" s="18"/>
      <c r="F408" s="61"/>
      <c r="G408" s="73"/>
      <c r="H408" s="79"/>
      <c r="I408" s="79"/>
      <c r="J408" s="14"/>
      <c r="K408" s="38"/>
      <c r="L408" s="38"/>
      <c r="M408" s="17"/>
    </row>
    <row r="409" spans="2:13" ht="14.45" customHeight="1" x14ac:dyDescent="0.25">
      <c r="B409" s="17"/>
      <c r="C409" s="14"/>
      <c r="D409" s="14"/>
      <c r="E409" s="18"/>
      <c r="F409" s="61"/>
      <c r="G409" s="73"/>
      <c r="H409" s="79"/>
      <c r="I409" s="79"/>
      <c r="J409" s="14"/>
      <c r="K409" s="38"/>
      <c r="L409" s="38"/>
      <c r="M409" s="17"/>
    </row>
    <row r="410" spans="2:13" ht="14.45" customHeight="1" x14ac:dyDescent="0.25">
      <c r="B410" s="17"/>
      <c r="C410" s="14"/>
      <c r="D410" s="14"/>
      <c r="E410" s="18"/>
      <c r="F410" s="61"/>
      <c r="G410" s="73"/>
      <c r="H410" s="79"/>
      <c r="I410" s="79"/>
      <c r="J410" s="14"/>
      <c r="K410" s="38"/>
      <c r="L410" s="38"/>
      <c r="M410" s="17"/>
    </row>
    <row r="411" spans="2:13" ht="14.45" customHeight="1" x14ac:dyDescent="0.25">
      <c r="B411" s="17"/>
      <c r="C411" s="14"/>
      <c r="D411" s="14"/>
      <c r="E411" s="18"/>
      <c r="F411" s="61"/>
      <c r="G411" s="73"/>
      <c r="H411" s="79"/>
      <c r="I411" s="79"/>
      <c r="J411" s="14"/>
      <c r="K411" s="38"/>
      <c r="L411" s="38"/>
      <c r="M411" s="17"/>
    </row>
    <row r="412" spans="2:13" ht="14.45" customHeight="1" x14ac:dyDescent="0.25">
      <c r="B412" s="17"/>
      <c r="C412" s="14"/>
      <c r="D412" s="14"/>
      <c r="E412" s="18"/>
      <c r="F412" s="61"/>
      <c r="G412" s="73"/>
      <c r="H412" s="79"/>
      <c r="I412" s="79"/>
      <c r="J412" s="14"/>
      <c r="K412" s="38"/>
      <c r="L412" s="38"/>
      <c r="M412" s="17"/>
    </row>
    <row r="413" spans="2:13" ht="14.45" customHeight="1" x14ac:dyDescent="0.25">
      <c r="B413" s="17"/>
      <c r="C413" s="14"/>
      <c r="D413" s="14"/>
      <c r="E413" s="18"/>
      <c r="F413" s="61"/>
      <c r="G413" s="73"/>
      <c r="H413" s="79"/>
      <c r="I413" s="79"/>
      <c r="J413" s="14"/>
      <c r="K413" s="38"/>
      <c r="L413" s="38"/>
      <c r="M413" s="17"/>
    </row>
    <row r="414" spans="2:13" ht="14.45" customHeight="1" x14ac:dyDescent="0.25">
      <c r="B414" s="17"/>
      <c r="C414" s="14"/>
      <c r="D414" s="14"/>
      <c r="E414" s="18"/>
      <c r="F414" s="61"/>
      <c r="G414" s="73"/>
      <c r="H414" s="79"/>
      <c r="I414" s="79"/>
      <c r="J414" s="14"/>
      <c r="K414" s="38"/>
      <c r="L414" s="38"/>
      <c r="M414" s="17"/>
    </row>
    <row r="415" spans="2:13" ht="14.45" customHeight="1" x14ac:dyDescent="0.25">
      <c r="B415" s="17"/>
      <c r="C415" s="14"/>
      <c r="D415" s="14"/>
      <c r="E415" s="18"/>
      <c r="F415" s="61"/>
      <c r="G415" s="73"/>
      <c r="H415" s="79"/>
      <c r="I415" s="79"/>
      <c r="J415" s="14"/>
      <c r="K415" s="38"/>
      <c r="L415" s="38"/>
      <c r="M415" s="17"/>
    </row>
    <row r="416" spans="2:13" ht="14.45" customHeight="1" x14ac:dyDescent="0.25">
      <c r="B416" s="17"/>
      <c r="C416" s="14"/>
      <c r="D416" s="14"/>
      <c r="E416" s="18"/>
      <c r="F416" s="61"/>
      <c r="G416" s="73"/>
      <c r="H416" s="79"/>
      <c r="I416" s="79"/>
      <c r="J416" s="14"/>
      <c r="K416" s="38"/>
      <c r="L416" s="38"/>
      <c r="M416" s="17"/>
    </row>
    <row r="417" spans="2:13" ht="14.45" customHeight="1" x14ac:dyDescent="0.25">
      <c r="B417" s="17"/>
      <c r="C417" s="14"/>
      <c r="D417" s="14"/>
      <c r="E417" s="18"/>
      <c r="F417" s="61"/>
      <c r="G417" s="73"/>
      <c r="H417" s="79"/>
      <c r="I417" s="79"/>
      <c r="J417" s="14"/>
      <c r="K417" s="38"/>
      <c r="L417" s="38"/>
      <c r="M417" s="17"/>
    </row>
    <row r="418" spans="2:13" ht="14.45" customHeight="1" x14ac:dyDescent="0.25">
      <c r="B418" s="17"/>
      <c r="C418" s="14"/>
      <c r="D418" s="14"/>
      <c r="E418" s="18"/>
      <c r="F418" s="61"/>
      <c r="G418" s="73"/>
      <c r="H418" s="79"/>
      <c r="I418" s="79"/>
      <c r="J418" s="14"/>
      <c r="K418" s="38"/>
      <c r="L418" s="38"/>
      <c r="M418" s="17"/>
    </row>
    <row r="419" spans="2:13" ht="14.45" customHeight="1" x14ac:dyDescent="0.25">
      <c r="B419" s="17"/>
      <c r="C419" s="14"/>
      <c r="D419" s="14"/>
      <c r="E419" s="18"/>
      <c r="F419" s="61"/>
      <c r="G419" s="73"/>
      <c r="H419" s="79"/>
      <c r="I419" s="79"/>
      <c r="J419" s="14"/>
      <c r="K419" s="38"/>
      <c r="L419" s="38"/>
      <c r="M419" s="17"/>
    </row>
    <row r="420" spans="2:13" ht="14.45" customHeight="1" x14ac:dyDescent="0.25">
      <c r="B420" s="17"/>
      <c r="C420" s="14"/>
      <c r="D420" s="14"/>
      <c r="E420" s="18"/>
      <c r="F420" s="61"/>
      <c r="G420" s="73"/>
      <c r="H420" s="79"/>
      <c r="I420" s="79"/>
      <c r="J420" s="14"/>
      <c r="K420" s="38"/>
      <c r="L420" s="38"/>
      <c r="M420" s="17"/>
    </row>
    <row r="421" spans="2:13" ht="14.45" customHeight="1" x14ac:dyDescent="0.25">
      <c r="B421" s="17"/>
      <c r="C421" s="14"/>
      <c r="D421" s="14"/>
      <c r="E421" s="18"/>
      <c r="F421" s="61"/>
      <c r="G421" s="73"/>
      <c r="H421" s="79"/>
      <c r="I421" s="79"/>
      <c r="J421" s="14"/>
      <c r="K421" s="38"/>
      <c r="L421" s="38"/>
      <c r="M421" s="17"/>
    </row>
    <row r="422" spans="2:13" ht="14.45" customHeight="1" x14ac:dyDescent="0.25">
      <c r="B422" s="17"/>
      <c r="C422" s="14"/>
      <c r="D422" s="14"/>
      <c r="E422" s="18"/>
      <c r="F422" s="61"/>
      <c r="G422" s="73"/>
      <c r="H422" s="79"/>
      <c r="I422" s="79"/>
      <c r="J422" s="14"/>
      <c r="K422" s="38"/>
      <c r="L422" s="38"/>
      <c r="M422" s="17"/>
    </row>
    <row r="423" spans="2:13" ht="14.45" customHeight="1" x14ac:dyDescent="0.25">
      <c r="B423" s="17"/>
      <c r="C423" s="14"/>
      <c r="D423" s="14"/>
      <c r="E423" s="18"/>
      <c r="F423" s="61"/>
      <c r="G423" s="73"/>
      <c r="H423" s="79"/>
      <c r="I423" s="79"/>
      <c r="J423" s="14"/>
      <c r="K423" s="38"/>
      <c r="L423" s="38"/>
      <c r="M423" s="17"/>
    </row>
    <row r="424" spans="2:13" ht="14.45" customHeight="1" x14ac:dyDescent="0.25">
      <c r="B424" s="17"/>
      <c r="C424" s="14"/>
      <c r="D424" s="14"/>
      <c r="E424" s="18"/>
      <c r="F424" s="61"/>
      <c r="G424" s="73"/>
      <c r="H424" s="79"/>
      <c r="I424" s="79"/>
      <c r="J424" s="14"/>
      <c r="K424" s="38"/>
      <c r="L424" s="38"/>
      <c r="M424" s="17"/>
    </row>
    <row r="425" spans="2:13" ht="14.45" customHeight="1" x14ac:dyDescent="0.25">
      <c r="B425" s="17"/>
      <c r="C425" s="14"/>
      <c r="D425" s="14"/>
      <c r="E425" s="18"/>
      <c r="F425" s="61"/>
      <c r="G425" s="73"/>
      <c r="H425" s="79"/>
      <c r="I425" s="79"/>
      <c r="J425" s="14"/>
      <c r="K425" s="38"/>
      <c r="L425" s="38"/>
      <c r="M425" s="17"/>
    </row>
    <row r="426" spans="2:13" ht="14.45" customHeight="1" x14ac:dyDescent="0.25">
      <c r="B426" s="17"/>
      <c r="C426" s="14"/>
      <c r="D426" s="14"/>
      <c r="E426" s="18"/>
      <c r="F426" s="61"/>
      <c r="G426" s="73"/>
      <c r="H426" s="79"/>
      <c r="I426" s="79"/>
      <c r="J426" s="14"/>
      <c r="K426" s="38"/>
      <c r="L426" s="38"/>
      <c r="M426" s="17"/>
    </row>
    <row r="427" spans="2:13" ht="14.45" customHeight="1" x14ac:dyDescent="0.25">
      <c r="B427" s="17"/>
      <c r="C427" s="14"/>
      <c r="D427" s="14"/>
      <c r="E427" s="18"/>
      <c r="F427" s="61"/>
      <c r="G427" s="73"/>
      <c r="H427" s="79"/>
      <c r="I427" s="79"/>
      <c r="J427" s="14"/>
      <c r="K427" s="38"/>
      <c r="L427" s="38"/>
      <c r="M427" s="17"/>
    </row>
    <row r="428" spans="2:13" ht="14.45" customHeight="1" x14ac:dyDescent="0.25">
      <c r="B428" s="17"/>
      <c r="C428" s="14"/>
      <c r="D428" s="14"/>
      <c r="E428" s="18"/>
      <c r="F428" s="61"/>
      <c r="G428" s="73"/>
      <c r="H428" s="79"/>
      <c r="I428" s="79"/>
      <c r="J428" s="14"/>
      <c r="K428" s="38"/>
      <c r="L428" s="38"/>
      <c r="M428" s="17"/>
    </row>
    <row r="429" spans="2:13" ht="14.45" customHeight="1" x14ac:dyDescent="0.25">
      <c r="B429" s="17"/>
      <c r="C429" s="14"/>
      <c r="D429" s="14"/>
      <c r="E429" s="18"/>
      <c r="F429" s="61"/>
      <c r="G429" s="73"/>
      <c r="H429" s="79"/>
      <c r="I429" s="79"/>
      <c r="J429" s="14"/>
      <c r="K429" s="38"/>
      <c r="L429" s="38"/>
      <c r="M429" s="17"/>
    </row>
    <row r="430" spans="2:13" ht="14.45" customHeight="1" x14ac:dyDescent="0.25">
      <c r="B430" s="17"/>
      <c r="C430" s="14"/>
      <c r="D430" s="14"/>
      <c r="E430" s="18"/>
      <c r="F430" s="61"/>
      <c r="G430" s="73"/>
      <c r="H430" s="79"/>
      <c r="I430" s="79"/>
      <c r="J430" s="14"/>
      <c r="K430" s="38"/>
      <c r="L430" s="38"/>
      <c r="M430" s="17"/>
    </row>
    <row r="431" spans="2:13" ht="14.45" customHeight="1" x14ac:dyDescent="0.25">
      <c r="B431" s="17"/>
      <c r="C431" s="14"/>
      <c r="D431" s="14"/>
      <c r="E431" s="18"/>
      <c r="F431" s="61"/>
      <c r="G431" s="73"/>
      <c r="H431" s="79"/>
      <c r="I431" s="79"/>
      <c r="J431" s="14"/>
      <c r="K431" s="38"/>
      <c r="L431" s="38"/>
      <c r="M431" s="17"/>
    </row>
    <row r="432" spans="2:13" ht="14.45" customHeight="1" x14ac:dyDescent="0.25">
      <c r="B432" s="17"/>
      <c r="C432" s="14"/>
      <c r="D432" s="14"/>
      <c r="E432" s="18"/>
      <c r="F432" s="61"/>
      <c r="G432" s="73"/>
      <c r="H432" s="79"/>
      <c r="I432" s="79"/>
      <c r="J432" s="14"/>
      <c r="K432" s="38"/>
      <c r="L432" s="38"/>
      <c r="M432" s="17"/>
    </row>
    <row r="433" spans="2:13" ht="14.45" customHeight="1" x14ac:dyDescent="0.25">
      <c r="B433" s="17"/>
      <c r="C433" s="14"/>
      <c r="D433" s="14"/>
      <c r="E433" s="18"/>
      <c r="F433" s="61"/>
      <c r="G433" s="73"/>
      <c r="H433" s="79"/>
      <c r="I433" s="79"/>
      <c r="J433" s="14"/>
      <c r="K433" s="38"/>
      <c r="L433" s="38"/>
      <c r="M433" s="17"/>
    </row>
    <row r="434" spans="2:13" ht="14.45" customHeight="1" x14ac:dyDescent="0.25">
      <c r="B434" s="17"/>
      <c r="C434" s="14"/>
      <c r="D434" s="14"/>
      <c r="E434" s="18"/>
      <c r="F434" s="61"/>
      <c r="G434" s="73"/>
      <c r="H434" s="79"/>
      <c r="I434" s="79"/>
      <c r="J434" s="14"/>
      <c r="K434" s="38"/>
      <c r="L434" s="38"/>
      <c r="M434" s="17"/>
    </row>
    <row r="435" spans="2:13" ht="14.45" customHeight="1" x14ac:dyDescent="0.25">
      <c r="B435" s="17"/>
      <c r="C435" s="14"/>
      <c r="D435" s="14"/>
      <c r="E435" s="18"/>
      <c r="F435" s="61"/>
      <c r="G435" s="73"/>
      <c r="H435" s="79"/>
      <c r="I435" s="79"/>
      <c r="J435" s="14"/>
      <c r="K435" s="38"/>
      <c r="L435" s="38"/>
      <c r="M435" s="17"/>
    </row>
    <row r="436" spans="2:13" ht="14.45" customHeight="1" x14ac:dyDescent="0.25">
      <c r="B436" s="17"/>
      <c r="C436" s="14"/>
      <c r="D436" s="14"/>
      <c r="E436" s="18"/>
      <c r="F436" s="61"/>
      <c r="G436" s="73"/>
      <c r="H436" s="79"/>
      <c r="I436" s="79"/>
      <c r="J436" s="14"/>
      <c r="K436" s="38"/>
      <c r="L436" s="38"/>
      <c r="M436" s="17"/>
    </row>
    <row r="437" spans="2:13" ht="14.45" customHeight="1" x14ac:dyDescent="0.25">
      <c r="B437" s="17"/>
      <c r="C437" s="14"/>
      <c r="D437" s="14"/>
      <c r="E437" s="18"/>
      <c r="F437" s="61"/>
      <c r="G437" s="73"/>
      <c r="H437" s="79"/>
      <c r="I437" s="79"/>
      <c r="J437" s="14"/>
      <c r="K437" s="38"/>
      <c r="L437" s="38"/>
      <c r="M437" s="17"/>
    </row>
    <row r="438" spans="2:13" ht="14.45" customHeight="1" x14ac:dyDescent="0.25">
      <c r="B438" s="17"/>
      <c r="C438" s="14"/>
      <c r="D438" s="14"/>
      <c r="E438" s="18"/>
      <c r="F438" s="61"/>
      <c r="G438" s="73"/>
      <c r="H438" s="79"/>
      <c r="I438" s="79"/>
      <c r="J438" s="14"/>
      <c r="K438" s="38"/>
      <c r="L438" s="38"/>
      <c r="M438" s="17"/>
    </row>
    <row r="439" spans="2:13" ht="14.45" customHeight="1" x14ac:dyDescent="0.25">
      <c r="B439" s="17"/>
      <c r="C439" s="14"/>
      <c r="D439" s="14"/>
      <c r="E439" s="18"/>
      <c r="F439" s="61"/>
      <c r="G439" s="73"/>
      <c r="H439" s="79"/>
      <c r="I439" s="79"/>
      <c r="J439" s="14"/>
      <c r="K439" s="38"/>
      <c r="L439" s="38"/>
      <c r="M439" s="17"/>
    </row>
    <row r="440" spans="2:13" ht="14.45" customHeight="1" x14ac:dyDescent="0.25">
      <c r="B440" s="17"/>
      <c r="C440" s="14"/>
      <c r="D440" s="14"/>
      <c r="E440" s="18"/>
      <c r="F440" s="61"/>
      <c r="G440" s="73"/>
      <c r="H440" s="79"/>
      <c r="I440" s="79"/>
      <c r="J440" s="14"/>
      <c r="K440" s="38"/>
      <c r="L440" s="38"/>
      <c r="M440" s="17"/>
    </row>
    <row r="441" spans="2:13" ht="14.45" customHeight="1" x14ac:dyDescent="0.25">
      <c r="B441" s="17"/>
      <c r="C441" s="14"/>
      <c r="D441" s="14"/>
      <c r="E441" s="18"/>
      <c r="F441" s="61"/>
      <c r="G441" s="73"/>
      <c r="H441" s="79"/>
      <c r="I441" s="79"/>
      <c r="J441" s="14"/>
      <c r="K441" s="38"/>
      <c r="L441" s="38"/>
      <c r="M441" s="17"/>
    </row>
    <row r="442" spans="2:13" ht="14.45" customHeight="1" x14ac:dyDescent="0.25">
      <c r="B442" s="17"/>
      <c r="C442" s="14"/>
      <c r="D442" s="14"/>
      <c r="E442" s="18"/>
      <c r="F442" s="61"/>
      <c r="G442" s="73"/>
      <c r="H442" s="79"/>
      <c r="I442" s="79"/>
      <c r="J442" s="14"/>
      <c r="K442" s="38"/>
      <c r="L442" s="38"/>
      <c r="M442" s="17"/>
    </row>
    <row r="443" spans="2:13" ht="14.45" customHeight="1" x14ac:dyDescent="0.25">
      <c r="B443" s="17"/>
      <c r="C443" s="14"/>
      <c r="D443" s="14"/>
      <c r="E443" s="18"/>
      <c r="F443" s="61"/>
      <c r="G443" s="73"/>
      <c r="H443" s="79"/>
      <c r="I443" s="79"/>
      <c r="J443" s="14"/>
      <c r="K443" s="38"/>
      <c r="L443" s="38"/>
      <c r="M443" s="17"/>
    </row>
    <row r="444" spans="2:13" ht="14.45" customHeight="1" x14ac:dyDescent="0.25">
      <c r="B444" s="17"/>
      <c r="C444" s="14"/>
      <c r="D444" s="14"/>
      <c r="E444" s="18"/>
      <c r="F444" s="61"/>
      <c r="G444" s="73"/>
      <c r="H444" s="79"/>
      <c r="I444" s="79"/>
      <c r="J444" s="14"/>
      <c r="K444" s="38"/>
      <c r="L444" s="38"/>
      <c r="M444" s="17"/>
    </row>
    <row r="445" spans="2:13" ht="14.45" customHeight="1" x14ac:dyDescent="0.25">
      <c r="B445" s="17"/>
      <c r="C445" s="14"/>
      <c r="D445" s="14"/>
      <c r="E445" s="18"/>
      <c r="F445" s="61"/>
      <c r="G445" s="73"/>
      <c r="H445" s="79"/>
      <c r="I445" s="79"/>
      <c r="J445" s="14"/>
      <c r="K445" s="38"/>
      <c r="L445" s="38"/>
      <c r="M445" s="17"/>
    </row>
    <row r="446" spans="2:13" ht="14.45" customHeight="1" x14ac:dyDescent="0.25">
      <c r="B446" s="17"/>
      <c r="C446" s="14"/>
      <c r="D446" s="14"/>
      <c r="E446" s="18"/>
      <c r="F446" s="61"/>
      <c r="G446" s="73"/>
      <c r="H446" s="79"/>
      <c r="I446" s="79"/>
      <c r="J446" s="14"/>
      <c r="K446" s="38"/>
      <c r="L446" s="38"/>
      <c r="M446" s="17"/>
    </row>
    <row r="447" spans="2:13" ht="14.45" customHeight="1" x14ac:dyDescent="0.25">
      <c r="B447" s="17"/>
      <c r="C447" s="14"/>
      <c r="D447" s="14"/>
      <c r="E447" s="18"/>
      <c r="F447" s="61"/>
      <c r="G447" s="73"/>
      <c r="H447" s="79"/>
      <c r="I447" s="79"/>
      <c r="J447" s="14"/>
      <c r="K447" s="38"/>
      <c r="L447" s="38"/>
      <c r="M447" s="17"/>
    </row>
    <row r="448" spans="2:13" ht="14.45" customHeight="1" x14ac:dyDescent="0.25">
      <c r="B448" s="17"/>
      <c r="C448" s="14"/>
      <c r="D448" s="14"/>
      <c r="E448" s="18"/>
      <c r="F448" s="61"/>
      <c r="G448" s="73"/>
      <c r="H448" s="79"/>
      <c r="I448" s="79"/>
      <c r="J448" s="14"/>
      <c r="K448" s="38"/>
      <c r="L448" s="38"/>
      <c r="M448" s="17"/>
    </row>
    <row r="449" spans="2:13" ht="14.45" customHeight="1" x14ac:dyDescent="0.25">
      <c r="B449" s="17"/>
      <c r="C449" s="14"/>
      <c r="D449" s="14"/>
      <c r="E449" s="18"/>
      <c r="F449" s="61"/>
      <c r="G449" s="73"/>
      <c r="H449" s="79"/>
      <c r="I449" s="79"/>
      <c r="J449" s="14"/>
      <c r="K449" s="38"/>
      <c r="L449" s="38"/>
      <c r="M449" s="17"/>
    </row>
    <row r="450" spans="2:13" ht="14.45" customHeight="1" x14ac:dyDescent="0.25">
      <c r="B450" s="17"/>
      <c r="C450" s="14"/>
      <c r="D450" s="14"/>
      <c r="E450" s="18"/>
      <c r="F450" s="61"/>
      <c r="G450" s="73"/>
      <c r="H450" s="79"/>
      <c r="I450" s="79"/>
      <c r="J450" s="14"/>
      <c r="K450" s="38"/>
      <c r="L450" s="38"/>
      <c r="M450" s="17"/>
    </row>
    <row r="451" spans="2:13" ht="14.45" customHeight="1" x14ac:dyDescent="0.25">
      <c r="B451" s="17"/>
      <c r="C451" s="14"/>
      <c r="D451" s="14"/>
      <c r="E451" s="18"/>
      <c r="F451" s="61"/>
      <c r="G451" s="73"/>
      <c r="H451" s="79"/>
      <c r="I451" s="79"/>
      <c r="J451" s="14"/>
      <c r="K451" s="38"/>
      <c r="L451" s="38"/>
      <c r="M451" s="17"/>
    </row>
    <row r="452" spans="2:13" ht="14.45" customHeight="1" x14ac:dyDescent="0.25">
      <c r="B452" s="17"/>
      <c r="C452" s="14"/>
      <c r="D452" s="14"/>
      <c r="E452" s="18"/>
      <c r="F452" s="61"/>
      <c r="G452" s="73"/>
      <c r="H452" s="79"/>
      <c r="I452" s="79"/>
      <c r="J452" s="14"/>
      <c r="K452" s="38"/>
      <c r="L452" s="38"/>
      <c r="M452" s="17"/>
    </row>
    <row r="453" spans="2:13" ht="14.45" customHeight="1" x14ac:dyDescent="0.25">
      <c r="B453" s="17"/>
      <c r="C453" s="14"/>
      <c r="D453" s="14"/>
      <c r="E453" s="18"/>
      <c r="F453" s="61"/>
      <c r="G453" s="73"/>
      <c r="H453" s="79"/>
      <c r="I453" s="79"/>
      <c r="J453" s="14"/>
      <c r="K453" s="38"/>
      <c r="L453" s="38"/>
      <c r="M453" s="17"/>
    </row>
    <row r="454" spans="2:13" ht="14.45" customHeight="1" x14ac:dyDescent="0.25">
      <c r="B454" s="17"/>
      <c r="C454" s="14"/>
      <c r="D454" s="14"/>
      <c r="E454" s="18"/>
      <c r="F454" s="61"/>
      <c r="G454" s="73"/>
      <c r="H454" s="79"/>
      <c r="I454" s="79"/>
      <c r="J454" s="14"/>
      <c r="K454" s="38"/>
      <c r="L454" s="38"/>
      <c r="M454" s="17"/>
    </row>
    <row r="455" spans="2:13" ht="14.45" customHeight="1" x14ac:dyDescent="0.25">
      <c r="B455" s="17"/>
      <c r="C455" s="14"/>
      <c r="D455" s="14"/>
      <c r="E455" s="18"/>
      <c r="F455" s="61"/>
      <c r="G455" s="73"/>
      <c r="H455" s="79"/>
      <c r="I455" s="79"/>
      <c r="J455" s="14"/>
      <c r="K455" s="38"/>
      <c r="L455" s="38"/>
      <c r="M455" s="17"/>
    </row>
    <row r="456" spans="2:13" ht="14.45" customHeight="1" x14ac:dyDescent="0.25">
      <c r="B456" s="17"/>
      <c r="C456" s="14"/>
      <c r="D456" s="14"/>
      <c r="E456" s="18"/>
      <c r="F456" s="61"/>
      <c r="G456" s="73"/>
      <c r="H456" s="79"/>
      <c r="I456" s="79"/>
      <c r="J456" s="14"/>
      <c r="K456" s="38"/>
      <c r="L456" s="38"/>
      <c r="M456" s="17"/>
    </row>
    <row r="457" spans="2:13" ht="14.45" customHeight="1" x14ac:dyDescent="0.25">
      <c r="B457" s="17"/>
      <c r="C457" s="14"/>
      <c r="D457" s="14"/>
      <c r="E457" s="18"/>
      <c r="F457" s="61"/>
      <c r="G457" s="73"/>
      <c r="H457" s="79"/>
      <c r="I457" s="79"/>
      <c r="J457" s="14"/>
      <c r="K457" s="38"/>
      <c r="L457" s="38"/>
      <c r="M457" s="17"/>
    </row>
    <row r="458" spans="2:13" ht="14.45" customHeight="1" x14ac:dyDescent="0.25">
      <c r="B458" s="17"/>
      <c r="C458" s="14"/>
      <c r="D458" s="14"/>
      <c r="E458" s="18"/>
      <c r="F458" s="61"/>
      <c r="G458" s="73"/>
      <c r="H458" s="79"/>
      <c r="I458" s="79"/>
      <c r="J458" s="14"/>
      <c r="K458" s="38"/>
      <c r="L458" s="38"/>
      <c r="M458" s="17"/>
    </row>
    <row r="459" spans="2:13" ht="14.45" customHeight="1" x14ac:dyDescent="0.25">
      <c r="B459" s="17"/>
      <c r="C459" s="14"/>
      <c r="D459" s="14"/>
      <c r="E459" s="18"/>
      <c r="F459" s="61"/>
      <c r="G459" s="73"/>
      <c r="H459" s="79"/>
      <c r="I459" s="79"/>
      <c r="J459" s="14"/>
      <c r="K459" s="38"/>
      <c r="L459" s="38"/>
      <c r="M459" s="17"/>
    </row>
    <row r="460" spans="2:13" ht="14.45" customHeight="1" x14ac:dyDescent="0.25">
      <c r="B460" s="17"/>
      <c r="C460" s="14"/>
      <c r="D460" s="14"/>
      <c r="E460" s="18"/>
      <c r="F460" s="61"/>
      <c r="G460" s="73"/>
      <c r="H460" s="79"/>
      <c r="I460" s="79"/>
      <c r="J460" s="14"/>
      <c r="K460" s="38"/>
      <c r="L460" s="38"/>
      <c r="M460" s="17"/>
    </row>
    <row r="461" spans="2:13" ht="14.45" customHeight="1" x14ac:dyDescent="0.25">
      <c r="B461" s="17"/>
      <c r="C461" s="14"/>
      <c r="D461" s="14"/>
      <c r="E461" s="18"/>
      <c r="F461" s="61"/>
      <c r="G461" s="73"/>
      <c r="H461" s="79"/>
      <c r="I461" s="79"/>
      <c r="J461" s="14"/>
      <c r="K461" s="38"/>
      <c r="L461" s="38"/>
      <c r="M461" s="17"/>
    </row>
    <row r="462" spans="2:13" ht="14.45" customHeight="1" x14ac:dyDescent="0.25">
      <c r="B462" s="17"/>
      <c r="C462" s="14"/>
      <c r="D462" s="14"/>
      <c r="E462" s="18"/>
      <c r="F462" s="61"/>
      <c r="G462" s="73"/>
      <c r="H462" s="79"/>
      <c r="I462" s="79"/>
      <c r="J462" s="14"/>
      <c r="K462" s="38"/>
      <c r="L462" s="38"/>
      <c r="M462" s="17"/>
    </row>
    <row r="463" spans="2:13" ht="14.45" customHeight="1" x14ac:dyDescent="0.25">
      <c r="B463" s="17"/>
      <c r="C463" s="14"/>
      <c r="D463" s="14"/>
      <c r="E463" s="18"/>
      <c r="F463" s="61"/>
      <c r="G463" s="73"/>
      <c r="H463" s="79"/>
      <c r="I463" s="79"/>
      <c r="J463" s="14"/>
      <c r="K463" s="38"/>
      <c r="L463" s="38"/>
      <c r="M463" s="17"/>
    </row>
    <row r="464" spans="2:13" ht="14.45" customHeight="1" x14ac:dyDescent="0.25">
      <c r="B464" s="17"/>
      <c r="C464" s="14"/>
      <c r="D464" s="14"/>
      <c r="E464" s="18"/>
      <c r="F464" s="61"/>
      <c r="G464" s="73"/>
      <c r="H464" s="79"/>
      <c r="I464" s="79"/>
      <c r="J464" s="14"/>
      <c r="K464" s="38"/>
      <c r="L464" s="38"/>
      <c r="M464" s="17"/>
    </row>
    <row r="465" spans="2:13" ht="14.45" customHeight="1" x14ac:dyDescent="0.25">
      <c r="B465" s="17"/>
      <c r="C465" s="14"/>
      <c r="D465" s="14"/>
      <c r="E465" s="18"/>
      <c r="F465" s="61"/>
      <c r="G465" s="73"/>
      <c r="H465" s="79"/>
      <c r="I465" s="79"/>
      <c r="J465" s="14"/>
      <c r="K465" s="38"/>
      <c r="L465" s="38"/>
      <c r="M465" s="17"/>
    </row>
    <row r="466" spans="2:13" ht="14.45" customHeight="1" x14ac:dyDescent="0.25">
      <c r="B466" s="17"/>
      <c r="C466" s="14"/>
      <c r="D466" s="14"/>
      <c r="E466" s="18"/>
      <c r="F466" s="61"/>
      <c r="G466" s="73"/>
      <c r="H466" s="79"/>
      <c r="I466" s="79"/>
      <c r="J466" s="14"/>
      <c r="K466" s="38"/>
      <c r="L466" s="38"/>
      <c r="M466" s="17"/>
    </row>
    <row r="467" spans="2:13" ht="14.45" customHeight="1" x14ac:dyDescent="0.25">
      <c r="B467" s="17"/>
      <c r="C467" s="14"/>
      <c r="D467" s="14"/>
      <c r="E467" s="18"/>
      <c r="F467" s="61"/>
      <c r="G467" s="73"/>
      <c r="H467" s="79"/>
      <c r="I467" s="79"/>
      <c r="J467" s="14"/>
      <c r="K467" s="38"/>
      <c r="L467" s="38"/>
      <c r="M467" s="17"/>
    </row>
    <row r="468" spans="2:13" ht="14.45" customHeight="1" x14ac:dyDescent="0.25">
      <c r="B468" s="17"/>
      <c r="C468" s="14"/>
      <c r="D468" s="14"/>
      <c r="E468" s="18"/>
      <c r="F468" s="61"/>
      <c r="G468" s="73"/>
      <c r="H468" s="79"/>
      <c r="I468" s="79"/>
      <c r="J468" s="14"/>
      <c r="K468" s="38"/>
      <c r="L468" s="38"/>
      <c r="M468" s="17"/>
    </row>
    <row r="469" spans="2:13" ht="14.45" customHeight="1" x14ac:dyDescent="0.25">
      <c r="B469" s="17"/>
      <c r="C469" s="14"/>
      <c r="D469" s="14"/>
      <c r="E469" s="18"/>
      <c r="F469" s="61"/>
      <c r="G469" s="73"/>
      <c r="H469" s="79"/>
      <c r="I469" s="79"/>
      <c r="J469" s="14"/>
      <c r="K469" s="38"/>
      <c r="L469" s="38"/>
      <c r="M469" s="17"/>
    </row>
    <row r="470" spans="2:13" ht="14.45" customHeight="1" x14ac:dyDescent="0.25">
      <c r="B470" s="17"/>
      <c r="C470" s="14"/>
      <c r="D470" s="14"/>
      <c r="E470" s="18"/>
      <c r="F470" s="61"/>
      <c r="G470" s="73"/>
      <c r="H470" s="79"/>
      <c r="I470" s="79"/>
      <c r="J470" s="14"/>
      <c r="K470" s="38"/>
      <c r="L470" s="38"/>
      <c r="M470" s="17"/>
    </row>
    <row r="471" spans="2:13" ht="14.45" customHeight="1" x14ac:dyDescent="0.25">
      <c r="B471" s="17"/>
      <c r="C471" s="14"/>
      <c r="D471" s="14"/>
      <c r="E471" s="18"/>
      <c r="F471" s="61"/>
      <c r="G471" s="73"/>
      <c r="H471" s="79"/>
      <c r="I471" s="79"/>
      <c r="J471" s="14"/>
      <c r="K471" s="38"/>
      <c r="L471" s="38"/>
      <c r="M471" s="17"/>
    </row>
    <row r="472" spans="2:13" ht="14.45" customHeight="1" x14ac:dyDescent="0.25">
      <c r="B472" s="17"/>
      <c r="C472" s="14"/>
      <c r="D472" s="14"/>
      <c r="E472" s="18"/>
      <c r="F472" s="61"/>
      <c r="G472" s="73"/>
      <c r="H472" s="79"/>
      <c r="I472" s="79"/>
      <c r="J472" s="14"/>
      <c r="K472" s="38"/>
      <c r="L472" s="38"/>
      <c r="M472" s="17"/>
    </row>
    <row r="473" spans="2:13" ht="14.45" customHeight="1" x14ac:dyDescent="0.25">
      <c r="B473" s="17"/>
      <c r="C473" s="14"/>
      <c r="D473" s="14"/>
      <c r="E473" s="18"/>
      <c r="F473" s="61"/>
      <c r="G473" s="73"/>
      <c r="H473" s="79"/>
      <c r="I473" s="79"/>
      <c r="J473" s="14"/>
      <c r="K473" s="38"/>
      <c r="L473" s="38"/>
      <c r="M473" s="17"/>
    </row>
    <row r="474" spans="2:13" ht="14.45" customHeight="1" x14ac:dyDescent="0.25">
      <c r="B474" s="17"/>
      <c r="C474" s="14"/>
      <c r="D474" s="14"/>
      <c r="E474" s="18"/>
      <c r="F474" s="61"/>
      <c r="G474" s="73"/>
      <c r="H474" s="79"/>
      <c r="I474" s="79"/>
      <c r="J474" s="14"/>
      <c r="K474" s="38"/>
      <c r="L474" s="38"/>
      <c r="M474" s="17"/>
    </row>
    <row r="475" spans="2:13" ht="14.45" customHeight="1" x14ac:dyDescent="0.25">
      <c r="B475" s="17"/>
      <c r="C475" s="14"/>
      <c r="D475" s="14"/>
      <c r="E475" s="18"/>
      <c r="F475" s="61"/>
      <c r="G475" s="73"/>
      <c r="H475" s="79"/>
      <c r="I475" s="79"/>
      <c r="J475" s="14"/>
      <c r="K475" s="38"/>
      <c r="L475" s="38"/>
      <c r="M475" s="17"/>
    </row>
    <row r="476" spans="2:13" ht="14.45" customHeight="1" x14ac:dyDescent="0.25">
      <c r="B476" s="17"/>
      <c r="C476" s="14"/>
      <c r="D476" s="14"/>
      <c r="E476" s="18"/>
      <c r="F476" s="61"/>
      <c r="G476" s="73"/>
      <c r="H476" s="79"/>
      <c r="I476" s="79"/>
      <c r="J476" s="14"/>
      <c r="K476" s="38"/>
      <c r="L476" s="38"/>
      <c r="M476" s="17"/>
    </row>
    <row r="477" spans="2:13" ht="14.45" customHeight="1" x14ac:dyDescent="0.25">
      <c r="B477" s="17"/>
      <c r="C477" s="14"/>
      <c r="D477" s="14"/>
      <c r="E477" s="18"/>
      <c r="F477" s="61"/>
      <c r="G477" s="73"/>
      <c r="H477" s="79"/>
      <c r="I477" s="79"/>
      <c r="J477" s="14"/>
      <c r="K477" s="38"/>
      <c r="L477" s="38"/>
      <c r="M477" s="17"/>
    </row>
    <row r="478" spans="2:13" ht="14.45" customHeight="1" x14ac:dyDescent="0.25">
      <c r="B478" s="17"/>
      <c r="C478" s="14"/>
      <c r="D478" s="14"/>
      <c r="E478" s="18"/>
      <c r="F478" s="61"/>
      <c r="G478" s="73"/>
      <c r="H478" s="79"/>
      <c r="I478" s="79"/>
      <c r="J478" s="14"/>
      <c r="K478" s="38"/>
      <c r="L478" s="38"/>
      <c r="M478" s="17"/>
    </row>
    <row r="479" spans="2:13" ht="14.45" customHeight="1" x14ac:dyDescent="0.25">
      <c r="B479" s="17"/>
      <c r="C479" s="14"/>
      <c r="D479" s="14"/>
      <c r="E479" s="18"/>
      <c r="F479" s="61"/>
      <c r="G479" s="73"/>
      <c r="H479" s="79"/>
      <c r="I479" s="79"/>
      <c r="J479" s="14"/>
      <c r="K479" s="38"/>
      <c r="L479" s="38"/>
      <c r="M479" s="17"/>
    </row>
    <row r="480" spans="2:13" ht="14.45" customHeight="1" x14ac:dyDescent="0.25">
      <c r="B480" s="17"/>
      <c r="C480" s="14"/>
      <c r="D480" s="14"/>
      <c r="E480" s="18"/>
      <c r="F480" s="61"/>
      <c r="G480" s="73"/>
      <c r="H480" s="79"/>
      <c r="I480" s="79"/>
      <c r="J480" s="14"/>
      <c r="K480" s="38"/>
      <c r="L480" s="38"/>
      <c r="M480" s="17"/>
    </row>
    <row r="481" spans="2:13" ht="14.45" customHeight="1" x14ac:dyDescent="0.25">
      <c r="B481" s="17"/>
      <c r="C481" s="14"/>
      <c r="D481" s="14"/>
      <c r="E481" s="18"/>
      <c r="F481" s="61"/>
      <c r="G481" s="73"/>
      <c r="H481" s="79"/>
      <c r="I481" s="79"/>
      <c r="J481" s="14"/>
      <c r="K481" s="38"/>
      <c r="L481" s="38"/>
      <c r="M481" s="17"/>
    </row>
    <row r="482" spans="2:13" ht="14.45" customHeight="1" x14ac:dyDescent="0.25">
      <c r="B482" s="17"/>
      <c r="C482" s="14"/>
      <c r="D482" s="14"/>
      <c r="E482" s="18"/>
      <c r="F482" s="61"/>
      <c r="G482" s="73"/>
      <c r="H482" s="79"/>
      <c r="I482" s="79"/>
      <c r="J482" s="14"/>
      <c r="K482" s="38"/>
      <c r="L482" s="38"/>
      <c r="M482" s="17"/>
    </row>
    <row r="483" spans="2:13" ht="14.45" customHeight="1" x14ac:dyDescent="0.25">
      <c r="B483" s="17"/>
      <c r="C483" s="14"/>
      <c r="D483" s="14"/>
      <c r="E483" s="18"/>
      <c r="F483" s="61"/>
      <c r="G483" s="73"/>
      <c r="H483" s="79"/>
      <c r="I483" s="79"/>
      <c r="J483" s="14"/>
      <c r="K483" s="38"/>
      <c r="L483" s="38"/>
      <c r="M483" s="17"/>
    </row>
    <row r="484" spans="2:13" ht="14.45" customHeight="1" x14ac:dyDescent="0.25">
      <c r="B484" s="17"/>
      <c r="C484" s="14"/>
      <c r="D484" s="14"/>
      <c r="E484" s="18"/>
      <c r="F484" s="61"/>
      <c r="G484" s="73"/>
      <c r="H484" s="79"/>
      <c r="I484" s="79"/>
      <c r="J484" s="14"/>
      <c r="K484" s="38"/>
      <c r="L484" s="38"/>
      <c r="M484" s="17"/>
    </row>
    <row r="485" spans="2:13" ht="14.45" customHeight="1" x14ac:dyDescent="0.25">
      <c r="B485" s="17"/>
      <c r="C485" s="14"/>
      <c r="D485" s="14"/>
      <c r="E485" s="18"/>
      <c r="F485" s="61"/>
      <c r="G485" s="73"/>
      <c r="H485" s="79"/>
      <c r="I485" s="79"/>
      <c r="J485" s="14"/>
      <c r="K485" s="38"/>
      <c r="L485" s="38"/>
      <c r="M485" s="17"/>
    </row>
    <row r="486" spans="2:13" ht="14.45" customHeight="1" x14ac:dyDescent="0.25">
      <c r="B486" s="17"/>
      <c r="C486" s="14"/>
      <c r="D486" s="14"/>
      <c r="E486" s="18"/>
      <c r="F486" s="61"/>
      <c r="G486" s="73"/>
      <c r="H486" s="79"/>
      <c r="I486" s="79"/>
      <c r="J486" s="14"/>
      <c r="K486" s="38"/>
      <c r="L486" s="38"/>
      <c r="M486" s="17"/>
    </row>
    <row r="487" spans="2:13" ht="14.45" customHeight="1" x14ac:dyDescent="0.25">
      <c r="B487" s="17"/>
      <c r="C487" s="14"/>
      <c r="D487" s="14"/>
      <c r="E487" s="18"/>
      <c r="F487" s="61"/>
      <c r="G487" s="73"/>
      <c r="H487" s="79"/>
      <c r="I487" s="79"/>
      <c r="J487" s="14"/>
      <c r="K487" s="38"/>
      <c r="L487" s="38"/>
      <c r="M487" s="17"/>
    </row>
    <row r="488" spans="2:13" ht="14.45" customHeight="1" x14ac:dyDescent="0.25">
      <c r="B488" s="17"/>
      <c r="C488" s="14"/>
      <c r="D488" s="14"/>
      <c r="E488" s="18"/>
      <c r="F488" s="61"/>
      <c r="G488" s="73"/>
      <c r="H488" s="79"/>
      <c r="I488" s="79"/>
      <c r="J488" s="14"/>
      <c r="K488" s="38"/>
      <c r="L488" s="38"/>
      <c r="M488" s="17"/>
    </row>
    <row r="489" spans="2:13" ht="14.45" customHeight="1" x14ac:dyDescent="0.25">
      <c r="B489" s="17"/>
      <c r="C489" s="14"/>
      <c r="D489" s="14"/>
      <c r="E489" s="18"/>
      <c r="F489" s="61"/>
      <c r="G489" s="73"/>
      <c r="H489" s="79"/>
      <c r="I489" s="79"/>
      <c r="J489" s="14"/>
      <c r="K489" s="38"/>
      <c r="L489" s="38"/>
      <c r="M489" s="17"/>
    </row>
    <row r="490" spans="2:13" ht="14.45" customHeight="1" x14ac:dyDescent="0.25">
      <c r="B490" s="17"/>
      <c r="C490" s="14"/>
      <c r="D490" s="14"/>
      <c r="E490" s="18"/>
      <c r="F490" s="61"/>
      <c r="G490" s="73"/>
      <c r="H490" s="79"/>
      <c r="I490" s="79"/>
      <c r="J490" s="14"/>
      <c r="K490" s="38"/>
      <c r="L490" s="38"/>
      <c r="M490" s="17"/>
    </row>
    <row r="491" spans="2:13" ht="14.45" customHeight="1" x14ac:dyDescent="0.25">
      <c r="B491" s="17"/>
      <c r="C491" s="14"/>
      <c r="D491" s="14"/>
      <c r="E491" s="18"/>
      <c r="F491" s="61"/>
      <c r="G491" s="73"/>
      <c r="H491" s="79"/>
      <c r="I491" s="79"/>
      <c r="J491" s="14"/>
      <c r="K491" s="38"/>
      <c r="L491" s="38"/>
      <c r="M491" s="17"/>
    </row>
    <row r="492" spans="2:13" ht="14.45" customHeight="1" x14ac:dyDescent="0.25">
      <c r="B492" s="17"/>
      <c r="C492" s="14"/>
      <c r="D492" s="14"/>
      <c r="E492" s="18"/>
      <c r="F492" s="61"/>
      <c r="G492" s="73"/>
      <c r="H492" s="79"/>
      <c r="I492" s="79"/>
      <c r="J492" s="14"/>
      <c r="K492" s="38"/>
      <c r="L492" s="38"/>
      <c r="M492" s="17"/>
    </row>
    <row r="493" spans="2:13" ht="14.45" customHeight="1" x14ac:dyDescent="0.25">
      <c r="B493" s="17"/>
      <c r="C493" s="14"/>
      <c r="D493" s="14"/>
      <c r="E493" s="18"/>
      <c r="F493" s="61"/>
      <c r="G493" s="73"/>
      <c r="H493" s="79"/>
      <c r="I493" s="79"/>
      <c r="J493" s="14"/>
      <c r="K493" s="38"/>
      <c r="L493" s="38"/>
      <c r="M493" s="17"/>
    </row>
    <row r="494" spans="2:13" ht="14.45" customHeight="1" x14ac:dyDescent="0.25">
      <c r="B494" s="17"/>
      <c r="C494" s="14"/>
      <c r="D494" s="14"/>
      <c r="E494" s="18"/>
      <c r="F494" s="61"/>
      <c r="G494" s="73"/>
      <c r="H494" s="79"/>
      <c r="I494" s="79"/>
      <c r="J494" s="14"/>
      <c r="K494" s="38"/>
      <c r="L494" s="38"/>
      <c r="M494" s="17"/>
    </row>
    <row r="495" spans="2:13" ht="14.45" customHeight="1" x14ac:dyDescent="0.25">
      <c r="B495" s="17"/>
      <c r="C495" s="14"/>
      <c r="D495" s="14"/>
      <c r="E495" s="18"/>
      <c r="F495" s="61"/>
      <c r="G495" s="73"/>
      <c r="H495" s="79"/>
      <c r="I495" s="79"/>
      <c r="J495" s="14"/>
      <c r="K495" s="38"/>
      <c r="L495" s="38"/>
      <c r="M495" s="17"/>
    </row>
    <row r="496" spans="2:13" ht="14.45" customHeight="1" x14ac:dyDescent="0.25">
      <c r="B496" s="17"/>
      <c r="C496" s="14"/>
      <c r="D496" s="14"/>
      <c r="E496" s="18"/>
      <c r="F496" s="61"/>
      <c r="G496" s="73"/>
      <c r="H496" s="79"/>
      <c r="I496" s="79"/>
      <c r="J496" s="14"/>
      <c r="K496" s="38"/>
      <c r="L496" s="38"/>
      <c r="M496" s="17"/>
    </row>
    <row r="497" spans="2:13" ht="14.45" customHeight="1" x14ac:dyDescent="0.25">
      <c r="B497" s="17"/>
      <c r="C497" s="14"/>
      <c r="D497" s="14"/>
      <c r="E497" s="18"/>
      <c r="F497" s="61"/>
      <c r="G497" s="73"/>
      <c r="H497" s="79"/>
      <c r="I497" s="79"/>
      <c r="J497" s="14"/>
      <c r="K497" s="38"/>
      <c r="L497" s="38"/>
      <c r="M497" s="17"/>
    </row>
    <row r="498" spans="2:13" ht="14.45" customHeight="1" x14ac:dyDescent="0.25">
      <c r="B498" s="17"/>
      <c r="C498" s="14"/>
      <c r="D498" s="14"/>
      <c r="E498" s="18"/>
      <c r="F498" s="61"/>
      <c r="G498" s="73"/>
      <c r="H498" s="79"/>
      <c r="I498" s="79"/>
      <c r="J498" s="14"/>
      <c r="K498" s="38"/>
      <c r="L498" s="38"/>
      <c r="M498" s="17"/>
    </row>
    <row r="499" spans="2:13" ht="14.45" customHeight="1" x14ac:dyDescent="0.25">
      <c r="B499" s="17"/>
      <c r="C499" s="14"/>
      <c r="D499" s="14"/>
      <c r="E499" s="18"/>
      <c r="F499" s="61"/>
      <c r="G499" s="73"/>
      <c r="H499" s="79"/>
      <c r="I499" s="79"/>
      <c r="J499" s="14"/>
      <c r="K499" s="38"/>
      <c r="L499" s="38"/>
      <c r="M499" s="17"/>
    </row>
    <row r="500" spans="2:13" ht="14.45" customHeight="1" x14ac:dyDescent="0.25">
      <c r="B500" s="17"/>
      <c r="C500" s="14"/>
      <c r="D500" s="14"/>
      <c r="E500" s="18"/>
      <c r="F500" s="61"/>
      <c r="G500" s="73"/>
      <c r="H500" s="79"/>
      <c r="I500" s="79"/>
      <c r="J500" s="14"/>
      <c r="K500" s="38"/>
      <c r="L500" s="38"/>
      <c r="M500" s="17"/>
    </row>
    <row r="501" spans="2:13" ht="14.45" customHeight="1" x14ac:dyDescent="0.25">
      <c r="B501" s="17"/>
      <c r="C501" s="14"/>
      <c r="D501" s="14"/>
      <c r="E501" s="18"/>
      <c r="F501" s="61"/>
      <c r="G501" s="73"/>
      <c r="H501" s="79"/>
      <c r="I501" s="79"/>
      <c r="J501" s="14"/>
      <c r="K501" s="38"/>
      <c r="L501" s="38"/>
      <c r="M501" s="17"/>
    </row>
    <row r="502" spans="2:13" ht="14.45" customHeight="1" x14ac:dyDescent="0.25">
      <c r="B502" s="17"/>
      <c r="C502" s="14"/>
      <c r="D502" s="14"/>
      <c r="E502" s="18"/>
      <c r="F502" s="61"/>
      <c r="G502" s="73"/>
      <c r="H502" s="79"/>
      <c r="I502" s="79"/>
      <c r="J502" s="14"/>
      <c r="K502" s="38"/>
      <c r="L502" s="38"/>
      <c r="M502" s="17"/>
    </row>
    <row r="503" spans="2:13" ht="14.45" customHeight="1" x14ac:dyDescent="0.25">
      <c r="B503" s="17"/>
      <c r="C503" s="14"/>
      <c r="D503" s="14"/>
      <c r="E503" s="18"/>
      <c r="F503" s="61"/>
      <c r="G503" s="73"/>
      <c r="H503" s="79"/>
      <c r="I503" s="79"/>
      <c r="J503" s="14"/>
      <c r="K503" s="38"/>
      <c r="L503" s="38"/>
      <c r="M503" s="17"/>
    </row>
    <row r="504" spans="2:13" ht="14.45" customHeight="1" x14ac:dyDescent="0.25">
      <c r="B504" s="17"/>
      <c r="C504" s="14"/>
      <c r="D504" s="14"/>
      <c r="E504" s="18"/>
      <c r="F504" s="61"/>
      <c r="G504" s="73"/>
      <c r="H504" s="79"/>
      <c r="I504" s="79"/>
      <c r="J504" s="14"/>
      <c r="K504" s="38"/>
      <c r="L504" s="38"/>
      <c r="M504" s="17"/>
    </row>
    <row r="505" spans="2:13" ht="14.45" customHeight="1" x14ac:dyDescent="0.25">
      <c r="B505" s="17"/>
      <c r="C505" s="14"/>
      <c r="D505" s="14"/>
      <c r="E505" s="18"/>
      <c r="F505" s="61"/>
      <c r="G505" s="73"/>
      <c r="H505" s="79"/>
      <c r="I505" s="79"/>
      <c r="J505" s="14"/>
      <c r="K505" s="38"/>
      <c r="L505" s="38"/>
      <c r="M505" s="17"/>
    </row>
    <row r="506" spans="2:13" ht="14.45" customHeight="1" x14ac:dyDescent="0.25">
      <c r="B506" s="17"/>
      <c r="C506" s="14"/>
      <c r="D506" s="14"/>
      <c r="E506" s="18"/>
      <c r="F506" s="61"/>
      <c r="G506" s="73"/>
      <c r="H506" s="79"/>
      <c r="I506" s="79"/>
      <c r="J506" s="14"/>
      <c r="K506" s="38"/>
      <c r="L506" s="38"/>
      <c r="M506" s="17"/>
    </row>
    <row r="507" spans="2:13" ht="14.45" customHeight="1" x14ac:dyDescent="0.25">
      <c r="B507" s="17"/>
      <c r="C507" s="14"/>
      <c r="D507" s="14"/>
      <c r="E507" s="18"/>
      <c r="F507" s="61"/>
      <c r="G507" s="73"/>
      <c r="H507" s="79"/>
      <c r="I507" s="79"/>
      <c r="J507" s="14"/>
      <c r="K507" s="38"/>
      <c r="L507" s="38"/>
      <c r="M507" s="17"/>
    </row>
    <row r="508" spans="2:13" ht="14.45" customHeight="1" x14ac:dyDescent="0.25">
      <c r="B508" s="17"/>
      <c r="C508" s="14"/>
      <c r="D508" s="14"/>
      <c r="E508" s="18"/>
      <c r="F508" s="61"/>
      <c r="G508" s="73"/>
      <c r="H508" s="79"/>
      <c r="I508" s="79"/>
      <c r="J508" s="14"/>
      <c r="K508" s="38"/>
      <c r="L508" s="38"/>
      <c r="M508" s="17"/>
    </row>
    <row r="509" spans="2:13" ht="14.45" customHeight="1" x14ac:dyDescent="0.25">
      <c r="B509" s="17"/>
      <c r="C509" s="14"/>
      <c r="D509" s="14"/>
      <c r="E509" s="18"/>
      <c r="F509" s="61"/>
      <c r="G509" s="73"/>
      <c r="H509" s="79"/>
      <c r="I509" s="79"/>
      <c r="J509" s="14"/>
      <c r="K509" s="38"/>
      <c r="L509" s="38"/>
      <c r="M509" s="17"/>
    </row>
    <row r="510" spans="2:13" ht="14.45" customHeight="1" x14ac:dyDescent="0.25">
      <c r="B510" s="17"/>
      <c r="C510" s="14"/>
      <c r="D510" s="14"/>
      <c r="E510" s="18"/>
      <c r="F510" s="61"/>
      <c r="G510" s="73"/>
      <c r="H510" s="79"/>
      <c r="I510" s="79"/>
      <c r="J510" s="14"/>
      <c r="K510" s="38"/>
      <c r="L510" s="38"/>
      <c r="M510" s="17"/>
    </row>
    <row r="511" spans="2:13" ht="14.45" customHeight="1" x14ac:dyDescent="0.25">
      <c r="B511" s="17"/>
      <c r="C511" s="14"/>
      <c r="D511" s="14"/>
      <c r="E511" s="18"/>
      <c r="F511" s="61"/>
      <c r="G511" s="73"/>
      <c r="H511" s="79"/>
      <c r="I511" s="79"/>
      <c r="J511" s="14"/>
      <c r="K511" s="38"/>
      <c r="L511" s="38"/>
      <c r="M511" s="17"/>
    </row>
    <row r="512" spans="2:13" ht="14.45" customHeight="1" x14ac:dyDescent="0.25">
      <c r="B512" s="17"/>
      <c r="C512" s="14"/>
      <c r="D512" s="14"/>
      <c r="E512" s="18"/>
      <c r="F512" s="61"/>
      <c r="G512" s="73"/>
      <c r="H512" s="79"/>
      <c r="I512" s="79"/>
      <c r="J512" s="14"/>
      <c r="K512" s="38"/>
      <c r="L512" s="38"/>
      <c r="M512" s="17"/>
    </row>
    <row r="513" spans="2:13" ht="14.45" customHeight="1" x14ac:dyDescent="0.25">
      <c r="B513" s="17"/>
      <c r="C513" s="14"/>
      <c r="D513" s="14"/>
      <c r="E513" s="18"/>
      <c r="F513" s="61"/>
      <c r="G513" s="73"/>
      <c r="H513" s="79"/>
      <c r="I513" s="79"/>
      <c r="J513" s="14"/>
      <c r="K513" s="38"/>
      <c r="L513" s="38"/>
      <c r="M513" s="17"/>
    </row>
    <row r="514" spans="2:13" ht="14.45" customHeight="1" x14ac:dyDescent="0.25">
      <c r="B514" s="17"/>
      <c r="C514" s="14"/>
      <c r="D514" s="14"/>
      <c r="E514" s="18"/>
      <c r="F514" s="61"/>
      <c r="G514" s="73"/>
      <c r="H514" s="79"/>
      <c r="I514" s="79"/>
      <c r="J514" s="14"/>
      <c r="K514" s="38"/>
      <c r="L514" s="38"/>
      <c r="M514" s="17"/>
    </row>
    <row r="515" spans="2:13" ht="14.45" customHeight="1" x14ac:dyDescent="0.25">
      <c r="B515" s="17"/>
      <c r="C515" s="14"/>
      <c r="D515" s="14"/>
      <c r="E515" s="18"/>
      <c r="F515" s="61"/>
      <c r="G515" s="73"/>
      <c r="H515" s="79"/>
      <c r="I515" s="79"/>
      <c r="J515" s="14"/>
      <c r="K515" s="38"/>
      <c r="L515" s="38"/>
      <c r="M515" s="17"/>
    </row>
    <row r="516" spans="2:13" ht="14.45" customHeight="1" x14ac:dyDescent="0.25">
      <c r="B516" s="17"/>
      <c r="C516" s="14"/>
      <c r="D516" s="14"/>
      <c r="E516" s="18"/>
      <c r="F516" s="61"/>
      <c r="G516" s="73"/>
      <c r="H516" s="79"/>
      <c r="I516" s="79"/>
      <c r="J516" s="14"/>
      <c r="K516" s="38"/>
      <c r="L516" s="38"/>
      <c r="M516" s="17"/>
    </row>
    <row r="517" spans="2:13" ht="14.45" customHeight="1" x14ac:dyDescent="0.25">
      <c r="B517" s="17"/>
      <c r="C517" s="14"/>
      <c r="D517" s="14"/>
      <c r="E517" s="18"/>
      <c r="F517" s="61"/>
      <c r="G517" s="73"/>
      <c r="H517" s="79"/>
      <c r="I517" s="79"/>
      <c r="J517" s="14"/>
      <c r="K517" s="38"/>
      <c r="L517" s="38"/>
      <c r="M517" s="17"/>
    </row>
    <row r="518" spans="2:13" ht="14.45" customHeight="1" x14ac:dyDescent="0.25">
      <c r="B518" s="17"/>
      <c r="C518" s="14"/>
      <c r="D518" s="14"/>
      <c r="E518" s="18"/>
      <c r="F518" s="61"/>
      <c r="G518" s="73"/>
      <c r="H518" s="79"/>
      <c r="I518" s="79"/>
      <c r="J518" s="14"/>
      <c r="K518" s="38"/>
      <c r="L518" s="38"/>
      <c r="M518" s="17"/>
    </row>
    <row r="519" spans="2:13" ht="14.45" customHeight="1" x14ac:dyDescent="0.25">
      <c r="B519" s="17"/>
      <c r="C519" s="14"/>
      <c r="D519" s="14"/>
      <c r="E519" s="18"/>
      <c r="F519" s="61"/>
      <c r="G519" s="73"/>
      <c r="H519" s="79"/>
      <c r="I519" s="79"/>
      <c r="J519" s="14"/>
      <c r="K519" s="38"/>
      <c r="L519" s="38"/>
      <c r="M519" s="17"/>
    </row>
    <row r="520" spans="2:13" ht="14.45" customHeight="1" x14ac:dyDescent="0.25">
      <c r="B520" s="17"/>
      <c r="C520" s="14"/>
      <c r="D520" s="14"/>
      <c r="E520" s="18"/>
      <c r="F520" s="61"/>
      <c r="G520" s="73"/>
      <c r="H520" s="79"/>
      <c r="I520" s="79"/>
      <c r="J520" s="14"/>
      <c r="K520" s="38"/>
      <c r="L520" s="38"/>
      <c r="M520" s="17"/>
    </row>
    <row r="521" spans="2:13" ht="14.45" customHeight="1" x14ac:dyDescent="0.25">
      <c r="B521" s="17"/>
      <c r="C521" s="14"/>
      <c r="D521" s="14"/>
      <c r="E521" s="18"/>
      <c r="F521" s="61"/>
      <c r="G521" s="73"/>
      <c r="H521" s="79"/>
      <c r="I521" s="79"/>
      <c r="J521" s="14"/>
      <c r="K521" s="38"/>
      <c r="L521" s="38"/>
      <c r="M521" s="17"/>
    </row>
    <row r="522" spans="2:13" ht="14.45" customHeight="1" x14ac:dyDescent="0.25">
      <c r="B522" s="17"/>
      <c r="C522" s="14"/>
      <c r="D522" s="14"/>
      <c r="E522" s="18"/>
      <c r="F522" s="61"/>
      <c r="G522" s="73"/>
      <c r="H522" s="79"/>
      <c r="I522" s="79"/>
      <c r="J522" s="14"/>
      <c r="K522" s="38"/>
      <c r="L522" s="38"/>
      <c r="M522" s="17"/>
    </row>
    <row r="523" spans="2:13" ht="14.45" customHeight="1" x14ac:dyDescent="0.25">
      <c r="B523" s="17"/>
      <c r="C523" s="14"/>
      <c r="D523" s="14"/>
      <c r="E523" s="18"/>
      <c r="F523" s="61"/>
      <c r="G523" s="73"/>
      <c r="H523" s="79"/>
      <c r="I523" s="79"/>
      <c r="J523" s="14"/>
      <c r="K523" s="38"/>
      <c r="L523" s="38"/>
      <c r="M523" s="17"/>
    </row>
    <row r="524" spans="2:13" ht="14.45" customHeight="1" x14ac:dyDescent="0.25">
      <c r="B524" s="17"/>
      <c r="C524" s="14"/>
      <c r="D524" s="14"/>
      <c r="E524" s="18"/>
      <c r="F524" s="61"/>
      <c r="G524" s="73"/>
      <c r="H524" s="79"/>
      <c r="I524" s="79"/>
      <c r="J524" s="14"/>
      <c r="K524" s="38"/>
      <c r="L524" s="38"/>
      <c r="M524" s="17"/>
    </row>
    <row r="525" spans="2:13" ht="14.45" customHeight="1" x14ac:dyDescent="0.25">
      <c r="B525" s="17"/>
      <c r="C525" s="14"/>
      <c r="D525" s="14"/>
      <c r="E525" s="18"/>
      <c r="F525" s="61"/>
      <c r="G525" s="73"/>
      <c r="H525" s="79"/>
      <c r="I525" s="79"/>
      <c r="J525" s="14"/>
      <c r="K525" s="38"/>
      <c r="L525" s="38"/>
      <c r="M525" s="17"/>
    </row>
    <row r="526" spans="2:13" ht="14.45" customHeight="1" x14ac:dyDescent="0.25">
      <c r="B526" s="17"/>
      <c r="C526" s="14"/>
      <c r="D526" s="14"/>
      <c r="E526" s="18"/>
      <c r="F526" s="61"/>
      <c r="G526" s="73"/>
      <c r="H526" s="79"/>
      <c r="I526" s="79"/>
      <c r="J526" s="14"/>
      <c r="K526" s="38"/>
      <c r="L526" s="38"/>
      <c r="M526" s="17"/>
    </row>
    <row r="527" spans="2:13" ht="14.45" customHeight="1" x14ac:dyDescent="0.25">
      <c r="B527" s="17"/>
      <c r="C527" s="14"/>
      <c r="D527" s="14"/>
      <c r="E527" s="18"/>
      <c r="F527" s="61"/>
      <c r="G527" s="73"/>
      <c r="H527" s="79"/>
      <c r="I527" s="79"/>
      <c r="J527" s="14"/>
      <c r="K527" s="38"/>
      <c r="L527" s="38"/>
      <c r="M527" s="17"/>
    </row>
    <row r="528" spans="2:13" ht="14.45" customHeight="1" x14ac:dyDescent="0.25">
      <c r="B528" s="17"/>
      <c r="C528" s="14"/>
      <c r="D528" s="14"/>
      <c r="E528" s="18"/>
      <c r="F528" s="61"/>
      <c r="G528" s="73"/>
      <c r="H528" s="79"/>
      <c r="I528" s="79"/>
      <c r="J528" s="14"/>
      <c r="K528" s="38"/>
      <c r="L528" s="38"/>
      <c r="M528" s="17"/>
    </row>
    <row r="529" spans="2:13" ht="14.45" customHeight="1" x14ac:dyDescent="0.25">
      <c r="B529" s="17"/>
      <c r="C529" s="14"/>
      <c r="D529" s="14"/>
      <c r="E529" s="18"/>
      <c r="F529" s="61"/>
      <c r="G529" s="73"/>
      <c r="H529" s="79"/>
      <c r="I529" s="79"/>
      <c r="J529" s="14"/>
      <c r="K529" s="38"/>
      <c r="L529" s="38"/>
      <c r="M529" s="17"/>
    </row>
    <row r="530" spans="2:13" ht="14.45" customHeight="1" x14ac:dyDescent="0.25">
      <c r="B530" s="17"/>
      <c r="C530" s="14"/>
      <c r="D530" s="14"/>
      <c r="E530" s="18"/>
      <c r="F530" s="61"/>
      <c r="G530" s="73"/>
      <c r="H530" s="79"/>
      <c r="I530" s="79"/>
      <c r="J530" s="14"/>
      <c r="K530" s="38"/>
      <c r="L530" s="38"/>
      <c r="M530" s="17"/>
    </row>
    <row r="531" spans="2:13" ht="14.45" customHeight="1" x14ac:dyDescent="0.25">
      <c r="B531" s="17"/>
      <c r="C531" s="14"/>
      <c r="D531" s="14"/>
      <c r="E531" s="18"/>
      <c r="F531" s="61"/>
      <c r="G531" s="73"/>
      <c r="H531" s="79"/>
      <c r="I531" s="79"/>
      <c r="J531" s="14"/>
      <c r="K531" s="38"/>
      <c r="L531" s="38"/>
      <c r="M531" s="17"/>
    </row>
    <row r="532" spans="2:13" ht="14.45" customHeight="1" x14ac:dyDescent="0.25">
      <c r="B532" s="17"/>
      <c r="C532" s="14"/>
      <c r="D532" s="14"/>
      <c r="E532" s="18"/>
      <c r="F532" s="61"/>
      <c r="G532" s="73"/>
      <c r="H532" s="79"/>
      <c r="I532" s="79"/>
      <c r="J532" s="14"/>
      <c r="K532" s="38"/>
      <c r="L532" s="38"/>
      <c r="M532" s="17"/>
    </row>
    <row r="533" spans="2:13" ht="14.45" customHeight="1" x14ac:dyDescent="0.25">
      <c r="B533" s="17"/>
      <c r="C533" s="14"/>
      <c r="D533" s="14"/>
      <c r="E533" s="18"/>
      <c r="F533" s="61"/>
      <c r="G533" s="73"/>
      <c r="H533" s="79"/>
      <c r="I533" s="79"/>
      <c r="J533" s="14"/>
      <c r="K533" s="38"/>
      <c r="L533" s="38"/>
      <c r="M533" s="17"/>
    </row>
    <row r="534" spans="2:13" ht="14.45" customHeight="1" x14ac:dyDescent="0.25">
      <c r="B534" s="17"/>
      <c r="C534" s="14"/>
      <c r="D534" s="14"/>
      <c r="E534" s="18"/>
      <c r="F534" s="61"/>
      <c r="G534" s="73"/>
      <c r="H534" s="79"/>
      <c r="I534" s="79"/>
      <c r="J534" s="14"/>
      <c r="K534" s="38"/>
      <c r="L534" s="38"/>
      <c r="M534" s="17"/>
    </row>
    <row r="535" spans="2:13" ht="14.45" customHeight="1" x14ac:dyDescent="0.25">
      <c r="B535" s="17"/>
      <c r="C535" s="14"/>
      <c r="D535" s="14"/>
      <c r="E535" s="18"/>
      <c r="F535" s="61"/>
      <c r="G535" s="73"/>
      <c r="H535" s="79"/>
      <c r="I535" s="79"/>
      <c r="J535" s="14"/>
      <c r="K535" s="38"/>
      <c r="L535" s="38"/>
      <c r="M535" s="17"/>
    </row>
    <row r="536" spans="2:13" ht="14.45" customHeight="1" x14ac:dyDescent="0.25">
      <c r="B536" s="17"/>
      <c r="C536" s="14"/>
      <c r="D536" s="14"/>
      <c r="E536" s="18"/>
      <c r="F536" s="61"/>
      <c r="G536" s="73"/>
      <c r="H536" s="79"/>
      <c r="I536" s="79"/>
      <c r="J536" s="14"/>
      <c r="K536" s="38"/>
      <c r="L536" s="38"/>
      <c r="M536" s="17"/>
    </row>
    <row r="537" spans="2:13" ht="14.45" customHeight="1" x14ac:dyDescent="0.25">
      <c r="B537" s="17"/>
      <c r="C537" s="14"/>
      <c r="D537" s="14"/>
      <c r="E537" s="18"/>
      <c r="F537" s="61"/>
      <c r="G537" s="73"/>
      <c r="H537" s="79"/>
      <c r="I537" s="79"/>
      <c r="J537" s="14"/>
      <c r="K537" s="38"/>
      <c r="L537" s="38"/>
      <c r="M537" s="17"/>
    </row>
    <row r="538" spans="2:13" ht="14.45" customHeight="1" x14ac:dyDescent="0.25">
      <c r="B538" s="17"/>
      <c r="C538" s="14"/>
      <c r="D538" s="14"/>
      <c r="E538" s="18"/>
      <c r="F538" s="61"/>
      <c r="G538" s="73"/>
      <c r="H538" s="79"/>
      <c r="I538" s="79"/>
      <c r="J538" s="14"/>
      <c r="K538" s="38"/>
      <c r="L538" s="38"/>
      <c r="M538" s="17"/>
    </row>
    <row r="539" spans="2:13" ht="14.45" customHeight="1" x14ac:dyDescent="0.25">
      <c r="B539" s="17"/>
      <c r="C539" s="14"/>
      <c r="D539" s="14"/>
      <c r="E539" s="18"/>
      <c r="F539" s="61"/>
      <c r="G539" s="73"/>
      <c r="H539" s="79"/>
      <c r="I539" s="79"/>
      <c r="J539" s="14"/>
      <c r="K539" s="38"/>
      <c r="L539" s="38"/>
      <c r="M539" s="17"/>
    </row>
    <row r="540" spans="2:13" ht="14.45" customHeight="1" x14ac:dyDescent="0.25">
      <c r="B540" s="17"/>
      <c r="C540" s="14"/>
      <c r="D540" s="14"/>
      <c r="E540" s="18"/>
      <c r="F540" s="61"/>
      <c r="G540" s="73"/>
      <c r="H540" s="79"/>
      <c r="I540" s="79"/>
      <c r="J540" s="14"/>
      <c r="K540" s="38"/>
      <c r="L540" s="38"/>
      <c r="M540" s="17"/>
    </row>
    <row r="541" spans="2:13" ht="14.45" customHeight="1" x14ac:dyDescent="0.25">
      <c r="B541" s="17"/>
      <c r="C541" s="14"/>
      <c r="D541" s="14"/>
      <c r="E541" s="18"/>
      <c r="F541" s="61"/>
      <c r="G541" s="73"/>
      <c r="H541" s="79"/>
      <c r="I541" s="79"/>
      <c r="J541" s="14"/>
      <c r="K541" s="38"/>
      <c r="L541" s="38"/>
      <c r="M541" s="17"/>
    </row>
    <row r="542" spans="2:13" ht="14.45" customHeight="1" x14ac:dyDescent="0.25">
      <c r="B542" s="17"/>
      <c r="C542" s="14"/>
      <c r="D542" s="14"/>
      <c r="E542" s="18"/>
      <c r="F542" s="61"/>
      <c r="G542" s="73"/>
      <c r="H542" s="79"/>
      <c r="I542" s="79"/>
      <c r="J542" s="14"/>
      <c r="K542" s="38"/>
      <c r="L542" s="38"/>
      <c r="M542" s="17"/>
    </row>
    <row r="543" spans="2:13" ht="14.45" customHeight="1" x14ac:dyDescent="0.25">
      <c r="B543" s="17"/>
      <c r="C543" s="14"/>
      <c r="D543" s="14"/>
      <c r="E543" s="18"/>
      <c r="F543" s="61"/>
      <c r="G543" s="73"/>
      <c r="H543" s="79"/>
      <c r="I543" s="79"/>
      <c r="J543" s="14"/>
      <c r="K543" s="38"/>
      <c r="L543" s="38"/>
      <c r="M543" s="17"/>
    </row>
    <row r="544" spans="2:13" ht="14.45" customHeight="1" x14ac:dyDescent="0.25">
      <c r="B544" s="17"/>
      <c r="C544" s="14"/>
      <c r="D544" s="14"/>
      <c r="E544" s="18"/>
      <c r="F544" s="61"/>
      <c r="G544" s="73"/>
      <c r="H544" s="79"/>
      <c r="I544" s="79"/>
      <c r="J544" s="14"/>
      <c r="K544" s="38"/>
      <c r="L544" s="38"/>
      <c r="M544" s="17"/>
    </row>
    <row r="545" spans="2:13" ht="14.45" customHeight="1" x14ac:dyDescent="0.25">
      <c r="B545" s="17"/>
      <c r="C545" s="14"/>
      <c r="D545" s="14"/>
      <c r="E545" s="18"/>
      <c r="F545" s="61"/>
      <c r="G545" s="73"/>
      <c r="H545" s="79"/>
      <c r="I545" s="79"/>
      <c r="J545" s="14"/>
      <c r="K545" s="38"/>
      <c r="L545" s="38"/>
      <c r="M545" s="17"/>
    </row>
    <row r="546" spans="2:13" ht="14.45" customHeight="1" x14ac:dyDescent="0.25">
      <c r="B546" s="17"/>
      <c r="C546" s="14"/>
      <c r="D546" s="14"/>
      <c r="E546" s="18"/>
      <c r="F546" s="61"/>
      <c r="G546" s="73"/>
      <c r="H546" s="79"/>
      <c r="I546" s="79"/>
      <c r="J546" s="14"/>
      <c r="K546" s="38"/>
      <c r="L546" s="38"/>
      <c r="M546" s="17"/>
    </row>
    <row r="547" spans="2:13" ht="14.45" customHeight="1" x14ac:dyDescent="0.25">
      <c r="B547" s="17"/>
      <c r="C547" s="14"/>
      <c r="D547" s="14"/>
      <c r="E547" s="18"/>
      <c r="F547" s="61"/>
      <c r="G547" s="73"/>
      <c r="H547" s="79"/>
      <c r="I547" s="79"/>
      <c r="J547" s="14"/>
      <c r="K547" s="38"/>
      <c r="L547" s="38"/>
      <c r="M547" s="17"/>
    </row>
    <row r="548" spans="2:13" ht="14.45" customHeight="1" x14ac:dyDescent="0.25">
      <c r="B548" s="17"/>
      <c r="C548" s="14"/>
      <c r="D548" s="14"/>
      <c r="E548" s="18"/>
      <c r="F548" s="61"/>
      <c r="G548" s="73"/>
      <c r="H548" s="79"/>
      <c r="I548" s="79"/>
      <c r="J548" s="14"/>
      <c r="K548" s="38"/>
      <c r="L548" s="38"/>
      <c r="M548" s="17"/>
    </row>
    <row r="549" spans="2:13" ht="14.45" customHeight="1" x14ac:dyDescent="0.25">
      <c r="B549" s="17"/>
      <c r="C549" s="14"/>
      <c r="D549" s="14"/>
      <c r="E549" s="18"/>
      <c r="F549" s="61"/>
      <c r="G549" s="73"/>
      <c r="H549" s="79"/>
      <c r="I549" s="79"/>
      <c r="J549" s="14"/>
      <c r="K549" s="38"/>
      <c r="L549" s="38"/>
      <c r="M549" s="17"/>
    </row>
    <row r="550" spans="2:13" ht="14.45" customHeight="1" x14ac:dyDescent="0.25">
      <c r="B550" s="17"/>
      <c r="C550" s="14"/>
      <c r="D550" s="14"/>
      <c r="E550" s="18"/>
      <c r="F550" s="61"/>
      <c r="G550" s="73"/>
      <c r="H550" s="79"/>
      <c r="I550" s="79"/>
      <c r="J550" s="14"/>
      <c r="K550" s="38"/>
      <c r="L550" s="38"/>
      <c r="M550" s="17"/>
    </row>
    <row r="551" spans="2:13" ht="14.45" customHeight="1" x14ac:dyDescent="0.25">
      <c r="B551" s="17"/>
      <c r="C551" s="14"/>
      <c r="D551" s="14"/>
      <c r="E551" s="18"/>
      <c r="F551" s="61"/>
      <c r="G551" s="73"/>
      <c r="H551" s="79"/>
      <c r="I551" s="79"/>
      <c r="J551" s="14"/>
      <c r="K551" s="38"/>
      <c r="L551" s="38"/>
      <c r="M551" s="17"/>
    </row>
    <row r="552" spans="2:13" ht="14.45" customHeight="1" x14ac:dyDescent="0.25">
      <c r="B552" s="17"/>
      <c r="C552" s="14"/>
      <c r="D552" s="14"/>
      <c r="E552" s="18"/>
      <c r="F552" s="61"/>
      <c r="G552" s="73"/>
      <c r="H552" s="79"/>
      <c r="I552" s="79"/>
      <c r="J552" s="14"/>
      <c r="K552" s="38"/>
      <c r="L552" s="38"/>
      <c r="M552" s="17"/>
    </row>
    <row r="553" spans="2:13" ht="14.45" customHeight="1" x14ac:dyDescent="0.25">
      <c r="B553" s="17"/>
      <c r="C553" s="14"/>
      <c r="D553" s="14"/>
      <c r="E553" s="18"/>
      <c r="F553" s="61"/>
      <c r="G553" s="73"/>
      <c r="H553" s="79"/>
      <c r="I553" s="79"/>
      <c r="J553" s="14"/>
      <c r="K553" s="38"/>
      <c r="L553" s="38"/>
      <c r="M553" s="17"/>
    </row>
    <row r="554" spans="2:13" ht="14.45" customHeight="1" x14ac:dyDescent="0.25">
      <c r="B554" s="17"/>
      <c r="C554" s="14"/>
      <c r="D554" s="14"/>
      <c r="E554" s="18"/>
      <c r="F554" s="61"/>
      <c r="G554" s="73"/>
      <c r="H554" s="79"/>
      <c r="I554" s="79"/>
      <c r="J554" s="14"/>
      <c r="K554" s="38"/>
      <c r="L554" s="38"/>
      <c r="M554" s="17"/>
    </row>
    <row r="555" spans="2:13" ht="14.45" customHeight="1" x14ac:dyDescent="0.25">
      <c r="B555" s="17"/>
      <c r="C555" s="14"/>
      <c r="D555" s="14"/>
      <c r="E555" s="18"/>
      <c r="F555" s="61"/>
      <c r="G555" s="73"/>
      <c r="H555" s="79"/>
      <c r="I555" s="79"/>
      <c r="J555" s="14"/>
      <c r="K555" s="38"/>
      <c r="L555" s="38"/>
      <c r="M555" s="17"/>
    </row>
    <row r="556" spans="2:13" ht="14.45" customHeight="1" x14ac:dyDescent="0.25">
      <c r="B556" s="17"/>
      <c r="C556" s="14"/>
      <c r="D556" s="14"/>
      <c r="E556" s="18"/>
      <c r="F556" s="61"/>
      <c r="G556" s="73"/>
      <c r="H556" s="79"/>
      <c r="I556" s="79"/>
      <c r="J556" s="14"/>
      <c r="K556" s="38"/>
      <c r="L556" s="38"/>
      <c r="M556" s="17"/>
    </row>
    <row r="557" spans="2:13" ht="14.45" customHeight="1" x14ac:dyDescent="0.25">
      <c r="B557" s="17"/>
      <c r="C557" s="14"/>
      <c r="D557" s="14"/>
      <c r="E557" s="18"/>
      <c r="F557" s="61"/>
      <c r="G557" s="73"/>
      <c r="H557" s="79"/>
      <c r="I557" s="79"/>
      <c r="J557" s="14"/>
      <c r="K557" s="38"/>
      <c r="L557" s="38"/>
      <c r="M557" s="17"/>
    </row>
    <row r="558" spans="2:13" ht="14.45" customHeight="1" x14ac:dyDescent="0.25">
      <c r="B558" s="17"/>
      <c r="C558" s="14"/>
      <c r="D558" s="14"/>
      <c r="E558" s="18"/>
      <c r="F558" s="61"/>
      <c r="G558" s="73"/>
      <c r="H558" s="79"/>
      <c r="I558" s="79"/>
      <c r="J558" s="14"/>
      <c r="K558" s="38"/>
      <c r="L558" s="38"/>
      <c r="M558" s="17"/>
    </row>
    <row r="559" spans="2:13" ht="14.45" customHeight="1" x14ac:dyDescent="0.25">
      <c r="B559" s="17"/>
      <c r="C559" s="14"/>
      <c r="D559" s="14"/>
      <c r="E559" s="18"/>
      <c r="F559" s="61"/>
      <c r="G559" s="73"/>
      <c r="H559" s="79"/>
      <c r="I559" s="79"/>
      <c r="J559" s="14"/>
      <c r="K559" s="38"/>
      <c r="L559" s="38"/>
      <c r="M559" s="17"/>
    </row>
    <row r="560" spans="2:13" ht="14.45" customHeight="1" x14ac:dyDescent="0.25">
      <c r="B560" s="17"/>
      <c r="C560" s="14"/>
      <c r="D560" s="14"/>
      <c r="E560" s="18"/>
      <c r="F560" s="61"/>
      <c r="G560" s="73"/>
      <c r="H560" s="79"/>
      <c r="I560" s="79"/>
      <c r="J560" s="14"/>
      <c r="K560" s="38"/>
      <c r="L560" s="38"/>
      <c r="M560" s="17"/>
    </row>
    <row r="561" spans="2:13" ht="14.45" customHeight="1" x14ac:dyDescent="0.25">
      <c r="B561" s="17"/>
      <c r="C561" s="14"/>
      <c r="D561" s="14"/>
      <c r="E561" s="18"/>
      <c r="F561" s="61"/>
      <c r="G561" s="73"/>
      <c r="H561" s="79"/>
      <c r="I561" s="79"/>
      <c r="J561" s="14"/>
      <c r="K561" s="38"/>
      <c r="L561" s="38"/>
      <c r="M561" s="17"/>
    </row>
    <row r="562" spans="2:13" ht="14.45" customHeight="1" x14ac:dyDescent="0.25">
      <c r="B562" s="17"/>
      <c r="C562" s="14"/>
      <c r="D562" s="14"/>
      <c r="E562" s="18"/>
      <c r="F562" s="61"/>
      <c r="G562" s="73"/>
      <c r="H562" s="79"/>
      <c r="I562" s="79"/>
      <c r="J562" s="14"/>
      <c r="K562" s="38"/>
      <c r="L562" s="38"/>
      <c r="M562" s="17"/>
    </row>
    <row r="563" spans="2:13" ht="14.45" customHeight="1" x14ac:dyDescent="0.25">
      <c r="B563" s="17"/>
      <c r="C563" s="14"/>
      <c r="D563" s="14"/>
      <c r="E563" s="18"/>
      <c r="F563" s="61"/>
      <c r="G563" s="73"/>
      <c r="H563" s="79"/>
      <c r="I563" s="79"/>
      <c r="J563" s="14"/>
      <c r="K563" s="38"/>
      <c r="L563" s="38"/>
      <c r="M563" s="17"/>
    </row>
    <row r="564" spans="2:13" ht="14.45" customHeight="1" x14ac:dyDescent="0.25">
      <c r="B564" s="17"/>
      <c r="C564" s="14"/>
      <c r="D564" s="14"/>
      <c r="E564" s="18"/>
      <c r="F564" s="61"/>
      <c r="G564" s="73"/>
      <c r="H564" s="79"/>
      <c r="I564" s="79"/>
      <c r="J564" s="14"/>
      <c r="K564" s="38"/>
      <c r="L564" s="38"/>
      <c r="M564" s="17"/>
    </row>
    <row r="565" spans="2:13" ht="14.45" customHeight="1" x14ac:dyDescent="0.25">
      <c r="B565" s="17"/>
      <c r="C565" s="14"/>
      <c r="D565" s="14"/>
      <c r="E565" s="18"/>
      <c r="F565" s="61"/>
      <c r="G565" s="73"/>
      <c r="H565" s="79"/>
      <c r="I565" s="79"/>
      <c r="J565" s="14"/>
      <c r="K565" s="38"/>
      <c r="L565" s="38"/>
      <c r="M565" s="17"/>
    </row>
    <row r="566" spans="2:13" ht="14.45" customHeight="1" x14ac:dyDescent="0.25">
      <c r="B566" s="17"/>
      <c r="C566" s="14"/>
      <c r="D566" s="14"/>
      <c r="E566" s="18"/>
      <c r="F566" s="61"/>
      <c r="G566" s="73"/>
      <c r="H566" s="79"/>
      <c r="I566" s="79"/>
      <c r="J566" s="14"/>
      <c r="K566" s="38"/>
      <c r="L566" s="38"/>
      <c r="M566" s="17"/>
    </row>
    <row r="567" spans="2:13" ht="14.45" customHeight="1" x14ac:dyDescent="0.25">
      <c r="B567" s="17"/>
      <c r="C567" s="14"/>
      <c r="D567" s="14"/>
      <c r="E567" s="18"/>
      <c r="F567" s="61"/>
      <c r="G567" s="73"/>
      <c r="H567" s="79"/>
      <c r="I567" s="79"/>
      <c r="J567" s="14"/>
      <c r="K567" s="38"/>
      <c r="L567" s="38"/>
      <c r="M567" s="17"/>
    </row>
    <row r="568" spans="2:13" ht="14.45" customHeight="1" x14ac:dyDescent="0.25">
      <c r="B568" s="17"/>
      <c r="C568" s="14"/>
      <c r="D568" s="14"/>
      <c r="E568" s="18"/>
      <c r="F568" s="61"/>
      <c r="G568" s="73"/>
      <c r="H568" s="79"/>
      <c r="I568" s="79"/>
      <c r="J568" s="14"/>
      <c r="K568" s="38"/>
      <c r="L568" s="38"/>
      <c r="M568" s="17"/>
    </row>
    <row r="569" spans="2:13" ht="14.45" customHeight="1" x14ac:dyDescent="0.25">
      <c r="B569" s="17"/>
      <c r="C569" s="14"/>
      <c r="D569" s="14"/>
      <c r="E569" s="18"/>
      <c r="F569" s="61"/>
      <c r="G569" s="73"/>
      <c r="H569" s="79"/>
      <c r="I569" s="79"/>
      <c r="J569" s="14"/>
      <c r="K569" s="38"/>
      <c r="L569" s="38"/>
      <c r="M569" s="17"/>
    </row>
    <row r="570" spans="2:13" ht="14.45" customHeight="1" x14ac:dyDescent="0.25">
      <c r="B570" s="17"/>
      <c r="C570" s="14"/>
      <c r="D570" s="14"/>
      <c r="E570" s="18"/>
      <c r="F570" s="61"/>
      <c r="G570" s="73"/>
      <c r="H570" s="79"/>
      <c r="I570" s="79"/>
      <c r="J570" s="14"/>
      <c r="K570" s="38"/>
      <c r="L570" s="38"/>
      <c r="M570" s="17"/>
    </row>
    <row r="571" spans="2:13" ht="14.45" customHeight="1" x14ac:dyDescent="0.25">
      <c r="B571" s="17"/>
      <c r="C571" s="14"/>
      <c r="D571" s="14"/>
      <c r="E571" s="18"/>
      <c r="F571" s="61"/>
      <c r="G571" s="73"/>
      <c r="H571" s="79"/>
      <c r="I571" s="79"/>
      <c r="J571" s="14"/>
      <c r="K571" s="38"/>
      <c r="L571" s="38"/>
      <c r="M571" s="17"/>
    </row>
    <row r="572" spans="2:13" ht="14.45" customHeight="1" x14ac:dyDescent="0.25">
      <c r="B572" s="17"/>
      <c r="C572" s="14"/>
      <c r="D572" s="14"/>
      <c r="E572" s="18"/>
      <c r="F572" s="61"/>
      <c r="G572" s="73"/>
      <c r="H572" s="79"/>
      <c r="I572" s="79"/>
      <c r="J572" s="14"/>
      <c r="K572" s="38"/>
      <c r="L572" s="38"/>
      <c r="M572" s="17"/>
    </row>
    <row r="573" spans="2:13" ht="14.45" customHeight="1" x14ac:dyDescent="0.25">
      <c r="B573" s="17"/>
      <c r="C573" s="14"/>
      <c r="D573" s="14"/>
      <c r="E573" s="18"/>
      <c r="F573" s="61"/>
      <c r="G573" s="73"/>
      <c r="H573" s="79"/>
      <c r="I573" s="79"/>
      <c r="J573" s="14"/>
      <c r="K573" s="38"/>
      <c r="L573" s="38"/>
      <c r="M573" s="17"/>
    </row>
    <row r="574" spans="2:13" ht="14.45" customHeight="1" x14ac:dyDescent="0.25">
      <c r="B574" s="17"/>
      <c r="C574" s="14"/>
      <c r="D574" s="14"/>
      <c r="E574" s="18"/>
      <c r="F574" s="61"/>
      <c r="G574" s="73"/>
      <c r="H574" s="79"/>
      <c r="I574" s="79"/>
      <c r="J574" s="14"/>
      <c r="K574" s="38"/>
      <c r="L574" s="38"/>
      <c r="M574" s="17"/>
    </row>
    <row r="575" spans="2:13" ht="14.45" customHeight="1" x14ac:dyDescent="0.25">
      <c r="B575" s="17"/>
      <c r="C575" s="14"/>
      <c r="D575" s="14"/>
      <c r="E575" s="18"/>
      <c r="F575" s="61"/>
      <c r="G575" s="73"/>
      <c r="H575" s="79"/>
      <c r="I575" s="79"/>
      <c r="J575" s="14"/>
      <c r="K575" s="38"/>
      <c r="L575" s="38"/>
      <c r="M575" s="17"/>
    </row>
    <row r="576" spans="2:13" ht="14.45" customHeight="1" x14ac:dyDescent="0.25">
      <c r="B576" s="17"/>
      <c r="C576" s="14"/>
      <c r="D576" s="14"/>
      <c r="E576" s="18"/>
      <c r="F576" s="61"/>
      <c r="G576" s="73"/>
      <c r="H576" s="79"/>
      <c r="I576" s="79"/>
      <c r="J576" s="14"/>
      <c r="K576" s="38"/>
      <c r="L576" s="38"/>
      <c r="M576" s="17"/>
    </row>
    <row r="577" spans="2:13" ht="14.45" customHeight="1" x14ac:dyDescent="0.25">
      <c r="B577" s="17"/>
      <c r="C577" s="14"/>
      <c r="D577" s="14"/>
      <c r="E577" s="18"/>
      <c r="F577" s="61"/>
      <c r="G577" s="73"/>
      <c r="H577" s="79"/>
      <c r="I577" s="79"/>
      <c r="J577" s="14"/>
      <c r="K577" s="38"/>
      <c r="L577" s="38"/>
      <c r="M577" s="17"/>
    </row>
    <row r="578" spans="2:13" ht="14.45" customHeight="1" x14ac:dyDescent="0.25">
      <c r="B578" s="17"/>
      <c r="C578" s="14"/>
      <c r="D578" s="14"/>
      <c r="E578" s="18"/>
      <c r="F578" s="61"/>
      <c r="G578" s="73"/>
      <c r="H578" s="79"/>
      <c r="I578" s="79"/>
      <c r="J578" s="14"/>
      <c r="K578" s="38"/>
      <c r="L578" s="38"/>
      <c r="M578" s="17"/>
    </row>
    <row r="579" spans="2:13" ht="14.45" customHeight="1" x14ac:dyDescent="0.25">
      <c r="B579" s="17"/>
      <c r="C579" s="14"/>
      <c r="D579" s="14"/>
      <c r="E579" s="18"/>
      <c r="F579" s="61"/>
      <c r="G579" s="73"/>
      <c r="H579" s="79"/>
      <c r="I579" s="79"/>
      <c r="J579" s="14"/>
      <c r="K579" s="38"/>
      <c r="L579" s="38"/>
      <c r="M579" s="17"/>
    </row>
    <row r="580" spans="2:13" ht="14.45" customHeight="1" x14ac:dyDescent="0.25">
      <c r="B580" s="17"/>
      <c r="C580" s="14"/>
      <c r="D580" s="14"/>
      <c r="E580" s="18"/>
      <c r="F580" s="61"/>
      <c r="G580" s="73"/>
      <c r="H580" s="79"/>
      <c r="I580" s="79"/>
      <c r="J580" s="14"/>
      <c r="K580" s="38"/>
      <c r="L580" s="38"/>
      <c r="M580" s="17"/>
    </row>
    <row r="581" spans="2:13" ht="14.45" customHeight="1" x14ac:dyDescent="0.25">
      <c r="B581" s="17"/>
      <c r="C581" s="14"/>
      <c r="D581" s="14"/>
      <c r="E581" s="18"/>
      <c r="F581" s="61"/>
      <c r="G581" s="73"/>
      <c r="H581" s="79"/>
      <c r="I581" s="79"/>
      <c r="J581" s="14"/>
      <c r="K581" s="38"/>
      <c r="L581" s="38"/>
      <c r="M581" s="17"/>
    </row>
    <row r="582" spans="2:13" ht="14.45" customHeight="1" x14ac:dyDescent="0.25">
      <c r="B582" s="17"/>
      <c r="C582" s="14"/>
      <c r="D582" s="14"/>
      <c r="E582" s="18"/>
      <c r="F582" s="61"/>
      <c r="G582" s="73"/>
      <c r="H582" s="79"/>
      <c r="I582" s="79"/>
      <c r="J582" s="14"/>
      <c r="K582" s="38"/>
      <c r="L582" s="38"/>
      <c r="M582" s="17"/>
    </row>
    <row r="583" spans="2:13" ht="14.45" customHeight="1" x14ac:dyDescent="0.25">
      <c r="B583" s="17"/>
      <c r="C583" s="14"/>
      <c r="D583" s="14"/>
      <c r="E583" s="18"/>
      <c r="F583" s="61"/>
      <c r="G583" s="73"/>
      <c r="H583" s="79"/>
      <c r="I583" s="79"/>
      <c r="J583" s="14"/>
      <c r="K583" s="38"/>
      <c r="L583" s="38"/>
      <c r="M583" s="17"/>
    </row>
    <row r="584" spans="2:13" ht="14.45" customHeight="1" x14ac:dyDescent="0.25">
      <c r="B584" s="17"/>
      <c r="C584" s="14"/>
      <c r="D584" s="14"/>
      <c r="E584" s="18"/>
      <c r="F584" s="61"/>
      <c r="G584" s="73"/>
      <c r="H584" s="79"/>
      <c r="I584" s="79"/>
      <c r="J584" s="14"/>
      <c r="K584" s="38"/>
      <c r="L584" s="38"/>
      <c r="M584" s="17"/>
    </row>
    <row r="585" spans="2:13" ht="14.45" customHeight="1" x14ac:dyDescent="0.25">
      <c r="B585" s="17"/>
      <c r="C585" s="14"/>
      <c r="D585" s="14"/>
      <c r="E585" s="18"/>
      <c r="F585" s="61"/>
      <c r="G585" s="73"/>
      <c r="H585" s="79"/>
      <c r="I585" s="79"/>
      <c r="J585" s="14"/>
      <c r="K585" s="38"/>
      <c r="L585" s="38"/>
      <c r="M585" s="17"/>
    </row>
    <row r="586" spans="2:13" ht="14.45" customHeight="1" x14ac:dyDescent="0.25">
      <c r="B586" s="17"/>
      <c r="C586" s="14"/>
      <c r="D586" s="14"/>
      <c r="E586" s="18"/>
      <c r="F586" s="61"/>
      <c r="G586" s="73"/>
      <c r="H586" s="79"/>
      <c r="I586" s="79"/>
      <c r="J586" s="14"/>
      <c r="K586" s="38"/>
      <c r="L586" s="38"/>
      <c r="M586" s="17"/>
    </row>
    <row r="587" spans="2:13" ht="14.45" customHeight="1" x14ac:dyDescent="0.25">
      <c r="B587" s="17"/>
      <c r="C587" s="14"/>
      <c r="D587" s="14"/>
      <c r="E587" s="18"/>
      <c r="F587" s="61"/>
      <c r="G587" s="73"/>
      <c r="H587" s="79"/>
      <c r="I587" s="79"/>
      <c r="J587" s="14"/>
      <c r="K587" s="38"/>
      <c r="L587" s="38"/>
      <c r="M587" s="17"/>
    </row>
    <row r="588" spans="2:13" ht="14.45" customHeight="1" x14ac:dyDescent="0.25">
      <c r="B588" s="17"/>
      <c r="C588" s="14"/>
      <c r="D588" s="14"/>
      <c r="E588" s="18"/>
      <c r="F588" s="61"/>
      <c r="G588" s="73"/>
      <c r="H588" s="79"/>
      <c r="I588" s="79"/>
      <c r="J588" s="14"/>
      <c r="K588" s="38"/>
      <c r="L588" s="38"/>
      <c r="M588" s="17"/>
    </row>
    <row r="589" spans="2:13" ht="14.45" customHeight="1" x14ac:dyDescent="0.25">
      <c r="B589" s="17"/>
      <c r="C589" s="14"/>
      <c r="D589" s="14"/>
      <c r="E589" s="18"/>
      <c r="F589" s="61"/>
      <c r="G589" s="73"/>
      <c r="H589" s="79"/>
      <c r="I589" s="79"/>
      <c r="J589" s="14"/>
      <c r="K589" s="38"/>
      <c r="L589" s="38"/>
      <c r="M589" s="17"/>
    </row>
    <row r="590" spans="2:13" ht="14.45" customHeight="1" x14ac:dyDescent="0.25">
      <c r="B590" s="17"/>
      <c r="C590" s="14"/>
      <c r="D590" s="14"/>
      <c r="E590" s="18"/>
      <c r="F590" s="61"/>
      <c r="G590" s="73"/>
      <c r="H590" s="79"/>
      <c r="I590" s="79"/>
      <c r="J590" s="14"/>
      <c r="K590" s="38"/>
      <c r="L590" s="38"/>
      <c r="M590" s="17"/>
    </row>
    <row r="591" spans="2:13" ht="14.45" customHeight="1" x14ac:dyDescent="0.25">
      <c r="B591" s="17"/>
      <c r="C591" s="14"/>
      <c r="D591" s="14"/>
      <c r="E591" s="18"/>
      <c r="F591" s="61"/>
      <c r="G591" s="73"/>
      <c r="H591" s="79"/>
      <c r="I591" s="79"/>
      <c r="J591" s="14"/>
      <c r="K591" s="38"/>
      <c r="L591" s="38"/>
      <c r="M591" s="17"/>
    </row>
    <row r="592" spans="2:13" ht="14.45" customHeight="1" x14ac:dyDescent="0.25">
      <c r="B592" s="17"/>
      <c r="C592" s="14"/>
      <c r="D592" s="14"/>
      <c r="E592" s="18"/>
      <c r="F592" s="61"/>
      <c r="G592" s="73"/>
      <c r="H592" s="79"/>
      <c r="I592" s="79"/>
      <c r="J592" s="14"/>
      <c r="K592" s="38"/>
      <c r="L592" s="38"/>
      <c r="M592" s="17"/>
    </row>
    <row r="593" spans="2:13" ht="14.45" customHeight="1" x14ac:dyDescent="0.25">
      <c r="B593" s="17"/>
      <c r="C593" s="14"/>
      <c r="D593" s="14"/>
      <c r="E593" s="18"/>
      <c r="F593" s="61"/>
      <c r="G593" s="73"/>
      <c r="H593" s="79"/>
      <c r="I593" s="79"/>
      <c r="J593" s="14"/>
      <c r="K593" s="38"/>
      <c r="L593" s="38"/>
      <c r="M593" s="17"/>
    </row>
    <row r="594" spans="2:13" ht="14.45" customHeight="1" x14ac:dyDescent="0.25">
      <c r="B594" s="17"/>
      <c r="C594" s="14"/>
      <c r="D594" s="14"/>
      <c r="E594" s="18"/>
      <c r="F594" s="61"/>
      <c r="G594" s="73"/>
      <c r="H594" s="79"/>
      <c r="I594" s="79"/>
      <c r="J594" s="14"/>
      <c r="K594" s="38"/>
      <c r="L594" s="38"/>
      <c r="M594" s="17"/>
    </row>
    <row r="595" spans="2:13" ht="14.45" customHeight="1" x14ac:dyDescent="0.25">
      <c r="B595" s="17"/>
      <c r="C595" s="14"/>
      <c r="D595" s="14"/>
      <c r="E595" s="18"/>
      <c r="F595" s="61"/>
      <c r="G595" s="73"/>
      <c r="H595" s="79"/>
      <c r="I595" s="79"/>
      <c r="J595" s="14"/>
      <c r="K595" s="38"/>
      <c r="L595" s="38"/>
      <c r="M595" s="17"/>
    </row>
    <row r="596" spans="2:13" ht="14.45" customHeight="1" x14ac:dyDescent="0.25">
      <c r="B596" s="17"/>
      <c r="C596" s="14"/>
      <c r="D596" s="14"/>
      <c r="E596" s="18"/>
      <c r="F596" s="61"/>
      <c r="G596" s="73"/>
      <c r="H596" s="79"/>
      <c r="I596" s="79"/>
      <c r="J596" s="14"/>
      <c r="K596" s="38"/>
      <c r="L596" s="38"/>
      <c r="M596" s="17"/>
    </row>
    <row r="597" spans="2:13" ht="14.45" customHeight="1" x14ac:dyDescent="0.25">
      <c r="B597" s="17"/>
      <c r="C597" s="14"/>
      <c r="D597" s="14"/>
      <c r="E597" s="18"/>
      <c r="F597" s="61"/>
      <c r="G597" s="73"/>
      <c r="H597" s="79"/>
      <c r="I597" s="79"/>
      <c r="J597" s="14"/>
      <c r="K597" s="38"/>
      <c r="L597" s="38"/>
      <c r="M597" s="17"/>
    </row>
    <row r="598" spans="2:13" ht="14.45" customHeight="1" x14ac:dyDescent="0.25">
      <c r="B598" s="17"/>
      <c r="C598" s="14"/>
      <c r="D598" s="14"/>
      <c r="E598" s="18"/>
      <c r="F598" s="61"/>
      <c r="G598" s="73"/>
      <c r="H598" s="79"/>
      <c r="I598" s="79"/>
      <c r="J598" s="14"/>
      <c r="K598" s="38"/>
      <c r="L598" s="38"/>
      <c r="M598" s="17"/>
    </row>
    <row r="599" spans="2:13" ht="14.45" customHeight="1" x14ac:dyDescent="0.25">
      <c r="B599" s="17"/>
      <c r="C599" s="14"/>
      <c r="D599" s="14"/>
      <c r="E599" s="18"/>
      <c r="F599" s="61"/>
      <c r="G599" s="73"/>
      <c r="H599" s="79"/>
      <c r="I599" s="79"/>
      <c r="J599" s="14"/>
      <c r="K599" s="38"/>
      <c r="L599" s="38"/>
      <c r="M599" s="17"/>
    </row>
    <row r="600" spans="2:13" ht="14.45" customHeight="1" x14ac:dyDescent="0.25">
      <c r="B600" s="17"/>
      <c r="C600" s="14"/>
      <c r="D600" s="14"/>
      <c r="E600" s="18"/>
      <c r="F600" s="61"/>
      <c r="G600" s="73"/>
      <c r="H600" s="79"/>
      <c r="I600" s="79"/>
      <c r="J600" s="14"/>
      <c r="K600" s="38"/>
      <c r="L600" s="38"/>
      <c r="M600" s="17"/>
    </row>
    <row r="601" spans="2:13" ht="14.45" customHeight="1" x14ac:dyDescent="0.25">
      <c r="B601" s="17"/>
      <c r="C601" s="14"/>
      <c r="D601" s="14"/>
      <c r="E601" s="18"/>
      <c r="F601" s="61"/>
      <c r="G601" s="73"/>
      <c r="H601" s="79"/>
      <c r="I601" s="79"/>
      <c r="J601" s="14"/>
      <c r="K601" s="38"/>
      <c r="L601" s="38"/>
      <c r="M601" s="17"/>
    </row>
    <row r="602" spans="2:13" ht="14.45" customHeight="1" x14ac:dyDescent="0.25">
      <c r="B602" s="17"/>
      <c r="C602" s="14"/>
      <c r="D602" s="14"/>
      <c r="E602" s="18"/>
      <c r="F602" s="61"/>
      <c r="G602" s="73"/>
      <c r="H602" s="79"/>
      <c r="I602" s="79"/>
      <c r="J602" s="14"/>
      <c r="K602" s="38"/>
      <c r="L602" s="38"/>
      <c r="M602" s="17"/>
    </row>
    <row r="603" spans="2:13" ht="14.45" customHeight="1" x14ac:dyDescent="0.25">
      <c r="B603" s="17"/>
      <c r="C603" s="14"/>
      <c r="D603" s="14"/>
      <c r="E603" s="18"/>
      <c r="F603" s="61"/>
      <c r="G603" s="73"/>
      <c r="H603" s="79"/>
      <c r="I603" s="79"/>
      <c r="J603" s="14"/>
      <c r="K603" s="38"/>
      <c r="L603" s="38"/>
      <c r="M603" s="17"/>
    </row>
    <row r="604" spans="2:13" ht="14.45" customHeight="1" x14ac:dyDescent="0.25">
      <c r="B604" s="17"/>
      <c r="C604" s="14"/>
      <c r="D604" s="14"/>
      <c r="E604" s="18"/>
      <c r="F604" s="61"/>
      <c r="G604" s="73"/>
      <c r="H604" s="79"/>
      <c r="I604" s="79"/>
      <c r="J604" s="14"/>
      <c r="K604" s="38"/>
      <c r="L604" s="38"/>
      <c r="M604" s="17"/>
    </row>
    <row r="605" spans="2:13" ht="14.45" customHeight="1" x14ac:dyDescent="0.25">
      <c r="B605" s="17"/>
      <c r="C605" s="14"/>
      <c r="D605" s="14"/>
      <c r="E605" s="18"/>
      <c r="F605" s="61"/>
      <c r="G605" s="73"/>
      <c r="H605" s="79"/>
      <c r="I605" s="79"/>
      <c r="J605" s="14"/>
      <c r="K605" s="38"/>
      <c r="L605" s="38"/>
      <c r="M605" s="17"/>
    </row>
    <row r="606" spans="2:13" ht="14.45" customHeight="1" x14ac:dyDescent="0.25">
      <c r="B606" s="17"/>
      <c r="C606" s="14"/>
      <c r="D606" s="14"/>
      <c r="E606" s="18"/>
      <c r="F606" s="61"/>
      <c r="G606" s="73"/>
      <c r="H606" s="79"/>
      <c r="I606" s="79"/>
      <c r="J606" s="14"/>
      <c r="K606" s="38"/>
      <c r="L606" s="38"/>
      <c r="M606" s="17"/>
    </row>
    <row r="607" spans="2:13" ht="14.45" customHeight="1" x14ac:dyDescent="0.25">
      <c r="B607" s="17"/>
      <c r="C607" s="14"/>
      <c r="D607" s="14"/>
      <c r="E607" s="18"/>
      <c r="F607" s="61"/>
      <c r="G607" s="73"/>
      <c r="H607" s="79"/>
      <c r="I607" s="79"/>
      <c r="J607" s="14"/>
      <c r="K607" s="38"/>
      <c r="L607" s="38"/>
      <c r="M607" s="17"/>
    </row>
    <row r="608" spans="2:13" ht="14.45" customHeight="1" x14ac:dyDescent="0.25">
      <c r="B608" s="17"/>
      <c r="C608" s="14"/>
      <c r="D608" s="14"/>
      <c r="E608" s="18"/>
      <c r="F608" s="61"/>
      <c r="G608" s="73"/>
      <c r="H608" s="79"/>
      <c r="I608" s="79"/>
      <c r="J608" s="14"/>
      <c r="K608" s="38"/>
      <c r="L608" s="38"/>
      <c r="M608" s="17"/>
    </row>
    <row r="609" spans="2:13" ht="14.45" customHeight="1" x14ac:dyDescent="0.25">
      <c r="B609" s="17"/>
      <c r="C609" s="14"/>
      <c r="D609" s="14"/>
      <c r="E609" s="18"/>
      <c r="F609" s="61"/>
      <c r="G609" s="73"/>
      <c r="H609" s="79"/>
      <c r="I609" s="79"/>
      <c r="J609" s="14"/>
      <c r="K609" s="38"/>
      <c r="L609" s="38"/>
      <c r="M609" s="17"/>
    </row>
    <row r="610" spans="2:13" ht="14.45" customHeight="1" x14ac:dyDescent="0.25">
      <c r="B610" s="17"/>
      <c r="C610" s="14"/>
      <c r="D610" s="14"/>
      <c r="E610" s="18"/>
      <c r="F610" s="61"/>
      <c r="G610" s="73"/>
      <c r="H610" s="79"/>
      <c r="I610" s="79"/>
      <c r="J610" s="14"/>
      <c r="K610" s="38"/>
      <c r="L610" s="38"/>
      <c r="M610" s="17"/>
    </row>
    <row r="611" spans="2:13" ht="14.45" customHeight="1" x14ac:dyDescent="0.25">
      <c r="B611" s="17"/>
      <c r="C611" s="14"/>
      <c r="D611" s="14"/>
      <c r="E611" s="18"/>
      <c r="F611" s="61"/>
      <c r="G611" s="73"/>
      <c r="H611" s="79"/>
      <c r="I611" s="79"/>
      <c r="J611" s="14"/>
      <c r="K611" s="38"/>
      <c r="L611" s="38"/>
      <c r="M611" s="17"/>
    </row>
    <row r="612" spans="2:13" ht="14.45" customHeight="1" x14ac:dyDescent="0.25">
      <c r="B612" s="17"/>
      <c r="C612" s="14"/>
      <c r="D612" s="14"/>
      <c r="E612" s="18"/>
      <c r="F612" s="61"/>
      <c r="G612" s="73"/>
      <c r="H612" s="79"/>
      <c r="I612" s="79"/>
      <c r="J612" s="14"/>
      <c r="K612" s="38"/>
      <c r="L612" s="38"/>
      <c r="M612" s="17"/>
    </row>
    <row r="613" spans="2:13" ht="14.45" customHeight="1" x14ac:dyDescent="0.25">
      <c r="B613" s="17"/>
      <c r="C613" s="14"/>
      <c r="D613" s="14"/>
      <c r="E613" s="18"/>
      <c r="F613" s="61"/>
      <c r="G613" s="73"/>
      <c r="H613" s="79"/>
      <c r="I613" s="79"/>
      <c r="J613" s="14"/>
      <c r="K613" s="38"/>
      <c r="L613" s="38"/>
      <c r="M613" s="17"/>
    </row>
    <row r="614" spans="2:13" ht="14.45" customHeight="1" x14ac:dyDescent="0.25">
      <c r="B614" s="17"/>
      <c r="C614" s="14"/>
      <c r="D614" s="14"/>
      <c r="E614" s="18"/>
      <c r="F614" s="61"/>
      <c r="G614" s="73"/>
      <c r="H614" s="79"/>
      <c r="I614" s="79"/>
      <c r="J614" s="14"/>
      <c r="K614" s="38"/>
      <c r="L614" s="38"/>
      <c r="M614" s="17"/>
    </row>
    <row r="615" spans="2:13" ht="14.45" customHeight="1" x14ac:dyDescent="0.25">
      <c r="B615" s="17"/>
      <c r="C615" s="14"/>
      <c r="D615" s="14"/>
      <c r="E615" s="18"/>
      <c r="F615" s="61"/>
      <c r="G615" s="73"/>
      <c r="H615" s="79"/>
      <c r="I615" s="79"/>
      <c r="J615" s="14"/>
      <c r="K615" s="38"/>
      <c r="L615" s="38"/>
      <c r="M615" s="17"/>
    </row>
    <row r="616" spans="2:13" ht="14.45" customHeight="1" x14ac:dyDescent="0.25">
      <c r="B616" s="17"/>
      <c r="C616" s="14"/>
      <c r="D616" s="14"/>
      <c r="E616" s="18"/>
      <c r="F616" s="61"/>
      <c r="G616" s="73"/>
      <c r="H616" s="79"/>
      <c r="I616" s="79"/>
      <c r="J616" s="14"/>
      <c r="K616" s="38"/>
      <c r="L616" s="38"/>
      <c r="M616" s="17"/>
    </row>
    <row r="617" spans="2:13" ht="14.45" customHeight="1" x14ac:dyDescent="0.25">
      <c r="B617" s="17"/>
      <c r="C617" s="14"/>
      <c r="D617" s="14"/>
      <c r="E617" s="18"/>
      <c r="F617" s="61"/>
      <c r="G617" s="73"/>
      <c r="H617" s="79"/>
      <c r="I617" s="79"/>
      <c r="J617" s="14"/>
      <c r="K617" s="38"/>
      <c r="L617" s="38"/>
      <c r="M617" s="17"/>
    </row>
    <row r="618" spans="2:13" ht="14.45" customHeight="1" x14ac:dyDescent="0.25">
      <c r="B618" s="17"/>
      <c r="C618" s="14"/>
      <c r="D618" s="14"/>
      <c r="E618" s="18"/>
      <c r="F618" s="61"/>
      <c r="G618" s="73"/>
      <c r="H618" s="79"/>
      <c r="I618" s="79"/>
      <c r="J618" s="14"/>
      <c r="K618" s="38"/>
      <c r="L618" s="38"/>
      <c r="M618" s="17"/>
    </row>
    <row r="619" spans="2:13" ht="14.45" customHeight="1" x14ac:dyDescent="0.25">
      <c r="B619" s="17"/>
      <c r="C619" s="14"/>
      <c r="D619" s="14"/>
      <c r="E619" s="18"/>
      <c r="F619" s="61"/>
      <c r="G619" s="73"/>
      <c r="H619" s="79"/>
      <c r="I619" s="79"/>
      <c r="J619" s="14"/>
      <c r="K619" s="38"/>
      <c r="L619" s="38"/>
      <c r="M619" s="17"/>
    </row>
    <row r="620" spans="2:13" ht="14.45" customHeight="1" x14ac:dyDescent="0.25">
      <c r="B620" s="17"/>
      <c r="C620" s="14"/>
      <c r="D620" s="14"/>
      <c r="E620" s="18"/>
      <c r="F620" s="61"/>
      <c r="G620" s="73"/>
      <c r="H620" s="79"/>
      <c r="I620" s="79"/>
      <c r="J620" s="14"/>
      <c r="K620" s="38"/>
      <c r="L620" s="38"/>
      <c r="M620" s="17"/>
    </row>
    <row r="621" spans="2:13" ht="14.45" customHeight="1" x14ac:dyDescent="0.25">
      <c r="B621" s="17"/>
      <c r="C621" s="14"/>
      <c r="D621" s="14"/>
      <c r="E621" s="18"/>
      <c r="F621" s="61"/>
      <c r="G621" s="73"/>
      <c r="H621" s="79"/>
      <c r="I621" s="79"/>
      <c r="J621" s="14"/>
      <c r="K621" s="38"/>
      <c r="L621" s="38"/>
      <c r="M621" s="17"/>
    </row>
    <row r="622" spans="2:13" ht="14.45" customHeight="1" x14ac:dyDescent="0.25">
      <c r="B622" s="17"/>
      <c r="C622" s="14"/>
      <c r="D622" s="14"/>
      <c r="E622" s="18"/>
      <c r="F622" s="61"/>
      <c r="G622" s="73"/>
      <c r="H622" s="79"/>
      <c r="I622" s="79"/>
      <c r="J622" s="14"/>
      <c r="K622" s="38"/>
      <c r="L622" s="38"/>
      <c r="M622" s="17"/>
    </row>
    <row r="623" spans="2:13" ht="14.45" customHeight="1" x14ac:dyDescent="0.25">
      <c r="B623" s="17"/>
      <c r="C623" s="14"/>
      <c r="D623" s="14"/>
      <c r="E623" s="18"/>
      <c r="F623" s="61"/>
      <c r="G623" s="73"/>
      <c r="H623" s="79"/>
      <c r="I623" s="79"/>
      <c r="J623" s="14"/>
      <c r="K623" s="38"/>
      <c r="L623" s="38"/>
      <c r="M623" s="17"/>
    </row>
    <row r="624" spans="2:13" ht="14.45" customHeight="1" x14ac:dyDescent="0.25">
      <c r="B624" s="17"/>
      <c r="C624" s="14"/>
      <c r="D624" s="14"/>
      <c r="E624" s="18"/>
      <c r="F624" s="61"/>
      <c r="G624" s="73"/>
      <c r="H624" s="79"/>
      <c r="I624" s="79"/>
      <c r="J624" s="14"/>
      <c r="K624" s="38"/>
      <c r="L624" s="38"/>
      <c r="M624" s="17"/>
    </row>
    <row r="625" spans="2:13" ht="14.45" customHeight="1" x14ac:dyDescent="0.25">
      <c r="B625" s="17"/>
      <c r="C625" s="14"/>
      <c r="D625" s="14"/>
      <c r="E625" s="18"/>
      <c r="F625" s="61"/>
      <c r="G625" s="73"/>
      <c r="H625" s="79"/>
      <c r="I625" s="79"/>
      <c r="J625" s="14"/>
      <c r="K625" s="38"/>
      <c r="L625" s="38"/>
      <c r="M625" s="17"/>
    </row>
    <row r="626" spans="2:13" ht="14.45" customHeight="1" x14ac:dyDescent="0.25">
      <c r="B626" s="17"/>
      <c r="C626" s="14"/>
      <c r="D626" s="14"/>
      <c r="E626" s="18"/>
      <c r="F626" s="61"/>
      <c r="G626" s="73"/>
      <c r="H626" s="79"/>
      <c r="I626" s="79"/>
      <c r="J626" s="14"/>
      <c r="K626" s="38"/>
      <c r="L626" s="38"/>
      <c r="M626" s="17"/>
    </row>
    <row r="627" spans="2:13" ht="14.45" customHeight="1" x14ac:dyDescent="0.25">
      <c r="B627" s="17"/>
      <c r="C627" s="14"/>
      <c r="D627" s="14"/>
      <c r="E627" s="18"/>
      <c r="F627" s="61"/>
      <c r="G627" s="73"/>
      <c r="H627" s="79"/>
      <c r="I627" s="79"/>
      <c r="J627" s="14"/>
      <c r="K627" s="38"/>
      <c r="L627" s="38"/>
      <c r="M627" s="17"/>
    </row>
    <row r="628" spans="2:13" ht="14.45" customHeight="1" x14ac:dyDescent="0.25">
      <c r="B628" s="17"/>
      <c r="C628" s="14"/>
      <c r="D628" s="14"/>
      <c r="E628" s="18"/>
      <c r="F628" s="61"/>
      <c r="G628" s="73"/>
      <c r="H628" s="79"/>
      <c r="I628" s="79"/>
      <c r="J628" s="14"/>
      <c r="K628" s="38"/>
      <c r="L628" s="38"/>
      <c r="M628" s="17"/>
    </row>
    <row r="629" spans="2:13" ht="14.45" customHeight="1" x14ac:dyDescent="0.25">
      <c r="B629" s="17"/>
      <c r="C629" s="14"/>
      <c r="D629" s="14"/>
      <c r="E629" s="18"/>
      <c r="F629" s="61"/>
      <c r="G629" s="73"/>
      <c r="H629" s="79"/>
      <c r="I629" s="79"/>
      <c r="J629" s="14"/>
      <c r="K629" s="38"/>
      <c r="L629" s="38"/>
      <c r="M629" s="17"/>
    </row>
    <row r="630" spans="2:13" ht="14.45" customHeight="1" x14ac:dyDescent="0.25">
      <c r="B630" s="17"/>
      <c r="C630" s="14"/>
      <c r="D630" s="14"/>
      <c r="E630" s="18"/>
      <c r="F630" s="61"/>
      <c r="G630" s="73"/>
      <c r="H630" s="79"/>
      <c r="I630" s="79"/>
      <c r="J630" s="14"/>
      <c r="K630" s="38"/>
      <c r="L630" s="38"/>
      <c r="M630" s="17"/>
    </row>
    <row r="631" spans="2:13" ht="14.45" customHeight="1" x14ac:dyDescent="0.25">
      <c r="B631" s="17"/>
      <c r="C631" s="14"/>
      <c r="D631" s="14"/>
      <c r="E631" s="18"/>
      <c r="F631" s="61"/>
      <c r="G631" s="73"/>
      <c r="H631" s="79"/>
      <c r="I631" s="79"/>
      <c r="J631" s="14"/>
      <c r="K631" s="38"/>
      <c r="L631" s="38"/>
      <c r="M631" s="17"/>
    </row>
    <row r="632" spans="2:13" ht="14.45" customHeight="1" x14ac:dyDescent="0.25">
      <c r="B632" s="17"/>
      <c r="C632" s="14"/>
      <c r="D632" s="14"/>
      <c r="E632" s="18"/>
      <c r="F632" s="61"/>
      <c r="G632" s="73"/>
      <c r="H632" s="79"/>
      <c r="I632" s="79"/>
      <c r="J632" s="14"/>
      <c r="K632" s="38"/>
      <c r="L632" s="38"/>
      <c r="M632" s="17"/>
    </row>
    <row r="633" spans="2:13" ht="14.45" customHeight="1" x14ac:dyDescent="0.25">
      <c r="B633" s="17"/>
      <c r="C633" s="14"/>
      <c r="D633" s="14"/>
      <c r="E633" s="18"/>
      <c r="F633" s="61"/>
      <c r="G633" s="73"/>
      <c r="H633" s="79"/>
      <c r="I633" s="79"/>
      <c r="J633" s="14"/>
      <c r="K633" s="38"/>
      <c r="L633" s="38"/>
      <c r="M633" s="17"/>
    </row>
    <row r="634" spans="2:13" ht="14.45" customHeight="1" x14ac:dyDescent="0.25">
      <c r="B634" s="17"/>
      <c r="C634" s="14"/>
      <c r="D634" s="14"/>
      <c r="E634" s="18"/>
      <c r="F634" s="61"/>
      <c r="G634" s="73"/>
      <c r="H634" s="79"/>
      <c r="I634" s="79"/>
      <c r="J634" s="14"/>
      <c r="K634" s="38"/>
      <c r="L634" s="38"/>
      <c r="M634" s="17"/>
    </row>
    <row r="635" spans="2:13" ht="14.45" customHeight="1" x14ac:dyDescent="0.25">
      <c r="B635" s="17"/>
      <c r="C635" s="14"/>
      <c r="D635" s="14"/>
      <c r="E635" s="18"/>
      <c r="F635" s="61"/>
      <c r="G635" s="73"/>
      <c r="H635" s="79"/>
      <c r="I635" s="79"/>
      <c r="J635" s="14"/>
      <c r="K635" s="38"/>
      <c r="L635" s="38"/>
      <c r="M635" s="17"/>
    </row>
    <row r="636" spans="2:13" ht="14.45" customHeight="1" x14ac:dyDescent="0.25">
      <c r="B636" s="17"/>
      <c r="C636" s="14"/>
      <c r="D636" s="14"/>
      <c r="E636" s="18"/>
      <c r="F636" s="61"/>
      <c r="G636" s="73"/>
      <c r="H636" s="79"/>
      <c r="I636" s="79"/>
      <c r="J636" s="14"/>
      <c r="K636" s="38"/>
      <c r="L636" s="38"/>
      <c r="M636" s="17"/>
    </row>
    <row r="637" spans="2:13" ht="14.45" customHeight="1" x14ac:dyDescent="0.25">
      <c r="B637" s="17"/>
      <c r="C637" s="14"/>
      <c r="D637" s="14"/>
      <c r="E637" s="18"/>
      <c r="F637" s="61"/>
      <c r="G637" s="73"/>
      <c r="H637" s="79"/>
      <c r="I637" s="79"/>
      <c r="J637" s="14"/>
      <c r="K637" s="38"/>
      <c r="L637" s="38"/>
      <c r="M637" s="17"/>
    </row>
    <row r="638" spans="2:13" ht="14.45" customHeight="1" x14ac:dyDescent="0.25">
      <c r="B638" s="17"/>
      <c r="C638" s="14"/>
      <c r="D638" s="14"/>
      <c r="E638" s="18"/>
      <c r="F638" s="61"/>
      <c r="G638" s="73"/>
      <c r="H638" s="79"/>
      <c r="I638" s="79"/>
      <c r="J638" s="14"/>
      <c r="K638" s="38"/>
      <c r="L638" s="38"/>
      <c r="M638" s="17"/>
    </row>
    <row r="639" spans="2:13" ht="14.45" customHeight="1" x14ac:dyDescent="0.25">
      <c r="B639" s="17"/>
      <c r="C639" s="14"/>
      <c r="D639" s="14"/>
      <c r="E639" s="18"/>
      <c r="F639" s="61"/>
      <c r="G639" s="73"/>
      <c r="H639" s="79"/>
      <c r="I639" s="79"/>
      <c r="J639" s="14"/>
      <c r="K639" s="38"/>
      <c r="L639" s="38"/>
      <c r="M639" s="17"/>
    </row>
    <row r="640" spans="2:13" ht="14.45" customHeight="1" x14ac:dyDescent="0.25">
      <c r="B640" s="17"/>
      <c r="C640" s="14"/>
      <c r="D640" s="14"/>
      <c r="E640" s="18"/>
      <c r="F640" s="61"/>
      <c r="G640" s="73"/>
      <c r="H640" s="79"/>
      <c r="I640" s="79"/>
      <c r="J640" s="14"/>
      <c r="K640" s="38"/>
      <c r="L640" s="38"/>
      <c r="M640" s="17"/>
    </row>
    <row r="641" spans="2:13" ht="14.45" customHeight="1" x14ac:dyDescent="0.25">
      <c r="B641" s="17"/>
      <c r="C641" s="14"/>
      <c r="D641" s="14"/>
      <c r="E641" s="18"/>
      <c r="F641" s="61"/>
      <c r="G641" s="73"/>
      <c r="H641" s="79"/>
      <c r="I641" s="79"/>
      <c r="J641" s="14"/>
      <c r="K641" s="38"/>
      <c r="L641" s="38"/>
      <c r="M641" s="17"/>
    </row>
    <row r="642" spans="2:13" ht="14.45" customHeight="1" x14ac:dyDescent="0.25">
      <c r="B642" s="17"/>
      <c r="C642" s="14"/>
      <c r="D642" s="14"/>
      <c r="E642" s="18"/>
      <c r="F642" s="61"/>
      <c r="G642" s="73"/>
      <c r="H642" s="79"/>
      <c r="I642" s="79"/>
      <c r="J642" s="14"/>
      <c r="K642" s="38"/>
      <c r="L642" s="38"/>
      <c r="M642" s="17"/>
    </row>
    <row r="643" spans="2:13" ht="14.45" customHeight="1" x14ac:dyDescent="0.25">
      <c r="B643" s="17"/>
      <c r="C643" s="14"/>
      <c r="D643" s="14"/>
      <c r="E643" s="18"/>
      <c r="F643" s="61"/>
      <c r="G643" s="73"/>
      <c r="H643" s="79"/>
      <c r="I643" s="79"/>
      <c r="J643" s="14"/>
      <c r="K643" s="38"/>
      <c r="L643" s="38"/>
      <c r="M643" s="17"/>
    </row>
    <row r="644" spans="2:13" ht="14.45" customHeight="1" x14ac:dyDescent="0.25">
      <c r="B644" s="17"/>
      <c r="C644" s="14"/>
      <c r="D644" s="14"/>
      <c r="E644" s="18"/>
      <c r="F644" s="61"/>
      <c r="G644" s="73"/>
      <c r="H644" s="79"/>
      <c r="I644" s="79"/>
      <c r="J644" s="14"/>
      <c r="K644" s="38"/>
      <c r="L644" s="38"/>
      <c r="M644" s="17"/>
    </row>
    <row r="645" spans="2:13" ht="14.45" customHeight="1" x14ac:dyDescent="0.25">
      <c r="B645" s="17"/>
      <c r="C645" s="14"/>
      <c r="D645" s="14"/>
      <c r="E645" s="18"/>
      <c r="F645" s="61"/>
      <c r="G645" s="73"/>
      <c r="H645" s="79"/>
      <c r="I645" s="79"/>
      <c r="J645" s="14"/>
      <c r="K645" s="38"/>
      <c r="L645" s="38"/>
      <c r="M645" s="17"/>
    </row>
    <row r="646" spans="2:13" ht="14.45" customHeight="1" x14ac:dyDescent="0.25">
      <c r="B646" s="17"/>
      <c r="C646" s="14"/>
      <c r="D646" s="14"/>
      <c r="E646" s="18"/>
      <c r="F646" s="61"/>
      <c r="G646" s="73"/>
      <c r="H646" s="79"/>
      <c r="I646" s="79"/>
      <c r="J646" s="14"/>
      <c r="K646" s="38"/>
      <c r="L646" s="38"/>
      <c r="M646" s="17"/>
    </row>
    <row r="647" spans="2:13" ht="14.45" customHeight="1" x14ac:dyDescent="0.25">
      <c r="B647" s="17"/>
      <c r="C647" s="14"/>
      <c r="D647" s="14"/>
      <c r="E647" s="18"/>
      <c r="F647" s="61"/>
      <c r="G647" s="73"/>
      <c r="H647" s="79"/>
      <c r="I647" s="79"/>
      <c r="J647" s="14"/>
      <c r="K647" s="38"/>
      <c r="L647" s="38"/>
      <c r="M647" s="17"/>
    </row>
    <row r="648" spans="2:13" ht="14.45" customHeight="1" x14ac:dyDescent="0.25">
      <c r="B648" s="17"/>
      <c r="C648" s="14"/>
      <c r="D648" s="14"/>
      <c r="E648" s="18"/>
      <c r="F648" s="61"/>
      <c r="G648" s="73"/>
      <c r="H648" s="79"/>
      <c r="I648" s="79"/>
      <c r="J648" s="14"/>
      <c r="K648" s="38"/>
      <c r="L648" s="38"/>
      <c r="M648" s="17"/>
    </row>
    <row r="649" spans="2:13" ht="14.45" customHeight="1" x14ac:dyDescent="0.25">
      <c r="B649" s="17"/>
      <c r="C649" s="14"/>
      <c r="D649" s="14"/>
      <c r="E649" s="18"/>
      <c r="F649" s="61"/>
      <c r="G649" s="73"/>
      <c r="H649" s="79"/>
      <c r="I649" s="79"/>
      <c r="J649" s="14"/>
      <c r="K649" s="38"/>
      <c r="L649" s="38"/>
      <c r="M649" s="17"/>
    </row>
    <row r="650" spans="2:13" ht="14.45" customHeight="1" x14ac:dyDescent="0.25">
      <c r="B650" s="17"/>
      <c r="C650" s="14"/>
      <c r="D650" s="14"/>
      <c r="E650" s="18"/>
      <c r="F650" s="61"/>
      <c r="G650" s="73"/>
      <c r="H650" s="79"/>
      <c r="I650" s="79"/>
      <c r="J650" s="14"/>
      <c r="K650" s="38"/>
      <c r="L650" s="38"/>
      <c r="M650" s="17"/>
    </row>
    <row r="651" spans="2:13" ht="14.45" customHeight="1" x14ac:dyDescent="0.25">
      <c r="B651" s="17"/>
      <c r="C651" s="14"/>
      <c r="D651" s="14"/>
      <c r="E651" s="18"/>
      <c r="F651" s="61"/>
      <c r="G651" s="73"/>
      <c r="H651" s="79"/>
      <c r="I651" s="79"/>
      <c r="J651" s="14"/>
      <c r="K651" s="38"/>
      <c r="L651" s="38"/>
      <c r="M651" s="17"/>
    </row>
    <row r="652" spans="2:13" ht="14.45" customHeight="1" x14ac:dyDescent="0.25">
      <c r="B652" s="17"/>
      <c r="C652" s="14"/>
      <c r="D652" s="14"/>
      <c r="E652" s="18"/>
      <c r="F652" s="61"/>
      <c r="G652" s="73"/>
      <c r="H652" s="79"/>
      <c r="I652" s="79"/>
      <c r="J652" s="14"/>
      <c r="K652" s="38"/>
      <c r="L652" s="38"/>
      <c r="M652" s="17"/>
    </row>
    <row r="653" spans="2:13" ht="14.45" customHeight="1" x14ac:dyDescent="0.25">
      <c r="B653" s="17"/>
      <c r="C653" s="14"/>
      <c r="D653" s="14"/>
      <c r="E653" s="18"/>
      <c r="F653" s="61"/>
      <c r="G653" s="73"/>
      <c r="H653" s="79"/>
      <c r="I653" s="79"/>
      <c r="J653" s="14"/>
      <c r="K653" s="38"/>
      <c r="L653" s="38"/>
      <c r="M653" s="17"/>
    </row>
    <row r="654" spans="2:13" ht="14.45" customHeight="1" x14ac:dyDescent="0.25">
      <c r="B654" s="17"/>
      <c r="C654" s="14"/>
      <c r="D654" s="14"/>
      <c r="E654" s="18"/>
      <c r="F654" s="61"/>
      <c r="G654" s="73"/>
      <c r="H654" s="79"/>
      <c r="I654" s="79"/>
      <c r="J654" s="14"/>
      <c r="K654" s="38"/>
      <c r="L654" s="38"/>
      <c r="M654" s="17"/>
    </row>
    <row r="655" spans="2:13" ht="14.45" customHeight="1" x14ac:dyDescent="0.25">
      <c r="B655" s="17"/>
      <c r="C655" s="14"/>
      <c r="D655" s="14"/>
      <c r="E655" s="18"/>
      <c r="F655" s="61"/>
      <c r="G655" s="73"/>
      <c r="H655" s="79"/>
      <c r="I655" s="79"/>
      <c r="J655" s="14"/>
      <c r="K655" s="38"/>
      <c r="L655" s="38"/>
      <c r="M655" s="17"/>
    </row>
    <row r="656" spans="2:13" ht="14.45" customHeight="1" x14ac:dyDescent="0.25">
      <c r="B656" s="17"/>
      <c r="C656" s="14"/>
      <c r="D656" s="14"/>
      <c r="E656" s="18"/>
      <c r="F656" s="61"/>
      <c r="G656" s="73"/>
      <c r="H656" s="79"/>
      <c r="I656" s="79"/>
      <c r="J656" s="14"/>
      <c r="K656" s="38"/>
      <c r="L656" s="38"/>
      <c r="M656" s="17"/>
    </row>
    <row r="657" spans="2:13" ht="14.45" customHeight="1" x14ac:dyDescent="0.25">
      <c r="B657" s="17"/>
      <c r="C657" s="14"/>
      <c r="D657" s="14"/>
      <c r="E657" s="18"/>
      <c r="F657" s="61"/>
      <c r="G657" s="73"/>
      <c r="H657" s="79"/>
      <c r="I657" s="79"/>
      <c r="J657" s="14"/>
      <c r="K657" s="38"/>
      <c r="L657" s="38"/>
      <c r="M657" s="17"/>
    </row>
    <row r="658" spans="2:13" ht="14.45" customHeight="1" x14ac:dyDescent="0.25">
      <c r="B658" s="17"/>
      <c r="C658" s="14"/>
      <c r="D658" s="14"/>
      <c r="E658" s="18"/>
      <c r="F658" s="61"/>
      <c r="G658" s="73"/>
      <c r="H658" s="79"/>
      <c r="I658" s="79"/>
      <c r="J658" s="14"/>
      <c r="K658" s="38"/>
      <c r="L658" s="38"/>
      <c r="M658" s="17"/>
    </row>
    <row r="659" spans="2:13" ht="14.45" customHeight="1" x14ac:dyDescent="0.25">
      <c r="B659" s="17"/>
      <c r="C659" s="14"/>
      <c r="D659" s="14"/>
      <c r="E659" s="18"/>
      <c r="F659" s="61"/>
      <c r="G659" s="73"/>
      <c r="H659" s="79"/>
      <c r="I659" s="79"/>
      <c r="J659" s="14"/>
      <c r="K659" s="38"/>
      <c r="L659" s="38"/>
      <c r="M659" s="17"/>
    </row>
    <row r="660" spans="2:13" ht="14.45" customHeight="1" x14ac:dyDescent="0.25">
      <c r="B660" s="17"/>
      <c r="C660" s="14"/>
      <c r="D660" s="14"/>
      <c r="E660" s="18"/>
      <c r="F660" s="61"/>
      <c r="G660" s="73"/>
      <c r="H660" s="79"/>
      <c r="I660" s="79"/>
      <c r="J660" s="14"/>
      <c r="K660" s="38"/>
      <c r="L660" s="38"/>
      <c r="M660" s="17"/>
    </row>
    <row r="661" spans="2:13" ht="14.45" customHeight="1" x14ac:dyDescent="0.25">
      <c r="B661" s="17"/>
      <c r="C661" s="14"/>
      <c r="D661" s="14"/>
      <c r="E661" s="18"/>
      <c r="F661" s="61"/>
      <c r="G661" s="73"/>
      <c r="H661" s="79"/>
      <c r="I661" s="79"/>
      <c r="J661" s="14"/>
      <c r="K661" s="38"/>
      <c r="L661" s="38"/>
      <c r="M661" s="17"/>
    </row>
    <row r="662" spans="2:13" ht="14.45" customHeight="1" x14ac:dyDescent="0.25">
      <c r="B662" s="17"/>
      <c r="C662" s="14"/>
      <c r="D662" s="14"/>
      <c r="E662" s="18"/>
      <c r="F662" s="61"/>
      <c r="G662" s="73"/>
      <c r="H662" s="79"/>
      <c r="I662" s="79"/>
      <c r="J662" s="14"/>
      <c r="K662" s="38"/>
      <c r="L662" s="38"/>
      <c r="M662" s="17"/>
    </row>
    <row r="663" spans="2:13" ht="14.45" customHeight="1" x14ac:dyDescent="0.25">
      <c r="B663" s="17"/>
      <c r="C663" s="14"/>
      <c r="D663" s="14"/>
      <c r="E663" s="18"/>
      <c r="F663" s="61"/>
      <c r="G663" s="73"/>
      <c r="H663" s="79"/>
      <c r="I663" s="79"/>
      <c r="J663" s="14"/>
      <c r="K663" s="38"/>
      <c r="L663" s="38"/>
      <c r="M663" s="17"/>
    </row>
    <row r="664" spans="2:13" ht="14.45" customHeight="1" x14ac:dyDescent="0.25">
      <c r="B664" s="17"/>
      <c r="C664" s="14"/>
      <c r="D664" s="14"/>
      <c r="E664" s="18"/>
      <c r="F664" s="61"/>
      <c r="G664" s="73"/>
      <c r="H664" s="79"/>
      <c r="I664" s="79"/>
      <c r="J664" s="14"/>
      <c r="K664" s="38"/>
      <c r="L664" s="38"/>
      <c r="M664" s="17"/>
    </row>
    <row r="665" spans="2:13" ht="14.45" customHeight="1" x14ac:dyDescent="0.25">
      <c r="B665" s="17"/>
      <c r="C665" s="14"/>
      <c r="D665" s="14"/>
      <c r="E665" s="18"/>
      <c r="F665" s="61"/>
      <c r="G665" s="73"/>
      <c r="H665" s="79"/>
      <c r="I665" s="79"/>
      <c r="J665" s="14"/>
      <c r="K665" s="38"/>
      <c r="L665" s="38"/>
      <c r="M665" s="17"/>
    </row>
    <row r="666" spans="2:13" ht="14.45" customHeight="1" x14ac:dyDescent="0.25">
      <c r="B666" s="17"/>
      <c r="C666" s="14"/>
      <c r="D666" s="14"/>
      <c r="E666" s="18"/>
      <c r="F666" s="61"/>
      <c r="G666" s="73"/>
      <c r="H666" s="79"/>
      <c r="I666" s="79"/>
      <c r="J666" s="14"/>
      <c r="K666" s="38"/>
      <c r="L666" s="38"/>
      <c r="M666" s="17"/>
    </row>
    <row r="667" spans="2:13" ht="14.45" customHeight="1" x14ac:dyDescent="0.25">
      <c r="B667" s="17"/>
      <c r="C667" s="14"/>
      <c r="D667" s="14"/>
      <c r="E667" s="18"/>
      <c r="F667" s="61"/>
      <c r="G667" s="73"/>
      <c r="H667" s="79"/>
      <c r="I667" s="79"/>
      <c r="J667" s="14"/>
      <c r="K667" s="38"/>
      <c r="L667" s="38"/>
      <c r="M667" s="17"/>
    </row>
    <row r="668" spans="2:13" ht="14.45" customHeight="1" x14ac:dyDescent="0.25">
      <c r="B668" s="17"/>
      <c r="C668" s="14"/>
      <c r="D668" s="14"/>
      <c r="E668" s="18"/>
      <c r="F668" s="61"/>
      <c r="G668" s="73"/>
      <c r="H668" s="79"/>
      <c r="I668" s="79"/>
      <c r="J668" s="14"/>
      <c r="K668" s="38"/>
      <c r="L668" s="38"/>
      <c r="M668" s="17"/>
    </row>
    <row r="669" spans="2:13" ht="14.45" customHeight="1" x14ac:dyDescent="0.25">
      <c r="B669" s="17"/>
      <c r="C669" s="14"/>
      <c r="D669" s="14"/>
      <c r="E669" s="18"/>
      <c r="F669" s="61"/>
      <c r="G669" s="73"/>
      <c r="H669" s="79"/>
      <c r="I669" s="79"/>
      <c r="J669" s="14"/>
      <c r="K669" s="38"/>
      <c r="L669" s="38"/>
      <c r="M669" s="17"/>
    </row>
    <row r="670" spans="2:13" ht="14.45" customHeight="1" x14ac:dyDescent="0.25">
      <c r="B670" s="17"/>
      <c r="C670" s="14"/>
      <c r="D670" s="14"/>
      <c r="E670" s="18"/>
      <c r="F670" s="61"/>
      <c r="G670" s="73"/>
      <c r="H670" s="79"/>
      <c r="I670" s="79"/>
      <c r="J670" s="14"/>
      <c r="K670" s="38"/>
      <c r="L670" s="38"/>
      <c r="M670" s="17"/>
    </row>
    <row r="671" spans="2:13" ht="14.45" customHeight="1" x14ac:dyDescent="0.25">
      <c r="B671" s="17"/>
      <c r="C671" s="14"/>
      <c r="D671" s="14"/>
      <c r="E671" s="18"/>
      <c r="F671" s="61"/>
      <c r="G671" s="73"/>
      <c r="H671" s="79"/>
      <c r="I671" s="79"/>
      <c r="J671" s="14"/>
      <c r="K671" s="38"/>
      <c r="L671" s="38"/>
      <c r="M671" s="17"/>
    </row>
    <row r="672" spans="2:13" ht="14.45" customHeight="1" x14ac:dyDescent="0.25">
      <c r="B672" s="17"/>
      <c r="C672" s="14"/>
      <c r="D672" s="14"/>
      <c r="E672" s="18"/>
      <c r="F672" s="61"/>
      <c r="G672" s="73"/>
      <c r="H672" s="79"/>
      <c r="I672" s="79"/>
      <c r="J672" s="14"/>
      <c r="K672" s="38"/>
      <c r="L672" s="38"/>
      <c r="M672" s="17"/>
    </row>
    <row r="673" spans="2:13" ht="14.45" customHeight="1" x14ac:dyDescent="0.25">
      <c r="B673" s="17"/>
      <c r="C673" s="14"/>
      <c r="D673" s="14"/>
      <c r="E673" s="18"/>
      <c r="F673" s="61"/>
      <c r="G673" s="73"/>
      <c r="H673" s="79"/>
      <c r="I673" s="79"/>
      <c r="J673" s="14"/>
      <c r="K673" s="38"/>
      <c r="L673" s="38"/>
      <c r="M673" s="17"/>
    </row>
    <row r="674" spans="2:13" ht="14.45" customHeight="1" x14ac:dyDescent="0.25">
      <c r="B674" s="17"/>
      <c r="C674" s="14"/>
      <c r="D674" s="14"/>
      <c r="E674" s="18"/>
      <c r="F674" s="61"/>
      <c r="G674" s="73"/>
      <c r="H674" s="79"/>
      <c r="I674" s="79"/>
      <c r="J674" s="14"/>
      <c r="K674" s="38"/>
      <c r="L674" s="38"/>
      <c r="M674" s="17"/>
    </row>
    <row r="675" spans="2:13" ht="14.45" customHeight="1" x14ac:dyDescent="0.25">
      <c r="B675" s="17"/>
      <c r="C675" s="14"/>
      <c r="D675" s="14"/>
      <c r="E675" s="18"/>
      <c r="F675" s="61"/>
      <c r="G675" s="73"/>
      <c r="H675" s="79"/>
      <c r="I675" s="79"/>
      <c r="J675" s="14"/>
      <c r="K675" s="38"/>
      <c r="L675" s="38"/>
      <c r="M675" s="17"/>
    </row>
    <row r="676" spans="2:13" ht="14.45" customHeight="1" x14ac:dyDescent="0.25">
      <c r="B676" s="17"/>
      <c r="C676" s="14"/>
      <c r="D676" s="14"/>
      <c r="E676" s="18"/>
      <c r="F676" s="61"/>
      <c r="G676" s="73"/>
      <c r="H676" s="79"/>
      <c r="I676" s="79"/>
      <c r="J676" s="14"/>
      <c r="K676" s="38"/>
      <c r="L676" s="38"/>
      <c r="M676" s="17"/>
    </row>
    <row r="677" spans="2:13" ht="14.45" customHeight="1" x14ac:dyDescent="0.25">
      <c r="B677" s="17"/>
      <c r="C677" s="14"/>
      <c r="D677" s="14"/>
      <c r="E677" s="18"/>
      <c r="F677" s="61"/>
      <c r="G677" s="73"/>
      <c r="H677" s="79"/>
      <c r="I677" s="79"/>
      <c r="J677" s="14"/>
      <c r="K677" s="38"/>
      <c r="L677" s="38"/>
      <c r="M677" s="17"/>
    </row>
    <row r="678" spans="2:13" ht="14.45" customHeight="1" x14ac:dyDescent="0.25">
      <c r="B678" s="17"/>
      <c r="C678" s="14"/>
      <c r="D678" s="14"/>
      <c r="E678" s="18"/>
      <c r="F678" s="61"/>
      <c r="G678" s="73"/>
      <c r="H678" s="79"/>
      <c r="I678" s="79"/>
      <c r="J678" s="14"/>
      <c r="K678" s="38"/>
      <c r="L678" s="38"/>
      <c r="M678" s="17"/>
    </row>
    <row r="679" spans="2:13" ht="14.45" customHeight="1" x14ac:dyDescent="0.25">
      <c r="B679" s="17"/>
      <c r="C679" s="14"/>
      <c r="D679" s="14"/>
      <c r="E679" s="18"/>
      <c r="F679" s="61"/>
      <c r="G679" s="73"/>
      <c r="H679" s="79"/>
      <c r="I679" s="79"/>
      <c r="J679" s="14"/>
      <c r="K679" s="38"/>
      <c r="L679" s="38"/>
      <c r="M679" s="17"/>
    </row>
    <row r="680" spans="2:13" ht="14.45" customHeight="1" x14ac:dyDescent="0.25">
      <c r="B680" s="17"/>
      <c r="C680" s="14"/>
      <c r="D680" s="14"/>
      <c r="E680" s="18"/>
      <c r="F680" s="61"/>
      <c r="G680" s="73"/>
      <c r="H680" s="79"/>
      <c r="I680" s="79"/>
      <c r="J680" s="14"/>
      <c r="K680" s="38"/>
      <c r="L680" s="38"/>
      <c r="M680" s="17"/>
    </row>
    <row r="681" spans="2:13" ht="14.45" customHeight="1" x14ac:dyDescent="0.25">
      <c r="B681" s="17"/>
      <c r="C681" s="14"/>
      <c r="D681" s="14"/>
      <c r="E681" s="18"/>
      <c r="F681" s="61"/>
      <c r="G681" s="73"/>
      <c r="H681" s="79"/>
      <c r="I681" s="79"/>
      <c r="J681" s="14"/>
      <c r="K681" s="38"/>
      <c r="L681" s="38"/>
      <c r="M681" s="17"/>
    </row>
    <row r="682" spans="2:13" ht="14.45" customHeight="1" x14ac:dyDescent="0.25">
      <c r="B682" s="17"/>
      <c r="C682" s="14"/>
      <c r="D682" s="14"/>
      <c r="E682" s="18"/>
      <c r="F682" s="61"/>
      <c r="G682" s="73"/>
      <c r="H682" s="79"/>
      <c r="I682" s="79"/>
      <c r="J682" s="14"/>
      <c r="K682" s="38"/>
      <c r="L682" s="38"/>
      <c r="M682" s="17"/>
    </row>
    <row r="683" spans="2:13" ht="14.45" customHeight="1" x14ac:dyDescent="0.25">
      <c r="B683" s="17"/>
      <c r="C683" s="14"/>
      <c r="D683" s="14"/>
      <c r="E683" s="18"/>
      <c r="F683" s="61"/>
      <c r="G683" s="73"/>
      <c r="H683" s="79"/>
      <c r="I683" s="79"/>
      <c r="J683" s="14"/>
      <c r="K683" s="38"/>
      <c r="L683" s="38"/>
      <c r="M683" s="17"/>
    </row>
    <row r="684" spans="2:13" ht="14.45" customHeight="1" x14ac:dyDescent="0.25">
      <c r="B684" s="17"/>
      <c r="C684" s="14"/>
      <c r="D684" s="14"/>
      <c r="E684" s="18"/>
      <c r="F684" s="61"/>
      <c r="G684" s="73"/>
      <c r="H684" s="79"/>
      <c r="I684" s="79"/>
      <c r="J684" s="14"/>
      <c r="K684" s="38"/>
      <c r="L684" s="38"/>
      <c r="M684" s="17"/>
    </row>
    <row r="685" spans="2:13" ht="14.45" customHeight="1" x14ac:dyDescent="0.25">
      <c r="B685" s="17"/>
      <c r="C685" s="14"/>
      <c r="D685" s="14"/>
      <c r="E685" s="18"/>
      <c r="F685" s="61"/>
      <c r="G685" s="73"/>
      <c r="H685" s="79"/>
      <c r="I685" s="79"/>
      <c r="J685" s="14"/>
      <c r="K685" s="38"/>
      <c r="L685" s="38"/>
      <c r="M685" s="17"/>
    </row>
    <row r="686" spans="2:13" ht="14.45" customHeight="1" x14ac:dyDescent="0.25">
      <c r="B686" s="17"/>
      <c r="C686" s="14"/>
      <c r="D686" s="14"/>
      <c r="E686" s="18"/>
      <c r="F686" s="61"/>
      <c r="G686" s="73"/>
      <c r="H686" s="79"/>
      <c r="I686" s="79"/>
      <c r="J686" s="14"/>
      <c r="K686" s="38"/>
      <c r="L686" s="38"/>
      <c r="M686" s="17"/>
    </row>
    <row r="687" spans="2:13" ht="14.45" customHeight="1" x14ac:dyDescent="0.25">
      <c r="B687" s="17"/>
      <c r="C687" s="14"/>
      <c r="D687" s="14"/>
      <c r="E687" s="18"/>
      <c r="F687" s="61"/>
      <c r="G687" s="73"/>
      <c r="H687" s="79"/>
      <c r="I687" s="79"/>
      <c r="J687" s="14"/>
      <c r="K687" s="38"/>
      <c r="L687" s="38"/>
      <c r="M687" s="17"/>
    </row>
    <row r="688" spans="2:13" ht="14.45" customHeight="1" x14ac:dyDescent="0.25">
      <c r="B688" s="17"/>
      <c r="C688" s="14"/>
      <c r="D688" s="14"/>
      <c r="E688" s="18"/>
      <c r="F688" s="61"/>
      <c r="G688" s="73"/>
      <c r="H688" s="79"/>
      <c r="I688" s="79"/>
      <c r="J688" s="14"/>
      <c r="K688" s="38"/>
      <c r="L688" s="38"/>
      <c r="M688" s="17"/>
    </row>
    <row r="689" spans="2:13" ht="14.45" customHeight="1" x14ac:dyDescent="0.25">
      <c r="B689" s="17"/>
      <c r="C689" s="14"/>
      <c r="D689" s="14"/>
      <c r="E689" s="18"/>
      <c r="F689" s="61"/>
      <c r="G689" s="73"/>
      <c r="H689" s="79"/>
      <c r="I689" s="79"/>
      <c r="J689" s="14"/>
      <c r="K689" s="38"/>
      <c r="L689" s="38"/>
      <c r="M689" s="17"/>
    </row>
    <row r="690" spans="2:13" ht="14.45" customHeight="1" x14ac:dyDescent="0.25">
      <c r="B690" s="17"/>
      <c r="C690" s="14"/>
      <c r="D690" s="14"/>
      <c r="E690" s="18"/>
      <c r="F690" s="61"/>
      <c r="G690" s="73"/>
      <c r="H690" s="79"/>
      <c r="I690" s="79"/>
      <c r="J690" s="14"/>
      <c r="K690" s="38"/>
      <c r="L690" s="38"/>
      <c r="M690" s="17"/>
    </row>
    <row r="691" spans="2:13" ht="14.45" customHeight="1" x14ac:dyDescent="0.25">
      <c r="B691" s="17"/>
      <c r="C691" s="14"/>
      <c r="D691" s="14"/>
      <c r="E691" s="18"/>
      <c r="F691" s="61"/>
      <c r="G691" s="73"/>
      <c r="H691" s="79"/>
      <c r="I691" s="79"/>
      <c r="J691" s="14"/>
      <c r="K691" s="38"/>
      <c r="L691" s="38"/>
      <c r="M691" s="17"/>
    </row>
    <row r="692" spans="2:13" ht="14.45" customHeight="1" x14ac:dyDescent="0.25">
      <c r="B692" s="17"/>
      <c r="C692" s="14"/>
      <c r="D692" s="14"/>
      <c r="E692" s="18"/>
      <c r="F692" s="61"/>
      <c r="G692" s="73"/>
      <c r="H692" s="79"/>
      <c r="I692" s="79"/>
      <c r="J692" s="14"/>
      <c r="K692" s="38"/>
      <c r="L692" s="38"/>
      <c r="M692" s="17"/>
    </row>
    <row r="693" spans="2:13" ht="14.45" customHeight="1" x14ac:dyDescent="0.25">
      <c r="B693" s="17"/>
      <c r="C693" s="14"/>
      <c r="D693" s="14"/>
      <c r="E693" s="18"/>
      <c r="F693" s="61"/>
      <c r="G693" s="73"/>
      <c r="H693" s="79"/>
      <c r="I693" s="79"/>
      <c r="J693" s="14"/>
      <c r="K693" s="38"/>
      <c r="L693" s="38"/>
      <c r="M693" s="17"/>
    </row>
    <row r="694" spans="2:13" ht="14.45" customHeight="1" x14ac:dyDescent="0.25">
      <c r="B694" s="17"/>
      <c r="C694" s="14"/>
      <c r="D694" s="14"/>
      <c r="E694" s="18"/>
      <c r="F694" s="61"/>
      <c r="G694" s="73"/>
      <c r="H694" s="79"/>
      <c r="I694" s="79"/>
      <c r="J694" s="14"/>
      <c r="K694" s="38"/>
      <c r="L694" s="38"/>
      <c r="M694" s="17"/>
    </row>
    <row r="695" spans="2:13" ht="14.45" customHeight="1" x14ac:dyDescent="0.25">
      <c r="B695" s="17"/>
      <c r="C695" s="14"/>
      <c r="D695" s="14"/>
      <c r="E695" s="18"/>
      <c r="F695" s="61"/>
      <c r="G695" s="73"/>
      <c r="H695" s="79"/>
      <c r="I695" s="79"/>
      <c r="J695" s="14"/>
      <c r="K695" s="38"/>
      <c r="L695" s="38"/>
      <c r="M695" s="17"/>
    </row>
    <row r="696" spans="2:13" ht="14.45" customHeight="1" x14ac:dyDescent="0.25">
      <c r="B696" s="17"/>
      <c r="C696" s="14"/>
      <c r="D696" s="14"/>
      <c r="E696" s="18"/>
      <c r="F696" s="61"/>
      <c r="G696" s="73"/>
      <c r="H696" s="79"/>
      <c r="I696" s="79"/>
      <c r="J696" s="14"/>
      <c r="K696" s="38"/>
      <c r="L696" s="38"/>
      <c r="M696" s="17"/>
    </row>
    <row r="697" spans="2:13" ht="14.45" customHeight="1" x14ac:dyDescent="0.25">
      <c r="B697" s="17"/>
      <c r="C697" s="14"/>
      <c r="D697" s="14"/>
      <c r="E697" s="18"/>
      <c r="F697" s="61"/>
      <c r="G697" s="73"/>
      <c r="H697" s="79"/>
      <c r="I697" s="79"/>
      <c r="J697" s="14"/>
      <c r="K697" s="38"/>
      <c r="L697" s="38"/>
      <c r="M697" s="17"/>
    </row>
    <row r="698" spans="2:13" ht="14.45" customHeight="1" x14ac:dyDescent="0.25">
      <c r="B698" s="17"/>
      <c r="C698" s="14"/>
      <c r="D698" s="14"/>
      <c r="E698" s="18"/>
      <c r="F698" s="61"/>
      <c r="G698" s="73"/>
      <c r="H698" s="79"/>
      <c r="I698" s="79"/>
      <c r="J698" s="14"/>
      <c r="K698" s="38"/>
      <c r="L698" s="38"/>
      <c r="M698" s="17"/>
    </row>
    <row r="699" spans="2:13" ht="14.45" customHeight="1" x14ac:dyDescent="0.25">
      <c r="B699" s="17"/>
      <c r="C699" s="14"/>
      <c r="D699" s="14"/>
      <c r="E699" s="18"/>
      <c r="F699" s="61"/>
      <c r="G699" s="73"/>
      <c r="H699" s="79"/>
      <c r="I699" s="79"/>
      <c r="J699" s="14"/>
      <c r="K699" s="38"/>
      <c r="L699" s="38"/>
      <c r="M699" s="17"/>
    </row>
    <row r="700" spans="2:13" ht="14.45" customHeight="1" x14ac:dyDescent="0.25">
      <c r="B700" s="17"/>
      <c r="C700" s="14"/>
      <c r="D700" s="14"/>
      <c r="E700" s="18"/>
      <c r="F700" s="61"/>
      <c r="G700" s="73"/>
      <c r="H700" s="79"/>
      <c r="I700" s="79"/>
      <c r="J700" s="14"/>
      <c r="K700" s="38"/>
      <c r="L700" s="38"/>
      <c r="M700" s="17"/>
    </row>
    <row r="701" spans="2:13" ht="14.45" customHeight="1" x14ac:dyDescent="0.25">
      <c r="B701" s="17"/>
      <c r="C701" s="14"/>
      <c r="D701" s="14"/>
      <c r="E701" s="18"/>
      <c r="F701" s="61"/>
      <c r="G701" s="73"/>
      <c r="H701" s="79"/>
      <c r="I701" s="79"/>
      <c r="J701" s="14"/>
      <c r="K701" s="38"/>
      <c r="L701" s="38"/>
      <c r="M701" s="17"/>
    </row>
    <row r="702" spans="2:13" ht="14.45" customHeight="1" x14ac:dyDescent="0.25">
      <c r="B702" s="17"/>
      <c r="C702" s="14"/>
      <c r="D702" s="14"/>
      <c r="E702" s="18"/>
      <c r="F702" s="61"/>
      <c r="G702" s="73"/>
      <c r="H702" s="79"/>
      <c r="I702" s="79"/>
      <c r="J702" s="14"/>
      <c r="K702" s="38"/>
      <c r="L702" s="38"/>
      <c r="M702" s="17"/>
    </row>
    <row r="703" spans="2:13" ht="14.45" customHeight="1" x14ac:dyDescent="0.25">
      <c r="B703" s="17"/>
      <c r="C703" s="14"/>
      <c r="D703" s="14"/>
      <c r="E703" s="18"/>
      <c r="F703" s="61"/>
      <c r="G703" s="73"/>
      <c r="H703" s="79"/>
      <c r="I703" s="79"/>
      <c r="J703" s="14"/>
      <c r="K703" s="38"/>
      <c r="L703" s="38"/>
      <c r="M703" s="17"/>
    </row>
    <row r="704" spans="2:13" ht="14.45" customHeight="1" x14ac:dyDescent="0.25">
      <c r="B704" s="17"/>
      <c r="C704" s="14"/>
      <c r="D704" s="14"/>
      <c r="E704" s="18"/>
      <c r="F704" s="61"/>
      <c r="G704" s="73"/>
      <c r="H704" s="79"/>
      <c r="I704" s="79"/>
      <c r="J704" s="14"/>
      <c r="K704" s="38"/>
      <c r="L704" s="38"/>
      <c r="M704" s="17"/>
    </row>
    <row r="705" spans="2:13" ht="14.45" customHeight="1" x14ac:dyDescent="0.25">
      <c r="B705" s="17"/>
      <c r="C705" s="14"/>
      <c r="D705" s="14"/>
      <c r="E705" s="18"/>
      <c r="F705" s="61"/>
      <c r="G705" s="73"/>
      <c r="H705" s="79"/>
      <c r="I705" s="79"/>
      <c r="J705" s="14"/>
      <c r="K705" s="38"/>
      <c r="L705" s="38"/>
      <c r="M705" s="17"/>
    </row>
    <row r="706" spans="2:13" ht="14.45" customHeight="1" x14ac:dyDescent="0.25">
      <c r="B706" s="17"/>
      <c r="C706" s="14"/>
      <c r="D706" s="14"/>
      <c r="E706" s="18"/>
      <c r="F706" s="61"/>
      <c r="G706" s="73"/>
      <c r="H706" s="79"/>
      <c r="I706" s="79"/>
      <c r="J706" s="14"/>
      <c r="K706" s="38"/>
      <c r="L706" s="38"/>
      <c r="M706" s="17"/>
    </row>
    <row r="707" spans="2:13" ht="14.45" customHeight="1" x14ac:dyDescent="0.25">
      <c r="B707" s="17"/>
      <c r="C707" s="14"/>
      <c r="D707" s="14"/>
      <c r="E707" s="18"/>
      <c r="F707" s="61"/>
      <c r="G707" s="73"/>
      <c r="H707" s="79"/>
      <c r="I707" s="79"/>
      <c r="J707" s="14"/>
      <c r="K707" s="38"/>
      <c r="L707" s="38"/>
      <c r="M707" s="17"/>
    </row>
    <row r="708" spans="2:13" ht="14.45" customHeight="1" x14ac:dyDescent="0.25">
      <c r="B708" s="17"/>
      <c r="C708" s="14"/>
      <c r="D708" s="14"/>
      <c r="E708" s="18"/>
      <c r="F708" s="61"/>
      <c r="G708" s="73"/>
      <c r="H708" s="79"/>
      <c r="I708" s="79"/>
      <c r="J708" s="14"/>
      <c r="K708" s="38"/>
      <c r="L708" s="38"/>
      <c r="M708" s="17"/>
    </row>
    <row r="709" spans="2:13" ht="14.45" customHeight="1" x14ac:dyDescent="0.25">
      <c r="B709" s="17"/>
      <c r="C709" s="14"/>
      <c r="D709" s="14"/>
      <c r="E709" s="18"/>
      <c r="F709" s="61"/>
      <c r="G709" s="73"/>
      <c r="H709" s="79"/>
      <c r="I709" s="79"/>
      <c r="J709" s="14"/>
      <c r="K709" s="38"/>
      <c r="L709" s="38"/>
      <c r="M709" s="17"/>
    </row>
    <row r="710" spans="2:13" ht="14.45" customHeight="1" x14ac:dyDescent="0.25">
      <c r="B710" s="17"/>
      <c r="C710" s="14"/>
      <c r="D710" s="14"/>
      <c r="E710" s="18"/>
      <c r="F710" s="61"/>
      <c r="G710" s="73"/>
      <c r="H710" s="79"/>
      <c r="I710" s="79"/>
      <c r="J710" s="14"/>
      <c r="K710" s="38"/>
      <c r="L710" s="38"/>
      <c r="M710" s="17"/>
    </row>
    <row r="711" spans="2:13" ht="14.45" customHeight="1" x14ac:dyDescent="0.25">
      <c r="B711" s="17"/>
      <c r="C711" s="14"/>
      <c r="D711" s="14"/>
      <c r="E711" s="18"/>
      <c r="F711" s="61"/>
      <c r="G711" s="73"/>
      <c r="H711" s="79"/>
      <c r="I711" s="79"/>
      <c r="J711" s="14"/>
      <c r="K711" s="38"/>
      <c r="L711" s="38"/>
      <c r="M711" s="17"/>
    </row>
    <row r="712" spans="2:13" ht="14.45" customHeight="1" x14ac:dyDescent="0.25">
      <c r="B712" s="17"/>
      <c r="C712" s="14"/>
      <c r="D712" s="14"/>
      <c r="E712" s="18"/>
      <c r="F712" s="61"/>
      <c r="G712" s="73"/>
      <c r="H712" s="79"/>
      <c r="I712" s="79"/>
      <c r="J712" s="14"/>
      <c r="K712" s="38"/>
      <c r="L712" s="38"/>
      <c r="M712" s="17"/>
    </row>
    <row r="713" spans="2:13" ht="14.45" customHeight="1" x14ac:dyDescent="0.25">
      <c r="B713" s="17"/>
      <c r="C713" s="14"/>
      <c r="D713" s="14"/>
      <c r="E713" s="18"/>
      <c r="F713" s="61"/>
      <c r="G713" s="73"/>
      <c r="H713" s="79"/>
      <c r="I713" s="79"/>
      <c r="J713" s="14"/>
      <c r="K713" s="38"/>
      <c r="L713" s="38"/>
      <c r="M713" s="17"/>
    </row>
    <row r="714" spans="2:13" ht="14.45" customHeight="1" x14ac:dyDescent="0.25">
      <c r="B714" s="17"/>
      <c r="C714" s="14"/>
      <c r="D714" s="14"/>
      <c r="E714" s="18"/>
      <c r="F714" s="61"/>
      <c r="G714" s="73"/>
      <c r="H714" s="79"/>
      <c r="I714" s="79"/>
      <c r="J714" s="14"/>
      <c r="K714" s="38"/>
      <c r="L714" s="38"/>
      <c r="M714" s="17"/>
    </row>
    <row r="715" spans="2:13" ht="14.45" customHeight="1" x14ac:dyDescent="0.25">
      <c r="B715" s="17"/>
      <c r="C715" s="14"/>
      <c r="D715" s="14"/>
      <c r="E715" s="18"/>
      <c r="F715" s="61"/>
      <c r="G715" s="73"/>
      <c r="H715" s="79"/>
      <c r="I715" s="79"/>
      <c r="J715" s="14"/>
      <c r="K715" s="38"/>
      <c r="L715" s="38"/>
      <c r="M715" s="17"/>
    </row>
    <row r="716" spans="2:13" ht="14.45" customHeight="1" x14ac:dyDescent="0.25">
      <c r="B716" s="17"/>
      <c r="C716" s="14"/>
      <c r="D716" s="14"/>
      <c r="E716" s="18"/>
      <c r="F716" s="61"/>
      <c r="G716" s="73"/>
      <c r="H716" s="79"/>
      <c r="I716" s="79"/>
      <c r="J716" s="14"/>
      <c r="K716" s="38"/>
      <c r="L716" s="38"/>
      <c r="M716" s="17"/>
    </row>
    <row r="717" spans="2:13" ht="14.45" customHeight="1" x14ac:dyDescent="0.25">
      <c r="B717" s="17"/>
      <c r="C717" s="14"/>
      <c r="D717" s="14"/>
      <c r="E717" s="18"/>
      <c r="F717" s="61"/>
      <c r="G717" s="73"/>
      <c r="H717" s="79"/>
      <c r="I717" s="79"/>
      <c r="J717" s="14"/>
      <c r="K717" s="38"/>
      <c r="L717" s="38"/>
      <c r="M717" s="17"/>
    </row>
    <row r="718" spans="2:13" ht="14.45" customHeight="1" x14ac:dyDescent="0.25">
      <c r="B718" s="17"/>
      <c r="C718" s="14"/>
      <c r="D718" s="14"/>
      <c r="E718" s="18"/>
      <c r="F718" s="61"/>
      <c r="G718" s="73"/>
      <c r="H718" s="79"/>
      <c r="I718" s="79"/>
      <c r="J718" s="14"/>
      <c r="K718" s="38"/>
      <c r="L718" s="38"/>
      <c r="M718" s="17"/>
    </row>
    <row r="719" spans="2:13" ht="14.45" customHeight="1" x14ac:dyDescent="0.25">
      <c r="B719" s="17"/>
      <c r="C719" s="14"/>
      <c r="D719" s="14"/>
      <c r="E719" s="18"/>
      <c r="F719" s="61"/>
      <c r="G719" s="73"/>
      <c r="H719" s="79"/>
      <c r="I719" s="79"/>
      <c r="J719" s="14"/>
      <c r="K719" s="38"/>
      <c r="L719" s="38"/>
      <c r="M719" s="17"/>
    </row>
    <row r="720" spans="2:13" ht="14.45" customHeight="1" x14ac:dyDescent="0.25">
      <c r="B720" s="17"/>
      <c r="C720" s="14"/>
      <c r="D720" s="14"/>
      <c r="E720" s="18"/>
      <c r="F720" s="61"/>
      <c r="G720" s="73"/>
      <c r="H720" s="79"/>
      <c r="I720" s="79"/>
      <c r="J720" s="14"/>
      <c r="K720" s="38"/>
      <c r="L720" s="38"/>
      <c r="M720" s="17"/>
    </row>
    <row r="721" spans="2:13" ht="14.45" customHeight="1" x14ac:dyDescent="0.25">
      <c r="B721" s="17"/>
      <c r="C721" s="14"/>
      <c r="D721" s="14"/>
      <c r="E721" s="18"/>
      <c r="F721" s="61"/>
      <c r="G721" s="73"/>
      <c r="H721" s="79"/>
      <c r="I721" s="79"/>
      <c r="J721" s="14"/>
      <c r="K721" s="38"/>
      <c r="L721" s="38"/>
      <c r="M721" s="17"/>
    </row>
    <row r="722" spans="2:13" ht="14.45" customHeight="1" x14ac:dyDescent="0.25">
      <c r="B722" s="17"/>
      <c r="C722" s="14"/>
      <c r="D722" s="14"/>
      <c r="E722" s="18"/>
      <c r="F722" s="61"/>
      <c r="G722" s="73"/>
      <c r="H722" s="79"/>
      <c r="I722" s="79"/>
      <c r="J722" s="14"/>
      <c r="K722" s="38"/>
      <c r="L722" s="38"/>
      <c r="M722" s="17"/>
    </row>
    <row r="723" spans="2:13" ht="14.45" customHeight="1" x14ac:dyDescent="0.25">
      <c r="B723" s="17"/>
      <c r="C723" s="14"/>
      <c r="D723" s="14"/>
      <c r="E723" s="18"/>
      <c r="F723" s="61"/>
      <c r="G723" s="73"/>
      <c r="H723" s="79"/>
      <c r="I723" s="79"/>
      <c r="J723" s="14"/>
      <c r="K723" s="38"/>
      <c r="L723" s="38"/>
      <c r="M723" s="17"/>
    </row>
    <row r="724" spans="2:13" ht="14.45" customHeight="1" x14ac:dyDescent="0.25">
      <c r="B724" s="17"/>
      <c r="C724" s="14"/>
      <c r="D724" s="14"/>
      <c r="E724" s="18"/>
      <c r="F724" s="61"/>
      <c r="G724" s="73"/>
      <c r="H724" s="79"/>
      <c r="I724" s="79"/>
      <c r="J724" s="14"/>
      <c r="K724" s="38"/>
      <c r="L724" s="38"/>
      <c r="M724" s="17"/>
    </row>
    <row r="725" spans="2:13" ht="14.45" customHeight="1" x14ac:dyDescent="0.25">
      <c r="B725" s="17"/>
      <c r="C725" s="14"/>
      <c r="D725" s="14"/>
      <c r="E725" s="18"/>
      <c r="F725" s="61"/>
      <c r="G725" s="73"/>
      <c r="H725" s="79"/>
      <c r="I725" s="79"/>
      <c r="J725" s="14"/>
      <c r="K725" s="38"/>
      <c r="L725" s="38"/>
      <c r="M725" s="17"/>
    </row>
    <row r="726" spans="2:13" ht="14.45" customHeight="1" x14ac:dyDescent="0.25">
      <c r="B726" s="17"/>
      <c r="C726" s="14"/>
      <c r="D726" s="14"/>
      <c r="E726" s="18"/>
      <c r="F726" s="61"/>
      <c r="G726" s="73"/>
      <c r="H726" s="79"/>
      <c r="I726" s="79"/>
      <c r="J726" s="14"/>
      <c r="K726" s="38"/>
      <c r="L726" s="38"/>
      <c r="M726" s="17"/>
    </row>
    <row r="727" spans="2:13" ht="14.45" customHeight="1" x14ac:dyDescent="0.25">
      <c r="B727" s="17"/>
      <c r="C727" s="14"/>
      <c r="D727" s="14"/>
      <c r="E727" s="18"/>
      <c r="F727" s="61"/>
      <c r="G727" s="73"/>
      <c r="H727" s="79"/>
      <c r="I727" s="79"/>
      <c r="J727" s="14"/>
      <c r="K727" s="38"/>
      <c r="L727" s="38"/>
      <c r="M727" s="17"/>
    </row>
    <row r="728" spans="2:13" ht="14.45" customHeight="1" x14ac:dyDescent="0.25">
      <c r="B728" s="17"/>
      <c r="C728" s="14"/>
      <c r="D728" s="14"/>
      <c r="E728" s="18"/>
      <c r="F728" s="61"/>
      <c r="G728" s="73"/>
      <c r="H728" s="79"/>
      <c r="I728" s="79"/>
      <c r="J728" s="14"/>
      <c r="K728" s="38"/>
      <c r="L728" s="38"/>
      <c r="M728" s="17"/>
    </row>
    <row r="729" spans="2:13" ht="14.45" customHeight="1" x14ac:dyDescent="0.25">
      <c r="B729" s="17"/>
      <c r="C729" s="14"/>
      <c r="D729" s="14"/>
      <c r="E729" s="18"/>
      <c r="F729" s="61"/>
      <c r="G729" s="73"/>
      <c r="H729" s="79"/>
      <c r="I729" s="79"/>
      <c r="J729" s="14"/>
      <c r="K729" s="38"/>
      <c r="L729" s="38"/>
      <c r="M729" s="17"/>
    </row>
    <row r="730" spans="2:13" ht="14.45" customHeight="1" x14ac:dyDescent="0.25">
      <c r="B730" s="17"/>
      <c r="C730" s="14"/>
      <c r="D730" s="14"/>
      <c r="E730" s="18"/>
      <c r="F730" s="61"/>
      <c r="G730" s="73"/>
      <c r="H730" s="79"/>
      <c r="I730" s="79"/>
      <c r="J730" s="14"/>
      <c r="K730" s="38"/>
      <c r="L730" s="38"/>
      <c r="M730" s="17"/>
    </row>
    <row r="731" spans="2:13" ht="14.45" customHeight="1" x14ac:dyDescent="0.25">
      <c r="B731" s="17"/>
      <c r="C731" s="14"/>
      <c r="D731" s="14"/>
      <c r="E731" s="18"/>
      <c r="F731" s="61"/>
      <c r="G731" s="73"/>
      <c r="H731" s="79"/>
      <c r="I731" s="79"/>
      <c r="J731" s="14"/>
      <c r="K731" s="38"/>
      <c r="L731" s="38"/>
      <c r="M731" s="17"/>
    </row>
    <row r="732" spans="2:13" ht="14.45" customHeight="1" x14ac:dyDescent="0.25">
      <c r="B732" s="17"/>
      <c r="C732" s="14"/>
      <c r="D732" s="14"/>
      <c r="E732" s="18"/>
      <c r="F732" s="61"/>
      <c r="G732" s="73"/>
      <c r="H732" s="79"/>
      <c r="I732" s="79"/>
      <c r="J732" s="14"/>
      <c r="K732" s="38"/>
      <c r="L732" s="38"/>
      <c r="M732" s="17"/>
    </row>
    <row r="733" spans="2:13" ht="14.45" customHeight="1" x14ac:dyDescent="0.25">
      <c r="B733" s="17"/>
      <c r="C733" s="14"/>
      <c r="D733" s="14"/>
      <c r="E733" s="18"/>
      <c r="F733" s="61"/>
      <c r="G733" s="73"/>
      <c r="H733" s="79"/>
      <c r="I733" s="79"/>
      <c r="J733" s="14"/>
      <c r="K733" s="38"/>
      <c r="L733" s="38"/>
      <c r="M733" s="17"/>
    </row>
    <row r="734" spans="2:13" ht="14.45" customHeight="1" x14ac:dyDescent="0.25">
      <c r="B734" s="17"/>
      <c r="C734" s="14"/>
      <c r="D734" s="14"/>
      <c r="E734" s="18"/>
      <c r="F734" s="61"/>
      <c r="G734" s="73"/>
      <c r="H734" s="79"/>
      <c r="I734" s="79"/>
      <c r="J734" s="14"/>
      <c r="K734" s="38"/>
      <c r="L734" s="38"/>
      <c r="M734" s="17"/>
    </row>
    <row r="735" spans="2:13" ht="14.45" customHeight="1" x14ac:dyDescent="0.25">
      <c r="B735" s="17"/>
      <c r="C735" s="14"/>
      <c r="D735" s="14"/>
      <c r="E735" s="18"/>
      <c r="F735" s="61"/>
      <c r="G735" s="73"/>
      <c r="H735" s="79"/>
      <c r="I735" s="79"/>
      <c r="J735" s="14"/>
      <c r="K735" s="38"/>
      <c r="L735" s="38"/>
      <c r="M735" s="17"/>
    </row>
    <row r="736" spans="2:13" ht="14.45" customHeight="1" x14ac:dyDescent="0.25">
      <c r="B736" s="17"/>
      <c r="C736" s="14"/>
      <c r="D736" s="14"/>
      <c r="E736" s="18"/>
      <c r="F736" s="61"/>
      <c r="G736" s="73"/>
      <c r="H736" s="79"/>
      <c r="I736" s="79"/>
      <c r="J736" s="14"/>
      <c r="K736" s="38"/>
      <c r="L736" s="38"/>
      <c r="M736" s="17"/>
    </row>
    <row r="737" spans="2:13" ht="14.45" customHeight="1" x14ac:dyDescent="0.25">
      <c r="B737" s="17"/>
      <c r="C737" s="14"/>
      <c r="D737" s="14"/>
      <c r="E737" s="18"/>
      <c r="F737" s="61"/>
      <c r="G737" s="73"/>
      <c r="H737" s="79"/>
      <c r="I737" s="79"/>
      <c r="J737" s="14"/>
      <c r="K737" s="38"/>
      <c r="L737" s="38"/>
      <c r="M737" s="17"/>
    </row>
    <row r="738" spans="2:13" ht="14.45" customHeight="1" x14ac:dyDescent="0.25">
      <c r="B738" s="17"/>
      <c r="C738" s="14"/>
      <c r="D738" s="14"/>
      <c r="E738" s="18"/>
      <c r="F738" s="61"/>
      <c r="G738" s="73"/>
      <c r="H738" s="79"/>
      <c r="I738" s="79"/>
      <c r="J738" s="14"/>
      <c r="K738" s="38"/>
      <c r="L738" s="38"/>
      <c r="M738" s="17"/>
    </row>
    <row r="739" spans="2:13" ht="14.45" customHeight="1" x14ac:dyDescent="0.25">
      <c r="B739" s="17"/>
      <c r="C739" s="14"/>
      <c r="D739" s="14"/>
      <c r="E739" s="18"/>
      <c r="F739" s="61"/>
      <c r="G739" s="73"/>
      <c r="H739" s="79"/>
      <c r="I739" s="79"/>
      <c r="J739" s="14"/>
      <c r="K739" s="38"/>
      <c r="L739" s="38"/>
      <c r="M739" s="17"/>
    </row>
    <row r="740" spans="2:13" ht="14.45" customHeight="1" x14ac:dyDescent="0.25">
      <c r="B740" s="17"/>
      <c r="C740" s="14"/>
      <c r="D740" s="14"/>
      <c r="E740" s="18"/>
      <c r="F740" s="61"/>
      <c r="G740" s="73"/>
      <c r="H740" s="79"/>
      <c r="I740" s="79"/>
      <c r="J740" s="14"/>
      <c r="K740" s="38"/>
      <c r="L740" s="38"/>
      <c r="M740" s="17"/>
    </row>
    <row r="741" spans="2:13" ht="14.45" customHeight="1" x14ac:dyDescent="0.25">
      <c r="B741" s="17"/>
      <c r="C741" s="14"/>
      <c r="D741" s="14"/>
      <c r="E741" s="18"/>
      <c r="F741" s="61"/>
      <c r="G741" s="73"/>
      <c r="H741" s="79"/>
      <c r="I741" s="79"/>
      <c r="J741" s="14"/>
      <c r="K741" s="38"/>
      <c r="L741" s="38"/>
      <c r="M741" s="17"/>
    </row>
    <row r="742" spans="2:13" ht="14.45" customHeight="1" x14ac:dyDescent="0.25">
      <c r="B742" s="17"/>
      <c r="C742" s="14"/>
      <c r="D742" s="14"/>
      <c r="E742" s="18"/>
      <c r="F742" s="61"/>
      <c r="G742" s="73"/>
      <c r="H742" s="79"/>
      <c r="I742" s="79"/>
      <c r="J742" s="14"/>
      <c r="K742" s="38"/>
      <c r="L742" s="38"/>
      <c r="M742" s="17"/>
    </row>
    <row r="743" spans="2:13" ht="14.45" customHeight="1" x14ac:dyDescent="0.25">
      <c r="B743" s="17"/>
      <c r="C743" s="14"/>
      <c r="D743" s="14"/>
      <c r="E743" s="18"/>
      <c r="F743" s="61"/>
      <c r="G743" s="73"/>
      <c r="H743" s="79"/>
      <c r="I743" s="79"/>
      <c r="J743" s="14"/>
      <c r="K743" s="38"/>
      <c r="L743" s="38"/>
      <c r="M743" s="17"/>
    </row>
    <row r="744" spans="2:13" ht="14.45" customHeight="1" x14ac:dyDescent="0.25">
      <c r="B744" s="17"/>
      <c r="C744" s="14"/>
      <c r="D744" s="14"/>
      <c r="E744" s="18"/>
      <c r="F744" s="61"/>
      <c r="G744" s="73"/>
      <c r="H744" s="79"/>
      <c r="I744" s="79"/>
      <c r="J744" s="14"/>
      <c r="K744" s="38"/>
      <c r="L744" s="38"/>
      <c r="M744" s="17"/>
    </row>
    <row r="745" spans="2:13" ht="14.45" customHeight="1" x14ac:dyDescent="0.25">
      <c r="B745" s="17"/>
      <c r="C745" s="14"/>
      <c r="D745" s="14"/>
      <c r="E745" s="18"/>
      <c r="F745" s="61"/>
      <c r="G745" s="73"/>
      <c r="H745" s="79"/>
      <c r="I745" s="79"/>
      <c r="J745" s="14"/>
      <c r="K745" s="38"/>
      <c r="L745" s="38"/>
      <c r="M745" s="17"/>
    </row>
    <row r="746" spans="2:13" ht="14.45" customHeight="1" x14ac:dyDescent="0.25">
      <c r="B746" s="17"/>
      <c r="C746" s="14"/>
      <c r="D746" s="14"/>
      <c r="E746" s="18"/>
      <c r="F746" s="61"/>
      <c r="G746" s="73"/>
      <c r="H746" s="79"/>
      <c r="I746" s="79"/>
      <c r="J746" s="14"/>
      <c r="K746" s="38"/>
      <c r="L746" s="38"/>
      <c r="M746" s="17"/>
    </row>
    <row r="747" spans="2:13" ht="14.45" customHeight="1" x14ac:dyDescent="0.25">
      <c r="B747" s="17"/>
      <c r="C747" s="14"/>
      <c r="D747" s="14"/>
      <c r="E747" s="18"/>
      <c r="F747" s="61"/>
      <c r="G747" s="73"/>
      <c r="H747" s="79"/>
      <c r="I747" s="79"/>
      <c r="J747" s="14"/>
      <c r="K747" s="38"/>
      <c r="L747" s="38"/>
      <c r="M747" s="17"/>
    </row>
    <row r="748" spans="2:13" ht="14.45" customHeight="1" x14ac:dyDescent="0.25">
      <c r="B748" s="17"/>
      <c r="C748" s="14"/>
      <c r="D748" s="14"/>
      <c r="E748" s="18"/>
      <c r="F748" s="61"/>
      <c r="G748" s="73"/>
      <c r="H748" s="79"/>
      <c r="I748" s="79"/>
      <c r="J748" s="14"/>
      <c r="K748" s="38"/>
      <c r="L748" s="38"/>
      <c r="M748" s="17"/>
    </row>
    <row r="749" spans="2:13" ht="14.45" customHeight="1" x14ac:dyDescent="0.25">
      <c r="B749" s="17"/>
      <c r="C749" s="14"/>
      <c r="D749" s="14"/>
      <c r="E749" s="18"/>
      <c r="F749" s="61"/>
      <c r="G749" s="73"/>
      <c r="H749" s="79"/>
      <c r="I749" s="79"/>
      <c r="J749" s="14"/>
      <c r="K749" s="38"/>
      <c r="L749" s="38"/>
      <c r="M749" s="17"/>
    </row>
    <row r="750" spans="2:13" ht="14.45" customHeight="1" x14ac:dyDescent="0.25">
      <c r="B750" s="17"/>
      <c r="C750" s="14"/>
      <c r="D750" s="14"/>
      <c r="E750" s="18"/>
      <c r="F750" s="61"/>
      <c r="G750" s="73"/>
      <c r="H750" s="79"/>
      <c r="I750" s="79"/>
      <c r="J750" s="14"/>
      <c r="K750" s="38"/>
      <c r="L750" s="38"/>
      <c r="M750" s="17"/>
    </row>
    <row r="751" spans="2:13" ht="14.45" customHeight="1" x14ac:dyDescent="0.25">
      <c r="B751" s="17"/>
      <c r="C751" s="14"/>
      <c r="D751" s="14"/>
      <c r="E751" s="18"/>
      <c r="F751" s="61"/>
      <c r="G751" s="73"/>
      <c r="H751" s="79"/>
      <c r="I751" s="79"/>
      <c r="J751" s="14"/>
      <c r="K751" s="38"/>
      <c r="L751" s="38"/>
      <c r="M751" s="17"/>
    </row>
    <row r="752" spans="2:13" ht="14.45" customHeight="1" x14ac:dyDescent="0.25">
      <c r="B752" s="17"/>
      <c r="C752" s="14"/>
      <c r="D752" s="14"/>
      <c r="E752" s="18"/>
      <c r="F752" s="61"/>
      <c r="G752" s="73"/>
      <c r="H752" s="79"/>
      <c r="I752" s="79"/>
      <c r="J752" s="14"/>
      <c r="K752" s="38"/>
      <c r="L752" s="38"/>
      <c r="M752" s="17"/>
    </row>
    <row r="753" spans="2:13" ht="14.45" customHeight="1" x14ac:dyDescent="0.25">
      <c r="B753" s="17"/>
      <c r="C753" s="14"/>
      <c r="D753" s="14"/>
      <c r="E753" s="18"/>
      <c r="F753" s="61"/>
      <c r="G753" s="73"/>
      <c r="H753" s="79"/>
      <c r="I753" s="79"/>
      <c r="J753" s="14"/>
      <c r="K753" s="38"/>
      <c r="L753" s="38"/>
      <c r="M753" s="17"/>
    </row>
    <row r="754" spans="2:13" ht="14.45" customHeight="1" x14ac:dyDescent="0.25">
      <c r="B754" s="17"/>
      <c r="C754" s="14"/>
      <c r="D754" s="14"/>
      <c r="E754" s="18"/>
      <c r="F754" s="61"/>
      <c r="G754" s="73"/>
      <c r="H754" s="79"/>
      <c r="I754" s="79"/>
      <c r="J754" s="14"/>
      <c r="K754" s="38"/>
      <c r="L754" s="38"/>
      <c r="M754" s="17"/>
    </row>
    <row r="755" spans="2:13" ht="14.45" customHeight="1" x14ac:dyDescent="0.25">
      <c r="B755" s="17"/>
      <c r="C755" s="14"/>
      <c r="D755" s="14"/>
      <c r="E755" s="18"/>
      <c r="F755" s="61"/>
      <c r="G755" s="73"/>
      <c r="H755" s="79"/>
      <c r="I755" s="79"/>
      <c r="J755" s="14"/>
      <c r="K755" s="38"/>
      <c r="L755" s="38"/>
      <c r="M755" s="17"/>
    </row>
    <row r="756" spans="2:13" ht="14.45" customHeight="1" x14ac:dyDescent="0.25">
      <c r="B756" s="17"/>
      <c r="C756" s="14"/>
      <c r="D756" s="14"/>
      <c r="E756" s="18"/>
      <c r="F756" s="61"/>
      <c r="G756" s="73"/>
      <c r="H756" s="79"/>
      <c r="I756" s="79"/>
      <c r="J756" s="14"/>
      <c r="K756" s="38"/>
      <c r="L756" s="38"/>
      <c r="M756" s="17"/>
    </row>
    <row r="757" spans="2:13" ht="14.45" customHeight="1" x14ac:dyDescent="0.25">
      <c r="B757" s="17"/>
      <c r="C757" s="14"/>
      <c r="D757" s="14"/>
      <c r="E757" s="18"/>
      <c r="F757" s="61"/>
      <c r="G757" s="73"/>
      <c r="H757" s="79"/>
      <c r="I757" s="79"/>
      <c r="J757" s="14"/>
      <c r="K757" s="38"/>
      <c r="L757" s="38"/>
      <c r="M757" s="17"/>
    </row>
    <row r="758" spans="2:13" ht="14.45" customHeight="1" x14ac:dyDescent="0.25">
      <c r="B758" s="17"/>
      <c r="C758" s="14"/>
      <c r="D758" s="14"/>
      <c r="E758" s="18"/>
      <c r="F758" s="61"/>
      <c r="G758" s="73"/>
      <c r="H758" s="79"/>
      <c r="I758" s="79"/>
      <c r="J758" s="14"/>
      <c r="K758" s="38"/>
      <c r="L758" s="38"/>
      <c r="M758" s="17"/>
    </row>
    <row r="759" spans="2:13" ht="14.45" customHeight="1" x14ac:dyDescent="0.25">
      <c r="B759" s="17"/>
      <c r="C759" s="14"/>
      <c r="D759" s="14"/>
      <c r="E759" s="18"/>
      <c r="F759" s="61"/>
      <c r="G759" s="73"/>
      <c r="H759" s="79"/>
      <c r="I759" s="79"/>
      <c r="J759" s="14"/>
      <c r="K759" s="38"/>
      <c r="L759" s="38"/>
      <c r="M759" s="17"/>
    </row>
    <row r="760" spans="2:13" ht="14.45" customHeight="1" x14ac:dyDescent="0.25">
      <c r="B760" s="17"/>
      <c r="C760" s="14"/>
      <c r="D760" s="14"/>
      <c r="E760" s="18"/>
      <c r="F760" s="61"/>
      <c r="G760" s="73"/>
      <c r="H760" s="79"/>
      <c r="I760" s="79"/>
      <c r="J760" s="14"/>
      <c r="K760" s="38"/>
      <c r="L760" s="38"/>
      <c r="M760" s="17"/>
    </row>
    <row r="761" spans="2:13" ht="14.45" customHeight="1" x14ac:dyDescent="0.25">
      <c r="B761" s="17"/>
      <c r="C761" s="14"/>
      <c r="D761" s="14"/>
      <c r="E761" s="18"/>
      <c r="F761" s="61"/>
      <c r="G761" s="73"/>
      <c r="H761" s="79"/>
      <c r="I761" s="79"/>
      <c r="J761" s="14"/>
      <c r="K761" s="38"/>
      <c r="L761" s="38"/>
      <c r="M761" s="17"/>
    </row>
    <row r="762" spans="2:13" ht="14.45" customHeight="1" x14ac:dyDescent="0.25">
      <c r="B762" s="17"/>
      <c r="C762" s="14"/>
      <c r="D762" s="14"/>
      <c r="E762" s="18"/>
      <c r="F762" s="61"/>
      <c r="G762" s="73"/>
      <c r="H762" s="79"/>
      <c r="I762" s="79"/>
      <c r="J762" s="14"/>
      <c r="K762" s="38"/>
      <c r="L762" s="38"/>
      <c r="M762" s="17"/>
    </row>
    <row r="763" spans="2:13" ht="14.45" customHeight="1" x14ac:dyDescent="0.25">
      <c r="B763" s="17"/>
      <c r="C763" s="14"/>
      <c r="D763" s="14"/>
      <c r="E763" s="18"/>
      <c r="F763" s="61"/>
      <c r="G763" s="73"/>
      <c r="H763" s="79"/>
      <c r="I763" s="79"/>
      <c r="J763" s="14"/>
      <c r="K763" s="38"/>
      <c r="L763" s="38"/>
      <c r="M763" s="17"/>
    </row>
    <row r="764" spans="2:13" ht="14.45" customHeight="1" x14ac:dyDescent="0.25">
      <c r="B764" s="17"/>
      <c r="C764" s="14"/>
      <c r="D764" s="14"/>
      <c r="E764" s="18"/>
      <c r="F764" s="61"/>
      <c r="G764" s="73"/>
      <c r="H764" s="79"/>
      <c r="I764" s="79"/>
      <c r="J764" s="14"/>
      <c r="K764" s="38"/>
      <c r="L764" s="38"/>
      <c r="M764" s="17"/>
    </row>
    <row r="765" spans="2:13" ht="14.45" customHeight="1" x14ac:dyDescent="0.25">
      <c r="B765" s="17"/>
      <c r="C765" s="14"/>
      <c r="D765" s="14"/>
      <c r="E765" s="18"/>
      <c r="F765" s="61"/>
      <c r="G765" s="73"/>
      <c r="H765" s="79"/>
      <c r="I765" s="79"/>
      <c r="J765" s="14"/>
      <c r="K765" s="38"/>
      <c r="L765" s="38"/>
      <c r="M765" s="17"/>
    </row>
    <row r="766" spans="2:13" ht="14.45" customHeight="1" x14ac:dyDescent="0.25">
      <c r="B766" s="17"/>
      <c r="C766" s="14"/>
      <c r="D766" s="14"/>
      <c r="E766" s="18"/>
      <c r="F766" s="61"/>
      <c r="G766" s="73"/>
      <c r="H766" s="79"/>
      <c r="I766" s="79"/>
      <c r="J766" s="14"/>
      <c r="K766" s="38"/>
      <c r="L766" s="38"/>
      <c r="M766" s="17"/>
    </row>
    <row r="767" spans="2:13" ht="14.45" customHeight="1" x14ac:dyDescent="0.25">
      <c r="B767" s="17"/>
      <c r="C767" s="14"/>
      <c r="D767" s="14"/>
      <c r="E767" s="18"/>
      <c r="F767" s="61"/>
      <c r="G767" s="73"/>
      <c r="H767" s="79"/>
      <c r="I767" s="79"/>
      <c r="J767" s="14"/>
      <c r="K767" s="38"/>
      <c r="L767" s="38"/>
      <c r="M767" s="17"/>
    </row>
    <row r="768" spans="2:13" ht="14.45" customHeight="1" x14ac:dyDescent="0.25">
      <c r="B768" s="17"/>
      <c r="C768" s="14"/>
      <c r="D768" s="14"/>
      <c r="E768" s="18"/>
      <c r="F768" s="61"/>
      <c r="G768" s="73"/>
      <c r="H768" s="79"/>
      <c r="I768" s="79"/>
      <c r="J768" s="14"/>
      <c r="K768" s="38"/>
      <c r="L768" s="38"/>
      <c r="M768" s="17"/>
    </row>
    <row r="769" spans="2:13" ht="14.45" customHeight="1" x14ac:dyDescent="0.25">
      <c r="B769" s="17"/>
      <c r="C769" s="14"/>
      <c r="D769" s="14"/>
      <c r="E769" s="18"/>
      <c r="F769" s="61"/>
      <c r="G769" s="73"/>
      <c r="H769" s="79"/>
      <c r="I769" s="79"/>
      <c r="J769" s="14"/>
      <c r="K769" s="38"/>
      <c r="L769" s="38"/>
      <c r="M769" s="17"/>
    </row>
    <row r="770" spans="2:13" ht="14.45" customHeight="1" x14ac:dyDescent="0.25">
      <c r="B770" s="17"/>
      <c r="C770" s="14"/>
      <c r="D770" s="14"/>
      <c r="E770" s="18"/>
      <c r="F770" s="61"/>
      <c r="G770" s="73"/>
      <c r="H770" s="79"/>
      <c r="I770" s="79"/>
      <c r="J770" s="14"/>
      <c r="K770" s="38"/>
      <c r="L770" s="38"/>
      <c r="M770" s="17"/>
    </row>
    <row r="771" spans="2:13" ht="14.45" customHeight="1" x14ac:dyDescent="0.25">
      <c r="B771" s="17"/>
      <c r="C771" s="14"/>
      <c r="D771" s="14"/>
      <c r="E771" s="18"/>
      <c r="F771" s="61"/>
      <c r="G771" s="73"/>
      <c r="H771" s="79"/>
      <c r="I771" s="79"/>
      <c r="J771" s="14"/>
      <c r="K771" s="38"/>
      <c r="L771" s="38"/>
      <c r="M771" s="17"/>
    </row>
    <row r="772" spans="2:13" ht="14.45" customHeight="1" x14ac:dyDescent="0.25">
      <c r="B772" s="17"/>
      <c r="C772" s="14"/>
      <c r="D772" s="14"/>
      <c r="E772" s="18"/>
      <c r="F772" s="61"/>
      <c r="G772" s="73"/>
      <c r="H772" s="79"/>
      <c r="I772" s="79"/>
      <c r="J772" s="14"/>
      <c r="K772" s="38"/>
      <c r="L772" s="38"/>
      <c r="M772" s="17"/>
    </row>
    <row r="773" spans="2:13" ht="14.45" customHeight="1" x14ac:dyDescent="0.25">
      <c r="B773" s="17"/>
      <c r="C773" s="14"/>
      <c r="D773" s="14"/>
      <c r="E773" s="18"/>
      <c r="F773" s="61"/>
      <c r="G773" s="73"/>
      <c r="H773" s="79"/>
      <c r="I773" s="79"/>
      <c r="J773" s="14"/>
      <c r="K773" s="38"/>
      <c r="L773" s="38"/>
      <c r="M773" s="17"/>
    </row>
    <row r="774" spans="2:13" ht="14.45" customHeight="1" x14ac:dyDescent="0.25">
      <c r="B774" s="17"/>
      <c r="C774" s="14"/>
      <c r="D774" s="14"/>
      <c r="E774" s="18"/>
      <c r="F774" s="61"/>
      <c r="G774" s="73"/>
      <c r="H774" s="79"/>
      <c r="I774" s="79"/>
      <c r="J774" s="14"/>
      <c r="K774" s="38"/>
      <c r="L774" s="38"/>
      <c r="M774" s="17"/>
    </row>
    <row r="775" spans="2:13" ht="14.45" customHeight="1" x14ac:dyDescent="0.25">
      <c r="B775" s="17"/>
      <c r="C775" s="14"/>
      <c r="D775" s="14"/>
      <c r="E775" s="18"/>
      <c r="F775" s="61"/>
      <c r="G775" s="73"/>
      <c r="H775" s="79"/>
      <c r="I775" s="79"/>
      <c r="J775" s="14"/>
      <c r="K775" s="38"/>
      <c r="L775" s="38"/>
      <c r="M775" s="17"/>
    </row>
    <row r="776" spans="2:13" ht="14.45" customHeight="1" x14ac:dyDescent="0.25">
      <c r="B776" s="17"/>
      <c r="C776" s="14"/>
      <c r="D776" s="14"/>
      <c r="E776" s="18"/>
      <c r="F776" s="61"/>
      <c r="G776" s="73"/>
      <c r="H776" s="79"/>
      <c r="I776" s="79"/>
      <c r="J776" s="14"/>
      <c r="K776" s="38"/>
      <c r="L776" s="38"/>
      <c r="M776" s="17"/>
    </row>
    <row r="777" spans="2:13" ht="14.45" customHeight="1" x14ac:dyDescent="0.25">
      <c r="B777" s="17"/>
      <c r="C777" s="14"/>
      <c r="D777" s="14"/>
      <c r="E777" s="18"/>
      <c r="F777" s="61"/>
      <c r="G777" s="73"/>
      <c r="H777" s="79"/>
      <c r="I777" s="79"/>
      <c r="J777" s="14"/>
      <c r="K777" s="38"/>
      <c r="L777" s="38"/>
      <c r="M777" s="17"/>
    </row>
    <row r="778" spans="2:13" ht="14.45" customHeight="1" x14ac:dyDescent="0.25">
      <c r="B778" s="17"/>
      <c r="C778" s="14"/>
      <c r="D778" s="14"/>
      <c r="E778" s="18"/>
      <c r="F778" s="61"/>
      <c r="G778" s="73"/>
      <c r="H778" s="79"/>
      <c r="I778" s="79"/>
      <c r="J778" s="14"/>
      <c r="K778" s="38"/>
      <c r="L778" s="38"/>
      <c r="M778" s="17"/>
    </row>
    <row r="779" spans="2:13" ht="14.45" customHeight="1" x14ac:dyDescent="0.25">
      <c r="B779" s="17"/>
      <c r="C779" s="14"/>
      <c r="D779" s="14"/>
      <c r="E779" s="18"/>
      <c r="F779" s="61"/>
      <c r="G779" s="73"/>
      <c r="H779" s="79"/>
      <c r="I779" s="79"/>
      <c r="J779" s="14"/>
      <c r="K779" s="38"/>
      <c r="L779" s="38"/>
      <c r="M779" s="17"/>
    </row>
    <row r="780" spans="2:13" ht="14.45" customHeight="1" x14ac:dyDescent="0.25">
      <c r="B780" s="17"/>
      <c r="C780" s="14"/>
      <c r="D780" s="14"/>
      <c r="E780" s="18"/>
      <c r="F780" s="61"/>
      <c r="G780" s="73"/>
      <c r="H780" s="79"/>
      <c r="I780" s="79"/>
      <c r="J780" s="14"/>
      <c r="K780" s="38"/>
      <c r="L780" s="38"/>
      <c r="M780" s="17"/>
    </row>
    <row r="781" spans="2:13" ht="14.45" customHeight="1" x14ac:dyDescent="0.25">
      <c r="B781" s="17"/>
      <c r="C781" s="14"/>
      <c r="D781" s="14"/>
      <c r="E781" s="18"/>
      <c r="F781" s="61"/>
      <c r="G781" s="73"/>
      <c r="H781" s="79"/>
      <c r="I781" s="79"/>
      <c r="J781" s="14"/>
      <c r="K781" s="38"/>
      <c r="L781" s="38"/>
      <c r="M781" s="17"/>
    </row>
    <row r="782" spans="2:13" ht="14.45" customHeight="1" x14ac:dyDescent="0.25">
      <c r="B782" s="17"/>
      <c r="C782" s="14"/>
      <c r="D782" s="14"/>
      <c r="E782" s="18"/>
      <c r="F782" s="61"/>
      <c r="G782" s="73"/>
      <c r="H782" s="79"/>
      <c r="I782" s="79"/>
      <c r="J782" s="14"/>
      <c r="K782" s="38"/>
      <c r="L782" s="38"/>
      <c r="M782" s="17"/>
    </row>
    <row r="783" spans="2:13" ht="14.45" customHeight="1" x14ac:dyDescent="0.25">
      <c r="B783" s="17"/>
      <c r="C783" s="14"/>
      <c r="D783" s="14"/>
      <c r="E783" s="18"/>
      <c r="F783" s="61"/>
      <c r="G783" s="73"/>
      <c r="H783" s="79"/>
      <c r="I783" s="79"/>
      <c r="J783" s="14"/>
      <c r="K783" s="38"/>
      <c r="L783" s="38"/>
      <c r="M783" s="17"/>
    </row>
    <row r="784" spans="2:13" ht="14.45" customHeight="1" x14ac:dyDescent="0.25">
      <c r="B784" s="17"/>
      <c r="C784" s="14"/>
      <c r="D784" s="14"/>
      <c r="E784" s="18"/>
      <c r="F784" s="61"/>
      <c r="G784" s="73"/>
      <c r="H784" s="79"/>
      <c r="I784" s="79"/>
      <c r="J784" s="14"/>
      <c r="K784" s="38"/>
      <c r="L784" s="38"/>
      <c r="M784" s="17"/>
    </row>
    <row r="785" spans="2:13" ht="14.45" customHeight="1" x14ac:dyDescent="0.25">
      <c r="B785" s="17"/>
      <c r="C785" s="14"/>
      <c r="D785" s="14"/>
      <c r="E785" s="18"/>
      <c r="F785" s="61"/>
      <c r="G785" s="73"/>
      <c r="H785" s="79"/>
      <c r="I785" s="79"/>
      <c r="J785" s="14"/>
      <c r="K785" s="38"/>
      <c r="L785" s="38"/>
      <c r="M785" s="17"/>
    </row>
    <row r="786" spans="2:13" ht="14.45" customHeight="1" x14ac:dyDescent="0.25">
      <c r="B786" s="17"/>
      <c r="C786" s="14"/>
      <c r="D786" s="14"/>
      <c r="E786" s="18"/>
      <c r="F786" s="61"/>
      <c r="G786" s="73"/>
      <c r="H786" s="79"/>
      <c r="I786" s="79"/>
      <c r="J786" s="14"/>
      <c r="K786" s="38"/>
      <c r="L786" s="38"/>
      <c r="M786" s="17"/>
    </row>
    <row r="787" spans="2:13" ht="14.45" customHeight="1" x14ac:dyDescent="0.25">
      <c r="B787" s="17"/>
      <c r="C787" s="14"/>
      <c r="D787" s="14"/>
      <c r="E787" s="18"/>
      <c r="F787" s="61"/>
      <c r="G787" s="73"/>
      <c r="H787" s="79"/>
      <c r="I787" s="79"/>
      <c r="J787" s="14"/>
      <c r="K787" s="38"/>
      <c r="L787" s="38"/>
      <c r="M787" s="17"/>
    </row>
    <row r="788" spans="2:13" ht="14.45" customHeight="1" x14ac:dyDescent="0.25">
      <c r="B788" s="17"/>
      <c r="C788" s="14"/>
      <c r="D788" s="14"/>
      <c r="E788" s="18"/>
      <c r="F788" s="61"/>
      <c r="G788" s="73"/>
      <c r="H788" s="79"/>
      <c r="I788" s="79"/>
      <c r="J788" s="14"/>
      <c r="K788" s="38"/>
      <c r="L788" s="38"/>
      <c r="M788" s="17"/>
    </row>
    <row r="789" spans="2:13" ht="14.45" customHeight="1" x14ac:dyDescent="0.25">
      <c r="B789" s="17"/>
      <c r="C789" s="14"/>
      <c r="D789" s="14"/>
      <c r="E789" s="18"/>
      <c r="F789" s="61"/>
      <c r="G789" s="73"/>
      <c r="H789" s="79"/>
      <c r="I789" s="79"/>
      <c r="J789" s="14"/>
      <c r="K789" s="38"/>
      <c r="L789" s="38"/>
      <c r="M789" s="17"/>
    </row>
    <row r="790" spans="2:13" ht="14.45" customHeight="1" x14ac:dyDescent="0.25">
      <c r="B790" s="17"/>
      <c r="C790" s="14"/>
      <c r="D790" s="14"/>
      <c r="E790" s="18"/>
      <c r="F790" s="61"/>
      <c r="G790" s="73"/>
      <c r="H790" s="79"/>
      <c r="I790" s="79"/>
      <c r="J790" s="14"/>
      <c r="K790" s="38"/>
      <c r="L790" s="38"/>
      <c r="M790" s="17"/>
    </row>
    <row r="791" spans="2:13" ht="14.45" customHeight="1" x14ac:dyDescent="0.25">
      <c r="B791" s="17"/>
      <c r="C791" s="14"/>
      <c r="D791" s="14"/>
      <c r="E791" s="18"/>
      <c r="F791" s="61"/>
      <c r="G791" s="73"/>
      <c r="H791" s="79"/>
      <c r="I791" s="79"/>
      <c r="J791" s="14"/>
      <c r="K791" s="38"/>
      <c r="L791" s="38"/>
      <c r="M791" s="17"/>
    </row>
    <row r="792" spans="2:13" ht="14.45" customHeight="1" x14ac:dyDescent="0.25">
      <c r="B792" s="17"/>
      <c r="C792" s="14"/>
      <c r="D792" s="14"/>
      <c r="E792" s="18"/>
      <c r="F792" s="61"/>
      <c r="G792" s="73"/>
      <c r="H792" s="79"/>
      <c r="I792" s="79"/>
      <c r="J792" s="14"/>
      <c r="K792" s="38"/>
      <c r="L792" s="38"/>
      <c r="M792" s="17"/>
    </row>
    <row r="793" spans="2:13" ht="14.45" customHeight="1" x14ac:dyDescent="0.25">
      <c r="B793" s="17"/>
      <c r="C793" s="14"/>
      <c r="D793" s="14"/>
      <c r="E793" s="18"/>
      <c r="F793" s="61"/>
      <c r="G793" s="73"/>
      <c r="H793" s="79"/>
      <c r="I793" s="79"/>
      <c r="J793" s="14"/>
      <c r="K793" s="38"/>
      <c r="L793" s="38"/>
      <c r="M793" s="17"/>
    </row>
    <row r="794" spans="2:13" ht="14.45" customHeight="1" x14ac:dyDescent="0.25">
      <c r="B794" s="17"/>
      <c r="C794" s="14"/>
      <c r="D794" s="14"/>
      <c r="E794" s="18"/>
      <c r="F794" s="61"/>
      <c r="G794" s="73"/>
      <c r="H794" s="79"/>
      <c r="I794" s="79"/>
      <c r="J794" s="14"/>
      <c r="K794" s="38"/>
      <c r="L794" s="38"/>
      <c r="M794" s="17"/>
    </row>
    <row r="795" spans="2:13" ht="14.45" customHeight="1" x14ac:dyDescent="0.25">
      <c r="B795" s="17"/>
      <c r="C795" s="14"/>
      <c r="D795" s="14"/>
      <c r="E795" s="18"/>
      <c r="F795" s="61"/>
      <c r="G795" s="73"/>
      <c r="H795" s="79"/>
      <c r="I795" s="79"/>
      <c r="J795" s="14"/>
      <c r="K795" s="38"/>
      <c r="L795" s="38"/>
      <c r="M795" s="17"/>
    </row>
    <row r="796" spans="2:13" ht="14.45" customHeight="1" x14ac:dyDescent="0.25">
      <c r="B796" s="17"/>
      <c r="C796" s="14"/>
      <c r="D796" s="14"/>
      <c r="E796" s="18"/>
      <c r="F796" s="61"/>
      <c r="G796" s="73"/>
      <c r="H796" s="79"/>
      <c r="I796" s="79"/>
      <c r="J796" s="14"/>
      <c r="K796" s="38"/>
      <c r="L796" s="38"/>
      <c r="M796" s="17"/>
    </row>
    <row r="797" spans="2:13" ht="14.45" customHeight="1" x14ac:dyDescent="0.25">
      <c r="B797" s="17"/>
      <c r="C797" s="14"/>
      <c r="D797" s="14"/>
      <c r="E797" s="18"/>
      <c r="F797" s="61"/>
      <c r="G797" s="73"/>
      <c r="H797" s="79"/>
      <c r="I797" s="79"/>
      <c r="J797" s="14"/>
      <c r="K797" s="38"/>
      <c r="L797" s="38"/>
      <c r="M797" s="17"/>
    </row>
    <row r="798" spans="2:13" ht="14.45" customHeight="1" x14ac:dyDescent="0.25">
      <c r="B798" s="17"/>
      <c r="C798" s="14"/>
      <c r="D798" s="14"/>
      <c r="E798" s="18"/>
      <c r="F798" s="61"/>
      <c r="G798" s="73"/>
      <c r="H798" s="79"/>
      <c r="I798" s="79"/>
      <c r="J798" s="14"/>
      <c r="K798" s="38"/>
      <c r="L798" s="38"/>
      <c r="M798" s="17"/>
    </row>
    <row r="799" spans="2:13" ht="14.45" customHeight="1" x14ac:dyDescent="0.25">
      <c r="B799" s="17"/>
      <c r="C799" s="14"/>
      <c r="D799" s="14"/>
      <c r="E799" s="18"/>
      <c r="F799" s="61"/>
      <c r="G799" s="73"/>
      <c r="H799" s="79"/>
      <c r="I799" s="79"/>
      <c r="J799" s="14"/>
      <c r="K799" s="38"/>
      <c r="L799" s="38"/>
      <c r="M799" s="17"/>
    </row>
    <row r="800" spans="2:13" ht="14.45" customHeight="1" x14ac:dyDescent="0.25">
      <c r="B800" s="17"/>
      <c r="C800" s="14"/>
      <c r="D800" s="14"/>
      <c r="E800" s="18"/>
      <c r="F800" s="61"/>
      <c r="G800" s="73"/>
      <c r="H800" s="79"/>
      <c r="I800" s="79"/>
      <c r="J800" s="14"/>
      <c r="K800" s="38"/>
      <c r="L800" s="38"/>
      <c r="M800" s="17"/>
    </row>
    <row r="801" spans="2:13" ht="14.45" customHeight="1" x14ac:dyDescent="0.25">
      <c r="B801" s="17"/>
      <c r="C801" s="14"/>
      <c r="D801" s="14"/>
      <c r="E801" s="18"/>
      <c r="F801" s="61"/>
      <c r="G801" s="73"/>
      <c r="H801" s="79"/>
      <c r="I801" s="79"/>
      <c r="J801" s="14"/>
      <c r="K801" s="38"/>
      <c r="L801" s="38"/>
      <c r="M801" s="17"/>
    </row>
    <row r="802" spans="2:13" ht="14.45" customHeight="1" x14ac:dyDescent="0.25">
      <c r="B802" s="17"/>
      <c r="C802" s="14"/>
      <c r="D802" s="14"/>
      <c r="E802" s="18"/>
      <c r="F802" s="61"/>
      <c r="G802" s="73"/>
      <c r="H802" s="79"/>
      <c r="I802" s="79"/>
      <c r="J802" s="14"/>
      <c r="K802" s="38"/>
      <c r="L802" s="38"/>
      <c r="M802" s="17"/>
    </row>
    <row r="803" spans="2:13" ht="14.45" customHeight="1" x14ac:dyDescent="0.25">
      <c r="B803" s="17"/>
      <c r="C803" s="14"/>
      <c r="D803" s="14"/>
      <c r="E803" s="18"/>
      <c r="F803" s="61"/>
      <c r="G803" s="73"/>
      <c r="H803" s="79"/>
      <c r="I803" s="79"/>
      <c r="J803" s="14"/>
      <c r="K803" s="38"/>
      <c r="L803" s="38"/>
      <c r="M803" s="17"/>
    </row>
    <row r="804" spans="2:13" ht="14.45" customHeight="1" x14ac:dyDescent="0.25">
      <c r="B804" s="17"/>
      <c r="C804" s="14"/>
      <c r="D804" s="14"/>
      <c r="E804" s="18"/>
      <c r="F804" s="61"/>
      <c r="G804" s="73"/>
      <c r="H804" s="79"/>
      <c r="I804" s="79"/>
      <c r="J804" s="14"/>
      <c r="K804" s="38"/>
      <c r="L804" s="38"/>
      <c r="M804" s="17"/>
    </row>
    <row r="805" spans="2:13" ht="14.45" customHeight="1" x14ac:dyDescent="0.25">
      <c r="B805" s="17"/>
      <c r="C805" s="14"/>
      <c r="D805" s="14"/>
      <c r="E805" s="18"/>
      <c r="F805" s="61"/>
      <c r="G805" s="73"/>
      <c r="H805" s="79"/>
      <c r="I805" s="79"/>
      <c r="J805" s="14"/>
      <c r="K805" s="38"/>
      <c r="L805" s="38"/>
      <c r="M805" s="17"/>
    </row>
    <row r="806" spans="2:13" ht="14.45" customHeight="1" x14ac:dyDescent="0.25">
      <c r="B806" s="17"/>
      <c r="C806" s="14"/>
      <c r="D806" s="14"/>
      <c r="E806" s="18"/>
      <c r="F806" s="61"/>
      <c r="G806" s="73"/>
      <c r="H806" s="79"/>
      <c r="I806" s="79"/>
      <c r="J806" s="14"/>
      <c r="K806" s="38"/>
      <c r="L806" s="38"/>
      <c r="M806" s="17"/>
    </row>
    <row r="807" spans="2:13" ht="14.45" customHeight="1" x14ac:dyDescent="0.25">
      <c r="B807" s="17"/>
      <c r="C807" s="14"/>
      <c r="D807" s="14"/>
      <c r="E807" s="18"/>
      <c r="F807" s="61"/>
      <c r="G807" s="73"/>
      <c r="H807" s="79"/>
      <c r="I807" s="79"/>
      <c r="J807" s="14"/>
      <c r="K807" s="38"/>
      <c r="L807" s="38"/>
      <c r="M807" s="17"/>
    </row>
    <row r="808" spans="2:13" ht="14.45" customHeight="1" x14ac:dyDescent="0.25">
      <c r="B808" s="17"/>
      <c r="C808" s="14"/>
      <c r="D808" s="14"/>
      <c r="E808" s="18"/>
      <c r="F808" s="61"/>
      <c r="G808" s="73"/>
      <c r="H808" s="79"/>
      <c r="I808" s="79"/>
      <c r="J808" s="14"/>
      <c r="K808" s="38"/>
      <c r="L808" s="38"/>
      <c r="M808" s="17"/>
    </row>
    <row r="809" spans="2:13" ht="14.45" customHeight="1" x14ac:dyDescent="0.25">
      <c r="B809" s="17"/>
      <c r="C809" s="14"/>
      <c r="D809" s="14"/>
      <c r="E809" s="18"/>
      <c r="F809" s="61"/>
      <c r="G809" s="73"/>
      <c r="H809" s="79"/>
      <c r="I809" s="79"/>
      <c r="J809" s="14"/>
      <c r="K809" s="38"/>
      <c r="L809" s="38"/>
      <c r="M809" s="17"/>
    </row>
    <row r="810" spans="2:13" ht="14.45" customHeight="1" x14ac:dyDescent="0.25">
      <c r="B810" s="17"/>
      <c r="C810" s="14"/>
      <c r="D810" s="14"/>
      <c r="E810" s="18"/>
      <c r="F810" s="61"/>
      <c r="G810" s="73"/>
      <c r="H810" s="79"/>
      <c r="I810" s="79"/>
      <c r="J810" s="14"/>
      <c r="K810" s="38"/>
      <c r="L810" s="38"/>
      <c r="M810" s="17"/>
    </row>
    <row r="811" spans="2:13" ht="14.45" customHeight="1" x14ac:dyDescent="0.25">
      <c r="B811" s="17"/>
      <c r="C811" s="14"/>
      <c r="D811" s="14"/>
      <c r="E811" s="18"/>
      <c r="F811" s="61"/>
      <c r="G811" s="73"/>
      <c r="H811" s="79"/>
      <c r="I811" s="79"/>
      <c r="J811" s="14"/>
      <c r="K811" s="38"/>
      <c r="L811" s="38"/>
      <c r="M811" s="17"/>
    </row>
    <row r="812" spans="2:13" ht="14.45" customHeight="1" x14ac:dyDescent="0.25">
      <c r="B812" s="17"/>
      <c r="C812" s="14"/>
      <c r="D812" s="14"/>
      <c r="E812" s="18"/>
      <c r="F812" s="61"/>
      <c r="G812" s="73"/>
      <c r="H812" s="79"/>
      <c r="I812" s="79"/>
      <c r="J812" s="14"/>
      <c r="K812" s="38"/>
      <c r="L812" s="38"/>
      <c r="M812" s="17"/>
    </row>
    <row r="813" spans="2:13" ht="14.45" customHeight="1" x14ac:dyDescent="0.25">
      <c r="B813" s="17"/>
      <c r="C813" s="14"/>
      <c r="D813" s="14"/>
      <c r="E813" s="18"/>
      <c r="F813" s="61"/>
      <c r="G813" s="73"/>
      <c r="H813" s="79"/>
      <c r="I813" s="79"/>
      <c r="J813" s="14"/>
      <c r="K813" s="38"/>
      <c r="L813" s="38"/>
      <c r="M813" s="17"/>
    </row>
    <row r="814" spans="2:13" ht="14.45" customHeight="1" x14ac:dyDescent="0.25">
      <c r="B814" s="17"/>
      <c r="C814" s="14"/>
      <c r="D814" s="14"/>
      <c r="E814" s="18"/>
      <c r="F814" s="61"/>
      <c r="G814" s="73"/>
      <c r="H814" s="79"/>
      <c r="I814" s="79"/>
      <c r="J814" s="14"/>
      <c r="K814" s="38"/>
      <c r="L814" s="38"/>
      <c r="M814" s="17"/>
    </row>
    <row r="815" spans="2:13" ht="14.45" customHeight="1" x14ac:dyDescent="0.25">
      <c r="B815" s="17"/>
      <c r="C815" s="14"/>
      <c r="D815" s="14"/>
      <c r="E815" s="18"/>
      <c r="F815" s="61"/>
      <c r="G815" s="73"/>
      <c r="H815" s="79"/>
      <c r="I815" s="79"/>
      <c r="J815" s="14"/>
      <c r="K815" s="38"/>
      <c r="L815" s="38"/>
      <c r="M815" s="17"/>
    </row>
    <row r="816" spans="2:13" ht="14.45" customHeight="1" x14ac:dyDescent="0.25">
      <c r="B816" s="17"/>
      <c r="C816" s="14"/>
      <c r="D816" s="14"/>
      <c r="E816" s="18"/>
      <c r="F816" s="61"/>
      <c r="G816" s="73"/>
      <c r="H816" s="79"/>
      <c r="I816" s="79"/>
      <c r="J816" s="14"/>
      <c r="K816" s="38"/>
      <c r="L816" s="38"/>
      <c r="M816" s="17"/>
    </row>
    <row r="817" spans="2:13" ht="14.45" customHeight="1" x14ac:dyDescent="0.25">
      <c r="B817" s="17"/>
      <c r="C817" s="14"/>
      <c r="D817" s="14"/>
      <c r="E817" s="18"/>
      <c r="F817" s="61"/>
      <c r="G817" s="73"/>
      <c r="H817" s="79"/>
      <c r="I817" s="79"/>
      <c r="J817" s="14"/>
      <c r="K817" s="38"/>
      <c r="L817" s="38"/>
      <c r="M817" s="17"/>
    </row>
    <row r="818" spans="2:13" ht="14.45" customHeight="1" x14ac:dyDescent="0.25">
      <c r="B818" s="17"/>
      <c r="C818" s="14"/>
      <c r="D818" s="14"/>
      <c r="E818" s="18"/>
      <c r="F818" s="61"/>
      <c r="G818" s="73"/>
      <c r="H818" s="79"/>
      <c r="I818" s="79"/>
      <c r="J818" s="14"/>
      <c r="K818" s="38"/>
      <c r="L818" s="38"/>
      <c r="M818" s="17"/>
    </row>
    <row r="819" spans="2:13" ht="14.45" customHeight="1" x14ac:dyDescent="0.25">
      <c r="B819" s="17"/>
      <c r="C819" s="14"/>
      <c r="D819" s="14"/>
      <c r="E819" s="18"/>
      <c r="F819" s="61"/>
      <c r="G819" s="73"/>
      <c r="H819" s="79"/>
      <c r="I819" s="79"/>
      <c r="J819" s="14"/>
      <c r="K819" s="38"/>
      <c r="L819" s="38"/>
      <c r="M819" s="17"/>
    </row>
    <row r="820" spans="2:13" ht="14.45" customHeight="1" x14ac:dyDescent="0.25">
      <c r="B820" s="17"/>
      <c r="C820" s="14"/>
      <c r="D820" s="14"/>
      <c r="E820" s="18"/>
      <c r="F820" s="61"/>
      <c r="G820" s="73"/>
      <c r="H820" s="79"/>
      <c r="I820" s="79"/>
      <c r="J820" s="14"/>
      <c r="K820" s="38"/>
      <c r="L820" s="38"/>
      <c r="M820" s="17"/>
    </row>
    <row r="821" spans="2:13" ht="14.45" customHeight="1" x14ac:dyDescent="0.25">
      <c r="B821" s="17"/>
      <c r="C821" s="14"/>
      <c r="D821" s="14"/>
      <c r="E821" s="18"/>
      <c r="F821" s="61"/>
      <c r="G821" s="73"/>
      <c r="H821" s="79"/>
      <c r="I821" s="79"/>
      <c r="J821" s="14"/>
      <c r="K821" s="38"/>
      <c r="L821" s="38"/>
      <c r="M821" s="17"/>
    </row>
    <row r="822" spans="2:13" ht="14.45" customHeight="1" x14ac:dyDescent="0.25">
      <c r="B822" s="17"/>
      <c r="C822" s="14"/>
      <c r="D822" s="14"/>
      <c r="E822" s="18"/>
      <c r="F822" s="61"/>
      <c r="G822" s="73"/>
      <c r="H822" s="79"/>
      <c r="I822" s="79"/>
      <c r="J822" s="14"/>
      <c r="K822" s="38"/>
      <c r="L822" s="38"/>
      <c r="M822" s="17"/>
    </row>
    <row r="823" spans="2:13" ht="14.45" customHeight="1" x14ac:dyDescent="0.25">
      <c r="B823" s="17"/>
      <c r="C823" s="14"/>
      <c r="D823" s="14"/>
      <c r="E823" s="18"/>
      <c r="F823" s="61"/>
      <c r="G823" s="73"/>
      <c r="H823" s="79"/>
      <c r="I823" s="79"/>
      <c r="J823" s="14"/>
      <c r="K823" s="38"/>
      <c r="L823" s="38"/>
      <c r="M823" s="17"/>
    </row>
    <row r="824" spans="2:13" ht="14.45" customHeight="1" x14ac:dyDescent="0.25">
      <c r="B824" s="17"/>
      <c r="C824" s="14"/>
      <c r="D824" s="14"/>
      <c r="E824" s="18"/>
      <c r="F824" s="61"/>
      <c r="G824" s="73"/>
      <c r="H824" s="79"/>
      <c r="I824" s="79"/>
      <c r="J824" s="14"/>
      <c r="K824" s="38"/>
      <c r="L824" s="38"/>
      <c r="M824" s="17"/>
    </row>
    <row r="825" spans="2:13" ht="14.45" customHeight="1" x14ac:dyDescent="0.25">
      <c r="B825" s="17"/>
      <c r="C825" s="14"/>
      <c r="D825" s="14"/>
      <c r="E825" s="18"/>
      <c r="F825" s="61"/>
      <c r="G825" s="73"/>
      <c r="H825" s="79"/>
      <c r="I825" s="79"/>
      <c r="J825" s="14"/>
      <c r="K825" s="38"/>
      <c r="L825" s="38"/>
      <c r="M825" s="17"/>
    </row>
    <row r="826" spans="2:13" ht="14.45" customHeight="1" x14ac:dyDescent="0.25">
      <c r="B826" s="17"/>
      <c r="C826" s="14"/>
      <c r="D826" s="14"/>
      <c r="E826" s="18"/>
      <c r="F826" s="61"/>
      <c r="G826" s="73"/>
      <c r="H826" s="79"/>
      <c r="I826" s="79"/>
      <c r="J826" s="14"/>
      <c r="K826" s="38"/>
      <c r="L826" s="38"/>
      <c r="M826" s="17"/>
    </row>
    <row r="827" spans="2:13" ht="14.45" customHeight="1" x14ac:dyDescent="0.25">
      <c r="B827" s="17"/>
      <c r="C827" s="14"/>
      <c r="D827" s="14"/>
      <c r="E827" s="18"/>
      <c r="F827" s="61"/>
      <c r="G827" s="73"/>
      <c r="H827" s="79"/>
      <c r="I827" s="79"/>
      <c r="J827" s="14"/>
      <c r="K827" s="38"/>
      <c r="L827" s="38"/>
      <c r="M827" s="17"/>
    </row>
    <row r="828" spans="2:13" ht="14.45" customHeight="1" x14ac:dyDescent="0.25">
      <c r="B828" s="17"/>
      <c r="C828" s="14"/>
      <c r="D828" s="14"/>
      <c r="E828" s="18"/>
      <c r="F828" s="61"/>
      <c r="G828" s="73"/>
      <c r="H828" s="79"/>
      <c r="I828" s="79"/>
      <c r="J828" s="14"/>
      <c r="K828" s="38"/>
      <c r="L828" s="38"/>
      <c r="M828" s="17"/>
    </row>
    <row r="829" spans="2:13" ht="14.45" customHeight="1" x14ac:dyDescent="0.25">
      <c r="B829" s="17"/>
      <c r="C829" s="14"/>
      <c r="D829" s="14"/>
      <c r="E829" s="18"/>
      <c r="F829" s="61"/>
      <c r="G829" s="73"/>
      <c r="H829" s="79"/>
      <c r="I829" s="79"/>
      <c r="J829" s="14"/>
      <c r="K829" s="38"/>
      <c r="L829" s="38"/>
      <c r="M829" s="17"/>
    </row>
    <row r="830" spans="2:13" ht="14.45" customHeight="1" x14ac:dyDescent="0.25">
      <c r="B830" s="17"/>
      <c r="C830" s="14"/>
      <c r="D830" s="14"/>
      <c r="E830" s="18"/>
      <c r="F830" s="61"/>
      <c r="G830" s="73"/>
      <c r="H830" s="79"/>
      <c r="I830" s="79"/>
      <c r="J830" s="14"/>
      <c r="K830" s="38"/>
      <c r="L830" s="38"/>
      <c r="M830" s="17"/>
    </row>
    <row r="831" spans="2:13" ht="14.45" customHeight="1" x14ac:dyDescent="0.25">
      <c r="B831" s="17"/>
      <c r="C831" s="14"/>
      <c r="D831" s="14"/>
      <c r="E831" s="18"/>
      <c r="F831" s="61"/>
      <c r="G831" s="73"/>
      <c r="H831" s="79"/>
      <c r="I831" s="79"/>
      <c r="J831" s="14"/>
      <c r="K831" s="38"/>
      <c r="L831" s="38"/>
      <c r="M831" s="17"/>
    </row>
    <row r="832" spans="2:13" ht="14.45" customHeight="1" x14ac:dyDescent="0.25">
      <c r="B832" s="17"/>
      <c r="C832" s="14"/>
      <c r="D832" s="14"/>
      <c r="E832" s="18"/>
      <c r="F832" s="61"/>
      <c r="G832" s="73"/>
      <c r="H832" s="79"/>
      <c r="I832" s="79"/>
      <c r="J832" s="14"/>
      <c r="K832" s="38"/>
      <c r="L832" s="38"/>
      <c r="M832" s="17"/>
    </row>
    <row r="833" spans="2:13" ht="14.45" customHeight="1" x14ac:dyDescent="0.25">
      <c r="B833" s="17"/>
      <c r="C833" s="14"/>
      <c r="D833" s="14"/>
      <c r="E833" s="18"/>
      <c r="F833" s="61"/>
      <c r="G833" s="73"/>
      <c r="H833" s="79"/>
      <c r="I833" s="79"/>
      <c r="J833" s="14"/>
      <c r="K833" s="38"/>
      <c r="L833" s="38"/>
      <c r="M833" s="17"/>
    </row>
    <row r="834" spans="2:13" ht="14.45" customHeight="1" x14ac:dyDescent="0.25">
      <c r="B834" s="17"/>
      <c r="C834" s="14"/>
      <c r="D834" s="14"/>
      <c r="E834" s="18"/>
      <c r="F834" s="61"/>
      <c r="G834" s="73"/>
      <c r="H834" s="79"/>
      <c r="I834" s="79"/>
      <c r="J834" s="14"/>
      <c r="K834" s="38"/>
      <c r="L834" s="38"/>
      <c r="M834" s="17"/>
    </row>
    <row r="835" spans="2:13" ht="14.45" customHeight="1" x14ac:dyDescent="0.25">
      <c r="B835" s="17"/>
      <c r="C835" s="14"/>
      <c r="D835" s="14"/>
      <c r="E835" s="18"/>
      <c r="F835" s="61"/>
      <c r="G835" s="73"/>
      <c r="H835" s="79"/>
      <c r="I835" s="79"/>
      <c r="J835" s="14"/>
      <c r="K835" s="38"/>
      <c r="L835" s="38"/>
      <c r="M835" s="17"/>
    </row>
    <row r="836" spans="2:13" ht="14.45" customHeight="1" x14ac:dyDescent="0.25">
      <c r="B836" s="17"/>
      <c r="C836" s="14"/>
      <c r="D836" s="14"/>
      <c r="E836" s="18"/>
      <c r="F836" s="61"/>
      <c r="G836" s="73"/>
      <c r="H836" s="79"/>
      <c r="I836" s="79"/>
      <c r="J836" s="14"/>
      <c r="K836" s="38"/>
      <c r="L836" s="38"/>
      <c r="M836" s="17"/>
    </row>
    <row r="837" spans="2:13" ht="14.45" customHeight="1" x14ac:dyDescent="0.25">
      <c r="B837" s="17"/>
      <c r="C837" s="14"/>
      <c r="D837" s="14"/>
      <c r="E837" s="18"/>
      <c r="F837" s="61"/>
      <c r="G837" s="73"/>
      <c r="H837" s="79"/>
      <c r="I837" s="79"/>
      <c r="J837" s="14"/>
      <c r="K837" s="38"/>
      <c r="L837" s="38"/>
      <c r="M837" s="17"/>
    </row>
    <row r="838" spans="2:13" ht="14.45" customHeight="1" x14ac:dyDescent="0.25">
      <c r="B838" s="17"/>
      <c r="C838" s="14"/>
      <c r="D838" s="14"/>
      <c r="E838" s="18"/>
      <c r="F838" s="61"/>
      <c r="G838" s="73"/>
      <c r="H838" s="79"/>
      <c r="I838" s="79"/>
      <c r="J838" s="14"/>
      <c r="K838" s="38"/>
      <c r="L838" s="38"/>
      <c r="M838" s="17"/>
    </row>
    <row r="839" spans="2:13" ht="14.45" customHeight="1" x14ac:dyDescent="0.25">
      <c r="B839" s="17"/>
      <c r="C839" s="14"/>
      <c r="D839" s="14"/>
      <c r="E839" s="18"/>
      <c r="F839" s="61"/>
      <c r="G839" s="73"/>
      <c r="H839" s="79"/>
      <c r="I839" s="79"/>
      <c r="J839" s="14"/>
      <c r="K839" s="38"/>
      <c r="L839" s="38"/>
      <c r="M839" s="17"/>
    </row>
    <row r="840" spans="2:13" ht="14.45" customHeight="1" x14ac:dyDescent="0.25">
      <c r="B840" s="17"/>
      <c r="C840" s="14"/>
      <c r="D840" s="14"/>
      <c r="E840" s="18"/>
      <c r="F840" s="61"/>
      <c r="G840" s="73"/>
      <c r="H840" s="79"/>
      <c r="I840" s="79"/>
      <c r="J840" s="14"/>
      <c r="K840" s="38"/>
      <c r="L840" s="38"/>
      <c r="M840" s="17"/>
    </row>
    <row r="841" spans="2:13" ht="14.45" customHeight="1" x14ac:dyDescent="0.25">
      <c r="B841" s="17"/>
      <c r="C841" s="14"/>
      <c r="D841" s="14"/>
      <c r="E841" s="18"/>
      <c r="F841" s="61"/>
      <c r="G841" s="73"/>
      <c r="H841" s="79"/>
      <c r="I841" s="79"/>
      <c r="J841" s="14"/>
      <c r="K841" s="38"/>
      <c r="L841" s="38"/>
      <c r="M841" s="17"/>
    </row>
    <row r="842" spans="2:13" ht="14.45" customHeight="1" x14ac:dyDescent="0.25">
      <c r="B842" s="17"/>
      <c r="C842" s="14"/>
      <c r="D842" s="14"/>
      <c r="E842" s="18"/>
      <c r="F842" s="61"/>
      <c r="G842" s="73"/>
      <c r="H842" s="79"/>
      <c r="I842" s="79"/>
      <c r="J842" s="14"/>
      <c r="K842" s="38"/>
      <c r="L842" s="38"/>
      <c r="M842" s="17"/>
    </row>
    <row r="843" spans="2:13" ht="14.45" customHeight="1" x14ac:dyDescent="0.25">
      <c r="B843" s="17"/>
      <c r="C843" s="14"/>
      <c r="D843" s="14"/>
      <c r="E843" s="18"/>
      <c r="F843" s="61"/>
      <c r="G843" s="73"/>
      <c r="H843" s="79"/>
      <c r="I843" s="79"/>
      <c r="J843" s="14"/>
      <c r="K843" s="38"/>
      <c r="L843" s="38"/>
      <c r="M843" s="17"/>
    </row>
    <row r="844" spans="2:13" ht="14.45" customHeight="1" x14ac:dyDescent="0.25">
      <c r="B844" s="17"/>
      <c r="C844" s="14"/>
      <c r="D844" s="14"/>
      <c r="E844" s="18"/>
      <c r="F844" s="61"/>
      <c r="G844" s="73"/>
      <c r="H844" s="79"/>
      <c r="I844" s="79"/>
      <c r="J844" s="14"/>
      <c r="K844" s="38"/>
      <c r="L844" s="38"/>
      <c r="M844" s="17"/>
    </row>
    <row r="845" spans="2:13" ht="14.45" customHeight="1" x14ac:dyDescent="0.25">
      <c r="B845" s="17"/>
      <c r="C845" s="14"/>
      <c r="D845" s="14"/>
      <c r="E845" s="18"/>
      <c r="F845" s="61"/>
      <c r="G845" s="73"/>
      <c r="H845" s="79"/>
      <c r="I845" s="79"/>
      <c r="J845" s="14"/>
      <c r="K845" s="38"/>
      <c r="L845" s="38"/>
      <c r="M845" s="17"/>
    </row>
    <row r="846" spans="2:13" ht="14.45" customHeight="1" x14ac:dyDescent="0.25">
      <c r="B846" s="17"/>
      <c r="C846" s="14"/>
      <c r="D846" s="14"/>
      <c r="E846" s="18"/>
      <c r="F846" s="61"/>
      <c r="G846" s="73"/>
      <c r="H846" s="79"/>
      <c r="I846" s="79"/>
      <c r="J846" s="14"/>
      <c r="K846" s="38"/>
      <c r="L846" s="38"/>
      <c r="M846" s="17"/>
    </row>
    <row r="847" spans="2:13" ht="14.45" customHeight="1" x14ac:dyDescent="0.25">
      <c r="B847" s="17"/>
      <c r="C847" s="14"/>
      <c r="D847" s="14"/>
      <c r="E847" s="18"/>
      <c r="F847" s="61"/>
      <c r="G847" s="73"/>
      <c r="H847" s="79"/>
      <c r="I847" s="79"/>
      <c r="J847" s="14"/>
      <c r="K847" s="38"/>
      <c r="L847" s="38"/>
      <c r="M847" s="17"/>
    </row>
    <row r="848" spans="2:13" ht="14.45" customHeight="1" x14ac:dyDescent="0.25">
      <c r="B848" s="17"/>
      <c r="C848" s="14"/>
      <c r="D848" s="14"/>
      <c r="E848" s="18"/>
      <c r="F848" s="61"/>
      <c r="G848" s="73"/>
      <c r="H848" s="79"/>
      <c r="I848" s="79"/>
      <c r="J848" s="14"/>
      <c r="K848" s="38"/>
      <c r="L848" s="38"/>
      <c r="M848" s="17"/>
    </row>
    <row r="849" spans="2:13" ht="14.45" customHeight="1" x14ac:dyDescent="0.25">
      <c r="B849" s="17"/>
      <c r="C849" s="14"/>
      <c r="D849" s="14"/>
      <c r="E849" s="18"/>
      <c r="F849" s="61"/>
      <c r="G849" s="73"/>
      <c r="H849" s="79"/>
      <c r="I849" s="79"/>
      <c r="J849" s="14"/>
      <c r="K849" s="38"/>
      <c r="L849" s="38"/>
      <c r="M849" s="17"/>
    </row>
    <row r="850" spans="2:13" ht="14.45" customHeight="1" x14ac:dyDescent="0.25">
      <c r="B850" s="17"/>
      <c r="C850" s="14"/>
      <c r="D850" s="14"/>
      <c r="E850" s="18"/>
      <c r="F850" s="61"/>
      <c r="G850" s="73"/>
      <c r="H850" s="79"/>
      <c r="I850" s="79"/>
      <c r="J850" s="14"/>
      <c r="K850" s="38"/>
      <c r="L850" s="38"/>
      <c r="M850" s="17"/>
    </row>
    <row r="851" spans="2:13" ht="14.45" customHeight="1" x14ac:dyDescent="0.25">
      <c r="B851" s="17"/>
      <c r="C851" s="14"/>
      <c r="D851" s="14"/>
      <c r="E851" s="18"/>
      <c r="F851" s="61"/>
      <c r="G851" s="73"/>
      <c r="H851" s="79"/>
      <c r="I851" s="79"/>
      <c r="J851" s="14"/>
      <c r="K851" s="38"/>
      <c r="L851" s="38"/>
      <c r="M851" s="17"/>
    </row>
    <row r="852" spans="2:13" ht="14.45" customHeight="1" x14ac:dyDescent="0.25">
      <c r="B852" s="17"/>
      <c r="C852" s="14"/>
      <c r="D852" s="14"/>
      <c r="E852" s="18"/>
      <c r="F852" s="61"/>
      <c r="G852" s="73"/>
      <c r="H852" s="79"/>
      <c r="I852" s="79"/>
      <c r="J852" s="14"/>
      <c r="K852" s="38"/>
      <c r="L852" s="38"/>
      <c r="M852" s="17"/>
    </row>
    <row r="853" spans="2:13" ht="14.45" customHeight="1" x14ac:dyDescent="0.25">
      <c r="B853" s="17"/>
      <c r="C853" s="14"/>
      <c r="D853" s="14"/>
      <c r="E853" s="18"/>
      <c r="F853" s="61"/>
      <c r="G853" s="73"/>
      <c r="H853" s="79"/>
      <c r="I853" s="79"/>
      <c r="J853" s="14"/>
      <c r="K853" s="38"/>
      <c r="L853" s="38"/>
      <c r="M853" s="17"/>
    </row>
    <row r="854" spans="2:13" ht="14.45" customHeight="1" x14ac:dyDescent="0.25">
      <c r="B854" s="17"/>
      <c r="C854" s="14"/>
      <c r="D854" s="14"/>
      <c r="E854" s="18"/>
      <c r="F854" s="61"/>
      <c r="G854" s="73"/>
      <c r="H854" s="79"/>
      <c r="I854" s="79"/>
      <c r="J854" s="14"/>
      <c r="K854" s="38"/>
      <c r="L854" s="38"/>
      <c r="M854" s="17"/>
    </row>
    <row r="855" spans="2:13" ht="14.45" customHeight="1" x14ac:dyDescent="0.25">
      <c r="B855" s="17"/>
      <c r="C855" s="14"/>
      <c r="D855" s="14"/>
      <c r="E855" s="18"/>
      <c r="F855" s="61"/>
      <c r="G855" s="73"/>
      <c r="H855" s="79"/>
      <c r="I855" s="79"/>
      <c r="J855" s="14"/>
      <c r="K855" s="38"/>
      <c r="L855" s="38"/>
      <c r="M855" s="17"/>
    </row>
    <row r="856" spans="2:13" ht="14.45" customHeight="1" x14ac:dyDescent="0.25">
      <c r="B856" s="17"/>
      <c r="C856" s="14"/>
      <c r="D856" s="14"/>
      <c r="E856" s="18"/>
      <c r="F856" s="61"/>
      <c r="G856" s="73"/>
      <c r="H856" s="79"/>
      <c r="I856" s="79"/>
      <c r="J856" s="14"/>
      <c r="K856" s="38"/>
      <c r="L856" s="38"/>
      <c r="M856" s="17"/>
    </row>
    <row r="857" spans="2:13" ht="14.45" customHeight="1" x14ac:dyDescent="0.25">
      <c r="B857" s="17"/>
      <c r="C857" s="14"/>
      <c r="D857" s="14"/>
      <c r="E857" s="18"/>
      <c r="F857" s="61"/>
      <c r="G857" s="73"/>
      <c r="H857" s="79"/>
      <c r="I857" s="79"/>
      <c r="J857" s="14"/>
      <c r="K857" s="38"/>
      <c r="L857" s="38"/>
      <c r="M857" s="17"/>
    </row>
    <row r="858" spans="2:13" ht="14.45" customHeight="1" x14ac:dyDescent="0.25">
      <c r="B858" s="17"/>
      <c r="C858" s="14"/>
      <c r="D858" s="14"/>
      <c r="E858" s="18"/>
      <c r="F858" s="61"/>
      <c r="G858" s="73"/>
      <c r="H858" s="79"/>
      <c r="I858" s="79"/>
      <c r="J858" s="14"/>
      <c r="K858" s="38"/>
      <c r="L858" s="38"/>
      <c r="M858" s="17"/>
    </row>
    <row r="859" spans="2:13" ht="14.45" customHeight="1" x14ac:dyDescent="0.25">
      <c r="B859" s="17"/>
      <c r="C859" s="14"/>
      <c r="D859" s="14"/>
      <c r="E859" s="18"/>
      <c r="F859" s="61"/>
      <c r="G859" s="73"/>
      <c r="H859" s="79"/>
      <c r="I859" s="79"/>
      <c r="J859" s="14"/>
      <c r="K859" s="38"/>
      <c r="L859" s="38"/>
      <c r="M859" s="17"/>
    </row>
    <row r="860" spans="2:13" ht="14.45" customHeight="1" x14ac:dyDescent="0.25">
      <c r="B860" s="17"/>
      <c r="C860" s="14"/>
      <c r="D860" s="14"/>
      <c r="E860" s="18"/>
      <c r="F860" s="61"/>
      <c r="G860" s="73"/>
      <c r="H860" s="79"/>
      <c r="I860" s="79"/>
      <c r="J860" s="14"/>
      <c r="K860" s="38"/>
      <c r="L860" s="38"/>
      <c r="M860" s="17"/>
    </row>
    <row r="861" spans="2:13" ht="14.45" customHeight="1" x14ac:dyDescent="0.25">
      <c r="B861" s="17"/>
      <c r="C861" s="14"/>
      <c r="D861" s="14"/>
      <c r="E861" s="18"/>
      <c r="F861" s="61"/>
      <c r="G861" s="73"/>
      <c r="H861" s="79"/>
      <c r="I861" s="79"/>
      <c r="J861" s="14"/>
      <c r="K861" s="38"/>
      <c r="L861" s="38"/>
      <c r="M861" s="17"/>
    </row>
    <row r="862" spans="2:13" ht="14.45" customHeight="1" x14ac:dyDescent="0.25">
      <c r="B862" s="17"/>
      <c r="C862" s="14"/>
      <c r="D862" s="14"/>
      <c r="E862" s="18"/>
      <c r="F862" s="61"/>
      <c r="G862" s="73"/>
      <c r="H862" s="79"/>
      <c r="I862" s="79"/>
      <c r="J862" s="14"/>
      <c r="K862" s="38"/>
      <c r="L862" s="38"/>
      <c r="M862" s="17"/>
    </row>
    <row r="863" spans="2:13" ht="14.45" customHeight="1" x14ac:dyDescent="0.25">
      <c r="B863" s="17"/>
      <c r="C863" s="14"/>
      <c r="D863" s="14"/>
      <c r="E863" s="18"/>
      <c r="F863" s="61"/>
      <c r="G863" s="73"/>
      <c r="H863" s="79"/>
      <c r="I863" s="79"/>
      <c r="J863" s="14"/>
      <c r="K863" s="38"/>
      <c r="L863" s="38"/>
      <c r="M863" s="17"/>
    </row>
    <row r="864" spans="2:13" ht="14.45" customHeight="1" x14ac:dyDescent="0.25">
      <c r="B864" s="17"/>
      <c r="C864" s="14"/>
      <c r="D864" s="14"/>
      <c r="E864" s="18"/>
      <c r="F864" s="61"/>
      <c r="G864" s="73"/>
      <c r="H864" s="79"/>
      <c r="I864" s="79"/>
      <c r="J864" s="14"/>
      <c r="K864" s="38"/>
      <c r="L864" s="38"/>
      <c r="M864" s="17"/>
    </row>
    <row r="865" spans="2:13" ht="14.45" customHeight="1" x14ac:dyDescent="0.25">
      <c r="B865" s="17"/>
      <c r="C865" s="14"/>
      <c r="D865" s="14"/>
      <c r="E865" s="18"/>
      <c r="F865" s="61"/>
      <c r="G865" s="73"/>
      <c r="H865" s="79"/>
      <c r="I865" s="79"/>
      <c r="J865" s="14"/>
      <c r="K865" s="38"/>
      <c r="L865" s="38"/>
      <c r="M865" s="17"/>
    </row>
    <row r="866" spans="2:13" ht="14.45" customHeight="1" x14ac:dyDescent="0.25">
      <c r="B866" s="17"/>
      <c r="C866" s="14"/>
      <c r="D866" s="14"/>
      <c r="E866" s="18"/>
      <c r="F866" s="61"/>
      <c r="G866" s="73"/>
      <c r="H866" s="79"/>
      <c r="I866" s="79"/>
      <c r="J866" s="14"/>
      <c r="K866" s="38"/>
      <c r="L866" s="38"/>
      <c r="M866" s="17"/>
    </row>
    <row r="867" spans="2:13" ht="14.45" customHeight="1" x14ac:dyDescent="0.25">
      <c r="B867" s="17"/>
      <c r="C867" s="14"/>
      <c r="D867" s="14"/>
      <c r="E867" s="18"/>
      <c r="F867" s="61"/>
      <c r="G867" s="73"/>
      <c r="H867" s="79"/>
      <c r="I867" s="79"/>
      <c r="J867" s="14"/>
      <c r="K867" s="38"/>
      <c r="L867" s="38"/>
      <c r="M867" s="17"/>
    </row>
    <row r="868" spans="2:13" ht="14.45" customHeight="1" x14ac:dyDescent="0.25">
      <c r="B868" s="17"/>
      <c r="C868" s="14"/>
      <c r="D868" s="14"/>
      <c r="E868" s="18"/>
      <c r="F868" s="61"/>
      <c r="G868" s="73"/>
      <c r="H868" s="79"/>
      <c r="I868" s="79"/>
      <c r="J868" s="14"/>
      <c r="K868" s="38"/>
      <c r="L868" s="38"/>
      <c r="M868" s="17"/>
    </row>
    <row r="869" spans="2:13" ht="14.45" customHeight="1" x14ac:dyDescent="0.25">
      <c r="B869" s="17"/>
      <c r="C869" s="14"/>
      <c r="D869" s="14"/>
      <c r="E869" s="18"/>
      <c r="F869" s="61"/>
      <c r="G869" s="73"/>
      <c r="H869" s="79"/>
      <c r="I869" s="79"/>
      <c r="J869" s="14"/>
      <c r="K869" s="38"/>
      <c r="L869" s="38"/>
      <c r="M869" s="17"/>
    </row>
    <row r="870" spans="2:13" ht="14.45" customHeight="1" x14ac:dyDescent="0.25">
      <c r="B870" s="17"/>
      <c r="C870" s="14"/>
      <c r="D870" s="14"/>
      <c r="E870" s="18"/>
      <c r="F870" s="61"/>
      <c r="G870" s="73"/>
      <c r="H870" s="79"/>
      <c r="I870" s="79"/>
      <c r="J870" s="14"/>
      <c r="K870" s="38"/>
      <c r="L870" s="38"/>
      <c r="M870" s="17"/>
    </row>
    <row r="871" spans="2:13" ht="14.45" customHeight="1" x14ac:dyDescent="0.25">
      <c r="B871" s="17"/>
      <c r="C871" s="14"/>
      <c r="D871" s="14"/>
      <c r="E871" s="18"/>
      <c r="F871" s="61"/>
      <c r="G871" s="73"/>
      <c r="H871" s="79"/>
      <c r="I871" s="79"/>
      <c r="J871" s="14"/>
      <c r="K871" s="38"/>
      <c r="L871" s="38"/>
      <c r="M871" s="17"/>
    </row>
    <row r="872" spans="2:13" ht="14.45" customHeight="1" x14ac:dyDescent="0.25">
      <c r="B872" s="17"/>
      <c r="C872" s="14"/>
      <c r="D872" s="14"/>
      <c r="E872" s="18"/>
      <c r="F872" s="61"/>
      <c r="G872" s="73"/>
      <c r="H872" s="79"/>
      <c r="I872" s="79"/>
      <c r="J872" s="14"/>
      <c r="K872" s="38"/>
      <c r="L872" s="38"/>
      <c r="M872" s="17"/>
    </row>
    <row r="873" spans="2:13" ht="14.45" customHeight="1" x14ac:dyDescent="0.25">
      <c r="B873" s="17"/>
      <c r="C873" s="14"/>
      <c r="D873" s="14"/>
      <c r="E873" s="18"/>
      <c r="F873" s="61"/>
      <c r="G873" s="73"/>
      <c r="H873" s="79"/>
      <c r="I873" s="79"/>
      <c r="J873" s="14"/>
      <c r="K873" s="38"/>
      <c r="L873" s="38"/>
      <c r="M873" s="17"/>
    </row>
    <row r="874" spans="2:13" ht="14.45" customHeight="1" x14ac:dyDescent="0.25">
      <c r="B874" s="17"/>
      <c r="C874" s="14"/>
      <c r="D874" s="14"/>
      <c r="E874" s="18"/>
      <c r="F874" s="61"/>
      <c r="G874" s="73"/>
      <c r="H874" s="79"/>
      <c r="I874" s="79"/>
      <c r="J874" s="14"/>
      <c r="K874" s="38"/>
      <c r="L874" s="38"/>
      <c r="M874" s="17"/>
    </row>
    <row r="875" spans="2:13" ht="14.45" customHeight="1" x14ac:dyDescent="0.25">
      <c r="B875" s="17"/>
      <c r="C875" s="14"/>
      <c r="D875" s="14"/>
      <c r="E875" s="18"/>
      <c r="F875" s="61"/>
      <c r="G875" s="73"/>
      <c r="H875" s="79"/>
      <c r="I875" s="79"/>
      <c r="J875" s="14"/>
      <c r="K875" s="38"/>
      <c r="L875" s="38"/>
      <c r="M875" s="17"/>
    </row>
    <row r="876" spans="2:13" ht="14.45" customHeight="1" x14ac:dyDescent="0.25">
      <c r="B876" s="17"/>
      <c r="C876" s="14"/>
      <c r="D876" s="14"/>
      <c r="E876" s="18"/>
      <c r="F876" s="61"/>
      <c r="G876" s="73"/>
      <c r="H876" s="79"/>
      <c r="I876" s="79"/>
      <c r="J876" s="14"/>
      <c r="K876" s="38"/>
      <c r="L876" s="38"/>
      <c r="M876" s="17"/>
    </row>
    <row r="877" spans="2:13" ht="14.45" customHeight="1" x14ac:dyDescent="0.25">
      <c r="B877" s="17"/>
      <c r="C877" s="14"/>
      <c r="D877" s="14"/>
      <c r="E877" s="18"/>
      <c r="F877" s="61"/>
      <c r="G877" s="73"/>
      <c r="H877" s="79"/>
      <c r="I877" s="79"/>
      <c r="J877" s="14"/>
      <c r="K877" s="38"/>
      <c r="L877" s="38"/>
      <c r="M877" s="17"/>
    </row>
    <row r="878" spans="2:13" ht="14.45" customHeight="1" x14ac:dyDescent="0.25">
      <c r="B878" s="17"/>
      <c r="C878" s="14"/>
      <c r="D878" s="14"/>
      <c r="E878" s="18"/>
      <c r="F878" s="61"/>
      <c r="G878" s="73"/>
      <c r="H878" s="79"/>
      <c r="I878" s="79"/>
      <c r="J878" s="14"/>
      <c r="K878" s="38"/>
      <c r="L878" s="38"/>
      <c r="M878" s="17"/>
    </row>
    <row r="879" spans="2:13" ht="14.45" customHeight="1" x14ac:dyDescent="0.25">
      <c r="B879" s="17"/>
      <c r="C879" s="14"/>
      <c r="D879" s="14"/>
      <c r="E879" s="18"/>
      <c r="F879" s="61"/>
      <c r="G879" s="73"/>
      <c r="H879" s="79"/>
      <c r="I879" s="79"/>
      <c r="J879" s="14"/>
      <c r="K879" s="38"/>
      <c r="L879" s="38"/>
      <c r="M879" s="17"/>
    </row>
    <row r="880" spans="2:13" ht="14.45" customHeight="1" x14ac:dyDescent="0.25">
      <c r="B880" s="17"/>
      <c r="C880" s="14"/>
      <c r="D880" s="14"/>
      <c r="E880" s="18"/>
      <c r="F880" s="61"/>
      <c r="G880" s="73"/>
      <c r="H880" s="79"/>
      <c r="I880" s="79"/>
      <c r="J880" s="14"/>
      <c r="K880" s="38"/>
      <c r="L880" s="38"/>
      <c r="M880" s="17"/>
    </row>
    <row r="881" spans="2:13" ht="14.45" customHeight="1" x14ac:dyDescent="0.25">
      <c r="B881" s="17"/>
      <c r="C881" s="14"/>
      <c r="D881" s="14"/>
      <c r="E881" s="18"/>
      <c r="F881" s="61"/>
      <c r="G881" s="73"/>
      <c r="H881" s="79"/>
      <c r="I881" s="79"/>
      <c r="J881" s="14"/>
      <c r="K881" s="38"/>
      <c r="L881" s="38"/>
      <c r="M881" s="17"/>
    </row>
    <row r="882" spans="2:13" ht="14.45" customHeight="1" x14ac:dyDescent="0.25">
      <c r="B882" s="17"/>
      <c r="C882" s="14"/>
      <c r="D882" s="14"/>
      <c r="E882" s="18"/>
      <c r="F882" s="61"/>
      <c r="G882" s="73"/>
      <c r="H882" s="79"/>
      <c r="I882" s="79"/>
      <c r="J882" s="14"/>
      <c r="K882" s="38"/>
      <c r="L882" s="38"/>
      <c r="M882" s="17"/>
    </row>
    <row r="883" spans="2:13" ht="14.45" customHeight="1" x14ac:dyDescent="0.25">
      <c r="B883" s="17"/>
      <c r="C883" s="14"/>
      <c r="D883" s="14"/>
      <c r="E883" s="18"/>
      <c r="F883" s="61"/>
      <c r="G883" s="73"/>
      <c r="H883" s="79"/>
      <c r="I883" s="79"/>
      <c r="J883" s="14"/>
      <c r="K883" s="38"/>
      <c r="L883" s="38"/>
      <c r="M883" s="17"/>
    </row>
    <row r="884" spans="2:13" ht="14.45" customHeight="1" x14ac:dyDescent="0.25">
      <c r="B884" s="17"/>
      <c r="C884" s="14"/>
      <c r="D884" s="14"/>
      <c r="E884" s="18"/>
      <c r="F884" s="61"/>
      <c r="G884" s="73"/>
      <c r="H884" s="79"/>
      <c r="I884" s="79"/>
      <c r="J884" s="14"/>
      <c r="K884" s="38"/>
      <c r="L884" s="38"/>
      <c r="M884" s="17"/>
    </row>
    <row r="885" spans="2:13" ht="14.45" customHeight="1" x14ac:dyDescent="0.25">
      <c r="B885" s="17"/>
      <c r="C885" s="14"/>
      <c r="D885" s="14"/>
      <c r="E885" s="18"/>
      <c r="F885" s="61"/>
      <c r="G885" s="73"/>
      <c r="H885" s="79"/>
      <c r="I885" s="79"/>
      <c r="J885" s="14"/>
      <c r="K885" s="38"/>
      <c r="L885" s="38"/>
      <c r="M885" s="17"/>
    </row>
    <row r="886" spans="2:13" ht="14.45" customHeight="1" x14ac:dyDescent="0.25">
      <c r="B886" s="17"/>
      <c r="C886" s="14"/>
      <c r="D886" s="14"/>
      <c r="E886" s="18"/>
      <c r="F886" s="61"/>
      <c r="G886" s="73"/>
      <c r="H886" s="79"/>
      <c r="I886" s="79"/>
      <c r="J886" s="14"/>
      <c r="K886" s="38"/>
      <c r="L886" s="38"/>
      <c r="M886" s="17"/>
    </row>
    <row r="887" spans="2:13" ht="14.45" customHeight="1" x14ac:dyDescent="0.25">
      <c r="B887" s="17"/>
      <c r="C887" s="14"/>
      <c r="D887" s="14"/>
      <c r="E887" s="18"/>
      <c r="F887" s="61"/>
      <c r="G887" s="73"/>
      <c r="H887" s="79"/>
      <c r="I887" s="79"/>
      <c r="J887" s="14"/>
      <c r="K887" s="38"/>
      <c r="L887" s="38"/>
      <c r="M887" s="17"/>
    </row>
    <row r="888" spans="2:13" ht="14.45" customHeight="1" x14ac:dyDescent="0.25">
      <c r="B888" s="17"/>
      <c r="C888" s="14"/>
      <c r="D888" s="14"/>
      <c r="E888" s="18"/>
      <c r="F888" s="61"/>
      <c r="G888" s="73"/>
      <c r="H888" s="79"/>
      <c r="I888" s="79"/>
      <c r="J888" s="14"/>
      <c r="K888" s="38"/>
      <c r="L888" s="38"/>
      <c r="M888" s="17"/>
    </row>
    <row r="889" spans="2:13" ht="14.45" customHeight="1" x14ac:dyDescent="0.25">
      <c r="B889" s="17"/>
      <c r="C889" s="14"/>
      <c r="D889" s="14"/>
      <c r="E889" s="18"/>
      <c r="F889" s="61"/>
      <c r="G889" s="73"/>
      <c r="H889" s="79"/>
      <c r="I889" s="79"/>
      <c r="J889" s="14"/>
      <c r="K889" s="38"/>
      <c r="L889" s="38"/>
      <c r="M889" s="17"/>
    </row>
    <row r="890" spans="2:13" ht="14.45" customHeight="1" x14ac:dyDescent="0.25">
      <c r="B890" s="17"/>
      <c r="C890" s="14"/>
      <c r="D890" s="14"/>
      <c r="E890" s="18"/>
      <c r="F890" s="61"/>
      <c r="G890" s="73"/>
      <c r="H890" s="79"/>
      <c r="I890" s="79"/>
      <c r="J890" s="14"/>
      <c r="K890" s="38"/>
      <c r="L890" s="38"/>
      <c r="M890" s="17"/>
    </row>
    <row r="891" spans="2:13" ht="14.45" customHeight="1" x14ac:dyDescent="0.25">
      <c r="B891" s="17"/>
      <c r="C891" s="14"/>
      <c r="D891" s="14"/>
      <c r="E891" s="18"/>
      <c r="F891" s="61"/>
      <c r="G891" s="73"/>
      <c r="H891" s="79"/>
      <c r="I891" s="79"/>
      <c r="J891" s="14"/>
      <c r="K891" s="38"/>
      <c r="L891" s="38"/>
      <c r="M891" s="17"/>
    </row>
    <row r="892" spans="2:13" ht="14.45" customHeight="1" x14ac:dyDescent="0.25">
      <c r="B892" s="17"/>
      <c r="C892" s="14"/>
      <c r="D892" s="14"/>
      <c r="E892" s="18"/>
      <c r="F892" s="61"/>
      <c r="G892" s="73"/>
      <c r="H892" s="79"/>
      <c r="I892" s="79"/>
      <c r="J892" s="14"/>
      <c r="K892" s="38"/>
      <c r="L892" s="38"/>
      <c r="M892" s="17"/>
    </row>
    <row r="893" spans="2:13" ht="14.45" customHeight="1" x14ac:dyDescent="0.25">
      <c r="B893" s="17"/>
      <c r="C893" s="14"/>
      <c r="D893" s="14"/>
      <c r="E893" s="18"/>
      <c r="F893" s="61"/>
      <c r="G893" s="73"/>
      <c r="H893" s="79"/>
      <c r="I893" s="79"/>
      <c r="J893" s="14"/>
      <c r="K893" s="38"/>
      <c r="L893" s="38"/>
      <c r="M893" s="17"/>
    </row>
    <row r="894" spans="2:13" ht="14.45" customHeight="1" x14ac:dyDescent="0.25">
      <c r="B894" s="17"/>
      <c r="C894" s="14"/>
      <c r="D894" s="14"/>
      <c r="E894" s="18"/>
      <c r="F894" s="61"/>
      <c r="G894" s="73"/>
      <c r="H894" s="79"/>
      <c r="I894" s="79"/>
      <c r="J894" s="14"/>
      <c r="K894" s="38"/>
      <c r="L894" s="38"/>
      <c r="M894" s="17"/>
    </row>
    <row r="895" spans="2:13" ht="14.45" customHeight="1" x14ac:dyDescent="0.25">
      <c r="B895" s="17"/>
      <c r="C895" s="14"/>
      <c r="D895" s="14"/>
      <c r="E895" s="18"/>
      <c r="F895" s="61"/>
      <c r="G895" s="73"/>
      <c r="H895" s="79"/>
      <c r="I895" s="79"/>
      <c r="J895" s="14"/>
      <c r="K895" s="38"/>
      <c r="L895" s="38"/>
      <c r="M895" s="17"/>
    </row>
    <row r="896" spans="2:13" ht="14.45" customHeight="1" x14ac:dyDescent="0.25">
      <c r="B896" s="17"/>
      <c r="C896" s="14"/>
      <c r="D896" s="14"/>
      <c r="E896" s="18"/>
      <c r="F896" s="61"/>
      <c r="G896" s="73"/>
      <c r="H896" s="79"/>
      <c r="I896" s="79"/>
      <c r="J896" s="14"/>
      <c r="K896" s="38"/>
      <c r="L896" s="38"/>
      <c r="M896" s="17"/>
    </row>
    <row r="897" spans="2:13" ht="14.45" customHeight="1" x14ac:dyDescent="0.25">
      <c r="B897" s="17"/>
      <c r="C897" s="14"/>
      <c r="D897" s="14"/>
      <c r="E897" s="18"/>
      <c r="F897" s="61"/>
      <c r="G897" s="73"/>
      <c r="H897" s="79"/>
      <c r="I897" s="79"/>
      <c r="J897" s="14"/>
      <c r="K897" s="38"/>
      <c r="L897" s="38"/>
      <c r="M897" s="17"/>
    </row>
    <row r="898" spans="2:13" ht="14.45" customHeight="1" x14ac:dyDescent="0.25">
      <c r="B898" s="17"/>
      <c r="C898" s="14"/>
      <c r="D898" s="14"/>
      <c r="E898" s="18"/>
      <c r="F898" s="61"/>
      <c r="G898" s="73"/>
      <c r="H898" s="79"/>
      <c r="I898" s="79"/>
      <c r="J898" s="14"/>
      <c r="K898" s="38"/>
      <c r="L898" s="38"/>
      <c r="M898" s="17"/>
    </row>
    <row r="899" spans="2:13" ht="14.45" customHeight="1" x14ac:dyDescent="0.25">
      <c r="B899" s="17"/>
      <c r="C899" s="14"/>
      <c r="D899" s="14"/>
      <c r="E899" s="18"/>
      <c r="F899" s="61"/>
      <c r="G899" s="73"/>
      <c r="H899" s="79"/>
      <c r="I899" s="79"/>
      <c r="J899" s="14"/>
      <c r="K899" s="38"/>
      <c r="L899" s="38"/>
      <c r="M899" s="17"/>
    </row>
    <row r="900" spans="2:13" ht="14.45" customHeight="1" x14ac:dyDescent="0.25">
      <c r="B900" s="17"/>
      <c r="C900" s="14"/>
      <c r="D900" s="14"/>
      <c r="E900" s="18"/>
      <c r="F900" s="61"/>
      <c r="G900" s="73"/>
      <c r="H900" s="79"/>
      <c r="I900" s="79"/>
      <c r="J900" s="14"/>
      <c r="K900" s="38"/>
      <c r="L900" s="38"/>
      <c r="M900" s="17"/>
    </row>
    <row r="901" spans="2:13" ht="14.45" customHeight="1" x14ac:dyDescent="0.25">
      <c r="B901" s="17"/>
      <c r="C901" s="14"/>
      <c r="D901" s="14"/>
      <c r="E901" s="18"/>
      <c r="F901" s="61"/>
      <c r="G901" s="73"/>
      <c r="H901" s="79"/>
      <c r="I901" s="79"/>
      <c r="J901" s="14"/>
      <c r="K901" s="38"/>
      <c r="L901" s="38"/>
      <c r="M901" s="17"/>
    </row>
    <row r="902" spans="2:13" ht="14.45" customHeight="1" x14ac:dyDescent="0.25">
      <c r="B902" s="17"/>
      <c r="C902" s="14"/>
      <c r="D902" s="14"/>
      <c r="E902" s="18"/>
      <c r="F902" s="61"/>
      <c r="G902" s="73"/>
      <c r="H902" s="79"/>
      <c r="I902" s="79"/>
      <c r="J902" s="14"/>
      <c r="K902" s="38"/>
      <c r="L902" s="38"/>
      <c r="M902" s="17"/>
    </row>
    <row r="903" spans="2:13" ht="14.45" customHeight="1" x14ac:dyDescent="0.25">
      <c r="B903" s="17"/>
      <c r="C903" s="14"/>
      <c r="D903" s="14"/>
      <c r="E903" s="18"/>
      <c r="F903" s="61"/>
      <c r="G903" s="73"/>
      <c r="H903" s="79"/>
      <c r="I903" s="79"/>
      <c r="J903" s="14"/>
      <c r="K903" s="38"/>
      <c r="L903" s="38"/>
      <c r="M903" s="17"/>
    </row>
    <row r="904" spans="2:13" ht="14.45" customHeight="1" x14ac:dyDescent="0.25">
      <c r="B904" s="17"/>
      <c r="C904" s="14"/>
      <c r="D904" s="14"/>
      <c r="E904" s="18"/>
      <c r="F904" s="61"/>
      <c r="G904" s="73"/>
      <c r="H904" s="79"/>
      <c r="I904" s="79"/>
      <c r="J904" s="14"/>
      <c r="K904" s="38"/>
      <c r="L904" s="38"/>
      <c r="M904" s="17"/>
    </row>
    <row r="905" spans="2:13" ht="14.45" customHeight="1" x14ac:dyDescent="0.25">
      <c r="B905" s="17"/>
      <c r="C905" s="14"/>
      <c r="D905" s="14"/>
      <c r="E905" s="18"/>
      <c r="F905" s="61"/>
      <c r="G905" s="73"/>
      <c r="H905" s="79"/>
      <c r="I905" s="79"/>
      <c r="J905" s="14"/>
      <c r="K905" s="38"/>
      <c r="L905" s="38"/>
      <c r="M905" s="17"/>
    </row>
    <row r="906" spans="2:13" ht="14.45" customHeight="1" x14ac:dyDescent="0.25">
      <c r="B906" s="17"/>
      <c r="C906" s="14"/>
      <c r="D906" s="14"/>
      <c r="E906" s="18"/>
      <c r="F906" s="61"/>
      <c r="G906" s="73"/>
      <c r="H906" s="79"/>
      <c r="I906" s="79"/>
      <c r="J906" s="14"/>
      <c r="K906" s="38"/>
      <c r="L906" s="38"/>
      <c r="M906" s="17"/>
    </row>
    <row r="907" spans="2:13" ht="14.45" customHeight="1" x14ac:dyDescent="0.25">
      <c r="B907" s="17"/>
      <c r="C907" s="14"/>
      <c r="D907" s="14"/>
      <c r="E907" s="18"/>
      <c r="F907" s="61"/>
      <c r="G907" s="73"/>
      <c r="H907" s="79"/>
      <c r="I907" s="79"/>
      <c r="J907" s="14"/>
      <c r="K907" s="38"/>
      <c r="L907" s="38"/>
      <c r="M907" s="17"/>
    </row>
    <row r="908" spans="2:13" ht="14.45" customHeight="1" x14ac:dyDescent="0.25">
      <c r="B908" s="17"/>
      <c r="C908" s="14"/>
      <c r="D908" s="14"/>
      <c r="E908" s="18"/>
      <c r="F908" s="61"/>
      <c r="G908" s="73"/>
      <c r="H908" s="79"/>
      <c r="I908" s="79"/>
      <c r="J908" s="14"/>
      <c r="K908" s="38"/>
      <c r="L908" s="38"/>
      <c r="M908" s="17"/>
    </row>
    <row r="909" spans="2:13" ht="14.45" customHeight="1" x14ac:dyDescent="0.25">
      <c r="B909" s="17"/>
      <c r="C909" s="14"/>
      <c r="D909" s="14"/>
      <c r="E909" s="18"/>
      <c r="F909" s="61"/>
      <c r="G909" s="73"/>
      <c r="H909" s="79"/>
      <c r="I909" s="79"/>
      <c r="J909" s="14"/>
      <c r="K909" s="38"/>
      <c r="L909" s="38"/>
      <c r="M909" s="17"/>
    </row>
    <row r="910" spans="2:13" ht="14.45" customHeight="1" x14ac:dyDescent="0.25">
      <c r="B910" s="17"/>
      <c r="C910" s="14"/>
      <c r="D910" s="14"/>
      <c r="E910" s="18"/>
      <c r="F910" s="61"/>
      <c r="G910" s="73"/>
      <c r="H910" s="79"/>
      <c r="I910" s="79"/>
      <c r="J910" s="14"/>
      <c r="K910" s="38"/>
      <c r="L910" s="38"/>
      <c r="M910" s="17"/>
    </row>
    <row r="911" spans="2:13" ht="14.45" customHeight="1" x14ac:dyDescent="0.25">
      <c r="B911" s="17"/>
      <c r="C911" s="14"/>
      <c r="D911" s="14"/>
      <c r="E911" s="18"/>
      <c r="F911" s="61"/>
      <c r="G911" s="73"/>
      <c r="H911" s="79"/>
      <c r="I911" s="79"/>
      <c r="J911" s="14"/>
      <c r="K911" s="38"/>
      <c r="L911" s="38"/>
      <c r="M911" s="17"/>
    </row>
    <row r="912" spans="2:13" ht="14.45" customHeight="1" x14ac:dyDescent="0.25">
      <c r="B912" s="17"/>
      <c r="C912" s="14"/>
      <c r="D912" s="14"/>
      <c r="E912" s="18"/>
      <c r="F912" s="61"/>
      <c r="G912" s="73"/>
      <c r="H912" s="79"/>
      <c r="I912" s="79"/>
      <c r="J912" s="14"/>
      <c r="K912" s="38"/>
      <c r="L912" s="38"/>
      <c r="M912" s="17"/>
    </row>
    <row r="913" spans="2:13" ht="14.45" customHeight="1" x14ac:dyDescent="0.25">
      <c r="B913" s="17"/>
      <c r="C913" s="14"/>
      <c r="D913" s="14"/>
      <c r="E913" s="18"/>
      <c r="F913" s="61"/>
      <c r="G913" s="73"/>
      <c r="H913" s="79"/>
      <c r="I913" s="79"/>
      <c r="J913" s="14"/>
      <c r="K913" s="38"/>
      <c r="L913" s="38"/>
      <c r="M913" s="17"/>
    </row>
    <row r="914" spans="2:13" ht="14.45" customHeight="1" x14ac:dyDescent="0.25">
      <c r="B914" s="17"/>
      <c r="C914" s="14"/>
      <c r="D914" s="14"/>
      <c r="E914" s="18"/>
      <c r="F914" s="61"/>
      <c r="G914" s="73"/>
      <c r="H914" s="79"/>
      <c r="I914" s="79"/>
      <c r="J914" s="14"/>
      <c r="K914" s="38"/>
      <c r="L914" s="38"/>
      <c r="M914" s="17"/>
    </row>
    <row r="915" spans="2:13" ht="14.45" customHeight="1" x14ac:dyDescent="0.25">
      <c r="B915" s="17"/>
      <c r="C915" s="14"/>
      <c r="D915" s="14"/>
      <c r="E915" s="18"/>
      <c r="F915" s="61"/>
      <c r="G915" s="73"/>
      <c r="H915" s="79"/>
      <c r="I915" s="79"/>
      <c r="J915" s="14"/>
      <c r="K915" s="38"/>
      <c r="L915" s="38"/>
      <c r="M915" s="17"/>
    </row>
    <row r="916" spans="2:13" ht="14.45" customHeight="1" x14ac:dyDescent="0.25">
      <c r="B916" s="17"/>
      <c r="C916" s="14"/>
      <c r="D916" s="14"/>
      <c r="E916" s="18"/>
      <c r="F916" s="61"/>
      <c r="G916" s="73"/>
      <c r="H916" s="79"/>
      <c r="I916" s="79"/>
      <c r="J916" s="14"/>
      <c r="K916" s="38"/>
      <c r="L916" s="38"/>
      <c r="M916" s="17"/>
    </row>
    <row r="917" spans="2:13" ht="14.45" customHeight="1" x14ac:dyDescent="0.25">
      <c r="B917" s="17"/>
      <c r="C917" s="14"/>
      <c r="D917" s="14"/>
      <c r="E917" s="18"/>
      <c r="F917" s="61"/>
      <c r="G917" s="73"/>
      <c r="H917" s="79"/>
      <c r="I917" s="79"/>
      <c r="J917" s="14"/>
      <c r="K917" s="38"/>
      <c r="L917" s="38"/>
      <c r="M917" s="17"/>
    </row>
    <row r="918" spans="2:13" ht="14.45" customHeight="1" x14ac:dyDescent="0.25">
      <c r="B918" s="17"/>
      <c r="C918" s="14"/>
      <c r="D918" s="14"/>
      <c r="E918" s="18"/>
      <c r="F918" s="61"/>
      <c r="G918" s="73"/>
      <c r="H918" s="79"/>
      <c r="I918" s="79"/>
      <c r="J918" s="14"/>
      <c r="K918" s="38"/>
      <c r="L918" s="38"/>
      <c r="M918" s="17"/>
    </row>
    <row r="919" spans="2:13" ht="14.45" customHeight="1" x14ac:dyDescent="0.25">
      <c r="B919" s="17"/>
      <c r="C919" s="14"/>
      <c r="D919" s="14"/>
      <c r="E919" s="18"/>
      <c r="F919" s="61"/>
      <c r="G919" s="73"/>
      <c r="H919" s="79"/>
      <c r="I919" s="79"/>
      <c r="J919" s="14"/>
      <c r="K919" s="38"/>
      <c r="L919" s="38"/>
      <c r="M919" s="17"/>
    </row>
    <row r="920" spans="2:13" ht="14.45" customHeight="1" x14ac:dyDescent="0.25">
      <c r="B920" s="17"/>
      <c r="C920" s="14"/>
      <c r="D920" s="14"/>
      <c r="E920" s="18"/>
      <c r="F920" s="61"/>
      <c r="G920" s="73"/>
      <c r="H920" s="79"/>
      <c r="I920" s="79"/>
      <c r="J920" s="14"/>
      <c r="K920" s="38"/>
      <c r="L920" s="38"/>
      <c r="M920" s="17"/>
    </row>
    <row r="921" spans="2:13" ht="14.45" customHeight="1" x14ac:dyDescent="0.25">
      <c r="B921" s="17"/>
      <c r="C921" s="14"/>
      <c r="D921" s="14"/>
      <c r="E921" s="18"/>
      <c r="F921" s="61"/>
      <c r="G921" s="73"/>
      <c r="H921" s="79"/>
      <c r="I921" s="79"/>
      <c r="J921" s="14"/>
      <c r="K921" s="38"/>
      <c r="L921" s="38"/>
      <c r="M921" s="17"/>
    </row>
    <row r="922" spans="2:13" ht="14.45" customHeight="1" x14ac:dyDescent="0.25">
      <c r="B922" s="17"/>
      <c r="C922" s="14"/>
      <c r="D922" s="14"/>
      <c r="E922" s="18"/>
      <c r="F922" s="61"/>
      <c r="G922" s="73"/>
      <c r="H922" s="79"/>
      <c r="I922" s="79"/>
      <c r="J922" s="14"/>
      <c r="K922" s="38"/>
      <c r="L922" s="38"/>
      <c r="M922" s="17"/>
    </row>
    <row r="923" spans="2:13" ht="14.45" customHeight="1" x14ac:dyDescent="0.25">
      <c r="B923" s="17"/>
      <c r="C923" s="14"/>
      <c r="D923" s="14"/>
      <c r="E923" s="18"/>
      <c r="F923" s="61"/>
      <c r="G923" s="73"/>
      <c r="H923" s="79"/>
      <c r="I923" s="79"/>
      <c r="J923" s="14"/>
      <c r="K923" s="38"/>
      <c r="L923" s="38"/>
      <c r="M923" s="17"/>
    </row>
    <row r="924" spans="2:13" ht="14.45" customHeight="1" x14ac:dyDescent="0.25">
      <c r="B924" s="17"/>
      <c r="C924" s="14"/>
      <c r="D924" s="14"/>
      <c r="E924" s="18"/>
      <c r="F924" s="61"/>
      <c r="G924" s="73"/>
      <c r="H924" s="79"/>
      <c r="I924" s="79"/>
      <c r="J924" s="14"/>
      <c r="K924" s="38"/>
      <c r="L924" s="38"/>
      <c r="M924" s="17"/>
    </row>
    <row r="925" spans="2:13" ht="14.45" customHeight="1" x14ac:dyDescent="0.25">
      <c r="B925" s="17"/>
      <c r="C925" s="14"/>
      <c r="D925" s="14"/>
      <c r="E925" s="18"/>
      <c r="F925" s="61"/>
      <c r="G925" s="73"/>
      <c r="H925" s="79"/>
      <c r="I925" s="79"/>
      <c r="J925" s="14"/>
      <c r="K925" s="38"/>
      <c r="L925" s="38"/>
      <c r="M925" s="17"/>
    </row>
    <row r="926" spans="2:13" ht="14.45" customHeight="1" x14ac:dyDescent="0.25">
      <c r="B926" s="17"/>
      <c r="C926" s="14"/>
      <c r="D926" s="14"/>
      <c r="E926" s="18"/>
      <c r="F926" s="61"/>
      <c r="G926" s="73"/>
      <c r="H926" s="79"/>
      <c r="I926" s="79"/>
      <c r="J926" s="14"/>
      <c r="K926" s="38"/>
      <c r="L926" s="38"/>
      <c r="M926" s="17"/>
    </row>
    <row r="927" spans="2:13" ht="14.45" customHeight="1" x14ac:dyDescent="0.25">
      <c r="B927" s="17"/>
      <c r="C927" s="14"/>
      <c r="D927" s="14"/>
      <c r="E927" s="18"/>
      <c r="F927" s="61"/>
      <c r="G927" s="73"/>
      <c r="H927" s="79"/>
      <c r="I927" s="79"/>
      <c r="J927" s="14"/>
      <c r="K927" s="38"/>
      <c r="L927" s="38"/>
      <c r="M927" s="17"/>
    </row>
    <row r="928" spans="2:13" ht="14.45" customHeight="1" x14ac:dyDescent="0.25">
      <c r="B928" s="17"/>
      <c r="C928" s="14"/>
      <c r="D928" s="14"/>
      <c r="E928" s="18"/>
      <c r="F928" s="61"/>
      <c r="G928" s="73"/>
      <c r="H928" s="79"/>
      <c r="I928" s="79"/>
      <c r="J928" s="14"/>
      <c r="K928" s="38"/>
      <c r="L928" s="38"/>
      <c r="M928" s="17"/>
    </row>
    <row r="929" spans="2:13" ht="14.45" customHeight="1" x14ac:dyDescent="0.25">
      <c r="B929" s="17"/>
      <c r="C929" s="14"/>
      <c r="D929" s="14"/>
      <c r="E929" s="18"/>
      <c r="F929" s="61"/>
      <c r="G929" s="73"/>
      <c r="H929" s="79"/>
      <c r="I929" s="79"/>
      <c r="J929" s="14"/>
      <c r="K929" s="38"/>
      <c r="L929" s="38"/>
      <c r="M929" s="17"/>
    </row>
    <row r="930" spans="2:13" ht="14.45" customHeight="1" x14ac:dyDescent="0.25">
      <c r="B930" s="17"/>
      <c r="C930" s="14"/>
      <c r="D930" s="14"/>
      <c r="E930" s="18"/>
      <c r="F930" s="61"/>
      <c r="G930" s="73"/>
      <c r="H930" s="79"/>
      <c r="I930" s="79"/>
      <c r="J930" s="14"/>
      <c r="K930" s="38"/>
      <c r="L930" s="38"/>
      <c r="M930" s="17"/>
    </row>
    <row r="931" spans="2:13" ht="14.45" customHeight="1" x14ac:dyDescent="0.25">
      <c r="B931" s="17"/>
      <c r="C931" s="14"/>
      <c r="D931" s="14"/>
      <c r="E931" s="18"/>
      <c r="F931" s="61"/>
      <c r="G931" s="73"/>
      <c r="H931" s="79"/>
      <c r="I931" s="79"/>
      <c r="J931" s="14"/>
      <c r="K931" s="38"/>
      <c r="L931" s="38"/>
      <c r="M931" s="17"/>
    </row>
    <row r="932" spans="2:13" ht="14.45" customHeight="1" x14ac:dyDescent="0.25">
      <c r="B932" s="17"/>
      <c r="C932" s="14"/>
      <c r="D932" s="14"/>
      <c r="E932" s="18"/>
      <c r="F932" s="61"/>
      <c r="G932" s="73"/>
      <c r="H932" s="79"/>
      <c r="I932" s="79"/>
      <c r="J932" s="14"/>
      <c r="K932" s="38"/>
      <c r="L932" s="38"/>
      <c r="M932" s="17"/>
    </row>
    <row r="933" spans="2:13" ht="14.45" customHeight="1" x14ac:dyDescent="0.25">
      <c r="B933" s="17"/>
      <c r="C933" s="14"/>
      <c r="D933" s="14"/>
      <c r="E933" s="18"/>
      <c r="F933" s="61"/>
      <c r="G933" s="73"/>
      <c r="H933" s="79"/>
      <c r="I933" s="79"/>
      <c r="J933" s="14"/>
      <c r="K933" s="38"/>
      <c r="L933" s="38"/>
      <c r="M933" s="17"/>
    </row>
    <row r="934" spans="2:13" ht="14.45" customHeight="1" x14ac:dyDescent="0.25">
      <c r="B934" s="17"/>
      <c r="C934" s="14"/>
      <c r="D934" s="14"/>
      <c r="E934" s="18"/>
      <c r="F934" s="61"/>
      <c r="G934" s="73"/>
      <c r="H934" s="79"/>
      <c r="I934" s="79"/>
      <c r="J934" s="14"/>
      <c r="K934" s="38"/>
      <c r="L934" s="38"/>
      <c r="M934" s="17"/>
    </row>
    <row r="935" spans="2:13" ht="14.45" customHeight="1" x14ac:dyDescent="0.25">
      <c r="B935" s="17"/>
      <c r="C935" s="14"/>
      <c r="D935" s="14"/>
      <c r="E935" s="18"/>
      <c r="F935" s="61"/>
      <c r="G935" s="73"/>
      <c r="H935" s="79"/>
      <c r="I935" s="79"/>
      <c r="J935" s="14"/>
      <c r="K935" s="38"/>
      <c r="L935" s="38"/>
      <c r="M935" s="17"/>
    </row>
    <row r="936" spans="2:13" ht="14.45" customHeight="1" x14ac:dyDescent="0.25">
      <c r="B936" s="17"/>
      <c r="C936" s="14"/>
      <c r="D936" s="14"/>
      <c r="E936" s="18"/>
      <c r="F936" s="61"/>
      <c r="G936" s="73"/>
      <c r="H936" s="79"/>
      <c r="I936" s="79"/>
      <c r="J936" s="14"/>
      <c r="K936" s="38"/>
      <c r="L936" s="38"/>
      <c r="M936" s="17"/>
    </row>
    <row r="937" spans="2:13" ht="14.45" customHeight="1" x14ac:dyDescent="0.25">
      <c r="B937" s="17"/>
      <c r="C937" s="14"/>
      <c r="D937" s="14"/>
      <c r="E937" s="18"/>
      <c r="F937" s="61"/>
      <c r="G937" s="73"/>
      <c r="H937" s="79"/>
      <c r="I937" s="79"/>
      <c r="J937" s="14"/>
      <c r="K937" s="38"/>
      <c r="L937" s="38"/>
      <c r="M937" s="17"/>
    </row>
    <row r="938" spans="2:13" ht="14.45" customHeight="1" x14ac:dyDescent="0.25">
      <c r="B938" s="17"/>
      <c r="C938" s="14"/>
      <c r="D938" s="14"/>
      <c r="E938" s="18"/>
      <c r="F938" s="61"/>
      <c r="G938" s="73"/>
      <c r="H938" s="79"/>
      <c r="I938" s="79"/>
      <c r="J938" s="14"/>
      <c r="K938" s="38"/>
      <c r="L938" s="38"/>
      <c r="M938" s="17"/>
    </row>
    <row r="939" spans="2:13" ht="14.45" customHeight="1" x14ac:dyDescent="0.25">
      <c r="B939" s="17"/>
      <c r="C939" s="14"/>
      <c r="D939" s="14"/>
      <c r="E939" s="18"/>
      <c r="F939" s="61"/>
      <c r="G939" s="73"/>
      <c r="H939" s="79"/>
      <c r="I939" s="79"/>
      <c r="J939" s="14"/>
      <c r="K939" s="38"/>
      <c r="L939" s="38"/>
      <c r="M939" s="17"/>
    </row>
    <row r="940" spans="2:13" ht="14.45" customHeight="1" x14ac:dyDescent="0.25">
      <c r="B940" s="17"/>
      <c r="C940" s="14"/>
      <c r="D940" s="14"/>
      <c r="E940" s="18"/>
      <c r="F940" s="61"/>
      <c r="G940" s="73"/>
      <c r="H940" s="79"/>
      <c r="I940" s="79"/>
      <c r="J940" s="14"/>
      <c r="K940" s="38"/>
      <c r="L940" s="38"/>
      <c r="M940" s="17"/>
    </row>
    <row r="941" spans="2:13" ht="14.45" customHeight="1" x14ac:dyDescent="0.25">
      <c r="B941" s="17"/>
      <c r="C941" s="14"/>
      <c r="D941" s="14"/>
      <c r="E941" s="18"/>
      <c r="F941" s="61"/>
      <c r="G941" s="73"/>
      <c r="H941" s="79"/>
      <c r="I941" s="79"/>
      <c r="J941" s="14"/>
      <c r="K941" s="38"/>
      <c r="L941" s="38"/>
      <c r="M941" s="17"/>
    </row>
    <row r="942" spans="2:13" ht="14.45" customHeight="1" x14ac:dyDescent="0.25">
      <c r="B942" s="17"/>
      <c r="C942" s="14"/>
      <c r="D942" s="14"/>
      <c r="E942" s="18"/>
      <c r="F942" s="61"/>
      <c r="G942" s="73"/>
      <c r="H942" s="79"/>
      <c r="I942" s="79"/>
      <c r="J942" s="14"/>
      <c r="K942" s="38"/>
      <c r="L942" s="38"/>
      <c r="M942" s="17"/>
    </row>
    <row r="943" spans="2:13" ht="14.45" customHeight="1" x14ac:dyDescent="0.25">
      <c r="B943" s="17"/>
      <c r="C943" s="14"/>
      <c r="D943" s="14"/>
      <c r="E943" s="18"/>
      <c r="F943" s="61"/>
      <c r="G943" s="73"/>
      <c r="H943" s="79"/>
      <c r="I943" s="79"/>
      <c r="J943" s="14"/>
      <c r="K943" s="38"/>
      <c r="L943" s="38"/>
      <c r="M943" s="17"/>
    </row>
    <row r="944" spans="2:13" ht="14.45" customHeight="1" x14ac:dyDescent="0.25">
      <c r="B944" s="17"/>
      <c r="C944" s="14"/>
      <c r="D944" s="14"/>
      <c r="E944" s="18"/>
      <c r="F944" s="61"/>
      <c r="G944" s="73"/>
      <c r="H944" s="79"/>
      <c r="I944" s="79"/>
      <c r="J944" s="14"/>
      <c r="K944" s="38"/>
      <c r="L944" s="38"/>
      <c r="M944" s="17"/>
    </row>
    <row r="945" spans="2:13" ht="14.45" customHeight="1" x14ac:dyDescent="0.25">
      <c r="B945" s="17"/>
      <c r="C945" s="14"/>
      <c r="D945" s="14"/>
      <c r="E945" s="18"/>
      <c r="F945" s="61"/>
      <c r="G945" s="73"/>
      <c r="H945" s="79"/>
      <c r="I945" s="79"/>
      <c r="J945" s="14"/>
      <c r="K945" s="38"/>
      <c r="L945" s="38"/>
      <c r="M945" s="17"/>
    </row>
    <row r="946" spans="2:13" ht="14.45" customHeight="1" x14ac:dyDescent="0.25">
      <c r="B946" s="17"/>
      <c r="C946" s="14"/>
      <c r="D946" s="14"/>
      <c r="E946" s="18"/>
      <c r="F946" s="61"/>
      <c r="G946" s="73"/>
      <c r="H946" s="79"/>
      <c r="I946" s="79"/>
      <c r="J946" s="14"/>
      <c r="K946" s="38"/>
      <c r="L946" s="38"/>
      <c r="M946" s="17"/>
    </row>
    <row r="947" spans="2:13" ht="14.45" customHeight="1" x14ac:dyDescent="0.25">
      <c r="B947" s="17"/>
      <c r="C947" s="14"/>
      <c r="D947" s="14"/>
      <c r="E947" s="18"/>
      <c r="F947" s="61"/>
      <c r="G947" s="73"/>
      <c r="H947" s="79"/>
      <c r="I947" s="79"/>
      <c r="J947" s="14"/>
      <c r="K947" s="38"/>
      <c r="L947" s="38"/>
      <c r="M947" s="17"/>
    </row>
    <row r="948" spans="2:13" ht="14.45" customHeight="1" x14ac:dyDescent="0.25">
      <c r="B948" s="17"/>
      <c r="C948" s="14"/>
      <c r="D948" s="14"/>
      <c r="E948" s="18"/>
      <c r="F948" s="61"/>
      <c r="G948" s="73"/>
      <c r="H948" s="79"/>
      <c r="I948" s="79"/>
      <c r="J948" s="14"/>
      <c r="K948" s="38"/>
      <c r="L948" s="38"/>
      <c r="M948" s="17"/>
    </row>
    <row r="949" spans="2:13" ht="14.45" customHeight="1" x14ac:dyDescent="0.25">
      <c r="B949" s="17"/>
      <c r="C949" s="14"/>
      <c r="D949" s="14"/>
      <c r="E949" s="18"/>
      <c r="F949" s="61"/>
      <c r="G949" s="73"/>
      <c r="H949" s="79"/>
      <c r="I949" s="79"/>
      <c r="J949" s="14"/>
      <c r="K949" s="38"/>
      <c r="L949" s="38"/>
      <c r="M949" s="17"/>
    </row>
    <row r="950" spans="2:13" ht="14.45" customHeight="1" x14ac:dyDescent="0.25">
      <c r="B950" s="17"/>
      <c r="C950" s="14"/>
      <c r="D950" s="14"/>
      <c r="E950" s="18"/>
      <c r="F950" s="61"/>
      <c r="G950" s="73"/>
      <c r="H950" s="79"/>
      <c r="I950" s="79"/>
      <c r="J950" s="14"/>
      <c r="K950" s="38"/>
      <c r="L950" s="38"/>
      <c r="M950" s="17"/>
    </row>
    <row r="951" spans="2:13" ht="14.45" customHeight="1" x14ac:dyDescent="0.25">
      <c r="B951" s="17"/>
      <c r="C951" s="14"/>
      <c r="D951" s="14"/>
      <c r="E951" s="18"/>
      <c r="F951" s="61"/>
      <c r="G951" s="73"/>
      <c r="H951" s="79"/>
      <c r="I951" s="79"/>
      <c r="J951" s="14"/>
      <c r="K951" s="38"/>
      <c r="L951" s="38"/>
      <c r="M951" s="17"/>
    </row>
    <row r="952" spans="2:13" ht="14.45" customHeight="1" x14ac:dyDescent="0.25">
      <c r="B952" s="17"/>
      <c r="C952" s="14"/>
      <c r="D952" s="14"/>
      <c r="E952" s="18"/>
      <c r="F952" s="61"/>
      <c r="G952" s="73"/>
      <c r="H952" s="79"/>
      <c r="I952" s="79"/>
      <c r="J952" s="14"/>
      <c r="K952" s="38"/>
      <c r="L952" s="38"/>
      <c r="M952" s="17"/>
    </row>
    <row r="953" spans="2:13" ht="14.45" customHeight="1" x14ac:dyDescent="0.25">
      <c r="B953" s="17"/>
      <c r="C953" s="14"/>
      <c r="D953" s="14"/>
      <c r="E953" s="18"/>
      <c r="F953" s="61"/>
      <c r="G953" s="73"/>
      <c r="H953" s="79"/>
      <c r="I953" s="79"/>
      <c r="J953" s="14"/>
      <c r="K953" s="38"/>
      <c r="L953" s="38"/>
      <c r="M953" s="17"/>
    </row>
    <row r="954" spans="2:13" ht="14.45" customHeight="1" x14ac:dyDescent="0.25">
      <c r="B954" s="17"/>
      <c r="C954" s="14"/>
      <c r="D954" s="14"/>
      <c r="E954" s="18"/>
      <c r="F954" s="61"/>
      <c r="G954" s="73"/>
      <c r="H954" s="79"/>
      <c r="I954" s="79"/>
      <c r="J954" s="14"/>
      <c r="K954" s="38"/>
      <c r="L954" s="38"/>
      <c r="M954" s="17"/>
    </row>
    <row r="955" spans="2:13" ht="14.45" customHeight="1" x14ac:dyDescent="0.25">
      <c r="B955" s="17"/>
      <c r="C955" s="14"/>
      <c r="D955" s="14"/>
      <c r="E955" s="18"/>
      <c r="F955" s="61"/>
      <c r="G955" s="73"/>
      <c r="H955" s="79"/>
      <c r="I955" s="79"/>
      <c r="J955" s="14"/>
      <c r="K955" s="38"/>
      <c r="L955" s="38"/>
      <c r="M955" s="17"/>
    </row>
    <row r="956" spans="2:13" ht="14.45" customHeight="1" x14ac:dyDescent="0.25">
      <c r="B956" s="17"/>
      <c r="C956" s="14"/>
      <c r="D956" s="14"/>
      <c r="E956" s="18"/>
      <c r="F956" s="61"/>
      <c r="G956" s="73"/>
      <c r="H956" s="79"/>
      <c r="I956" s="79"/>
      <c r="J956" s="14"/>
      <c r="K956" s="38"/>
      <c r="L956" s="38"/>
      <c r="M956" s="17"/>
    </row>
    <row r="957" spans="2:13" ht="14.45" customHeight="1" x14ac:dyDescent="0.25">
      <c r="B957" s="17"/>
      <c r="C957" s="14"/>
      <c r="D957" s="14"/>
      <c r="E957" s="18"/>
      <c r="F957" s="61"/>
      <c r="G957" s="73"/>
      <c r="H957" s="79"/>
      <c r="I957" s="79"/>
      <c r="J957" s="14"/>
      <c r="K957" s="38"/>
      <c r="L957" s="38"/>
      <c r="M957" s="17"/>
    </row>
    <row r="958" spans="2:13" ht="14.45" customHeight="1" x14ac:dyDescent="0.25">
      <c r="B958" s="17"/>
      <c r="C958" s="14"/>
      <c r="D958" s="14"/>
      <c r="E958" s="18"/>
      <c r="F958" s="61"/>
      <c r="G958" s="73"/>
      <c r="H958" s="79"/>
      <c r="I958" s="79"/>
      <c r="J958" s="14"/>
      <c r="K958" s="38"/>
      <c r="L958" s="38"/>
      <c r="M958" s="17"/>
    </row>
    <row r="959" spans="2:13" ht="14.45" customHeight="1" x14ac:dyDescent="0.25">
      <c r="B959" s="17"/>
      <c r="C959" s="14"/>
      <c r="D959" s="14"/>
      <c r="E959" s="18"/>
      <c r="F959" s="61"/>
      <c r="G959" s="73"/>
      <c r="H959" s="79"/>
      <c r="I959" s="79"/>
      <c r="J959" s="14"/>
      <c r="K959" s="38"/>
      <c r="L959" s="38"/>
      <c r="M959" s="17"/>
    </row>
    <row r="960" spans="2:13" ht="14.45" customHeight="1" x14ac:dyDescent="0.25">
      <c r="B960" s="17"/>
      <c r="C960" s="14"/>
      <c r="D960" s="14"/>
      <c r="E960" s="18"/>
      <c r="F960" s="61"/>
      <c r="G960" s="73"/>
      <c r="H960" s="79"/>
      <c r="I960" s="79"/>
      <c r="J960" s="14"/>
      <c r="K960" s="38"/>
      <c r="L960" s="38"/>
      <c r="M960" s="17"/>
    </row>
    <row r="961" spans="2:13" ht="14.45" customHeight="1" x14ac:dyDescent="0.25">
      <c r="B961" s="17"/>
      <c r="C961" s="14"/>
      <c r="D961" s="14"/>
      <c r="E961" s="18"/>
      <c r="F961" s="61"/>
      <c r="G961" s="73"/>
      <c r="H961" s="79"/>
      <c r="I961" s="79"/>
      <c r="J961" s="14"/>
      <c r="K961" s="38"/>
      <c r="L961" s="38"/>
      <c r="M961" s="17"/>
    </row>
    <row r="962" spans="2:13" ht="14.45" customHeight="1" x14ac:dyDescent="0.25">
      <c r="B962" s="17"/>
      <c r="C962" s="14"/>
      <c r="D962" s="14"/>
      <c r="E962" s="18"/>
      <c r="F962" s="61"/>
      <c r="G962" s="73"/>
      <c r="H962" s="79"/>
      <c r="I962" s="79"/>
      <c r="J962" s="14"/>
      <c r="K962" s="38"/>
      <c r="L962" s="38"/>
      <c r="M962" s="17"/>
    </row>
    <row r="963" spans="2:13" ht="14.45" customHeight="1" x14ac:dyDescent="0.25">
      <c r="B963" s="17"/>
      <c r="C963" s="14"/>
      <c r="D963" s="14"/>
      <c r="E963" s="18"/>
      <c r="F963" s="61"/>
      <c r="G963" s="73"/>
      <c r="H963" s="79"/>
      <c r="I963" s="79"/>
      <c r="J963" s="14"/>
      <c r="K963" s="38"/>
      <c r="L963" s="38"/>
      <c r="M963" s="17"/>
    </row>
    <row r="964" spans="2:13" ht="14.45" customHeight="1" x14ac:dyDescent="0.25">
      <c r="B964" s="17"/>
      <c r="C964" s="14"/>
      <c r="D964" s="14"/>
      <c r="E964" s="18"/>
      <c r="F964" s="61"/>
      <c r="G964" s="73"/>
      <c r="H964" s="79"/>
      <c r="I964" s="79"/>
      <c r="J964" s="14"/>
      <c r="K964" s="38"/>
      <c r="L964" s="38"/>
      <c r="M964" s="17"/>
    </row>
    <row r="965" spans="2:13" ht="14.45" customHeight="1" x14ac:dyDescent="0.25">
      <c r="B965" s="17"/>
      <c r="C965" s="14"/>
      <c r="D965" s="14"/>
      <c r="E965" s="18"/>
      <c r="F965" s="61"/>
      <c r="G965" s="73"/>
      <c r="H965" s="79"/>
      <c r="I965" s="79"/>
      <c r="J965" s="14"/>
      <c r="K965" s="38"/>
      <c r="L965" s="38"/>
      <c r="M965" s="17"/>
    </row>
    <row r="966" spans="2:13" ht="14.45" customHeight="1" x14ac:dyDescent="0.25">
      <c r="B966" s="17"/>
      <c r="C966" s="14"/>
      <c r="D966" s="14"/>
      <c r="E966" s="18"/>
      <c r="F966" s="61"/>
      <c r="G966" s="73"/>
      <c r="H966" s="79"/>
      <c r="I966" s="79"/>
      <c r="J966" s="14"/>
      <c r="K966" s="38"/>
      <c r="L966" s="38"/>
      <c r="M966" s="17"/>
    </row>
    <row r="967" spans="2:13" ht="14.45" customHeight="1" x14ac:dyDescent="0.25">
      <c r="B967" s="17"/>
      <c r="C967" s="14"/>
      <c r="D967" s="14"/>
      <c r="E967" s="18"/>
      <c r="F967" s="61"/>
      <c r="G967" s="73"/>
      <c r="H967" s="79"/>
      <c r="I967" s="79"/>
      <c r="J967" s="14"/>
      <c r="K967" s="38"/>
      <c r="L967" s="38"/>
      <c r="M967" s="17"/>
    </row>
    <row r="968" spans="2:13" ht="14.45" customHeight="1" x14ac:dyDescent="0.25">
      <c r="B968" s="17"/>
      <c r="C968" s="14"/>
      <c r="D968" s="14"/>
      <c r="E968" s="18"/>
      <c r="F968" s="61"/>
      <c r="G968" s="73"/>
      <c r="H968" s="79"/>
      <c r="I968" s="79"/>
      <c r="J968" s="14"/>
      <c r="K968" s="38"/>
      <c r="L968" s="38"/>
      <c r="M968" s="17"/>
    </row>
    <row r="969" spans="2:13" ht="14.45" customHeight="1" x14ac:dyDescent="0.25">
      <c r="B969" s="17"/>
      <c r="C969" s="14"/>
      <c r="D969" s="14"/>
      <c r="E969" s="18"/>
      <c r="F969" s="61"/>
      <c r="G969" s="73"/>
      <c r="H969" s="79"/>
      <c r="I969" s="79"/>
      <c r="J969" s="14"/>
      <c r="K969" s="38"/>
      <c r="L969" s="38"/>
      <c r="M969" s="17"/>
    </row>
    <row r="970" spans="2:13" ht="14.45" customHeight="1" x14ac:dyDescent="0.25">
      <c r="B970" s="17"/>
      <c r="C970" s="14"/>
      <c r="D970" s="14"/>
      <c r="E970" s="18"/>
      <c r="F970" s="61"/>
      <c r="G970" s="73"/>
      <c r="H970" s="79"/>
      <c r="I970" s="79"/>
      <c r="J970" s="14"/>
      <c r="K970" s="38"/>
      <c r="L970" s="38"/>
      <c r="M970" s="17"/>
    </row>
    <row r="971" spans="2:13" ht="14.45" customHeight="1" x14ac:dyDescent="0.25">
      <c r="B971" s="17"/>
      <c r="C971" s="14"/>
      <c r="D971" s="14"/>
      <c r="E971" s="18"/>
      <c r="F971" s="61"/>
      <c r="G971" s="73"/>
      <c r="H971" s="79"/>
      <c r="I971" s="79"/>
      <c r="J971" s="14"/>
      <c r="K971" s="38"/>
      <c r="L971" s="38"/>
      <c r="M971" s="17"/>
    </row>
    <row r="972" spans="2:13" ht="14.45" customHeight="1" x14ac:dyDescent="0.25">
      <c r="B972" s="17"/>
      <c r="C972" s="14"/>
      <c r="D972" s="14"/>
      <c r="E972" s="18"/>
      <c r="F972" s="61"/>
      <c r="G972" s="73"/>
      <c r="H972" s="79"/>
      <c r="I972" s="79"/>
      <c r="J972" s="14"/>
      <c r="K972" s="38"/>
      <c r="L972" s="38"/>
      <c r="M972" s="17"/>
    </row>
    <row r="973" spans="2:13" ht="14.45" customHeight="1" x14ac:dyDescent="0.25">
      <c r="B973" s="17"/>
      <c r="C973" s="14"/>
      <c r="D973" s="14"/>
      <c r="E973" s="18"/>
      <c r="F973" s="61"/>
      <c r="G973" s="73"/>
      <c r="H973" s="79"/>
      <c r="I973" s="79"/>
      <c r="J973" s="14"/>
      <c r="K973" s="38"/>
      <c r="L973" s="38"/>
      <c r="M973" s="17"/>
    </row>
    <row r="974" spans="2:13" ht="14.45" customHeight="1" x14ac:dyDescent="0.25">
      <c r="B974" s="17"/>
      <c r="C974" s="14"/>
      <c r="D974" s="14"/>
      <c r="E974" s="18"/>
      <c r="F974" s="61"/>
      <c r="G974" s="73"/>
      <c r="H974" s="79"/>
      <c r="I974" s="79"/>
      <c r="J974" s="14"/>
      <c r="K974" s="38"/>
      <c r="L974" s="38"/>
      <c r="M974" s="17"/>
    </row>
    <row r="975" spans="2:13" ht="14.45" customHeight="1" x14ac:dyDescent="0.25">
      <c r="B975" s="17"/>
      <c r="C975" s="14"/>
      <c r="D975" s="14"/>
      <c r="E975" s="18"/>
      <c r="F975" s="61"/>
      <c r="G975" s="73"/>
      <c r="H975" s="79"/>
      <c r="I975" s="79"/>
      <c r="J975" s="14"/>
      <c r="K975" s="38"/>
      <c r="L975" s="38"/>
      <c r="M975" s="17"/>
    </row>
    <row r="976" spans="2:13" ht="14.45" customHeight="1" x14ac:dyDescent="0.25">
      <c r="B976" s="17"/>
      <c r="C976" s="14"/>
      <c r="D976" s="14"/>
      <c r="E976" s="18"/>
      <c r="F976" s="61"/>
      <c r="G976" s="73"/>
      <c r="H976" s="79"/>
      <c r="I976" s="79"/>
      <c r="J976" s="14"/>
      <c r="K976" s="38"/>
      <c r="L976" s="38"/>
      <c r="M976" s="17"/>
    </row>
    <row r="977" spans="2:13" ht="14.45" customHeight="1" x14ac:dyDescent="0.25">
      <c r="B977" s="17"/>
      <c r="C977" s="14"/>
      <c r="D977" s="14"/>
      <c r="E977" s="18"/>
      <c r="F977" s="61"/>
      <c r="G977" s="73"/>
      <c r="H977" s="79"/>
      <c r="I977" s="79"/>
      <c r="J977" s="14"/>
      <c r="K977" s="38"/>
      <c r="L977" s="38"/>
      <c r="M977" s="17"/>
    </row>
    <row r="978" spans="2:13" ht="14.45" customHeight="1" x14ac:dyDescent="0.25">
      <c r="B978" s="17"/>
      <c r="C978" s="14"/>
      <c r="D978" s="14"/>
      <c r="E978" s="18"/>
      <c r="F978" s="61"/>
      <c r="G978" s="73"/>
      <c r="H978" s="79"/>
      <c r="I978" s="79"/>
      <c r="J978" s="14"/>
      <c r="K978" s="38"/>
      <c r="L978" s="38"/>
      <c r="M978" s="17"/>
    </row>
    <row r="979" spans="2:13" ht="14.45" customHeight="1" x14ac:dyDescent="0.25">
      <c r="B979" s="17"/>
      <c r="C979" s="14"/>
      <c r="D979" s="14"/>
      <c r="E979" s="18"/>
      <c r="F979" s="61"/>
      <c r="G979" s="73"/>
      <c r="H979" s="79"/>
      <c r="I979" s="79"/>
      <c r="J979" s="14"/>
      <c r="K979" s="38"/>
      <c r="L979" s="38"/>
      <c r="M979" s="17"/>
    </row>
    <row r="980" spans="2:13" ht="14.45" customHeight="1" x14ac:dyDescent="0.25">
      <c r="B980" s="17"/>
      <c r="C980" s="14"/>
      <c r="D980" s="14"/>
      <c r="E980" s="18"/>
      <c r="F980" s="61"/>
      <c r="G980" s="73"/>
      <c r="H980" s="79"/>
      <c r="I980" s="79"/>
      <c r="J980" s="14"/>
      <c r="K980" s="38"/>
      <c r="L980" s="38"/>
      <c r="M980" s="17"/>
    </row>
    <row r="981" spans="2:13" ht="14.45" customHeight="1" x14ac:dyDescent="0.25">
      <c r="B981" s="17"/>
      <c r="C981" s="14"/>
      <c r="D981" s="14"/>
      <c r="E981" s="18"/>
      <c r="F981" s="61"/>
      <c r="G981" s="73"/>
      <c r="H981" s="79"/>
      <c r="I981" s="79"/>
      <c r="J981" s="14"/>
      <c r="K981" s="38"/>
      <c r="L981" s="38"/>
      <c r="M981" s="17"/>
    </row>
    <row r="982" spans="2:13" ht="14.45" customHeight="1" x14ac:dyDescent="0.25">
      <c r="B982" s="17"/>
      <c r="C982" s="14"/>
      <c r="D982" s="14"/>
      <c r="E982" s="18"/>
      <c r="F982" s="61"/>
      <c r="G982" s="73"/>
      <c r="H982" s="79"/>
      <c r="I982" s="79"/>
      <c r="J982" s="14"/>
      <c r="K982" s="38"/>
      <c r="L982" s="38"/>
      <c r="M982" s="17"/>
    </row>
    <row r="983" spans="2:13" ht="14.45" customHeight="1" x14ac:dyDescent="0.25">
      <c r="B983" s="17"/>
      <c r="C983" s="14"/>
      <c r="D983" s="14"/>
      <c r="E983" s="18"/>
      <c r="F983" s="61"/>
      <c r="G983" s="73"/>
      <c r="H983" s="79"/>
      <c r="I983" s="79"/>
      <c r="J983" s="14"/>
      <c r="K983" s="38"/>
      <c r="L983" s="38"/>
      <c r="M983" s="17"/>
    </row>
    <row r="984" spans="2:13" ht="14.45" customHeight="1" x14ac:dyDescent="0.25">
      <c r="B984" s="17"/>
      <c r="C984" s="14"/>
      <c r="D984" s="14"/>
      <c r="E984" s="18"/>
      <c r="F984" s="61"/>
      <c r="G984" s="73"/>
      <c r="H984" s="79"/>
      <c r="I984" s="79"/>
      <c r="J984" s="14"/>
      <c r="K984" s="38"/>
      <c r="L984" s="38"/>
      <c r="M984" s="17"/>
    </row>
    <row r="985" spans="2:13" ht="14.45" customHeight="1" x14ac:dyDescent="0.25">
      <c r="B985" s="17"/>
      <c r="C985" s="14"/>
      <c r="D985" s="14"/>
      <c r="E985" s="18"/>
      <c r="F985" s="61"/>
      <c r="G985" s="73"/>
      <c r="H985" s="79"/>
      <c r="I985" s="79"/>
      <c r="J985" s="14"/>
      <c r="K985" s="38"/>
      <c r="L985" s="38"/>
      <c r="M985" s="17"/>
    </row>
    <row r="986" spans="2:13" ht="14.45" customHeight="1" x14ac:dyDescent="0.25">
      <c r="B986" s="17"/>
      <c r="C986" s="14"/>
      <c r="D986" s="14"/>
      <c r="E986" s="18"/>
      <c r="F986" s="61"/>
      <c r="G986" s="73"/>
      <c r="H986" s="79"/>
      <c r="I986" s="79"/>
      <c r="J986" s="14"/>
      <c r="K986" s="38"/>
      <c r="L986" s="38"/>
      <c r="M986" s="17"/>
    </row>
    <row r="987" spans="2:13" ht="14.45" customHeight="1" x14ac:dyDescent="0.25">
      <c r="B987" s="17"/>
      <c r="C987" s="14"/>
      <c r="D987" s="14"/>
      <c r="E987" s="18"/>
      <c r="F987" s="61"/>
      <c r="G987" s="73"/>
      <c r="H987" s="79"/>
      <c r="I987" s="79"/>
      <c r="J987" s="14"/>
      <c r="K987" s="38"/>
      <c r="L987" s="38"/>
      <c r="M987" s="17"/>
    </row>
    <row r="988" spans="2:13" ht="14.45" customHeight="1" x14ac:dyDescent="0.25">
      <c r="B988" s="17"/>
      <c r="C988" s="14"/>
      <c r="D988" s="14"/>
      <c r="E988" s="18"/>
      <c r="F988" s="61"/>
      <c r="G988" s="73"/>
      <c r="H988" s="79"/>
      <c r="I988" s="79"/>
      <c r="J988" s="14"/>
      <c r="K988" s="38"/>
      <c r="L988" s="38"/>
      <c r="M988" s="17"/>
    </row>
    <row r="989" spans="2:13" ht="14.45" customHeight="1" x14ac:dyDescent="0.25">
      <c r="B989" s="17"/>
      <c r="C989" s="14"/>
      <c r="D989" s="14"/>
      <c r="E989" s="18"/>
      <c r="F989" s="61"/>
      <c r="G989" s="73"/>
      <c r="H989" s="79"/>
      <c r="I989" s="79"/>
      <c r="J989" s="14"/>
      <c r="K989" s="38"/>
      <c r="L989" s="38"/>
      <c r="M989" s="17"/>
    </row>
    <row r="990" spans="2:13" ht="14.45" customHeight="1" x14ac:dyDescent="0.25">
      <c r="B990" s="17"/>
      <c r="C990" s="14"/>
      <c r="D990" s="14"/>
      <c r="E990" s="18"/>
      <c r="F990" s="61"/>
      <c r="G990" s="73"/>
      <c r="H990" s="79"/>
      <c r="I990" s="79"/>
      <c r="J990" s="14"/>
      <c r="K990" s="38"/>
      <c r="L990" s="38"/>
      <c r="M990" s="17"/>
    </row>
    <row r="991" spans="2:13" ht="14.45" customHeight="1" x14ac:dyDescent="0.25">
      <c r="B991" s="17"/>
      <c r="C991" s="14"/>
      <c r="D991" s="14"/>
      <c r="E991" s="18"/>
      <c r="F991" s="61"/>
      <c r="G991" s="73"/>
      <c r="H991" s="79"/>
      <c r="I991" s="79"/>
      <c r="J991" s="14"/>
      <c r="K991" s="38"/>
      <c r="L991" s="38"/>
      <c r="M991" s="17"/>
    </row>
    <row r="992" spans="2:13" ht="14.45" customHeight="1" x14ac:dyDescent="0.25">
      <c r="B992" s="17"/>
      <c r="C992" s="14"/>
      <c r="D992" s="14"/>
      <c r="E992" s="18"/>
      <c r="F992" s="61"/>
      <c r="G992" s="73"/>
      <c r="H992" s="79"/>
      <c r="I992" s="79"/>
      <c r="J992" s="14"/>
      <c r="K992" s="38"/>
      <c r="L992" s="38"/>
      <c r="M992" s="17"/>
    </row>
    <row r="993" spans="2:13" ht="14.45" customHeight="1" x14ac:dyDescent="0.25">
      <c r="B993" s="17"/>
      <c r="C993" s="14"/>
      <c r="D993" s="14"/>
      <c r="E993" s="18"/>
      <c r="F993" s="61"/>
      <c r="G993" s="73"/>
      <c r="H993" s="79"/>
      <c r="I993" s="79"/>
      <c r="J993" s="14"/>
      <c r="K993" s="38"/>
      <c r="L993" s="38"/>
      <c r="M993" s="17"/>
    </row>
    <row r="994" spans="2:13" ht="14.45" customHeight="1" x14ac:dyDescent="0.25">
      <c r="B994" s="17"/>
      <c r="C994" s="14"/>
      <c r="D994" s="14"/>
      <c r="E994" s="18"/>
      <c r="F994" s="61"/>
      <c r="G994" s="73"/>
      <c r="H994" s="79"/>
      <c r="I994" s="79"/>
      <c r="J994" s="14"/>
      <c r="K994" s="38"/>
      <c r="L994" s="38"/>
      <c r="M994" s="17"/>
    </row>
    <row r="995" spans="2:13" ht="14.45" customHeight="1" x14ac:dyDescent="0.25">
      <c r="B995" s="17"/>
      <c r="C995" s="14"/>
      <c r="D995" s="14"/>
      <c r="E995" s="18"/>
      <c r="F995" s="61"/>
      <c r="G995" s="73"/>
      <c r="H995" s="79"/>
      <c r="I995" s="79"/>
      <c r="J995" s="14"/>
      <c r="K995" s="38"/>
      <c r="L995" s="38"/>
      <c r="M995" s="17"/>
    </row>
    <row r="996" spans="2:13" ht="14.45" customHeight="1" x14ac:dyDescent="0.25">
      <c r="B996" s="17"/>
      <c r="C996" s="14"/>
      <c r="D996" s="14"/>
      <c r="E996" s="18"/>
      <c r="F996" s="61"/>
      <c r="G996" s="73"/>
      <c r="H996" s="79"/>
      <c r="I996" s="79"/>
      <c r="J996" s="14"/>
      <c r="K996" s="38"/>
      <c r="L996" s="38"/>
      <c r="M996" s="17"/>
    </row>
    <row r="997" spans="2:13" ht="14.45" customHeight="1" x14ac:dyDescent="0.25">
      <c r="B997" s="17"/>
      <c r="C997" s="14"/>
      <c r="D997" s="14"/>
      <c r="E997" s="18"/>
      <c r="F997" s="61"/>
      <c r="G997" s="73"/>
      <c r="H997" s="79"/>
      <c r="I997" s="79"/>
      <c r="J997" s="14"/>
      <c r="K997" s="38"/>
      <c r="L997" s="38"/>
      <c r="M997" s="17"/>
    </row>
    <row r="998" spans="2:13" ht="14.45" customHeight="1" x14ac:dyDescent="0.25">
      <c r="B998" s="17"/>
      <c r="C998" s="14"/>
      <c r="D998" s="14"/>
      <c r="E998" s="18"/>
      <c r="F998" s="61"/>
      <c r="G998" s="73"/>
      <c r="H998" s="79"/>
      <c r="I998" s="79"/>
      <c r="J998" s="14"/>
      <c r="K998" s="38"/>
      <c r="L998" s="38"/>
      <c r="M998" s="17"/>
    </row>
    <row r="999" spans="2:13" ht="14.45" customHeight="1" x14ac:dyDescent="0.25">
      <c r="B999" s="17"/>
      <c r="C999" s="14"/>
      <c r="D999" s="14"/>
      <c r="E999" s="18"/>
      <c r="F999" s="61"/>
      <c r="G999" s="73"/>
      <c r="H999" s="79"/>
      <c r="I999" s="79"/>
      <c r="J999" s="14"/>
      <c r="K999" s="38"/>
      <c r="L999" s="38"/>
      <c r="M999" s="17"/>
    </row>
    <row r="1000" spans="2:13" ht="14.45" customHeight="1" x14ac:dyDescent="0.25">
      <c r="B1000" s="17"/>
      <c r="C1000" s="14"/>
      <c r="D1000" s="14"/>
      <c r="E1000" s="18"/>
      <c r="F1000" s="61"/>
      <c r="G1000" s="73"/>
      <c r="H1000" s="79"/>
      <c r="I1000" s="79"/>
      <c r="J1000" s="14"/>
      <c r="K1000" s="38"/>
      <c r="L1000" s="38"/>
      <c r="M1000" s="17"/>
    </row>
  </sheetData>
  <sheetProtection algorithmName="SHA-512" hashValue="GCxzBfB1VitTMqUmkzUnJo42qq1TEUOsHs+0aoig8ewNw2h4yeXZoxAMhLNyPufI1bfXbszY/ydk9aoWHWUaUQ==" saltValue="opwH5CqL8O+ywqmOIoDEfw==" spinCount="100000" sheet="1" objects="1" scenarios="1"/>
  <mergeCells count="2">
    <mergeCell ref="C10:F10"/>
    <mergeCell ref="H10:I10"/>
  </mergeCells>
  <conditionalFormatting sqref="M10 H10">
    <cfRule type="cellIs" dxfId="153" priority="2" operator="greaterThanOrEqual">
      <formula>6750</formula>
    </cfRule>
  </conditionalFormatting>
  <conditionalFormatting sqref="K13:K1000">
    <cfRule type="cellIs" dxfId="152" priority="1" operator="lessThan">
      <formula>0</formula>
    </cfRule>
  </conditionalFormatting>
  <dataValidations count="1">
    <dataValidation type="list" allowBlank="1" showInputMessage="1" showErrorMessage="1" sqref="H13:H1000" xr:uid="{8FEBDC98-EF2D-404D-8982-AF5815DABF90}">
      <formula1>"Ativa,Cancelada"</formula1>
    </dataValidation>
  </dataValidations>
  <printOptions horizontalCentered="1"/>
  <pageMargins left="0.19685039370078741" right="0.19685039370078741" top="0.39370078740157483" bottom="0.78740157480314965" header="0.31496062992125984" footer="0.31496062992125984"/>
  <pageSetup paperSize="9" scale="54" fitToHeight="50" orientation="portrait" r:id="rId1"/>
  <headerFooter>
    <oddHeader>&amp;L&amp;"Calibri"&amp;12&amp;K008000 Documento Público&amp;1#_x000D_</oddHeader>
    <oddFooter>Página &amp;P de &amp;N</oddFooter>
  </headerFooter>
  <rowBreaks count="1" manualBreakCount="1">
    <brk id="63" min="1" max="5" man="1"/>
  </rowBreaks>
  <drawing r:id="rId2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AFE6E-C8D9-4440-A503-1AE5AFA5074B}">
  <sheetPr codeName="Planilha10">
    <tabColor theme="8" tint="-0.499984740745262"/>
    <pageSetUpPr fitToPage="1"/>
  </sheetPr>
  <dimension ref="A1:Q1000"/>
  <sheetViews>
    <sheetView showGridLines="0" showRowColHeaders="0" zoomScaleNormal="100" workbookViewId="0">
      <pane ySplit="12" topLeftCell="A13" activePane="bottomLeft" state="frozen"/>
      <selection activeCell="D23" sqref="D23"/>
      <selection pane="bottomLeft" activeCell="H10" sqref="H10:I10"/>
    </sheetView>
  </sheetViews>
  <sheetFormatPr defaultColWidth="0" defaultRowHeight="14.45" customHeight="1" x14ac:dyDescent="0.25"/>
  <cols>
    <col min="1" max="1" width="1.7109375" customWidth="1"/>
    <col min="2" max="2" width="15.28515625" customWidth="1"/>
    <col min="3" max="3" width="35.85546875" customWidth="1"/>
    <col min="4" max="4" width="20.7109375" customWidth="1"/>
    <col min="5" max="5" width="42.28515625" customWidth="1"/>
    <col min="6" max="6" width="25.7109375" customWidth="1"/>
    <col min="7" max="7" width="12.28515625" bestFit="1" customWidth="1"/>
    <col min="8" max="8" width="12.28515625" customWidth="1"/>
    <col min="9" max="9" width="21.42578125" bestFit="1" customWidth="1"/>
    <col min="10" max="10" width="16.140625" customWidth="1"/>
    <col min="11" max="11" width="13" customWidth="1"/>
    <col min="12" max="12" width="11.28515625" customWidth="1"/>
    <col min="13" max="13" width="18.28515625" customWidth="1"/>
    <col min="14" max="14" width="5.7109375" customWidth="1"/>
    <col min="15" max="15" width="25" hidden="1" customWidth="1"/>
    <col min="16" max="16" width="6.7109375" hidden="1" customWidth="1"/>
    <col min="17" max="17" width="3.85546875" hidden="1" customWidth="1"/>
    <col min="18" max="16384" width="8.85546875" hidden="1"/>
  </cols>
  <sheetData>
    <row r="1" spans="2:13" ht="15" x14ac:dyDescent="0.25"/>
    <row r="2" spans="2:13" ht="15" x14ac:dyDescent="0.25"/>
    <row r="3" spans="2:13" ht="15" x14ac:dyDescent="0.25">
      <c r="J3" s="9" t="str">
        <f>IF(H10&gt;=6750,"ATENÇÃO: Você atingiu o limite de faturamento mensal de R$ 6.750,00",IF(H10&gt;=6000,"O limite de faturamento mensal de R$ 6.750,00 está quase sendo atingido.",""))</f>
        <v/>
      </c>
    </row>
    <row r="4" spans="2:13" ht="1.9" customHeight="1" x14ac:dyDescent="0.25"/>
    <row r="5" spans="2:13" s="1" customFormat="1" ht="4.9000000000000004" customHeight="1" x14ac:dyDescent="0.25"/>
    <row r="6" spans="2:13" ht="3" customHeight="1" x14ac:dyDescent="0.25"/>
    <row r="7" spans="2:13" s="1" customFormat="1" ht="4.9000000000000004" customHeight="1" x14ac:dyDescent="0.25"/>
    <row r="8" spans="2:13" ht="1.9" customHeight="1" x14ac:dyDescent="0.25"/>
    <row r="9" spans="2:13" ht="30" customHeight="1" x14ac:dyDescent="0.25"/>
    <row r="10" spans="2:13" ht="34.9" customHeight="1" x14ac:dyDescent="0.25">
      <c r="B10" s="4" t="s">
        <v>0</v>
      </c>
      <c r="C10" s="94" t="str">
        <f>Menu!G26</f>
        <v>Empresa ABCDE</v>
      </c>
      <c r="D10" s="95"/>
      <c r="E10" s="95"/>
      <c r="F10" s="95"/>
      <c r="G10" s="87"/>
      <c r="H10" s="93">
        <f>SUMIF(JUN[Status Nota Fiscal],"Ativa",JUN[Valor da Parcela a Receber])</f>
        <v>0</v>
      </c>
      <c r="I10" s="93"/>
      <c r="J10" s="85"/>
      <c r="M10" s="86"/>
    </row>
    <row r="11" spans="2:13" ht="4.9000000000000004" customHeight="1" x14ac:dyDescent="0.25"/>
    <row r="12" spans="2:13" ht="30" customHeight="1" x14ac:dyDescent="0.25">
      <c r="B12" s="5" t="s">
        <v>2</v>
      </c>
      <c r="C12" s="6" t="s">
        <v>3</v>
      </c>
      <c r="D12" s="6" t="s">
        <v>4</v>
      </c>
      <c r="E12" s="6" t="s">
        <v>5</v>
      </c>
      <c r="F12" s="7" t="s">
        <v>6</v>
      </c>
      <c r="G12" s="7" t="s">
        <v>7</v>
      </c>
      <c r="H12" s="7" t="s">
        <v>8</v>
      </c>
      <c r="I12" s="7" t="s">
        <v>9</v>
      </c>
      <c r="J12" s="7" t="s">
        <v>10</v>
      </c>
      <c r="K12" s="7" t="s">
        <v>11</v>
      </c>
      <c r="L12" s="7" t="s">
        <v>12</v>
      </c>
      <c r="M12" s="8" t="s">
        <v>13</v>
      </c>
    </row>
    <row r="13" spans="2:13" ht="14.45" customHeight="1" x14ac:dyDescent="0.25">
      <c r="B13" s="24"/>
      <c r="C13" s="25"/>
      <c r="D13" s="25"/>
      <c r="E13" s="25"/>
      <c r="F13" s="26"/>
      <c r="G13" s="62"/>
      <c r="H13" s="62"/>
      <c r="I13" s="62"/>
      <c r="J13" s="27"/>
      <c r="K13" s="28"/>
      <c r="L13" s="28"/>
      <c r="M13" s="29"/>
    </row>
    <row r="14" spans="2:13" ht="14.45" customHeight="1" x14ac:dyDescent="0.25">
      <c r="B14" s="30"/>
      <c r="C14" s="31"/>
      <c r="D14" s="31"/>
      <c r="E14" s="31"/>
      <c r="F14" s="32"/>
      <c r="G14" s="63"/>
      <c r="H14" s="63"/>
      <c r="I14" s="63"/>
      <c r="J14" s="33"/>
      <c r="K14" s="34"/>
      <c r="L14" s="34"/>
      <c r="M14" s="35"/>
    </row>
    <row r="15" spans="2:13" ht="14.45" customHeight="1" x14ac:dyDescent="0.25">
      <c r="B15" s="36"/>
      <c r="C15" s="14"/>
      <c r="D15" s="14"/>
      <c r="E15" s="18"/>
      <c r="F15" s="20"/>
      <c r="G15" s="64"/>
      <c r="H15" s="68"/>
      <c r="I15" s="68"/>
      <c r="J15" s="37"/>
      <c r="K15" s="38"/>
      <c r="L15" s="38"/>
      <c r="M15" s="36"/>
    </row>
    <row r="16" spans="2:13" ht="14.45" customHeight="1" x14ac:dyDescent="0.25">
      <c r="B16" s="17"/>
      <c r="C16" s="14"/>
      <c r="D16" s="14"/>
      <c r="E16" s="18"/>
      <c r="F16" s="20"/>
      <c r="G16" s="64"/>
      <c r="H16" s="68"/>
      <c r="I16" s="68"/>
      <c r="J16" s="15"/>
      <c r="K16" s="38"/>
      <c r="L16" s="38"/>
      <c r="M16" s="17"/>
    </row>
    <row r="17" spans="2:13" ht="14.45" customHeight="1" x14ac:dyDescent="0.25">
      <c r="B17" s="17"/>
      <c r="C17" s="14"/>
      <c r="D17" s="14"/>
      <c r="E17" s="18"/>
      <c r="F17" s="20"/>
      <c r="G17" s="64"/>
      <c r="H17" s="68"/>
      <c r="I17" s="68"/>
      <c r="J17" s="15"/>
      <c r="K17" s="38"/>
      <c r="L17" s="38"/>
      <c r="M17" s="17"/>
    </row>
    <row r="18" spans="2:13" ht="14.45" customHeight="1" x14ac:dyDescent="0.25">
      <c r="B18" s="17"/>
      <c r="C18" s="14"/>
      <c r="D18" s="14"/>
      <c r="E18" s="18"/>
      <c r="F18" s="20"/>
      <c r="G18" s="64"/>
      <c r="H18" s="68"/>
      <c r="I18" s="68"/>
      <c r="J18" s="15"/>
      <c r="K18" s="38"/>
      <c r="L18" s="38"/>
      <c r="M18" s="17"/>
    </row>
    <row r="19" spans="2:13" ht="14.45" customHeight="1" x14ac:dyDescent="0.25">
      <c r="B19" s="17"/>
      <c r="C19" s="14"/>
      <c r="D19" s="14"/>
      <c r="E19" s="18"/>
      <c r="F19" s="20"/>
      <c r="G19" s="64"/>
      <c r="H19" s="68"/>
      <c r="I19" s="68"/>
      <c r="J19" s="15"/>
      <c r="K19" s="38"/>
      <c r="L19" s="38"/>
      <c r="M19" s="17"/>
    </row>
    <row r="20" spans="2:13" ht="14.45" customHeight="1" x14ac:dyDescent="0.25">
      <c r="B20" s="17"/>
      <c r="C20" s="14"/>
      <c r="D20" s="14"/>
      <c r="E20" s="18"/>
      <c r="F20" s="20"/>
      <c r="G20" s="64"/>
      <c r="H20" s="68"/>
      <c r="I20" s="68"/>
      <c r="J20" s="15"/>
      <c r="K20" s="38"/>
      <c r="L20" s="38"/>
      <c r="M20" s="17"/>
    </row>
    <row r="21" spans="2:13" ht="14.45" customHeight="1" x14ac:dyDescent="0.25">
      <c r="B21" s="17"/>
      <c r="C21" s="14"/>
      <c r="D21" s="14"/>
      <c r="E21" s="18"/>
      <c r="F21" s="20"/>
      <c r="G21" s="64"/>
      <c r="H21" s="68"/>
      <c r="I21" s="68"/>
      <c r="J21" s="15"/>
      <c r="K21" s="38"/>
      <c r="L21" s="38"/>
      <c r="M21" s="17"/>
    </row>
    <row r="22" spans="2:13" ht="14.45" customHeight="1" x14ac:dyDescent="0.25">
      <c r="B22" s="17"/>
      <c r="C22" s="14"/>
      <c r="D22" s="14"/>
      <c r="E22" s="18"/>
      <c r="F22" s="20"/>
      <c r="G22" s="64"/>
      <c r="H22" s="68"/>
      <c r="I22" s="68"/>
      <c r="J22" s="15"/>
      <c r="K22" s="38"/>
      <c r="L22" s="38"/>
      <c r="M22" s="17"/>
    </row>
    <row r="23" spans="2:13" ht="14.45" customHeight="1" x14ac:dyDescent="0.25">
      <c r="B23" s="17"/>
      <c r="C23" s="14"/>
      <c r="D23" s="14"/>
      <c r="E23" s="18"/>
      <c r="F23" s="20"/>
      <c r="G23" s="64"/>
      <c r="H23" s="68"/>
      <c r="I23" s="68"/>
      <c r="J23" s="15"/>
      <c r="K23" s="38"/>
      <c r="L23" s="38"/>
      <c r="M23" s="17"/>
    </row>
    <row r="24" spans="2:13" ht="14.45" customHeight="1" x14ac:dyDescent="0.25">
      <c r="B24" s="17"/>
      <c r="C24" s="14"/>
      <c r="D24" s="14"/>
      <c r="E24" s="18"/>
      <c r="F24" s="20"/>
      <c r="G24" s="64"/>
      <c r="H24" s="68"/>
      <c r="I24" s="68"/>
      <c r="J24" s="15"/>
      <c r="K24" s="38"/>
      <c r="L24" s="38"/>
      <c r="M24" s="17"/>
    </row>
    <row r="25" spans="2:13" ht="14.45" customHeight="1" x14ac:dyDescent="0.25">
      <c r="B25" s="17"/>
      <c r="C25" s="14"/>
      <c r="D25" s="14"/>
      <c r="E25" s="18"/>
      <c r="F25" s="20"/>
      <c r="G25" s="64"/>
      <c r="H25" s="68"/>
      <c r="I25" s="68"/>
      <c r="J25" s="15"/>
      <c r="K25" s="38"/>
      <c r="L25" s="38"/>
      <c r="M25" s="17"/>
    </row>
    <row r="26" spans="2:13" ht="14.45" customHeight="1" x14ac:dyDescent="0.25">
      <c r="B26" s="17"/>
      <c r="C26" s="14"/>
      <c r="D26" s="14"/>
      <c r="E26" s="18"/>
      <c r="F26" s="20"/>
      <c r="G26" s="64"/>
      <c r="H26" s="68"/>
      <c r="I26" s="68"/>
      <c r="J26" s="15"/>
      <c r="K26" s="38"/>
      <c r="L26" s="38"/>
      <c r="M26" s="17"/>
    </row>
    <row r="27" spans="2:13" ht="14.45" customHeight="1" x14ac:dyDescent="0.25">
      <c r="B27" s="17"/>
      <c r="C27" s="14"/>
      <c r="D27" s="14"/>
      <c r="E27" s="18"/>
      <c r="F27" s="20"/>
      <c r="G27" s="64"/>
      <c r="H27" s="68"/>
      <c r="I27" s="68"/>
      <c r="J27" s="15"/>
      <c r="K27" s="38"/>
      <c r="L27" s="38"/>
      <c r="M27" s="17"/>
    </row>
    <row r="28" spans="2:13" ht="14.45" customHeight="1" x14ac:dyDescent="0.25">
      <c r="B28" s="17"/>
      <c r="C28" s="14"/>
      <c r="D28" s="14"/>
      <c r="E28" s="18"/>
      <c r="F28" s="20"/>
      <c r="G28" s="64"/>
      <c r="H28" s="68"/>
      <c r="I28" s="68"/>
      <c r="J28" s="15"/>
      <c r="K28" s="38"/>
      <c r="L28" s="38"/>
      <c r="M28" s="17"/>
    </row>
    <row r="29" spans="2:13" ht="14.45" customHeight="1" x14ac:dyDescent="0.25">
      <c r="B29" s="17"/>
      <c r="C29" s="14"/>
      <c r="D29" s="14"/>
      <c r="E29" s="18"/>
      <c r="F29" s="20"/>
      <c r="G29" s="64"/>
      <c r="H29" s="68"/>
      <c r="I29" s="68"/>
      <c r="J29" s="15"/>
      <c r="K29" s="38"/>
      <c r="L29" s="38"/>
      <c r="M29" s="17"/>
    </row>
    <row r="30" spans="2:13" ht="14.45" customHeight="1" x14ac:dyDescent="0.25">
      <c r="B30" s="17"/>
      <c r="C30" s="14"/>
      <c r="D30" s="14"/>
      <c r="E30" s="18"/>
      <c r="F30" s="20"/>
      <c r="G30" s="64"/>
      <c r="H30" s="68"/>
      <c r="I30" s="68"/>
      <c r="J30" s="15"/>
      <c r="K30" s="38"/>
      <c r="L30" s="38"/>
      <c r="M30" s="17"/>
    </row>
    <row r="31" spans="2:13" ht="14.45" customHeight="1" x14ac:dyDescent="0.25">
      <c r="B31" s="17"/>
      <c r="C31" s="14"/>
      <c r="D31" s="14"/>
      <c r="E31" s="18"/>
      <c r="F31" s="20"/>
      <c r="G31" s="64"/>
      <c r="H31" s="68"/>
      <c r="I31" s="68"/>
      <c r="J31" s="15"/>
      <c r="K31" s="38"/>
      <c r="L31" s="38"/>
      <c r="M31" s="17"/>
    </row>
    <row r="32" spans="2:13" ht="14.45" customHeight="1" x14ac:dyDescent="0.25">
      <c r="B32" s="17"/>
      <c r="C32" s="14"/>
      <c r="D32" s="14"/>
      <c r="E32" s="18"/>
      <c r="F32" s="20"/>
      <c r="G32" s="64"/>
      <c r="H32" s="68"/>
      <c r="I32" s="68"/>
      <c r="J32" s="15"/>
      <c r="K32" s="38"/>
      <c r="L32" s="38"/>
      <c r="M32" s="17"/>
    </row>
    <row r="33" spans="2:13" ht="14.45" customHeight="1" x14ac:dyDescent="0.25">
      <c r="B33" s="17"/>
      <c r="C33" s="14"/>
      <c r="D33" s="14"/>
      <c r="E33" s="18"/>
      <c r="F33" s="20"/>
      <c r="G33" s="64"/>
      <c r="H33" s="68"/>
      <c r="I33" s="68"/>
      <c r="J33" s="15"/>
      <c r="K33" s="38"/>
      <c r="L33" s="38"/>
      <c r="M33" s="17"/>
    </row>
    <row r="34" spans="2:13" ht="14.45" customHeight="1" x14ac:dyDescent="0.25">
      <c r="B34" s="17"/>
      <c r="C34" s="14"/>
      <c r="D34" s="14"/>
      <c r="E34" s="18"/>
      <c r="F34" s="20"/>
      <c r="G34" s="64"/>
      <c r="H34" s="68"/>
      <c r="I34" s="68"/>
      <c r="J34" s="15"/>
      <c r="K34" s="38"/>
      <c r="L34" s="38"/>
      <c r="M34" s="17"/>
    </row>
    <row r="35" spans="2:13" ht="14.45" customHeight="1" x14ac:dyDescent="0.25">
      <c r="B35" s="39"/>
      <c r="C35" s="40"/>
      <c r="D35" s="40"/>
      <c r="E35" s="41"/>
      <c r="F35" s="42"/>
      <c r="G35" s="65"/>
      <c r="H35" s="70"/>
      <c r="I35" s="70"/>
      <c r="J35" s="43"/>
      <c r="K35" s="38"/>
      <c r="L35" s="38"/>
      <c r="M35" s="17"/>
    </row>
    <row r="36" spans="2:13" ht="14.45" customHeight="1" x14ac:dyDescent="0.25">
      <c r="B36" s="17"/>
      <c r="C36" s="14"/>
      <c r="D36" s="14"/>
      <c r="E36" s="18"/>
      <c r="F36" s="20"/>
      <c r="G36" s="64"/>
      <c r="H36" s="68"/>
      <c r="I36" s="68"/>
      <c r="J36" s="14"/>
      <c r="K36" s="38"/>
      <c r="L36" s="38"/>
      <c r="M36" s="17"/>
    </row>
    <row r="37" spans="2:13" ht="14.45" customHeight="1" x14ac:dyDescent="0.25">
      <c r="B37" s="39"/>
      <c r="C37" s="40"/>
      <c r="D37" s="40"/>
      <c r="E37" s="41"/>
      <c r="F37" s="42"/>
      <c r="G37" s="65"/>
      <c r="H37" s="70"/>
      <c r="I37" s="70"/>
      <c r="J37" s="40"/>
      <c r="K37" s="38"/>
      <c r="L37" s="38"/>
      <c r="M37" s="17"/>
    </row>
    <row r="38" spans="2:13" ht="14.45" customHeight="1" x14ac:dyDescent="0.25">
      <c r="B38" s="44"/>
      <c r="C38" s="45"/>
      <c r="D38" s="45"/>
      <c r="E38" s="46"/>
      <c r="F38" s="47"/>
      <c r="G38" s="66"/>
      <c r="H38" s="77"/>
      <c r="I38" s="77"/>
      <c r="J38" s="45"/>
      <c r="K38" s="38"/>
      <c r="L38" s="38"/>
      <c r="M38" s="17"/>
    </row>
    <row r="39" spans="2:13" ht="14.45" customHeight="1" x14ac:dyDescent="0.25">
      <c r="B39" s="39"/>
      <c r="C39" s="48"/>
      <c r="D39" s="48"/>
      <c r="E39" s="49"/>
      <c r="F39" s="50"/>
      <c r="G39" s="67"/>
      <c r="H39" s="67"/>
      <c r="I39" s="67"/>
      <c r="J39" s="51"/>
      <c r="K39" s="38"/>
      <c r="L39" s="38"/>
      <c r="M39" s="17"/>
    </row>
    <row r="40" spans="2:13" ht="14.45" customHeight="1" x14ac:dyDescent="0.25">
      <c r="B40" s="17"/>
      <c r="C40" s="14"/>
      <c r="D40" s="14"/>
      <c r="E40" s="19"/>
      <c r="F40" s="21"/>
      <c r="G40" s="68"/>
      <c r="H40" s="68"/>
      <c r="I40" s="68"/>
      <c r="J40" s="52"/>
      <c r="K40" s="38"/>
      <c r="L40" s="38"/>
      <c r="M40" s="17"/>
    </row>
    <row r="41" spans="2:13" ht="14.45" customHeight="1" x14ac:dyDescent="0.25">
      <c r="B41" s="17"/>
      <c r="C41" s="14"/>
      <c r="D41" s="14"/>
      <c r="E41" s="19"/>
      <c r="F41" s="21"/>
      <c r="G41" s="68"/>
      <c r="H41" s="68"/>
      <c r="I41" s="68"/>
      <c r="J41" s="52"/>
      <c r="K41" s="38"/>
      <c r="L41" s="38"/>
      <c r="M41" s="17"/>
    </row>
    <row r="42" spans="2:13" ht="14.45" customHeight="1" x14ac:dyDescent="0.25">
      <c r="B42" s="17"/>
      <c r="C42" s="14"/>
      <c r="D42" s="14"/>
      <c r="E42" s="19"/>
      <c r="F42" s="21"/>
      <c r="G42" s="68"/>
      <c r="H42" s="68"/>
      <c r="I42" s="68"/>
      <c r="J42" s="52"/>
      <c r="K42" s="38"/>
      <c r="L42" s="38"/>
      <c r="M42" s="17"/>
    </row>
    <row r="43" spans="2:13" ht="14.45" customHeight="1" x14ac:dyDescent="0.25">
      <c r="B43" s="17"/>
      <c r="C43" s="14"/>
      <c r="D43" s="14"/>
      <c r="E43" s="19"/>
      <c r="F43" s="21"/>
      <c r="G43" s="68"/>
      <c r="H43" s="68"/>
      <c r="I43" s="68"/>
      <c r="J43" s="52"/>
      <c r="K43" s="38"/>
      <c r="L43" s="38"/>
      <c r="M43" s="17"/>
    </row>
    <row r="44" spans="2:13" ht="14.45" customHeight="1" x14ac:dyDescent="0.25">
      <c r="B44" s="17"/>
      <c r="C44" s="14"/>
      <c r="D44" s="14"/>
      <c r="E44" s="19"/>
      <c r="F44" s="21"/>
      <c r="G44" s="68"/>
      <c r="H44" s="68"/>
      <c r="I44" s="68"/>
      <c r="J44" s="52"/>
      <c r="K44" s="38"/>
      <c r="L44" s="38"/>
      <c r="M44" s="17"/>
    </row>
    <row r="45" spans="2:13" ht="14.45" customHeight="1" x14ac:dyDescent="0.25">
      <c r="B45" s="17"/>
      <c r="C45" s="14"/>
      <c r="D45" s="14"/>
      <c r="E45" s="19"/>
      <c r="F45" s="21"/>
      <c r="G45" s="68"/>
      <c r="H45" s="68"/>
      <c r="I45" s="68"/>
      <c r="J45" s="52"/>
      <c r="K45" s="38"/>
      <c r="L45" s="38"/>
      <c r="M45" s="17"/>
    </row>
    <row r="46" spans="2:13" ht="14.45" customHeight="1" x14ac:dyDescent="0.25">
      <c r="B46" s="17"/>
      <c r="C46" s="14"/>
      <c r="D46" s="14"/>
      <c r="E46" s="19"/>
      <c r="F46" s="21"/>
      <c r="G46" s="68"/>
      <c r="H46" s="68"/>
      <c r="I46" s="68"/>
      <c r="J46" s="52"/>
      <c r="K46" s="38"/>
      <c r="L46" s="38"/>
      <c r="M46" s="17"/>
    </row>
    <row r="47" spans="2:13" ht="14.45" customHeight="1" x14ac:dyDescent="0.25">
      <c r="B47" s="17"/>
      <c r="C47" s="14"/>
      <c r="D47" s="14"/>
      <c r="E47" s="19"/>
      <c r="F47" s="21"/>
      <c r="G47" s="68"/>
      <c r="H47" s="68"/>
      <c r="I47" s="68"/>
      <c r="J47" s="52"/>
      <c r="K47" s="38"/>
      <c r="L47" s="38"/>
      <c r="M47" s="17"/>
    </row>
    <row r="48" spans="2:13" ht="14.45" customHeight="1" x14ac:dyDescent="0.25">
      <c r="B48" s="17"/>
      <c r="C48" s="14"/>
      <c r="D48" s="14"/>
      <c r="E48" s="19"/>
      <c r="F48" s="21"/>
      <c r="G48" s="68"/>
      <c r="H48" s="68"/>
      <c r="I48" s="68"/>
      <c r="J48" s="52"/>
      <c r="K48" s="38"/>
      <c r="L48" s="38"/>
      <c r="M48" s="17"/>
    </row>
    <row r="49" spans="2:13" ht="14.45" customHeight="1" x14ac:dyDescent="0.25">
      <c r="B49" s="17"/>
      <c r="C49" s="14"/>
      <c r="D49" s="14"/>
      <c r="E49" s="19"/>
      <c r="F49" s="21"/>
      <c r="G49" s="68"/>
      <c r="H49" s="68"/>
      <c r="I49" s="68"/>
      <c r="J49" s="52"/>
      <c r="K49" s="38"/>
      <c r="L49" s="38"/>
      <c r="M49" s="17"/>
    </row>
    <row r="50" spans="2:13" ht="14.45" customHeight="1" x14ac:dyDescent="0.25">
      <c r="B50" s="53"/>
      <c r="C50" s="40"/>
      <c r="D50" s="40"/>
      <c r="E50" s="54"/>
      <c r="F50" s="55"/>
      <c r="G50" s="69"/>
      <c r="H50" s="78"/>
      <c r="I50" s="78"/>
      <c r="J50" s="56"/>
      <c r="K50" s="38"/>
      <c r="L50" s="38"/>
      <c r="M50" s="17"/>
    </row>
    <row r="51" spans="2:13" ht="14.45" customHeight="1" x14ac:dyDescent="0.25">
      <c r="B51" s="44"/>
      <c r="C51" s="45"/>
      <c r="D51" s="45"/>
      <c r="E51" s="46"/>
      <c r="F51" s="47"/>
      <c r="G51" s="66"/>
      <c r="H51" s="77"/>
      <c r="I51" s="77"/>
      <c r="J51" s="45"/>
      <c r="K51" s="38"/>
      <c r="L51" s="38"/>
      <c r="M51" s="17"/>
    </row>
    <row r="52" spans="2:13" ht="14.45" customHeight="1" x14ac:dyDescent="0.25">
      <c r="B52" s="39"/>
      <c r="C52" s="48"/>
      <c r="D52" s="48"/>
      <c r="E52" s="49"/>
      <c r="F52" s="50"/>
      <c r="G52" s="67"/>
      <c r="H52" s="67"/>
      <c r="I52" s="67"/>
      <c r="J52" s="51"/>
      <c r="K52" s="38"/>
      <c r="L52" s="38"/>
      <c r="M52" s="17"/>
    </row>
    <row r="53" spans="2:13" ht="14.45" customHeight="1" x14ac:dyDescent="0.25">
      <c r="B53" s="17"/>
      <c r="C53" s="14"/>
      <c r="D53" s="14"/>
      <c r="E53" s="19"/>
      <c r="F53" s="21"/>
      <c r="G53" s="68"/>
      <c r="H53" s="68"/>
      <c r="I53" s="68"/>
      <c r="J53" s="52"/>
      <c r="K53" s="38"/>
      <c r="L53" s="38"/>
      <c r="M53" s="17"/>
    </row>
    <row r="54" spans="2:13" ht="14.45" customHeight="1" x14ac:dyDescent="0.25">
      <c r="B54" s="17"/>
      <c r="C54" s="14"/>
      <c r="D54" s="14"/>
      <c r="E54" s="19"/>
      <c r="F54" s="21"/>
      <c r="G54" s="68"/>
      <c r="H54" s="68"/>
      <c r="I54" s="68"/>
      <c r="J54" s="52"/>
      <c r="K54" s="38"/>
      <c r="L54" s="38"/>
      <c r="M54" s="17"/>
    </row>
    <row r="55" spans="2:13" ht="14.45" customHeight="1" x14ac:dyDescent="0.25">
      <c r="B55" s="17"/>
      <c r="C55" s="14"/>
      <c r="D55" s="14"/>
      <c r="E55" s="19"/>
      <c r="F55" s="21"/>
      <c r="G55" s="68"/>
      <c r="H55" s="68"/>
      <c r="I55" s="68"/>
      <c r="J55" s="52"/>
      <c r="K55" s="38"/>
      <c r="L55" s="38"/>
      <c r="M55" s="17"/>
    </row>
    <row r="56" spans="2:13" ht="14.45" customHeight="1" x14ac:dyDescent="0.25">
      <c r="B56" s="17"/>
      <c r="C56" s="14"/>
      <c r="D56" s="14"/>
      <c r="E56" s="19"/>
      <c r="F56" s="21"/>
      <c r="G56" s="68"/>
      <c r="H56" s="68"/>
      <c r="I56" s="68"/>
      <c r="J56" s="52"/>
      <c r="K56" s="38"/>
      <c r="L56" s="38"/>
      <c r="M56" s="17"/>
    </row>
    <row r="57" spans="2:13" ht="14.45" customHeight="1" x14ac:dyDescent="0.25">
      <c r="B57" s="17"/>
      <c r="C57" s="14"/>
      <c r="D57" s="14"/>
      <c r="E57" s="19"/>
      <c r="F57" s="21"/>
      <c r="G57" s="68"/>
      <c r="H57" s="68"/>
      <c r="I57" s="68"/>
      <c r="J57" s="52"/>
      <c r="K57" s="38"/>
      <c r="L57" s="38"/>
      <c r="M57" s="17"/>
    </row>
    <row r="58" spans="2:13" ht="14.45" customHeight="1" x14ac:dyDescent="0.25">
      <c r="B58" s="17"/>
      <c r="C58" s="14"/>
      <c r="D58" s="14"/>
      <c r="E58" s="19"/>
      <c r="F58" s="21"/>
      <c r="G58" s="68"/>
      <c r="H58" s="68"/>
      <c r="I58" s="68"/>
      <c r="J58" s="52"/>
      <c r="K58" s="38"/>
      <c r="L58" s="38"/>
      <c r="M58" s="17"/>
    </row>
    <row r="59" spans="2:13" ht="14.45" customHeight="1" x14ac:dyDescent="0.25">
      <c r="B59" s="17"/>
      <c r="C59" s="14"/>
      <c r="D59" s="14"/>
      <c r="E59" s="19"/>
      <c r="F59" s="21"/>
      <c r="G59" s="68"/>
      <c r="H59" s="68"/>
      <c r="I59" s="68"/>
      <c r="J59" s="52"/>
      <c r="K59" s="38"/>
      <c r="L59" s="38"/>
      <c r="M59" s="17"/>
    </row>
    <row r="60" spans="2:13" ht="14.45" customHeight="1" x14ac:dyDescent="0.25">
      <c r="B60" s="17"/>
      <c r="C60" s="14"/>
      <c r="D60" s="14"/>
      <c r="E60" s="19"/>
      <c r="F60" s="21"/>
      <c r="G60" s="68"/>
      <c r="H60" s="68"/>
      <c r="I60" s="68"/>
      <c r="J60" s="52"/>
      <c r="K60" s="38"/>
      <c r="L60" s="38"/>
      <c r="M60" s="17"/>
    </row>
    <row r="61" spans="2:13" ht="14.45" customHeight="1" x14ac:dyDescent="0.25">
      <c r="B61" s="17"/>
      <c r="C61" s="14"/>
      <c r="D61" s="14"/>
      <c r="E61" s="19"/>
      <c r="F61" s="21"/>
      <c r="G61" s="68"/>
      <c r="H61" s="68"/>
      <c r="I61" s="68"/>
      <c r="J61" s="52"/>
      <c r="K61" s="38"/>
      <c r="L61" s="38"/>
      <c r="M61" s="17"/>
    </row>
    <row r="62" spans="2:13" ht="14.45" customHeight="1" x14ac:dyDescent="0.25">
      <c r="B62" s="17"/>
      <c r="C62" s="14"/>
      <c r="D62" s="14"/>
      <c r="E62" s="19"/>
      <c r="F62" s="21"/>
      <c r="G62" s="68"/>
      <c r="H62" s="68"/>
      <c r="I62" s="68"/>
      <c r="J62" s="52"/>
      <c r="K62" s="38"/>
      <c r="L62" s="38"/>
      <c r="M62" s="17"/>
    </row>
    <row r="63" spans="2:13" ht="14.45" customHeight="1" x14ac:dyDescent="0.25">
      <c r="B63" s="53"/>
      <c r="C63" s="40"/>
      <c r="D63" s="40"/>
      <c r="E63" s="54"/>
      <c r="F63" s="55"/>
      <c r="G63" s="69"/>
      <c r="H63" s="78"/>
      <c r="I63" s="78"/>
      <c r="J63" s="56"/>
      <c r="K63" s="38"/>
      <c r="L63" s="38"/>
      <c r="M63" s="17"/>
    </row>
    <row r="64" spans="2:13" ht="14.45" customHeight="1" x14ac:dyDescent="0.25">
      <c r="B64" s="44"/>
      <c r="C64" s="45"/>
      <c r="D64" s="45"/>
      <c r="E64" s="46"/>
      <c r="F64" s="47"/>
      <c r="G64" s="66"/>
      <c r="H64" s="77"/>
      <c r="I64" s="77"/>
      <c r="J64" s="45"/>
      <c r="K64" s="38"/>
      <c r="L64" s="38"/>
      <c r="M64" s="17"/>
    </row>
    <row r="65" spans="2:13" ht="14.45" customHeight="1" x14ac:dyDescent="0.25">
      <c r="B65" s="53"/>
      <c r="C65" s="40"/>
      <c r="D65" s="40"/>
      <c r="E65" s="41"/>
      <c r="F65" s="57"/>
      <c r="G65" s="70"/>
      <c r="H65" s="70"/>
      <c r="I65" s="70"/>
      <c r="J65" s="16"/>
      <c r="K65" s="38"/>
      <c r="L65" s="38"/>
      <c r="M65" s="17"/>
    </row>
    <row r="66" spans="2:13" ht="14.45" customHeight="1" x14ac:dyDescent="0.25">
      <c r="B66" s="44"/>
      <c r="C66" s="45"/>
      <c r="D66" s="45"/>
      <c r="E66" s="46"/>
      <c r="F66" s="47"/>
      <c r="G66" s="66"/>
      <c r="H66" s="77"/>
      <c r="I66" s="77"/>
      <c r="J66" s="45"/>
      <c r="K66" s="38"/>
      <c r="L66" s="38"/>
      <c r="M66" s="17"/>
    </row>
    <row r="67" spans="2:13" ht="14.45" customHeight="1" x14ac:dyDescent="0.25">
      <c r="B67" s="39"/>
      <c r="C67" s="48"/>
      <c r="D67" s="48"/>
      <c r="E67" s="49"/>
      <c r="F67" s="57"/>
      <c r="G67" s="70"/>
      <c r="H67" s="70"/>
      <c r="I67" s="70"/>
      <c r="J67" s="58"/>
      <c r="K67" s="38"/>
      <c r="L67" s="38"/>
      <c r="M67" s="17"/>
    </row>
    <row r="68" spans="2:13" ht="14.45" customHeight="1" x14ac:dyDescent="0.25">
      <c r="B68" s="44"/>
      <c r="C68" s="45"/>
      <c r="D68" s="45"/>
      <c r="E68" s="46"/>
      <c r="F68" s="47"/>
      <c r="G68" s="66"/>
      <c r="H68" s="77"/>
      <c r="I68" s="77"/>
      <c r="J68" s="45"/>
      <c r="K68" s="38"/>
      <c r="L68" s="38"/>
      <c r="M68" s="17"/>
    </row>
    <row r="69" spans="2:13" ht="14.45" customHeight="1" x14ac:dyDescent="0.25">
      <c r="B69" s="53"/>
      <c r="C69" s="40"/>
      <c r="D69" s="40"/>
      <c r="E69" s="41"/>
      <c r="F69" s="42"/>
      <c r="G69" s="65"/>
      <c r="H69" s="70"/>
      <c r="I69" s="70"/>
      <c r="J69" s="40"/>
      <c r="K69" s="38"/>
      <c r="L69" s="38"/>
      <c r="M69" s="17"/>
    </row>
    <row r="70" spans="2:13" ht="14.45" customHeight="1" x14ac:dyDescent="0.25">
      <c r="B70" s="53"/>
      <c r="C70" s="40"/>
      <c r="D70" s="40"/>
      <c r="E70" s="41"/>
      <c r="F70" s="42"/>
      <c r="G70" s="65"/>
      <c r="H70" s="70"/>
      <c r="I70" s="70"/>
      <c r="J70" s="59"/>
      <c r="K70" s="38"/>
      <c r="L70" s="38"/>
      <c r="M70" s="17"/>
    </row>
    <row r="71" spans="2:13" ht="14.45" customHeight="1" x14ac:dyDescent="0.25">
      <c r="B71" s="17"/>
      <c r="C71" s="14"/>
      <c r="D71" s="14"/>
      <c r="E71" s="18"/>
      <c r="F71" s="22"/>
      <c r="G71" s="71"/>
      <c r="H71" s="68"/>
      <c r="I71" s="68"/>
      <c r="J71" s="15"/>
      <c r="K71" s="38"/>
      <c r="L71" s="38"/>
      <c r="M71" s="17"/>
    </row>
    <row r="72" spans="2:13" ht="14.45" customHeight="1" x14ac:dyDescent="0.25">
      <c r="B72" s="17"/>
      <c r="C72" s="14"/>
      <c r="D72" s="14"/>
      <c r="E72" s="18"/>
      <c r="F72" s="22"/>
      <c r="G72" s="71"/>
      <c r="H72" s="68"/>
      <c r="I72" s="68"/>
      <c r="J72" s="15"/>
      <c r="K72" s="38"/>
      <c r="L72" s="38"/>
      <c r="M72" s="17"/>
    </row>
    <row r="73" spans="2:13" ht="14.45" customHeight="1" x14ac:dyDescent="0.25">
      <c r="B73" s="17"/>
      <c r="C73" s="14"/>
      <c r="D73" s="14"/>
      <c r="E73" s="18"/>
      <c r="F73" s="22"/>
      <c r="G73" s="71"/>
      <c r="H73" s="68"/>
      <c r="I73" s="68"/>
      <c r="J73" s="15"/>
      <c r="K73" s="38"/>
      <c r="L73" s="38"/>
      <c r="M73" s="17"/>
    </row>
    <row r="74" spans="2:13" ht="14.45" customHeight="1" x14ac:dyDescent="0.25">
      <c r="B74" s="17"/>
      <c r="C74" s="14"/>
      <c r="D74" s="14"/>
      <c r="E74" s="18"/>
      <c r="F74" s="22"/>
      <c r="G74" s="71"/>
      <c r="H74" s="68"/>
      <c r="I74" s="68"/>
      <c r="J74" s="15"/>
      <c r="K74" s="38"/>
      <c r="L74" s="38"/>
      <c r="M74" s="17"/>
    </row>
    <row r="75" spans="2:13" ht="14.45" customHeight="1" x14ac:dyDescent="0.25">
      <c r="B75" s="17"/>
      <c r="C75" s="14"/>
      <c r="D75" s="14"/>
      <c r="E75" s="18"/>
      <c r="F75" s="22"/>
      <c r="G75" s="71"/>
      <c r="H75" s="68"/>
      <c r="I75" s="68"/>
      <c r="J75" s="15"/>
      <c r="K75" s="38"/>
      <c r="L75" s="38"/>
      <c r="M75" s="17"/>
    </row>
    <row r="76" spans="2:13" ht="14.45" customHeight="1" x14ac:dyDescent="0.25">
      <c r="B76" s="17"/>
      <c r="C76" s="14"/>
      <c r="D76" s="14"/>
      <c r="E76" s="18"/>
      <c r="F76" s="22"/>
      <c r="G76" s="71"/>
      <c r="H76" s="68"/>
      <c r="I76" s="68"/>
      <c r="J76" s="15"/>
      <c r="K76" s="38"/>
      <c r="L76" s="38"/>
      <c r="M76" s="17"/>
    </row>
    <row r="77" spans="2:13" ht="14.45" customHeight="1" x14ac:dyDescent="0.25">
      <c r="B77" s="17"/>
      <c r="C77" s="14"/>
      <c r="D77" s="14"/>
      <c r="E77" s="18"/>
      <c r="F77" s="22"/>
      <c r="G77" s="71"/>
      <c r="H77" s="68"/>
      <c r="I77" s="68"/>
      <c r="J77" s="15"/>
      <c r="K77" s="38"/>
      <c r="L77" s="38"/>
      <c r="M77" s="17"/>
    </row>
    <row r="78" spans="2:13" ht="14.45" customHeight="1" x14ac:dyDescent="0.25">
      <c r="B78" s="17"/>
      <c r="C78" s="14"/>
      <c r="D78" s="14"/>
      <c r="E78" s="18"/>
      <c r="F78" s="22"/>
      <c r="G78" s="71"/>
      <c r="H78" s="68"/>
      <c r="I78" s="68"/>
      <c r="J78" s="15"/>
      <c r="K78" s="38"/>
      <c r="L78" s="38"/>
      <c r="M78" s="17"/>
    </row>
    <row r="79" spans="2:13" ht="14.45" customHeight="1" x14ac:dyDescent="0.25">
      <c r="B79" s="17"/>
      <c r="C79" s="14"/>
      <c r="D79" s="14"/>
      <c r="E79" s="18"/>
      <c r="F79" s="22"/>
      <c r="G79" s="71"/>
      <c r="H79" s="68"/>
      <c r="I79" s="68"/>
      <c r="J79" s="15"/>
      <c r="K79" s="38"/>
      <c r="L79" s="38"/>
      <c r="M79" s="17"/>
    </row>
    <row r="80" spans="2:13" ht="14.45" customHeight="1" x14ac:dyDescent="0.25">
      <c r="B80" s="17"/>
      <c r="C80" s="14"/>
      <c r="D80" s="14"/>
      <c r="E80" s="18"/>
      <c r="F80" s="22"/>
      <c r="G80" s="71"/>
      <c r="H80" s="68"/>
      <c r="I80" s="68"/>
      <c r="J80" s="15"/>
      <c r="K80" s="38"/>
      <c r="L80" s="38"/>
      <c r="M80" s="17"/>
    </row>
    <row r="81" spans="2:13" ht="14.45" customHeight="1" x14ac:dyDescent="0.25">
      <c r="B81" s="53"/>
      <c r="C81" s="40"/>
      <c r="D81" s="40"/>
      <c r="E81" s="41"/>
      <c r="F81" s="42"/>
      <c r="G81" s="65"/>
      <c r="H81" s="70"/>
      <c r="I81" s="70"/>
      <c r="J81" s="43"/>
      <c r="K81" s="38"/>
      <c r="L81" s="38"/>
      <c r="M81" s="17"/>
    </row>
    <row r="82" spans="2:13" ht="14.45" customHeight="1" x14ac:dyDescent="0.25">
      <c r="B82" s="53"/>
      <c r="C82" s="40"/>
      <c r="D82" s="40"/>
      <c r="E82" s="41"/>
      <c r="F82" s="42"/>
      <c r="G82" s="65"/>
      <c r="H82" s="70"/>
      <c r="I82" s="70"/>
      <c r="J82" s="43"/>
      <c r="K82" s="38"/>
      <c r="L82" s="38"/>
      <c r="M82" s="17"/>
    </row>
    <row r="83" spans="2:13" ht="14.45" customHeight="1" x14ac:dyDescent="0.25">
      <c r="B83" s="44"/>
      <c r="C83" s="45"/>
      <c r="D83" s="45"/>
      <c r="E83" s="46"/>
      <c r="F83" s="47"/>
      <c r="G83" s="66"/>
      <c r="H83" s="77"/>
      <c r="I83" s="77"/>
      <c r="J83" s="45"/>
      <c r="K83" s="38"/>
      <c r="L83" s="38"/>
      <c r="M83" s="17"/>
    </row>
    <row r="84" spans="2:13" ht="14.45" customHeight="1" x14ac:dyDescent="0.25">
      <c r="B84" s="39"/>
      <c r="C84" s="48"/>
      <c r="D84" s="48"/>
      <c r="E84" s="49"/>
      <c r="F84" s="60"/>
      <c r="G84" s="72"/>
      <c r="H84" s="67"/>
      <c r="I84" s="67"/>
      <c r="J84" s="43"/>
      <c r="K84" s="38"/>
      <c r="L84" s="38"/>
      <c r="M84" s="17"/>
    </row>
    <row r="85" spans="2:13" ht="14.45" customHeight="1" x14ac:dyDescent="0.25">
      <c r="B85" s="17"/>
      <c r="C85" s="14"/>
      <c r="D85" s="14"/>
      <c r="E85" s="18"/>
      <c r="F85" s="20"/>
      <c r="G85" s="64"/>
      <c r="H85" s="68"/>
      <c r="I85" s="68"/>
      <c r="J85" s="14"/>
      <c r="K85" s="38"/>
      <c r="L85" s="38"/>
      <c r="M85" s="17"/>
    </row>
    <row r="86" spans="2:13" ht="14.45" customHeight="1" x14ac:dyDescent="0.25">
      <c r="B86" s="39"/>
      <c r="C86" s="40"/>
      <c r="D86" s="40"/>
      <c r="E86" s="41"/>
      <c r="F86" s="42"/>
      <c r="G86" s="65"/>
      <c r="H86" s="70"/>
      <c r="I86" s="70"/>
      <c r="J86" s="40"/>
      <c r="K86" s="38"/>
      <c r="L86" s="38"/>
      <c r="M86" s="17"/>
    </row>
    <row r="87" spans="2:13" ht="14.45" customHeight="1" x14ac:dyDescent="0.25">
      <c r="B87" s="53"/>
      <c r="C87" s="40"/>
      <c r="D87" s="40"/>
      <c r="E87" s="41"/>
      <c r="F87" s="42"/>
      <c r="G87" s="65"/>
      <c r="H87" s="70"/>
      <c r="I87" s="70"/>
      <c r="J87" s="43"/>
      <c r="K87" s="38"/>
      <c r="L87" s="38"/>
      <c r="M87" s="17"/>
    </row>
    <row r="88" spans="2:13" ht="14.45" customHeight="1" x14ac:dyDescent="0.25">
      <c r="B88" s="17"/>
      <c r="C88" s="14"/>
      <c r="D88" s="14"/>
      <c r="E88" s="18"/>
      <c r="F88" s="61"/>
      <c r="G88" s="73"/>
      <c r="H88" s="79"/>
      <c r="I88" s="79"/>
      <c r="J88" s="14"/>
      <c r="K88" s="38"/>
      <c r="L88" s="38"/>
      <c r="M88" s="17"/>
    </row>
    <row r="89" spans="2:13" ht="14.45" customHeight="1" x14ac:dyDescent="0.25">
      <c r="B89" s="17"/>
      <c r="C89" s="14"/>
      <c r="D89" s="14"/>
      <c r="E89" s="18"/>
      <c r="F89" s="61"/>
      <c r="G89" s="73"/>
      <c r="H89" s="79"/>
      <c r="I89" s="79"/>
      <c r="J89" s="14"/>
      <c r="K89" s="38"/>
      <c r="L89" s="38"/>
      <c r="M89" s="17"/>
    </row>
    <row r="90" spans="2:13" ht="14.45" customHeight="1" x14ac:dyDescent="0.25">
      <c r="B90" s="17"/>
      <c r="C90" s="14"/>
      <c r="D90" s="14"/>
      <c r="E90" s="18"/>
      <c r="F90" s="61"/>
      <c r="G90" s="73"/>
      <c r="H90" s="79"/>
      <c r="I90" s="79"/>
      <c r="J90" s="14"/>
      <c r="K90" s="38"/>
      <c r="L90" s="38"/>
      <c r="M90" s="17"/>
    </row>
    <row r="91" spans="2:13" ht="14.45" customHeight="1" x14ac:dyDescent="0.25">
      <c r="B91" s="17"/>
      <c r="C91" s="14"/>
      <c r="D91" s="14"/>
      <c r="E91" s="18"/>
      <c r="F91" s="61"/>
      <c r="G91" s="73"/>
      <c r="H91" s="79"/>
      <c r="I91" s="79"/>
      <c r="J91" s="14"/>
      <c r="K91" s="38"/>
      <c r="L91" s="38"/>
      <c r="M91" s="17"/>
    </row>
    <row r="92" spans="2:13" ht="14.45" customHeight="1" x14ac:dyDescent="0.25">
      <c r="B92" s="17"/>
      <c r="C92" s="14"/>
      <c r="D92" s="14"/>
      <c r="E92" s="18"/>
      <c r="F92" s="61"/>
      <c r="G92" s="73"/>
      <c r="H92" s="79"/>
      <c r="I92" s="79"/>
      <c r="J92" s="14"/>
      <c r="K92" s="38"/>
      <c r="L92" s="38"/>
      <c r="M92" s="17"/>
    </row>
    <row r="93" spans="2:13" ht="14.45" customHeight="1" x14ac:dyDescent="0.25">
      <c r="B93" s="17"/>
      <c r="C93" s="14"/>
      <c r="D93" s="14"/>
      <c r="E93" s="18"/>
      <c r="F93" s="61"/>
      <c r="G93" s="73"/>
      <c r="H93" s="79"/>
      <c r="I93" s="79"/>
      <c r="J93" s="14"/>
      <c r="K93" s="38"/>
      <c r="L93" s="38"/>
      <c r="M93" s="17"/>
    </row>
    <row r="94" spans="2:13" ht="14.45" customHeight="1" x14ac:dyDescent="0.25">
      <c r="B94" s="17"/>
      <c r="C94" s="14"/>
      <c r="D94" s="14"/>
      <c r="E94" s="18"/>
      <c r="F94" s="61"/>
      <c r="G94" s="73"/>
      <c r="H94" s="79"/>
      <c r="I94" s="79"/>
      <c r="J94" s="14"/>
      <c r="K94" s="38"/>
      <c r="L94" s="38"/>
      <c r="M94" s="17"/>
    </row>
    <row r="95" spans="2:13" ht="14.45" customHeight="1" x14ac:dyDescent="0.25">
      <c r="B95" s="17"/>
      <c r="C95" s="14"/>
      <c r="D95" s="14"/>
      <c r="E95" s="18"/>
      <c r="F95" s="61"/>
      <c r="G95" s="73"/>
      <c r="H95" s="79"/>
      <c r="I95" s="79"/>
      <c r="J95" s="14"/>
      <c r="K95" s="38"/>
      <c r="L95" s="38"/>
      <c r="M95" s="17"/>
    </row>
    <row r="96" spans="2:13" ht="14.45" customHeight="1" x14ac:dyDescent="0.25">
      <c r="B96" s="17"/>
      <c r="C96" s="14"/>
      <c r="D96" s="14"/>
      <c r="E96" s="18"/>
      <c r="F96" s="61"/>
      <c r="G96" s="73"/>
      <c r="H96" s="79"/>
      <c r="I96" s="79"/>
      <c r="J96" s="14"/>
      <c r="K96" s="38"/>
      <c r="L96" s="38"/>
      <c r="M96" s="17"/>
    </row>
    <row r="97" spans="2:13" ht="14.45" customHeight="1" x14ac:dyDescent="0.25">
      <c r="B97" s="17"/>
      <c r="C97" s="14"/>
      <c r="D97" s="14"/>
      <c r="E97" s="18"/>
      <c r="F97" s="61"/>
      <c r="G97" s="73"/>
      <c r="H97" s="79"/>
      <c r="I97" s="79"/>
      <c r="J97" s="14"/>
      <c r="K97" s="38"/>
      <c r="L97" s="38"/>
      <c r="M97" s="17"/>
    </row>
    <row r="98" spans="2:13" ht="14.45" customHeight="1" x14ac:dyDescent="0.25">
      <c r="B98" s="17"/>
      <c r="C98" s="14"/>
      <c r="D98" s="14"/>
      <c r="E98" s="18"/>
      <c r="F98" s="61"/>
      <c r="G98" s="73"/>
      <c r="H98" s="79"/>
      <c r="I98" s="79"/>
      <c r="J98" s="14"/>
      <c r="K98" s="38"/>
      <c r="L98" s="38"/>
      <c r="M98" s="17"/>
    </row>
    <row r="99" spans="2:13" ht="14.45" customHeight="1" x14ac:dyDescent="0.25">
      <c r="B99" s="17"/>
      <c r="C99" s="14"/>
      <c r="D99" s="14"/>
      <c r="E99" s="18"/>
      <c r="F99" s="61"/>
      <c r="G99" s="73"/>
      <c r="H99" s="79"/>
      <c r="I99" s="79"/>
      <c r="J99" s="14"/>
      <c r="K99" s="38"/>
      <c r="L99" s="38"/>
      <c r="M99" s="17"/>
    </row>
    <row r="100" spans="2:13" ht="14.45" customHeight="1" x14ac:dyDescent="0.25">
      <c r="B100" s="17"/>
      <c r="C100" s="14"/>
      <c r="D100" s="14"/>
      <c r="E100" s="18"/>
      <c r="F100" s="61"/>
      <c r="G100" s="73"/>
      <c r="H100" s="79"/>
      <c r="I100" s="79"/>
      <c r="J100" s="14"/>
      <c r="K100" s="38"/>
      <c r="L100" s="38"/>
      <c r="M100" s="17"/>
    </row>
    <row r="101" spans="2:13" ht="14.45" customHeight="1" x14ac:dyDescent="0.25">
      <c r="B101" s="17"/>
      <c r="C101" s="14"/>
      <c r="D101" s="14"/>
      <c r="E101" s="18"/>
      <c r="F101" s="61"/>
      <c r="G101" s="73"/>
      <c r="H101" s="79"/>
      <c r="I101" s="79"/>
      <c r="J101" s="14"/>
      <c r="K101" s="38"/>
      <c r="L101" s="38"/>
      <c r="M101" s="17"/>
    </row>
    <row r="102" spans="2:13" ht="14.45" customHeight="1" x14ac:dyDescent="0.25">
      <c r="B102" s="17"/>
      <c r="C102" s="14"/>
      <c r="D102" s="14"/>
      <c r="E102" s="18"/>
      <c r="F102" s="61"/>
      <c r="G102" s="73"/>
      <c r="H102" s="79"/>
      <c r="I102" s="79"/>
      <c r="J102" s="14"/>
      <c r="K102" s="38"/>
      <c r="L102" s="38"/>
      <c r="M102" s="17"/>
    </row>
    <row r="103" spans="2:13" ht="14.45" customHeight="1" x14ac:dyDescent="0.25">
      <c r="B103" s="17"/>
      <c r="C103" s="14"/>
      <c r="D103" s="14"/>
      <c r="E103" s="18"/>
      <c r="F103" s="61"/>
      <c r="G103" s="73"/>
      <c r="H103" s="79"/>
      <c r="I103" s="79"/>
      <c r="J103" s="14"/>
      <c r="K103" s="38"/>
      <c r="L103" s="38"/>
      <c r="M103" s="17"/>
    </row>
    <row r="104" spans="2:13" ht="14.45" customHeight="1" x14ac:dyDescent="0.25">
      <c r="B104" s="17"/>
      <c r="C104" s="14"/>
      <c r="D104" s="14"/>
      <c r="E104" s="18"/>
      <c r="F104" s="61"/>
      <c r="G104" s="73"/>
      <c r="H104" s="79"/>
      <c r="I104" s="79"/>
      <c r="J104" s="14"/>
      <c r="K104" s="38"/>
      <c r="L104" s="38"/>
      <c r="M104" s="17"/>
    </row>
    <row r="105" spans="2:13" ht="14.45" customHeight="1" x14ac:dyDescent="0.25">
      <c r="B105" s="17"/>
      <c r="C105" s="14"/>
      <c r="D105" s="14"/>
      <c r="E105" s="18"/>
      <c r="F105" s="61"/>
      <c r="G105" s="73"/>
      <c r="H105" s="79"/>
      <c r="I105" s="79"/>
      <c r="J105" s="14"/>
      <c r="K105" s="38"/>
      <c r="L105" s="38"/>
      <c r="M105" s="17"/>
    </row>
    <row r="106" spans="2:13" ht="14.45" customHeight="1" x14ac:dyDescent="0.25">
      <c r="B106" s="17"/>
      <c r="C106" s="14"/>
      <c r="D106" s="14"/>
      <c r="E106" s="18"/>
      <c r="F106" s="61"/>
      <c r="G106" s="73"/>
      <c r="H106" s="79"/>
      <c r="I106" s="79"/>
      <c r="J106" s="14"/>
      <c r="K106" s="38"/>
      <c r="L106" s="38"/>
      <c r="M106" s="17"/>
    </row>
    <row r="107" spans="2:13" ht="14.45" customHeight="1" x14ac:dyDescent="0.25">
      <c r="B107" s="17"/>
      <c r="C107" s="14"/>
      <c r="D107" s="14"/>
      <c r="E107" s="18"/>
      <c r="F107" s="61"/>
      <c r="G107" s="73"/>
      <c r="H107" s="79"/>
      <c r="I107" s="79"/>
      <c r="J107" s="14"/>
      <c r="K107" s="38"/>
      <c r="L107" s="38"/>
      <c r="M107" s="17"/>
    </row>
    <row r="108" spans="2:13" ht="14.45" customHeight="1" x14ac:dyDescent="0.25">
      <c r="B108" s="17"/>
      <c r="C108" s="14"/>
      <c r="D108" s="14"/>
      <c r="E108" s="18"/>
      <c r="F108" s="61"/>
      <c r="G108" s="73"/>
      <c r="H108" s="79"/>
      <c r="I108" s="79"/>
      <c r="J108" s="14"/>
      <c r="K108" s="38"/>
      <c r="L108" s="38"/>
      <c r="M108" s="17"/>
    </row>
    <row r="109" spans="2:13" ht="14.45" customHeight="1" x14ac:dyDescent="0.25">
      <c r="B109" s="17"/>
      <c r="C109" s="14"/>
      <c r="D109" s="14"/>
      <c r="E109" s="18"/>
      <c r="F109" s="61"/>
      <c r="G109" s="73"/>
      <c r="H109" s="79"/>
      <c r="I109" s="79"/>
      <c r="J109" s="14"/>
      <c r="K109" s="38"/>
      <c r="L109" s="38"/>
      <c r="M109" s="17"/>
    </row>
    <row r="110" spans="2:13" ht="14.45" customHeight="1" x14ac:dyDescent="0.25">
      <c r="B110" s="17"/>
      <c r="C110" s="14"/>
      <c r="D110" s="14"/>
      <c r="E110" s="18"/>
      <c r="F110" s="61"/>
      <c r="G110" s="73"/>
      <c r="H110" s="79"/>
      <c r="I110" s="79"/>
      <c r="J110" s="14"/>
      <c r="K110" s="38"/>
      <c r="L110" s="38"/>
      <c r="M110" s="17"/>
    </row>
    <row r="111" spans="2:13" ht="14.45" customHeight="1" x14ac:dyDescent="0.25">
      <c r="B111" s="17"/>
      <c r="C111" s="14"/>
      <c r="D111" s="14"/>
      <c r="E111" s="18"/>
      <c r="F111" s="61"/>
      <c r="G111" s="73"/>
      <c r="H111" s="79"/>
      <c r="I111" s="79"/>
      <c r="J111" s="14"/>
      <c r="K111" s="38"/>
      <c r="L111" s="38"/>
      <c r="M111" s="17"/>
    </row>
    <row r="112" spans="2:13" ht="14.45" customHeight="1" x14ac:dyDescent="0.25">
      <c r="B112" s="17"/>
      <c r="C112" s="14"/>
      <c r="D112" s="14"/>
      <c r="E112" s="18"/>
      <c r="F112" s="61"/>
      <c r="G112" s="73"/>
      <c r="H112" s="79"/>
      <c r="I112" s="79"/>
      <c r="J112" s="14"/>
      <c r="K112" s="38"/>
      <c r="L112" s="38"/>
      <c r="M112" s="17"/>
    </row>
    <row r="113" spans="2:13" ht="14.45" customHeight="1" x14ac:dyDescent="0.25">
      <c r="B113" s="17"/>
      <c r="C113" s="14"/>
      <c r="D113" s="14"/>
      <c r="E113" s="18"/>
      <c r="F113" s="61"/>
      <c r="G113" s="73"/>
      <c r="H113" s="79"/>
      <c r="I113" s="79"/>
      <c r="J113" s="14"/>
      <c r="K113" s="38"/>
      <c r="L113" s="38"/>
      <c r="M113" s="17"/>
    </row>
    <row r="114" spans="2:13" ht="14.45" customHeight="1" x14ac:dyDescent="0.25">
      <c r="B114" s="17"/>
      <c r="C114" s="14"/>
      <c r="D114" s="14"/>
      <c r="E114" s="18"/>
      <c r="F114" s="61"/>
      <c r="G114" s="73"/>
      <c r="H114" s="79"/>
      <c r="I114" s="79"/>
      <c r="J114" s="14"/>
      <c r="K114" s="38"/>
      <c r="L114" s="38"/>
      <c r="M114" s="17"/>
    </row>
    <row r="115" spans="2:13" ht="14.45" customHeight="1" x14ac:dyDescent="0.25">
      <c r="B115" s="17"/>
      <c r="C115" s="14"/>
      <c r="D115" s="14"/>
      <c r="E115" s="18"/>
      <c r="F115" s="61"/>
      <c r="G115" s="73"/>
      <c r="H115" s="79"/>
      <c r="I115" s="79"/>
      <c r="J115" s="14"/>
      <c r="K115" s="38"/>
      <c r="L115" s="38"/>
      <c r="M115" s="17"/>
    </row>
    <row r="116" spans="2:13" ht="14.45" customHeight="1" x14ac:dyDescent="0.25">
      <c r="B116" s="17"/>
      <c r="C116" s="14"/>
      <c r="D116" s="14"/>
      <c r="E116" s="18"/>
      <c r="F116" s="61"/>
      <c r="G116" s="73"/>
      <c r="H116" s="79"/>
      <c r="I116" s="79"/>
      <c r="J116" s="14"/>
      <c r="K116" s="38"/>
      <c r="L116" s="38"/>
      <c r="M116" s="17"/>
    </row>
    <row r="117" spans="2:13" ht="14.45" customHeight="1" x14ac:dyDescent="0.25">
      <c r="B117" s="17"/>
      <c r="C117" s="14"/>
      <c r="D117" s="14"/>
      <c r="E117" s="18"/>
      <c r="F117" s="61"/>
      <c r="G117" s="73"/>
      <c r="H117" s="79"/>
      <c r="I117" s="79"/>
      <c r="J117" s="14"/>
      <c r="K117" s="38"/>
      <c r="L117" s="38"/>
      <c r="M117" s="17"/>
    </row>
    <row r="118" spans="2:13" ht="14.45" customHeight="1" x14ac:dyDescent="0.25">
      <c r="B118" s="17"/>
      <c r="C118" s="14"/>
      <c r="D118" s="14"/>
      <c r="E118" s="18"/>
      <c r="F118" s="61"/>
      <c r="G118" s="73"/>
      <c r="H118" s="79"/>
      <c r="I118" s="79"/>
      <c r="J118" s="14"/>
      <c r="K118" s="38"/>
      <c r="L118" s="38"/>
      <c r="M118" s="17"/>
    </row>
    <row r="119" spans="2:13" ht="14.45" customHeight="1" x14ac:dyDescent="0.25">
      <c r="B119" s="17"/>
      <c r="C119" s="14"/>
      <c r="D119" s="14"/>
      <c r="E119" s="18"/>
      <c r="F119" s="61"/>
      <c r="G119" s="73"/>
      <c r="H119" s="79"/>
      <c r="I119" s="79"/>
      <c r="J119" s="14"/>
      <c r="K119" s="38"/>
      <c r="L119" s="38"/>
      <c r="M119" s="17"/>
    </row>
    <row r="120" spans="2:13" ht="14.45" customHeight="1" x14ac:dyDescent="0.25">
      <c r="B120" s="17"/>
      <c r="C120" s="14"/>
      <c r="D120" s="14"/>
      <c r="E120" s="18"/>
      <c r="F120" s="61"/>
      <c r="G120" s="73"/>
      <c r="H120" s="79"/>
      <c r="I120" s="79"/>
      <c r="J120" s="14"/>
      <c r="K120" s="38"/>
      <c r="L120" s="38"/>
      <c r="M120" s="17"/>
    </row>
    <row r="121" spans="2:13" ht="14.45" customHeight="1" x14ac:dyDescent="0.25">
      <c r="B121" s="17"/>
      <c r="C121" s="14"/>
      <c r="D121" s="14"/>
      <c r="E121" s="18"/>
      <c r="F121" s="61"/>
      <c r="G121" s="73"/>
      <c r="H121" s="79"/>
      <c r="I121" s="79"/>
      <c r="J121" s="14"/>
      <c r="K121" s="38"/>
      <c r="L121" s="38"/>
      <c r="M121" s="17"/>
    </row>
    <row r="122" spans="2:13" ht="14.45" customHeight="1" x14ac:dyDescent="0.25">
      <c r="B122" s="17"/>
      <c r="C122" s="14"/>
      <c r="D122" s="14"/>
      <c r="E122" s="18"/>
      <c r="F122" s="61"/>
      <c r="G122" s="73"/>
      <c r="H122" s="79"/>
      <c r="I122" s="79"/>
      <c r="J122" s="14"/>
      <c r="K122" s="38"/>
      <c r="L122" s="38"/>
      <c r="M122" s="17"/>
    </row>
    <row r="123" spans="2:13" ht="14.45" customHeight="1" x14ac:dyDescent="0.25">
      <c r="B123" s="17"/>
      <c r="C123" s="14"/>
      <c r="D123" s="14"/>
      <c r="E123" s="18"/>
      <c r="F123" s="61"/>
      <c r="G123" s="73"/>
      <c r="H123" s="79"/>
      <c r="I123" s="79"/>
      <c r="J123" s="14"/>
      <c r="K123" s="38"/>
      <c r="L123" s="38"/>
      <c r="M123" s="17"/>
    </row>
    <row r="124" spans="2:13" ht="14.45" customHeight="1" x14ac:dyDescent="0.25">
      <c r="B124" s="17"/>
      <c r="C124" s="14"/>
      <c r="D124" s="14"/>
      <c r="E124" s="18"/>
      <c r="F124" s="61"/>
      <c r="G124" s="73"/>
      <c r="H124" s="79"/>
      <c r="I124" s="79"/>
      <c r="J124" s="14"/>
      <c r="K124" s="38"/>
      <c r="L124" s="38"/>
      <c r="M124" s="17"/>
    </row>
    <row r="125" spans="2:13" ht="14.45" customHeight="1" x14ac:dyDescent="0.25">
      <c r="B125" s="17"/>
      <c r="C125" s="14"/>
      <c r="D125" s="14"/>
      <c r="E125" s="18"/>
      <c r="F125" s="61"/>
      <c r="G125" s="73"/>
      <c r="H125" s="79"/>
      <c r="I125" s="79"/>
      <c r="J125" s="14"/>
      <c r="K125" s="38"/>
      <c r="L125" s="38"/>
      <c r="M125" s="17"/>
    </row>
    <row r="126" spans="2:13" ht="14.45" customHeight="1" x14ac:dyDescent="0.25">
      <c r="B126" s="17"/>
      <c r="C126" s="14"/>
      <c r="D126" s="14"/>
      <c r="E126" s="18"/>
      <c r="F126" s="61"/>
      <c r="G126" s="73"/>
      <c r="H126" s="79"/>
      <c r="I126" s="79"/>
      <c r="J126" s="14"/>
      <c r="K126" s="38"/>
      <c r="L126" s="38"/>
      <c r="M126" s="17"/>
    </row>
    <row r="127" spans="2:13" ht="14.45" customHeight="1" x14ac:dyDescent="0.25">
      <c r="B127" s="17"/>
      <c r="C127" s="14"/>
      <c r="D127" s="14"/>
      <c r="E127" s="18"/>
      <c r="F127" s="61"/>
      <c r="G127" s="73"/>
      <c r="H127" s="79"/>
      <c r="I127" s="79"/>
      <c r="J127" s="14"/>
      <c r="K127" s="38"/>
      <c r="L127" s="38"/>
      <c r="M127" s="17"/>
    </row>
    <row r="128" spans="2:13" ht="14.45" customHeight="1" x14ac:dyDescent="0.25">
      <c r="B128" s="17"/>
      <c r="C128" s="14"/>
      <c r="D128" s="14"/>
      <c r="E128" s="18"/>
      <c r="F128" s="61"/>
      <c r="G128" s="73"/>
      <c r="H128" s="79"/>
      <c r="I128" s="79"/>
      <c r="J128" s="14"/>
      <c r="K128" s="38"/>
      <c r="L128" s="38"/>
      <c r="M128" s="17"/>
    </row>
    <row r="129" spans="2:13" ht="14.45" customHeight="1" x14ac:dyDescent="0.25">
      <c r="B129" s="17"/>
      <c r="C129" s="14"/>
      <c r="D129" s="14"/>
      <c r="E129" s="18"/>
      <c r="F129" s="61"/>
      <c r="G129" s="73"/>
      <c r="H129" s="79"/>
      <c r="I129" s="79"/>
      <c r="J129" s="14"/>
      <c r="K129" s="38"/>
      <c r="L129" s="38"/>
      <c r="M129" s="17"/>
    </row>
    <row r="130" spans="2:13" ht="14.45" customHeight="1" x14ac:dyDescent="0.25">
      <c r="B130" s="17"/>
      <c r="C130" s="14"/>
      <c r="D130" s="14"/>
      <c r="E130" s="18"/>
      <c r="F130" s="61"/>
      <c r="G130" s="73"/>
      <c r="H130" s="79"/>
      <c r="I130" s="79"/>
      <c r="J130" s="14"/>
      <c r="K130" s="38"/>
      <c r="L130" s="38"/>
      <c r="M130" s="17"/>
    </row>
    <row r="131" spans="2:13" ht="14.45" customHeight="1" x14ac:dyDescent="0.25">
      <c r="B131" s="17"/>
      <c r="C131" s="14"/>
      <c r="D131" s="14"/>
      <c r="E131" s="18"/>
      <c r="F131" s="61"/>
      <c r="G131" s="73"/>
      <c r="H131" s="79"/>
      <c r="I131" s="79"/>
      <c r="J131" s="14"/>
      <c r="K131" s="38"/>
      <c r="L131" s="38"/>
      <c r="M131" s="17"/>
    </row>
    <row r="132" spans="2:13" ht="14.45" customHeight="1" x14ac:dyDescent="0.25">
      <c r="B132" s="17"/>
      <c r="C132" s="14"/>
      <c r="D132" s="14"/>
      <c r="E132" s="18"/>
      <c r="F132" s="61"/>
      <c r="G132" s="73"/>
      <c r="H132" s="79"/>
      <c r="I132" s="79"/>
      <c r="J132" s="14"/>
      <c r="K132" s="38"/>
      <c r="L132" s="38"/>
      <c r="M132" s="17"/>
    </row>
    <row r="133" spans="2:13" ht="14.45" customHeight="1" x14ac:dyDescent="0.25">
      <c r="B133" s="17"/>
      <c r="C133" s="14"/>
      <c r="D133" s="14"/>
      <c r="E133" s="18"/>
      <c r="F133" s="61"/>
      <c r="G133" s="73"/>
      <c r="H133" s="79"/>
      <c r="I133" s="79"/>
      <c r="J133" s="14"/>
      <c r="K133" s="38"/>
      <c r="L133" s="38"/>
      <c r="M133" s="17"/>
    </row>
    <row r="134" spans="2:13" ht="14.45" customHeight="1" x14ac:dyDescent="0.25">
      <c r="B134" s="17"/>
      <c r="C134" s="14"/>
      <c r="D134" s="14"/>
      <c r="E134" s="18"/>
      <c r="F134" s="61"/>
      <c r="G134" s="73"/>
      <c r="H134" s="79"/>
      <c r="I134" s="79"/>
      <c r="J134" s="14"/>
      <c r="K134" s="38"/>
      <c r="L134" s="38"/>
      <c r="M134" s="17"/>
    </row>
    <row r="135" spans="2:13" ht="14.45" customHeight="1" x14ac:dyDescent="0.25">
      <c r="B135" s="17"/>
      <c r="C135" s="14"/>
      <c r="D135" s="14"/>
      <c r="E135" s="18"/>
      <c r="F135" s="61"/>
      <c r="G135" s="73"/>
      <c r="H135" s="79"/>
      <c r="I135" s="79"/>
      <c r="J135" s="14"/>
      <c r="K135" s="38"/>
      <c r="L135" s="38"/>
      <c r="M135" s="17"/>
    </row>
    <row r="136" spans="2:13" ht="14.45" customHeight="1" x14ac:dyDescent="0.25">
      <c r="B136" s="17"/>
      <c r="C136" s="14"/>
      <c r="D136" s="14"/>
      <c r="E136" s="18"/>
      <c r="F136" s="61"/>
      <c r="G136" s="73"/>
      <c r="H136" s="79"/>
      <c r="I136" s="79"/>
      <c r="J136" s="14"/>
      <c r="K136" s="38"/>
      <c r="L136" s="38"/>
      <c r="M136" s="17"/>
    </row>
    <row r="137" spans="2:13" ht="14.45" customHeight="1" x14ac:dyDescent="0.25">
      <c r="B137" s="17"/>
      <c r="C137" s="14"/>
      <c r="D137" s="14"/>
      <c r="E137" s="18"/>
      <c r="F137" s="61"/>
      <c r="G137" s="73"/>
      <c r="H137" s="79"/>
      <c r="I137" s="79"/>
      <c r="J137" s="14"/>
      <c r="K137" s="38"/>
      <c r="L137" s="38"/>
      <c r="M137" s="17"/>
    </row>
    <row r="138" spans="2:13" ht="14.45" customHeight="1" x14ac:dyDescent="0.25">
      <c r="B138" s="17"/>
      <c r="C138" s="14"/>
      <c r="D138" s="14"/>
      <c r="E138" s="18"/>
      <c r="F138" s="61"/>
      <c r="G138" s="73"/>
      <c r="H138" s="79"/>
      <c r="I138" s="79"/>
      <c r="J138" s="14"/>
      <c r="K138" s="38"/>
      <c r="L138" s="38"/>
      <c r="M138" s="17"/>
    </row>
    <row r="139" spans="2:13" ht="14.45" customHeight="1" x14ac:dyDescent="0.25">
      <c r="B139" s="17"/>
      <c r="C139" s="14"/>
      <c r="D139" s="14"/>
      <c r="E139" s="18"/>
      <c r="F139" s="61"/>
      <c r="G139" s="73"/>
      <c r="H139" s="79"/>
      <c r="I139" s="79"/>
      <c r="J139" s="14"/>
      <c r="K139" s="38"/>
      <c r="L139" s="38"/>
      <c r="M139" s="17"/>
    </row>
    <row r="140" spans="2:13" ht="14.45" customHeight="1" x14ac:dyDescent="0.25">
      <c r="B140" s="17"/>
      <c r="C140" s="14"/>
      <c r="D140" s="14"/>
      <c r="E140" s="18"/>
      <c r="F140" s="61"/>
      <c r="G140" s="73"/>
      <c r="H140" s="79"/>
      <c r="I140" s="79"/>
      <c r="J140" s="14"/>
      <c r="K140" s="38"/>
      <c r="L140" s="38"/>
      <c r="M140" s="17"/>
    </row>
    <row r="141" spans="2:13" ht="14.45" customHeight="1" x14ac:dyDescent="0.25">
      <c r="B141" s="17"/>
      <c r="C141" s="14"/>
      <c r="D141" s="14"/>
      <c r="E141" s="18"/>
      <c r="F141" s="61"/>
      <c r="G141" s="73"/>
      <c r="H141" s="79"/>
      <c r="I141" s="79"/>
      <c r="J141" s="14"/>
      <c r="K141" s="38"/>
      <c r="L141" s="38"/>
      <c r="M141" s="17"/>
    </row>
    <row r="142" spans="2:13" ht="14.45" customHeight="1" x14ac:dyDescent="0.25">
      <c r="B142" s="17"/>
      <c r="C142" s="14"/>
      <c r="D142" s="14"/>
      <c r="E142" s="18"/>
      <c r="F142" s="61"/>
      <c r="G142" s="73"/>
      <c r="H142" s="79"/>
      <c r="I142" s="79"/>
      <c r="J142" s="14"/>
      <c r="K142" s="38"/>
      <c r="L142" s="38"/>
      <c r="M142" s="17"/>
    </row>
    <row r="143" spans="2:13" ht="14.45" customHeight="1" x14ac:dyDescent="0.25">
      <c r="B143" s="17"/>
      <c r="C143" s="14"/>
      <c r="D143" s="14"/>
      <c r="E143" s="18"/>
      <c r="F143" s="61"/>
      <c r="G143" s="73"/>
      <c r="H143" s="79"/>
      <c r="I143" s="79"/>
      <c r="J143" s="14"/>
      <c r="K143" s="38"/>
      <c r="L143" s="38"/>
      <c r="M143" s="17"/>
    </row>
    <row r="144" spans="2:13" ht="14.45" customHeight="1" x14ac:dyDescent="0.25">
      <c r="B144" s="17"/>
      <c r="C144" s="14"/>
      <c r="D144" s="14"/>
      <c r="E144" s="18"/>
      <c r="F144" s="61"/>
      <c r="G144" s="73"/>
      <c r="H144" s="79"/>
      <c r="I144" s="79"/>
      <c r="J144" s="14"/>
      <c r="K144" s="38"/>
      <c r="L144" s="38"/>
      <c r="M144" s="17"/>
    </row>
    <row r="145" spans="2:13" ht="14.45" customHeight="1" x14ac:dyDescent="0.25">
      <c r="B145" s="17"/>
      <c r="C145" s="14"/>
      <c r="D145" s="14"/>
      <c r="E145" s="18"/>
      <c r="F145" s="61"/>
      <c r="G145" s="73"/>
      <c r="H145" s="79"/>
      <c r="I145" s="79"/>
      <c r="J145" s="14"/>
      <c r="K145" s="38"/>
      <c r="L145" s="38"/>
      <c r="M145" s="17"/>
    </row>
    <row r="146" spans="2:13" ht="14.45" customHeight="1" x14ac:dyDescent="0.25">
      <c r="B146" s="17"/>
      <c r="C146" s="14"/>
      <c r="D146" s="14"/>
      <c r="E146" s="18"/>
      <c r="F146" s="61"/>
      <c r="G146" s="73"/>
      <c r="H146" s="79"/>
      <c r="I146" s="79"/>
      <c r="J146" s="14"/>
      <c r="K146" s="38"/>
      <c r="L146" s="38"/>
      <c r="M146" s="17"/>
    </row>
    <row r="147" spans="2:13" ht="14.45" customHeight="1" x14ac:dyDescent="0.25">
      <c r="B147" s="17"/>
      <c r="C147" s="14"/>
      <c r="D147" s="14"/>
      <c r="E147" s="18"/>
      <c r="F147" s="61"/>
      <c r="G147" s="73"/>
      <c r="H147" s="79"/>
      <c r="I147" s="79"/>
      <c r="J147" s="14"/>
      <c r="K147" s="38"/>
      <c r="L147" s="38"/>
      <c r="M147" s="17"/>
    </row>
    <row r="148" spans="2:13" ht="14.45" customHeight="1" x14ac:dyDescent="0.25">
      <c r="B148" s="17"/>
      <c r="C148" s="14"/>
      <c r="D148" s="14"/>
      <c r="E148" s="18"/>
      <c r="F148" s="61"/>
      <c r="G148" s="73"/>
      <c r="H148" s="79"/>
      <c r="I148" s="79"/>
      <c r="J148" s="14"/>
      <c r="K148" s="38"/>
      <c r="L148" s="38"/>
      <c r="M148" s="17"/>
    </row>
    <row r="149" spans="2:13" ht="14.45" customHeight="1" x14ac:dyDescent="0.25">
      <c r="B149" s="17"/>
      <c r="C149" s="14"/>
      <c r="D149" s="14"/>
      <c r="E149" s="18"/>
      <c r="F149" s="61"/>
      <c r="G149" s="73"/>
      <c r="H149" s="79"/>
      <c r="I149" s="79"/>
      <c r="J149" s="14"/>
      <c r="K149" s="38"/>
      <c r="L149" s="38"/>
      <c r="M149" s="17"/>
    </row>
    <row r="150" spans="2:13" ht="14.45" customHeight="1" x14ac:dyDescent="0.25">
      <c r="B150" s="17"/>
      <c r="C150" s="14"/>
      <c r="D150" s="14"/>
      <c r="E150" s="18"/>
      <c r="F150" s="61"/>
      <c r="G150" s="73"/>
      <c r="H150" s="79"/>
      <c r="I150" s="79"/>
      <c r="J150" s="14"/>
      <c r="K150" s="38"/>
      <c r="L150" s="38"/>
      <c r="M150" s="17"/>
    </row>
    <row r="151" spans="2:13" ht="14.45" customHeight="1" x14ac:dyDescent="0.25">
      <c r="B151" s="17"/>
      <c r="C151" s="14"/>
      <c r="D151" s="14"/>
      <c r="E151" s="18"/>
      <c r="F151" s="61"/>
      <c r="G151" s="73"/>
      <c r="H151" s="79"/>
      <c r="I151" s="79"/>
      <c r="J151" s="14"/>
      <c r="K151" s="38"/>
      <c r="L151" s="38"/>
      <c r="M151" s="17"/>
    </row>
    <row r="152" spans="2:13" ht="14.45" customHeight="1" x14ac:dyDescent="0.25">
      <c r="B152" s="17"/>
      <c r="C152" s="14"/>
      <c r="D152" s="14"/>
      <c r="E152" s="18"/>
      <c r="F152" s="61"/>
      <c r="G152" s="73"/>
      <c r="H152" s="79"/>
      <c r="I152" s="79"/>
      <c r="J152" s="14"/>
      <c r="K152" s="38"/>
      <c r="L152" s="38"/>
      <c r="M152" s="17"/>
    </row>
    <row r="153" spans="2:13" ht="14.45" customHeight="1" x14ac:dyDescent="0.25">
      <c r="B153" s="17"/>
      <c r="C153" s="14"/>
      <c r="D153" s="14"/>
      <c r="E153" s="18"/>
      <c r="F153" s="61"/>
      <c r="G153" s="73"/>
      <c r="H153" s="79"/>
      <c r="I153" s="79"/>
      <c r="J153" s="14"/>
      <c r="K153" s="38"/>
      <c r="L153" s="38"/>
      <c r="M153" s="17"/>
    </row>
    <row r="154" spans="2:13" ht="14.45" customHeight="1" x14ac:dyDescent="0.25">
      <c r="B154" s="17"/>
      <c r="C154" s="14"/>
      <c r="D154" s="14"/>
      <c r="E154" s="18"/>
      <c r="F154" s="61"/>
      <c r="G154" s="73"/>
      <c r="H154" s="79"/>
      <c r="I154" s="79"/>
      <c r="J154" s="14"/>
      <c r="K154" s="38"/>
      <c r="L154" s="38"/>
      <c r="M154" s="17"/>
    </row>
    <row r="155" spans="2:13" ht="14.45" customHeight="1" x14ac:dyDescent="0.25">
      <c r="B155" s="17"/>
      <c r="C155" s="14"/>
      <c r="D155" s="14"/>
      <c r="E155" s="18"/>
      <c r="F155" s="61"/>
      <c r="G155" s="73"/>
      <c r="H155" s="79"/>
      <c r="I155" s="79"/>
      <c r="J155" s="14"/>
      <c r="K155" s="38"/>
      <c r="L155" s="38"/>
      <c r="M155" s="17"/>
    </row>
    <row r="156" spans="2:13" ht="14.45" customHeight="1" x14ac:dyDescent="0.25">
      <c r="B156" s="17"/>
      <c r="C156" s="14"/>
      <c r="D156" s="14"/>
      <c r="E156" s="18"/>
      <c r="F156" s="61"/>
      <c r="G156" s="73"/>
      <c r="H156" s="79"/>
      <c r="I156" s="79"/>
      <c r="J156" s="14"/>
      <c r="K156" s="38"/>
      <c r="L156" s="38"/>
      <c r="M156" s="17"/>
    </row>
    <row r="157" spans="2:13" ht="14.45" customHeight="1" x14ac:dyDescent="0.25">
      <c r="B157" s="17"/>
      <c r="C157" s="14"/>
      <c r="D157" s="14"/>
      <c r="E157" s="18"/>
      <c r="F157" s="61"/>
      <c r="G157" s="73"/>
      <c r="H157" s="79"/>
      <c r="I157" s="79"/>
      <c r="J157" s="14"/>
      <c r="K157" s="38"/>
      <c r="L157" s="38"/>
      <c r="M157" s="17"/>
    </row>
    <row r="158" spans="2:13" ht="14.45" customHeight="1" x14ac:dyDescent="0.25">
      <c r="B158" s="17"/>
      <c r="C158" s="14"/>
      <c r="D158" s="14"/>
      <c r="E158" s="18"/>
      <c r="F158" s="61"/>
      <c r="G158" s="73"/>
      <c r="H158" s="79"/>
      <c r="I158" s="79"/>
      <c r="J158" s="14"/>
      <c r="K158" s="38"/>
      <c r="L158" s="38"/>
      <c r="M158" s="17"/>
    </row>
    <row r="159" spans="2:13" ht="14.45" customHeight="1" x14ac:dyDescent="0.25">
      <c r="B159" s="17"/>
      <c r="C159" s="14"/>
      <c r="D159" s="14"/>
      <c r="E159" s="18"/>
      <c r="F159" s="61"/>
      <c r="G159" s="73"/>
      <c r="H159" s="79"/>
      <c r="I159" s="79"/>
      <c r="J159" s="14"/>
      <c r="K159" s="38"/>
      <c r="L159" s="38"/>
      <c r="M159" s="17"/>
    </row>
    <row r="160" spans="2:13" ht="14.45" customHeight="1" x14ac:dyDescent="0.25">
      <c r="B160" s="17"/>
      <c r="C160" s="14"/>
      <c r="D160" s="14"/>
      <c r="E160" s="18"/>
      <c r="F160" s="61"/>
      <c r="G160" s="73"/>
      <c r="H160" s="79"/>
      <c r="I160" s="79"/>
      <c r="J160" s="14"/>
      <c r="K160" s="38"/>
      <c r="L160" s="38"/>
      <c r="M160" s="17"/>
    </row>
    <row r="161" spans="2:13" ht="14.45" customHeight="1" x14ac:dyDescent="0.25">
      <c r="B161" s="17"/>
      <c r="C161" s="14"/>
      <c r="D161" s="14"/>
      <c r="E161" s="18"/>
      <c r="F161" s="61"/>
      <c r="G161" s="73"/>
      <c r="H161" s="79"/>
      <c r="I161" s="79"/>
      <c r="J161" s="14"/>
      <c r="K161" s="38"/>
      <c r="L161" s="38"/>
      <c r="M161" s="17"/>
    </row>
    <row r="162" spans="2:13" ht="14.45" customHeight="1" x14ac:dyDescent="0.25">
      <c r="B162" s="17"/>
      <c r="C162" s="14"/>
      <c r="D162" s="14"/>
      <c r="E162" s="18"/>
      <c r="F162" s="61"/>
      <c r="G162" s="73"/>
      <c r="H162" s="79"/>
      <c r="I162" s="79"/>
      <c r="J162" s="14"/>
      <c r="K162" s="38"/>
      <c r="L162" s="38"/>
      <c r="M162" s="17"/>
    </row>
    <row r="163" spans="2:13" ht="14.45" customHeight="1" x14ac:dyDescent="0.25">
      <c r="B163" s="17"/>
      <c r="C163" s="14"/>
      <c r="D163" s="14"/>
      <c r="E163" s="18"/>
      <c r="F163" s="61"/>
      <c r="G163" s="73"/>
      <c r="H163" s="79"/>
      <c r="I163" s="79"/>
      <c r="J163" s="14"/>
      <c r="K163" s="38"/>
      <c r="L163" s="38"/>
      <c r="M163" s="17"/>
    </row>
    <row r="164" spans="2:13" ht="14.45" customHeight="1" x14ac:dyDescent="0.25">
      <c r="B164" s="17"/>
      <c r="C164" s="14"/>
      <c r="D164" s="14"/>
      <c r="E164" s="18"/>
      <c r="F164" s="61"/>
      <c r="G164" s="73"/>
      <c r="H164" s="79"/>
      <c r="I164" s="79"/>
      <c r="J164" s="14"/>
      <c r="K164" s="38"/>
      <c r="L164" s="38"/>
      <c r="M164" s="17"/>
    </row>
    <row r="165" spans="2:13" ht="14.45" customHeight="1" x14ac:dyDescent="0.25">
      <c r="B165" s="17"/>
      <c r="C165" s="14"/>
      <c r="D165" s="14"/>
      <c r="E165" s="18"/>
      <c r="F165" s="61"/>
      <c r="G165" s="73"/>
      <c r="H165" s="79"/>
      <c r="I165" s="79"/>
      <c r="J165" s="14"/>
      <c r="K165" s="38"/>
      <c r="L165" s="38"/>
      <c r="M165" s="17"/>
    </row>
    <row r="166" spans="2:13" ht="14.45" customHeight="1" x14ac:dyDescent="0.25">
      <c r="B166" s="17"/>
      <c r="C166" s="14"/>
      <c r="D166" s="14"/>
      <c r="E166" s="18"/>
      <c r="F166" s="61"/>
      <c r="G166" s="73"/>
      <c r="H166" s="79"/>
      <c r="I166" s="79"/>
      <c r="J166" s="14"/>
      <c r="K166" s="38"/>
      <c r="L166" s="38"/>
      <c r="M166" s="17"/>
    </row>
    <row r="167" spans="2:13" ht="14.45" customHeight="1" x14ac:dyDescent="0.25">
      <c r="B167" s="17"/>
      <c r="C167" s="14"/>
      <c r="D167" s="14"/>
      <c r="E167" s="18"/>
      <c r="F167" s="61"/>
      <c r="G167" s="73"/>
      <c r="H167" s="79"/>
      <c r="I167" s="79"/>
      <c r="J167" s="14"/>
      <c r="K167" s="38"/>
      <c r="L167" s="38"/>
      <c r="M167" s="17"/>
    </row>
    <row r="168" spans="2:13" ht="14.45" customHeight="1" x14ac:dyDescent="0.25">
      <c r="B168" s="17"/>
      <c r="C168" s="14"/>
      <c r="D168" s="14"/>
      <c r="E168" s="18"/>
      <c r="F168" s="61"/>
      <c r="G168" s="73"/>
      <c r="H168" s="79"/>
      <c r="I168" s="79"/>
      <c r="J168" s="14"/>
      <c r="K168" s="38"/>
      <c r="L168" s="38"/>
      <c r="M168" s="17"/>
    </row>
    <row r="169" spans="2:13" ht="14.45" customHeight="1" x14ac:dyDescent="0.25">
      <c r="B169" s="17"/>
      <c r="C169" s="14"/>
      <c r="D169" s="14"/>
      <c r="E169" s="18"/>
      <c r="F169" s="61"/>
      <c r="G169" s="73"/>
      <c r="H169" s="79"/>
      <c r="I169" s="79"/>
      <c r="J169" s="14"/>
      <c r="K169" s="38"/>
      <c r="L169" s="38"/>
      <c r="M169" s="17"/>
    </row>
    <row r="170" spans="2:13" ht="14.45" customHeight="1" x14ac:dyDescent="0.25">
      <c r="B170" s="17"/>
      <c r="C170" s="14"/>
      <c r="D170" s="14"/>
      <c r="E170" s="18"/>
      <c r="F170" s="61"/>
      <c r="G170" s="73"/>
      <c r="H170" s="79"/>
      <c r="I170" s="79"/>
      <c r="J170" s="14"/>
      <c r="K170" s="38"/>
      <c r="L170" s="38"/>
      <c r="M170" s="17"/>
    </row>
    <row r="171" spans="2:13" ht="14.45" customHeight="1" x14ac:dyDescent="0.25">
      <c r="B171" s="17"/>
      <c r="C171" s="14"/>
      <c r="D171" s="14"/>
      <c r="E171" s="18"/>
      <c r="F171" s="61"/>
      <c r="G171" s="73"/>
      <c r="H171" s="79"/>
      <c r="I171" s="79"/>
      <c r="J171" s="14"/>
      <c r="K171" s="38"/>
      <c r="L171" s="38"/>
      <c r="M171" s="17"/>
    </row>
    <row r="172" spans="2:13" ht="14.45" customHeight="1" x14ac:dyDescent="0.25">
      <c r="B172" s="17"/>
      <c r="C172" s="14"/>
      <c r="D172" s="14"/>
      <c r="E172" s="18"/>
      <c r="F172" s="61"/>
      <c r="G172" s="73"/>
      <c r="H172" s="79"/>
      <c r="I172" s="79"/>
      <c r="J172" s="14"/>
      <c r="K172" s="38"/>
      <c r="L172" s="38"/>
      <c r="M172" s="17"/>
    </row>
    <row r="173" spans="2:13" ht="14.45" customHeight="1" x14ac:dyDescent="0.25">
      <c r="B173" s="17"/>
      <c r="C173" s="14"/>
      <c r="D173" s="14"/>
      <c r="E173" s="18"/>
      <c r="F173" s="61"/>
      <c r="G173" s="73"/>
      <c r="H173" s="79"/>
      <c r="I173" s="79"/>
      <c r="J173" s="14"/>
      <c r="K173" s="38"/>
      <c r="L173" s="38"/>
      <c r="M173" s="17"/>
    </row>
    <row r="174" spans="2:13" ht="14.45" customHeight="1" x14ac:dyDescent="0.25">
      <c r="B174" s="17"/>
      <c r="C174" s="14"/>
      <c r="D174" s="14"/>
      <c r="E174" s="18"/>
      <c r="F174" s="61"/>
      <c r="G174" s="73"/>
      <c r="H174" s="79"/>
      <c r="I174" s="79"/>
      <c r="J174" s="14"/>
      <c r="K174" s="38"/>
      <c r="L174" s="38"/>
      <c r="M174" s="17"/>
    </row>
    <row r="175" spans="2:13" ht="14.45" customHeight="1" x14ac:dyDescent="0.25">
      <c r="B175" s="17"/>
      <c r="C175" s="14"/>
      <c r="D175" s="14"/>
      <c r="E175" s="18"/>
      <c r="F175" s="61"/>
      <c r="G175" s="73"/>
      <c r="H175" s="79"/>
      <c r="I175" s="79"/>
      <c r="J175" s="14"/>
      <c r="K175" s="38"/>
      <c r="L175" s="38"/>
      <c r="M175" s="17"/>
    </row>
    <row r="176" spans="2:13" ht="14.45" customHeight="1" x14ac:dyDescent="0.25">
      <c r="B176" s="17"/>
      <c r="C176" s="14"/>
      <c r="D176" s="14"/>
      <c r="E176" s="18"/>
      <c r="F176" s="61"/>
      <c r="G176" s="73"/>
      <c r="H176" s="79"/>
      <c r="I176" s="79"/>
      <c r="J176" s="14"/>
      <c r="K176" s="38"/>
      <c r="L176" s="38"/>
      <c r="M176" s="17"/>
    </row>
    <row r="177" spans="2:13" ht="14.45" customHeight="1" x14ac:dyDescent="0.25">
      <c r="B177" s="17"/>
      <c r="C177" s="14"/>
      <c r="D177" s="14"/>
      <c r="E177" s="18"/>
      <c r="F177" s="61"/>
      <c r="G177" s="73"/>
      <c r="H177" s="79"/>
      <c r="I177" s="79"/>
      <c r="J177" s="14"/>
      <c r="K177" s="38"/>
      <c r="L177" s="38"/>
      <c r="M177" s="17"/>
    </row>
    <row r="178" spans="2:13" ht="14.45" customHeight="1" x14ac:dyDescent="0.25">
      <c r="B178" s="17"/>
      <c r="C178" s="14"/>
      <c r="D178" s="14"/>
      <c r="E178" s="18"/>
      <c r="F178" s="61"/>
      <c r="G178" s="73"/>
      <c r="H178" s="79"/>
      <c r="I178" s="79"/>
      <c r="J178" s="14"/>
      <c r="K178" s="38"/>
      <c r="L178" s="38"/>
      <c r="M178" s="17"/>
    </row>
    <row r="179" spans="2:13" ht="14.45" customHeight="1" x14ac:dyDescent="0.25">
      <c r="B179" s="17"/>
      <c r="C179" s="14"/>
      <c r="D179" s="14"/>
      <c r="E179" s="18"/>
      <c r="F179" s="61"/>
      <c r="G179" s="73"/>
      <c r="H179" s="79"/>
      <c r="I179" s="79"/>
      <c r="J179" s="14"/>
      <c r="K179" s="38"/>
      <c r="L179" s="38"/>
      <c r="M179" s="17"/>
    </row>
    <row r="180" spans="2:13" ht="14.45" customHeight="1" x14ac:dyDescent="0.25">
      <c r="B180" s="17"/>
      <c r="C180" s="14"/>
      <c r="D180" s="14"/>
      <c r="E180" s="18"/>
      <c r="F180" s="61"/>
      <c r="G180" s="73"/>
      <c r="H180" s="79"/>
      <c r="I180" s="79"/>
      <c r="J180" s="14"/>
      <c r="K180" s="38"/>
      <c r="L180" s="38"/>
      <c r="M180" s="17"/>
    </row>
    <row r="181" spans="2:13" ht="14.45" customHeight="1" x14ac:dyDescent="0.25">
      <c r="B181" s="17"/>
      <c r="C181" s="14"/>
      <c r="D181" s="14"/>
      <c r="E181" s="18"/>
      <c r="F181" s="61"/>
      <c r="G181" s="73"/>
      <c r="H181" s="79"/>
      <c r="I181" s="79"/>
      <c r="J181" s="14"/>
      <c r="K181" s="38"/>
      <c r="L181" s="38"/>
      <c r="M181" s="17"/>
    </row>
    <row r="182" spans="2:13" ht="14.45" customHeight="1" x14ac:dyDescent="0.25">
      <c r="B182" s="17"/>
      <c r="C182" s="14"/>
      <c r="D182" s="14"/>
      <c r="E182" s="18"/>
      <c r="F182" s="61"/>
      <c r="G182" s="73"/>
      <c r="H182" s="79"/>
      <c r="I182" s="79"/>
      <c r="J182" s="14"/>
      <c r="K182" s="38"/>
      <c r="L182" s="38"/>
      <c r="M182" s="17"/>
    </row>
    <row r="183" spans="2:13" ht="14.45" customHeight="1" x14ac:dyDescent="0.25">
      <c r="B183" s="17"/>
      <c r="C183" s="14"/>
      <c r="D183" s="14"/>
      <c r="E183" s="18"/>
      <c r="F183" s="61"/>
      <c r="G183" s="73"/>
      <c r="H183" s="79"/>
      <c r="I183" s="79"/>
      <c r="J183" s="14"/>
      <c r="K183" s="38"/>
      <c r="L183" s="38"/>
      <c r="M183" s="17"/>
    </row>
    <row r="184" spans="2:13" ht="14.45" customHeight="1" x14ac:dyDescent="0.25">
      <c r="B184" s="17"/>
      <c r="C184" s="14"/>
      <c r="D184" s="14"/>
      <c r="E184" s="18"/>
      <c r="F184" s="61"/>
      <c r="G184" s="73"/>
      <c r="H184" s="79"/>
      <c r="I184" s="79"/>
      <c r="J184" s="14"/>
      <c r="K184" s="38"/>
      <c r="L184" s="38"/>
      <c r="M184" s="17"/>
    </row>
    <row r="185" spans="2:13" ht="14.45" customHeight="1" x14ac:dyDescent="0.25">
      <c r="B185" s="17"/>
      <c r="C185" s="14"/>
      <c r="D185" s="14"/>
      <c r="E185" s="18"/>
      <c r="F185" s="61"/>
      <c r="G185" s="73"/>
      <c r="H185" s="79"/>
      <c r="I185" s="79"/>
      <c r="J185" s="14"/>
      <c r="K185" s="38"/>
      <c r="L185" s="38"/>
      <c r="M185" s="17"/>
    </row>
    <row r="186" spans="2:13" ht="14.45" customHeight="1" x14ac:dyDescent="0.25">
      <c r="B186" s="17"/>
      <c r="C186" s="14"/>
      <c r="D186" s="14"/>
      <c r="E186" s="18"/>
      <c r="F186" s="61"/>
      <c r="G186" s="73"/>
      <c r="H186" s="79"/>
      <c r="I186" s="79"/>
      <c r="J186" s="14"/>
      <c r="K186" s="38"/>
      <c r="L186" s="38"/>
      <c r="M186" s="17"/>
    </row>
    <row r="187" spans="2:13" ht="14.45" customHeight="1" x14ac:dyDescent="0.25">
      <c r="B187" s="17"/>
      <c r="C187" s="14"/>
      <c r="D187" s="14"/>
      <c r="E187" s="18"/>
      <c r="F187" s="61"/>
      <c r="G187" s="73"/>
      <c r="H187" s="79"/>
      <c r="I187" s="79"/>
      <c r="J187" s="14"/>
      <c r="K187" s="38"/>
      <c r="L187" s="38"/>
      <c r="M187" s="17"/>
    </row>
    <row r="188" spans="2:13" ht="14.45" customHeight="1" x14ac:dyDescent="0.25">
      <c r="B188" s="17"/>
      <c r="C188" s="14"/>
      <c r="D188" s="14"/>
      <c r="E188" s="18"/>
      <c r="F188" s="61"/>
      <c r="G188" s="73"/>
      <c r="H188" s="79"/>
      <c r="I188" s="79"/>
      <c r="J188" s="14"/>
      <c r="K188" s="38"/>
      <c r="L188" s="38"/>
      <c r="M188" s="17"/>
    </row>
    <row r="189" spans="2:13" ht="14.45" customHeight="1" x14ac:dyDescent="0.25">
      <c r="B189" s="17"/>
      <c r="C189" s="14"/>
      <c r="D189" s="14"/>
      <c r="E189" s="18"/>
      <c r="F189" s="61"/>
      <c r="G189" s="73"/>
      <c r="H189" s="79"/>
      <c r="I189" s="79"/>
      <c r="J189" s="14"/>
      <c r="K189" s="38"/>
      <c r="L189" s="38"/>
      <c r="M189" s="17"/>
    </row>
    <row r="190" spans="2:13" ht="14.45" customHeight="1" x14ac:dyDescent="0.25">
      <c r="B190" s="17"/>
      <c r="C190" s="14"/>
      <c r="D190" s="14"/>
      <c r="E190" s="18"/>
      <c r="F190" s="61"/>
      <c r="G190" s="73"/>
      <c r="H190" s="79"/>
      <c r="I190" s="79"/>
      <c r="J190" s="14"/>
      <c r="K190" s="38"/>
      <c r="L190" s="38"/>
      <c r="M190" s="17"/>
    </row>
    <row r="191" spans="2:13" ht="14.45" customHeight="1" x14ac:dyDescent="0.25">
      <c r="B191" s="17"/>
      <c r="C191" s="14"/>
      <c r="D191" s="14"/>
      <c r="E191" s="18"/>
      <c r="F191" s="61"/>
      <c r="G191" s="73"/>
      <c r="H191" s="79"/>
      <c r="I191" s="79"/>
      <c r="J191" s="14"/>
      <c r="K191" s="38"/>
      <c r="L191" s="38"/>
      <c r="M191" s="17"/>
    </row>
    <row r="192" spans="2:13" ht="14.45" customHeight="1" x14ac:dyDescent="0.25">
      <c r="B192" s="17"/>
      <c r="C192" s="14"/>
      <c r="D192" s="14"/>
      <c r="E192" s="18"/>
      <c r="F192" s="61"/>
      <c r="G192" s="73"/>
      <c r="H192" s="79"/>
      <c r="I192" s="79"/>
      <c r="J192" s="14"/>
      <c r="K192" s="38"/>
      <c r="L192" s="38"/>
      <c r="M192" s="17"/>
    </row>
    <row r="193" spans="2:13" ht="14.45" customHeight="1" x14ac:dyDescent="0.25">
      <c r="B193" s="17"/>
      <c r="C193" s="14"/>
      <c r="D193" s="14"/>
      <c r="E193" s="18"/>
      <c r="F193" s="61"/>
      <c r="G193" s="73"/>
      <c r="H193" s="79"/>
      <c r="I193" s="79"/>
      <c r="J193" s="14"/>
      <c r="K193" s="38"/>
      <c r="L193" s="38"/>
      <c r="M193" s="17"/>
    </row>
    <row r="194" spans="2:13" ht="14.45" customHeight="1" x14ac:dyDescent="0.25">
      <c r="B194" s="17"/>
      <c r="C194" s="14"/>
      <c r="D194" s="14"/>
      <c r="E194" s="18"/>
      <c r="F194" s="61"/>
      <c r="G194" s="73"/>
      <c r="H194" s="79"/>
      <c r="I194" s="79"/>
      <c r="J194" s="14"/>
      <c r="K194" s="38"/>
      <c r="L194" s="38"/>
      <c r="M194" s="17"/>
    </row>
    <row r="195" spans="2:13" ht="14.45" customHeight="1" x14ac:dyDescent="0.25">
      <c r="B195" s="17"/>
      <c r="C195" s="14"/>
      <c r="D195" s="14"/>
      <c r="E195" s="18"/>
      <c r="F195" s="61"/>
      <c r="G195" s="73"/>
      <c r="H195" s="79"/>
      <c r="I195" s="79"/>
      <c r="J195" s="14"/>
      <c r="K195" s="38"/>
      <c r="L195" s="38"/>
      <c r="M195" s="17"/>
    </row>
    <row r="196" spans="2:13" ht="14.45" customHeight="1" x14ac:dyDescent="0.25">
      <c r="B196" s="17"/>
      <c r="C196" s="14"/>
      <c r="D196" s="14"/>
      <c r="E196" s="18"/>
      <c r="F196" s="61"/>
      <c r="G196" s="73"/>
      <c r="H196" s="79"/>
      <c r="I196" s="79"/>
      <c r="J196" s="14"/>
      <c r="K196" s="38"/>
      <c r="L196" s="38"/>
      <c r="M196" s="17"/>
    </row>
    <row r="197" spans="2:13" ht="14.45" customHeight="1" x14ac:dyDescent="0.25">
      <c r="B197" s="17"/>
      <c r="C197" s="14"/>
      <c r="D197" s="14"/>
      <c r="E197" s="18"/>
      <c r="F197" s="61"/>
      <c r="G197" s="73"/>
      <c r="H197" s="79"/>
      <c r="I197" s="79"/>
      <c r="J197" s="14"/>
      <c r="K197" s="38"/>
      <c r="L197" s="38"/>
      <c r="M197" s="17"/>
    </row>
    <row r="198" spans="2:13" ht="14.45" customHeight="1" x14ac:dyDescent="0.25">
      <c r="B198" s="17"/>
      <c r="C198" s="14"/>
      <c r="D198" s="14"/>
      <c r="E198" s="18"/>
      <c r="F198" s="61"/>
      <c r="G198" s="73"/>
      <c r="H198" s="79"/>
      <c r="I198" s="79"/>
      <c r="J198" s="14"/>
      <c r="K198" s="38"/>
      <c r="L198" s="38"/>
      <c r="M198" s="17"/>
    </row>
    <row r="199" spans="2:13" ht="14.45" customHeight="1" x14ac:dyDescent="0.25">
      <c r="B199" s="17"/>
      <c r="C199" s="14"/>
      <c r="D199" s="14"/>
      <c r="E199" s="18"/>
      <c r="F199" s="61"/>
      <c r="G199" s="73"/>
      <c r="H199" s="79"/>
      <c r="I199" s="79"/>
      <c r="J199" s="14"/>
      <c r="K199" s="38"/>
      <c r="L199" s="38"/>
      <c r="M199" s="17"/>
    </row>
    <row r="200" spans="2:13" ht="14.45" customHeight="1" x14ac:dyDescent="0.25">
      <c r="B200" s="17"/>
      <c r="C200" s="14"/>
      <c r="D200" s="14"/>
      <c r="E200" s="18"/>
      <c r="F200" s="61"/>
      <c r="G200" s="73"/>
      <c r="H200" s="79"/>
      <c r="I200" s="79"/>
      <c r="J200" s="14"/>
      <c r="K200" s="38"/>
      <c r="L200" s="38"/>
      <c r="M200" s="17"/>
    </row>
    <row r="201" spans="2:13" ht="14.45" customHeight="1" x14ac:dyDescent="0.25">
      <c r="B201" s="17"/>
      <c r="C201" s="14"/>
      <c r="D201" s="14"/>
      <c r="E201" s="18"/>
      <c r="F201" s="61"/>
      <c r="G201" s="73"/>
      <c r="H201" s="79"/>
      <c r="I201" s="79"/>
      <c r="J201" s="14"/>
      <c r="K201" s="38"/>
      <c r="L201" s="38"/>
      <c r="M201" s="17"/>
    </row>
    <row r="202" spans="2:13" ht="14.45" customHeight="1" x14ac:dyDescent="0.25">
      <c r="B202" s="17"/>
      <c r="C202" s="14"/>
      <c r="D202" s="14"/>
      <c r="E202" s="18"/>
      <c r="F202" s="61"/>
      <c r="G202" s="73"/>
      <c r="H202" s="79"/>
      <c r="I202" s="79"/>
      <c r="J202" s="14"/>
      <c r="K202" s="38"/>
      <c r="L202" s="38"/>
      <c r="M202" s="17"/>
    </row>
    <row r="203" spans="2:13" ht="14.45" customHeight="1" x14ac:dyDescent="0.25">
      <c r="B203" s="17"/>
      <c r="C203" s="14"/>
      <c r="D203" s="14"/>
      <c r="E203" s="18"/>
      <c r="F203" s="61"/>
      <c r="G203" s="73"/>
      <c r="H203" s="79"/>
      <c r="I203" s="79"/>
      <c r="J203" s="14"/>
      <c r="K203" s="38"/>
      <c r="L203" s="38"/>
      <c r="M203" s="17"/>
    </row>
    <row r="204" spans="2:13" ht="14.45" customHeight="1" x14ac:dyDescent="0.25">
      <c r="B204" s="17"/>
      <c r="C204" s="14"/>
      <c r="D204" s="14"/>
      <c r="E204" s="18"/>
      <c r="F204" s="61"/>
      <c r="G204" s="73"/>
      <c r="H204" s="79"/>
      <c r="I204" s="79"/>
      <c r="J204" s="14"/>
      <c r="K204" s="38"/>
      <c r="L204" s="38"/>
      <c r="M204" s="17"/>
    </row>
    <row r="205" spans="2:13" ht="14.45" customHeight="1" x14ac:dyDescent="0.25">
      <c r="B205" s="17"/>
      <c r="C205" s="14"/>
      <c r="D205" s="14"/>
      <c r="E205" s="18"/>
      <c r="F205" s="61"/>
      <c r="G205" s="73"/>
      <c r="H205" s="79"/>
      <c r="I205" s="79"/>
      <c r="J205" s="14"/>
      <c r="K205" s="38"/>
      <c r="L205" s="38"/>
      <c r="M205" s="17"/>
    </row>
    <row r="206" spans="2:13" ht="14.45" customHeight="1" x14ac:dyDescent="0.25">
      <c r="B206" s="17"/>
      <c r="C206" s="14"/>
      <c r="D206" s="14"/>
      <c r="E206" s="18"/>
      <c r="F206" s="61"/>
      <c r="G206" s="73"/>
      <c r="H206" s="79"/>
      <c r="I206" s="79"/>
      <c r="J206" s="14"/>
      <c r="K206" s="38"/>
      <c r="L206" s="38"/>
      <c r="M206" s="17"/>
    </row>
    <row r="207" spans="2:13" ht="14.45" customHeight="1" x14ac:dyDescent="0.25">
      <c r="B207" s="17"/>
      <c r="C207" s="14"/>
      <c r="D207" s="14"/>
      <c r="E207" s="18"/>
      <c r="F207" s="61"/>
      <c r="G207" s="73"/>
      <c r="H207" s="79"/>
      <c r="I207" s="79"/>
      <c r="J207" s="14"/>
      <c r="K207" s="38"/>
      <c r="L207" s="38"/>
      <c r="M207" s="17"/>
    </row>
    <row r="208" spans="2:13" ht="14.45" customHeight="1" x14ac:dyDescent="0.25">
      <c r="B208" s="17"/>
      <c r="C208" s="14"/>
      <c r="D208" s="14"/>
      <c r="E208" s="18"/>
      <c r="F208" s="61"/>
      <c r="G208" s="73"/>
      <c r="H208" s="79"/>
      <c r="I208" s="79"/>
      <c r="J208" s="14"/>
      <c r="K208" s="38"/>
      <c r="L208" s="38"/>
      <c r="M208" s="17"/>
    </row>
    <row r="209" spans="2:13" ht="14.45" customHeight="1" x14ac:dyDescent="0.25">
      <c r="B209" s="17"/>
      <c r="C209" s="14"/>
      <c r="D209" s="14"/>
      <c r="E209" s="18"/>
      <c r="F209" s="61"/>
      <c r="G209" s="73"/>
      <c r="H209" s="79"/>
      <c r="I209" s="79"/>
      <c r="J209" s="14"/>
      <c r="K209" s="38"/>
      <c r="L209" s="38"/>
      <c r="M209" s="17"/>
    </row>
    <row r="210" spans="2:13" ht="14.45" customHeight="1" x14ac:dyDescent="0.25">
      <c r="B210" s="17"/>
      <c r="C210" s="14"/>
      <c r="D210" s="14"/>
      <c r="E210" s="18"/>
      <c r="F210" s="61"/>
      <c r="G210" s="73"/>
      <c r="H210" s="79"/>
      <c r="I210" s="79"/>
      <c r="J210" s="14"/>
      <c r="K210" s="38"/>
      <c r="L210" s="38"/>
      <c r="M210" s="17"/>
    </row>
    <row r="211" spans="2:13" ht="14.45" customHeight="1" x14ac:dyDescent="0.25">
      <c r="B211" s="17"/>
      <c r="C211" s="14"/>
      <c r="D211" s="14"/>
      <c r="E211" s="18"/>
      <c r="F211" s="61"/>
      <c r="G211" s="73"/>
      <c r="H211" s="79"/>
      <c r="I211" s="79"/>
      <c r="J211" s="14"/>
      <c r="K211" s="38"/>
      <c r="L211" s="38"/>
      <c r="M211" s="17"/>
    </row>
    <row r="212" spans="2:13" ht="14.45" customHeight="1" x14ac:dyDescent="0.25">
      <c r="B212" s="17"/>
      <c r="C212" s="14"/>
      <c r="D212" s="14"/>
      <c r="E212" s="18"/>
      <c r="F212" s="61"/>
      <c r="G212" s="73"/>
      <c r="H212" s="79"/>
      <c r="I212" s="79"/>
      <c r="J212" s="14"/>
      <c r="K212" s="38"/>
      <c r="L212" s="38"/>
      <c r="M212" s="17"/>
    </row>
    <row r="213" spans="2:13" ht="14.45" customHeight="1" x14ac:dyDescent="0.25">
      <c r="B213" s="17"/>
      <c r="C213" s="14"/>
      <c r="D213" s="14"/>
      <c r="E213" s="18"/>
      <c r="F213" s="61"/>
      <c r="G213" s="73"/>
      <c r="H213" s="79"/>
      <c r="I213" s="79"/>
      <c r="J213" s="14"/>
      <c r="K213" s="38"/>
      <c r="L213" s="38"/>
      <c r="M213" s="17"/>
    </row>
    <row r="214" spans="2:13" ht="14.45" customHeight="1" x14ac:dyDescent="0.25">
      <c r="B214" s="17"/>
      <c r="C214" s="14"/>
      <c r="D214" s="14"/>
      <c r="E214" s="18"/>
      <c r="F214" s="61"/>
      <c r="G214" s="73"/>
      <c r="H214" s="79"/>
      <c r="I214" s="79"/>
      <c r="J214" s="14"/>
      <c r="K214" s="38"/>
      <c r="L214" s="38"/>
      <c r="M214" s="17"/>
    </row>
    <row r="215" spans="2:13" ht="14.45" customHeight="1" x14ac:dyDescent="0.25">
      <c r="B215" s="17"/>
      <c r="C215" s="14"/>
      <c r="D215" s="14"/>
      <c r="E215" s="18"/>
      <c r="F215" s="61"/>
      <c r="G215" s="73"/>
      <c r="H215" s="79"/>
      <c r="I215" s="79"/>
      <c r="J215" s="14"/>
      <c r="K215" s="38"/>
      <c r="L215" s="38"/>
      <c r="M215" s="17"/>
    </row>
    <row r="216" spans="2:13" ht="14.45" customHeight="1" x14ac:dyDescent="0.25">
      <c r="B216" s="17"/>
      <c r="C216" s="14"/>
      <c r="D216" s="14"/>
      <c r="E216" s="18"/>
      <c r="F216" s="61"/>
      <c r="G216" s="73"/>
      <c r="H216" s="79"/>
      <c r="I216" s="79"/>
      <c r="J216" s="14"/>
      <c r="K216" s="38"/>
      <c r="L216" s="38"/>
      <c r="M216" s="17"/>
    </row>
    <row r="217" spans="2:13" ht="14.45" customHeight="1" x14ac:dyDescent="0.25">
      <c r="B217" s="17"/>
      <c r="C217" s="14"/>
      <c r="D217" s="14"/>
      <c r="E217" s="18"/>
      <c r="F217" s="61"/>
      <c r="G217" s="73"/>
      <c r="H217" s="79"/>
      <c r="I217" s="79"/>
      <c r="J217" s="14"/>
      <c r="K217" s="38"/>
      <c r="L217" s="38"/>
      <c r="M217" s="17"/>
    </row>
    <row r="218" spans="2:13" ht="14.45" customHeight="1" x14ac:dyDescent="0.25">
      <c r="B218" s="17"/>
      <c r="C218" s="14"/>
      <c r="D218" s="14"/>
      <c r="E218" s="18"/>
      <c r="F218" s="61"/>
      <c r="G218" s="73"/>
      <c r="H218" s="79"/>
      <c r="I218" s="79"/>
      <c r="J218" s="14"/>
      <c r="K218" s="38"/>
      <c r="L218" s="38"/>
      <c r="M218" s="17"/>
    </row>
    <row r="219" spans="2:13" ht="14.45" customHeight="1" x14ac:dyDescent="0.25">
      <c r="B219" s="17"/>
      <c r="C219" s="14"/>
      <c r="D219" s="14"/>
      <c r="E219" s="18"/>
      <c r="F219" s="61"/>
      <c r="G219" s="73"/>
      <c r="H219" s="79"/>
      <c r="I219" s="79"/>
      <c r="J219" s="14"/>
      <c r="K219" s="38"/>
      <c r="L219" s="38"/>
      <c r="M219" s="17"/>
    </row>
    <row r="220" spans="2:13" ht="14.45" customHeight="1" x14ac:dyDescent="0.25">
      <c r="B220" s="17"/>
      <c r="C220" s="14"/>
      <c r="D220" s="14"/>
      <c r="E220" s="18"/>
      <c r="F220" s="61"/>
      <c r="G220" s="73"/>
      <c r="H220" s="79"/>
      <c r="I220" s="79"/>
      <c r="J220" s="14"/>
      <c r="K220" s="38"/>
      <c r="L220" s="38"/>
      <c r="M220" s="17"/>
    </row>
    <row r="221" spans="2:13" ht="14.45" customHeight="1" x14ac:dyDescent="0.25">
      <c r="B221" s="17"/>
      <c r="C221" s="14"/>
      <c r="D221" s="14"/>
      <c r="E221" s="18"/>
      <c r="F221" s="61"/>
      <c r="G221" s="73"/>
      <c r="H221" s="79"/>
      <c r="I221" s="79"/>
      <c r="J221" s="14"/>
      <c r="K221" s="38"/>
      <c r="L221" s="38"/>
      <c r="M221" s="17"/>
    </row>
    <row r="222" spans="2:13" ht="14.45" customHeight="1" x14ac:dyDescent="0.25">
      <c r="B222" s="17"/>
      <c r="C222" s="14"/>
      <c r="D222" s="14"/>
      <c r="E222" s="18"/>
      <c r="F222" s="61"/>
      <c r="G222" s="73"/>
      <c r="H222" s="79"/>
      <c r="I222" s="79"/>
      <c r="J222" s="14"/>
      <c r="K222" s="38"/>
      <c r="L222" s="38"/>
      <c r="M222" s="17"/>
    </row>
    <row r="223" spans="2:13" ht="14.45" customHeight="1" x14ac:dyDescent="0.25">
      <c r="B223" s="17"/>
      <c r="C223" s="14"/>
      <c r="D223" s="14"/>
      <c r="E223" s="18"/>
      <c r="F223" s="61"/>
      <c r="G223" s="73"/>
      <c r="H223" s="79"/>
      <c r="I223" s="79"/>
      <c r="J223" s="14"/>
      <c r="K223" s="38"/>
      <c r="L223" s="38"/>
      <c r="M223" s="17"/>
    </row>
    <row r="224" spans="2:13" ht="14.45" customHeight="1" x14ac:dyDescent="0.25">
      <c r="B224" s="17"/>
      <c r="C224" s="14"/>
      <c r="D224" s="14"/>
      <c r="E224" s="18"/>
      <c r="F224" s="61"/>
      <c r="G224" s="73"/>
      <c r="H224" s="79"/>
      <c r="I224" s="79"/>
      <c r="J224" s="14"/>
      <c r="K224" s="38"/>
      <c r="L224" s="38"/>
      <c r="M224" s="17"/>
    </row>
    <row r="225" spans="2:13" ht="14.45" customHeight="1" x14ac:dyDescent="0.25">
      <c r="B225" s="17"/>
      <c r="C225" s="14"/>
      <c r="D225" s="14"/>
      <c r="E225" s="18"/>
      <c r="F225" s="61"/>
      <c r="G225" s="73"/>
      <c r="H225" s="79"/>
      <c r="I225" s="79"/>
      <c r="J225" s="14"/>
      <c r="K225" s="38"/>
      <c r="L225" s="38"/>
      <c r="M225" s="17"/>
    </row>
    <row r="226" spans="2:13" ht="14.45" customHeight="1" x14ac:dyDescent="0.25">
      <c r="B226" s="17"/>
      <c r="C226" s="14"/>
      <c r="D226" s="14"/>
      <c r="E226" s="18"/>
      <c r="F226" s="61"/>
      <c r="G226" s="73"/>
      <c r="H226" s="79"/>
      <c r="I226" s="79"/>
      <c r="J226" s="14"/>
      <c r="K226" s="38"/>
      <c r="L226" s="38"/>
      <c r="M226" s="17"/>
    </row>
    <row r="227" spans="2:13" ht="14.45" customHeight="1" x14ac:dyDescent="0.25">
      <c r="B227" s="17"/>
      <c r="C227" s="14"/>
      <c r="D227" s="14"/>
      <c r="E227" s="18"/>
      <c r="F227" s="61"/>
      <c r="G227" s="73"/>
      <c r="H227" s="79"/>
      <c r="I227" s="79"/>
      <c r="J227" s="14"/>
      <c r="K227" s="38"/>
      <c r="L227" s="38"/>
      <c r="M227" s="17"/>
    </row>
    <row r="228" spans="2:13" ht="14.45" customHeight="1" x14ac:dyDescent="0.25">
      <c r="B228" s="17"/>
      <c r="C228" s="14"/>
      <c r="D228" s="14"/>
      <c r="E228" s="18"/>
      <c r="F228" s="61"/>
      <c r="G228" s="73"/>
      <c r="H228" s="79"/>
      <c r="I228" s="79"/>
      <c r="J228" s="14"/>
      <c r="K228" s="38"/>
      <c r="L228" s="38"/>
      <c r="M228" s="17"/>
    </row>
    <row r="229" spans="2:13" ht="14.45" customHeight="1" x14ac:dyDescent="0.25">
      <c r="B229" s="17"/>
      <c r="C229" s="14"/>
      <c r="D229" s="14"/>
      <c r="E229" s="18"/>
      <c r="F229" s="61"/>
      <c r="G229" s="73"/>
      <c r="H229" s="79"/>
      <c r="I229" s="79"/>
      <c r="J229" s="14"/>
      <c r="K229" s="38"/>
      <c r="L229" s="38"/>
      <c r="M229" s="17"/>
    </row>
    <row r="230" spans="2:13" ht="14.45" customHeight="1" x14ac:dyDescent="0.25">
      <c r="B230" s="17"/>
      <c r="C230" s="14"/>
      <c r="D230" s="14"/>
      <c r="E230" s="18"/>
      <c r="F230" s="61"/>
      <c r="G230" s="73"/>
      <c r="H230" s="79"/>
      <c r="I230" s="79"/>
      <c r="J230" s="14"/>
      <c r="K230" s="38"/>
      <c r="L230" s="38"/>
      <c r="M230" s="17"/>
    </row>
    <row r="231" spans="2:13" ht="14.45" customHeight="1" x14ac:dyDescent="0.25">
      <c r="B231" s="17"/>
      <c r="C231" s="14"/>
      <c r="D231" s="14"/>
      <c r="E231" s="18"/>
      <c r="F231" s="61"/>
      <c r="G231" s="73"/>
      <c r="H231" s="79"/>
      <c r="I231" s="79"/>
      <c r="J231" s="14"/>
      <c r="K231" s="38"/>
      <c r="L231" s="38"/>
      <c r="M231" s="17"/>
    </row>
    <row r="232" spans="2:13" ht="14.45" customHeight="1" x14ac:dyDescent="0.25">
      <c r="B232" s="17"/>
      <c r="C232" s="14"/>
      <c r="D232" s="14"/>
      <c r="E232" s="18"/>
      <c r="F232" s="61"/>
      <c r="G232" s="73"/>
      <c r="H232" s="79"/>
      <c r="I232" s="79"/>
      <c r="J232" s="14"/>
      <c r="K232" s="38"/>
      <c r="L232" s="38"/>
      <c r="M232" s="17"/>
    </row>
    <row r="233" spans="2:13" ht="14.45" customHeight="1" x14ac:dyDescent="0.25">
      <c r="B233" s="17"/>
      <c r="C233" s="14"/>
      <c r="D233" s="14"/>
      <c r="E233" s="18"/>
      <c r="F233" s="61"/>
      <c r="G233" s="73"/>
      <c r="H233" s="79"/>
      <c r="I233" s="79"/>
      <c r="J233" s="14"/>
      <c r="K233" s="38"/>
      <c r="L233" s="38"/>
      <c r="M233" s="17"/>
    </row>
    <row r="234" spans="2:13" ht="14.45" customHeight="1" x14ac:dyDescent="0.25">
      <c r="B234" s="17"/>
      <c r="C234" s="14"/>
      <c r="D234" s="14"/>
      <c r="E234" s="18"/>
      <c r="F234" s="61"/>
      <c r="G234" s="73"/>
      <c r="H234" s="79"/>
      <c r="I234" s="79"/>
      <c r="J234" s="14"/>
      <c r="K234" s="38"/>
      <c r="L234" s="38"/>
      <c r="M234" s="17"/>
    </row>
    <row r="235" spans="2:13" ht="14.45" customHeight="1" x14ac:dyDescent="0.25">
      <c r="B235" s="17"/>
      <c r="C235" s="14"/>
      <c r="D235" s="14"/>
      <c r="E235" s="18"/>
      <c r="F235" s="61"/>
      <c r="G235" s="73"/>
      <c r="H235" s="79"/>
      <c r="I235" s="79"/>
      <c r="J235" s="14"/>
      <c r="K235" s="38"/>
      <c r="L235" s="38"/>
      <c r="M235" s="17"/>
    </row>
    <row r="236" spans="2:13" ht="14.45" customHeight="1" x14ac:dyDescent="0.25">
      <c r="B236" s="17"/>
      <c r="C236" s="14"/>
      <c r="D236" s="14"/>
      <c r="E236" s="18"/>
      <c r="F236" s="61"/>
      <c r="G236" s="73"/>
      <c r="H236" s="79"/>
      <c r="I236" s="79"/>
      <c r="J236" s="14"/>
      <c r="K236" s="38"/>
      <c r="L236" s="38"/>
      <c r="M236" s="17"/>
    </row>
    <row r="237" spans="2:13" ht="14.45" customHeight="1" x14ac:dyDescent="0.25">
      <c r="B237" s="17"/>
      <c r="C237" s="14"/>
      <c r="D237" s="14"/>
      <c r="E237" s="18"/>
      <c r="F237" s="61"/>
      <c r="G237" s="73"/>
      <c r="H237" s="79"/>
      <c r="I237" s="79"/>
      <c r="J237" s="14"/>
      <c r="K237" s="38"/>
      <c r="L237" s="38"/>
      <c r="M237" s="17"/>
    </row>
    <row r="238" spans="2:13" ht="14.45" customHeight="1" x14ac:dyDescent="0.25">
      <c r="B238" s="17"/>
      <c r="C238" s="14"/>
      <c r="D238" s="14"/>
      <c r="E238" s="18"/>
      <c r="F238" s="61"/>
      <c r="G238" s="73"/>
      <c r="H238" s="79"/>
      <c r="I238" s="79"/>
      <c r="J238" s="14"/>
      <c r="K238" s="38"/>
      <c r="L238" s="38"/>
      <c r="M238" s="17"/>
    </row>
    <row r="239" spans="2:13" ht="14.45" customHeight="1" x14ac:dyDescent="0.25">
      <c r="B239" s="17"/>
      <c r="C239" s="14"/>
      <c r="D239" s="14"/>
      <c r="E239" s="18"/>
      <c r="F239" s="61"/>
      <c r="G239" s="73"/>
      <c r="H239" s="79"/>
      <c r="I239" s="79"/>
      <c r="J239" s="14"/>
      <c r="K239" s="38"/>
      <c r="L239" s="38"/>
      <c r="M239" s="17"/>
    </row>
    <row r="240" spans="2:13" ht="14.45" customHeight="1" x14ac:dyDescent="0.25">
      <c r="B240" s="17"/>
      <c r="C240" s="14"/>
      <c r="D240" s="14"/>
      <c r="E240" s="18"/>
      <c r="F240" s="61"/>
      <c r="G240" s="73"/>
      <c r="H240" s="79"/>
      <c r="I240" s="79"/>
      <c r="J240" s="14"/>
      <c r="K240" s="38"/>
      <c r="L240" s="38"/>
      <c r="M240" s="17"/>
    </row>
    <row r="241" spans="2:13" ht="14.45" customHeight="1" x14ac:dyDescent="0.25">
      <c r="B241" s="17"/>
      <c r="C241" s="14"/>
      <c r="D241" s="14"/>
      <c r="E241" s="18"/>
      <c r="F241" s="61"/>
      <c r="G241" s="73"/>
      <c r="H241" s="79"/>
      <c r="I241" s="79"/>
      <c r="J241" s="14"/>
      <c r="K241" s="38"/>
      <c r="L241" s="38"/>
      <c r="M241" s="17"/>
    </row>
    <row r="242" spans="2:13" ht="14.45" customHeight="1" x14ac:dyDescent="0.25">
      <c r="B242" s="17"/>
      <c r="C242" s="14"/>
      <c r="D242" s="14"/>
      <c r="E242" s="18"/>
      <c r="F242" s="61"/>
      <c r="G242" s="73"/>
      <c r="H242" s="79"/>
      <c r="I242" s="79"/>
      <c r="J242" s="14"/>
      <c r="K242" s="38"/>
      <c r="L242" s="38"/>
      <c r="M242" s="17"/>
    </row>
    <row r="243" spans="2:13" ht="14.45" customHeight="1" x14ac:dyDescent="0.25">
      <c r="B243" s="17"/>
      <c r="C243" s="14"/>
      <c r="D243" s="14"/>
      <c r="E243" s="18"/>
      <c r="F243" s="61"/>
      <c r="G243" s="73"/>
      <c r="H243" s="79"/>
      <c r="I243" s="79"/>
      <c r="J243" s="14"/>
      <c r="K243" s="38"/>
      <c r="L243" s="38"/>
      <c r="M243" s="17"/>
    </row>
    <row r="244" spans="2:13" ht="14.45" customHeight="1" x14ac:dyDescent="0.25">
      <c r="B244" s="17"/>
      <c r="C244" s="14"/>
      <c r="D244" s="14"/>
      <c r="E244" s="18"/>
      <c r="F244" s="61"/>
      <c r="G244" s="73"/>
      <c r="H244" s="79"/>
      <c r="I244" s="79"/>
      <c r="J244" s="14"/>
      <c r="K244" s="38"/>
      <c r="L244" s="38"/>
      <c r="M244" s="17"/>
    </row>
    <row r="245" spans="2:13" ht="14.45" customHeight="1" x14ac:dyDescent="0.25">
      <c r="B245" s="17"/>
      <c r="C245" s="14"/>
      <c r="D245" s="14"/>
      <c r="E245" s="18"/>
      <c r="F245" s="61"/>
      <c r="G245" s="73"/>
      <c r="H245" s="79"/>
      <c r="I245" s="79"/>
      <c r="J245" s="14"/>
      <c r="K245" s="38"/>
      <c r="L245" s="38"/>
      <c r="M245" s="17"/>
    </row>
    <row r="246" spans="2:13" ht="14.45" customHeight="1" x14ac:dyDescent="0.25">
      <c r="B246" s="17"/>
      <c r="C246" s="14"/>
      <c r="D246" s="14"/>
      <c r="E246" s="18"/>
      <c r="F246" s="61"/>
      <c r="G246" s="73"/>
      <c r="H246" s="79"/>
      <c r="I246" s="79"/>
      <c r="J246" s="14"/>
      <c r="K246" s="38"/>
      <c r="L246" s="38"/>
      <c r="M246" s="17"/>
    </row>
    <row r="247" spans="2:13" ht="14.45" customHeight="1" x14ac:dyDescent="0.25">
      <c r="B247" s="17"/>
      <c r="C247" s="14"/>
      <c r="D247" s="14"/>
      <c r="E247" s="18"/>
      <c r="F247" s="61"/>
      <c r="G247" s="73"/>
      <c r="H247" s="79"/>
      <c r="I247" s="79"/>
      <c r="J247" s="14"/>
      <c r="K247" s="38"/>
      <c r="L247" s="38"/>
      <c r="M247" s="17"/>
    </row>
    <row r="248" spans="2:13" ht="14.45" customHeight="1" x14ac:dyDescent="0.25">
      <c r="B248" s="17"/>
      <c r="C248" s="14"/>
      <c r="D248" s="14"/>
      <c r="E248" s="18"/>
      <c r="F248" s="61"/>
      <c r="G248" s="73"/>
      <c r="H248" s="79"/>
      <c r="I248" s="79"/>
      <c r="J248" s="14"/>
      <c r="K248" s="38"/>
      <c r="L248" s="38"/>
      <c r="M248" s="17"/>
    </row>
    <row r="249" spans="2:13" ht="14.45" customHeight="1" x14ac:dyDescent="0.25">
      <c r="B249" s="17"/>
      <c r="C249" s="14"/>
      <c r="D249" s="14"/>
      <c r="E249" s="18"/>
      <c r="F249" s="61"/>
      <c r="G249" s="73"/>
      <c r="H249" s="79"/>
      <c r="I249" s="79"/>
      <c r="J249" s="14"/>
      <c r="K249" s="38"/>
      <c r="L249" s="38"/>
      <c r="M249" s="17"/>
    </row>
    <row r="250" spans="2:13" ht="14.45" customHeight="1" x14ac:dyDescent="0.25">
      <c r="B250" s="17"/>
      <c r="C250" s="14"/>
      <c r="D250" s="14"/>
      <c r="E250" s="18"/>
      <c r="F250" s="61"/>
      <c r="G250" s="73"/>
      <c r="H250" s="79"/>
      <c r="I250" s="79"/>
      <c r="J250" s="14"/>
      <c r="K250" s="38"/>
      <c r="L250" s="38"/>
      <c r="M250" s="17"/>
    </row>
    <row r="251" spans="2:13" ht="14.45" customHeight="1" x14ac:dyDescent="0.25">
      <c r="B251" s="17"/>
      <c r="C251" s="14"/>
      <c r="D251" s="14"/>
      <c r="E251" s="18"/>
      <c r="F251" s="61"/>
      <c r="G251" s="73"/>
      <c r="H251" s="79"/>
      <c r="I251" s="79"/>
      <c r="J251" s="14"/>
      <c r="K251" s="38"/>
      <c r="L251" s="38"/>
      <c r="M251" s="17"/>
    </row>
    <row r="252" spans="2:13" ht="14.45" customHeight="1" x14ac:dyDescent="0.25">
      <c r="B252" s="17"/>
      <c r="C252" s="14"/>
      <c r="D252" s="14"/>
      <c r="E252" s="18"/>
      <c r="F252" s="61"/>
      <c r="G252" s="73"/>
      <c r="H252" s="79"/>
      <c r="I252" s="79"/>
      <c r="J252" s="14"/>
      <c r="K252" s="38"/>
      <c r="L252" s="38"/>
      <c r="M252" s="17"/>
    </row>
    <row r="253" spans="2:13" ht="14.45" customHeight="1" x14ac:dyDescent="0.25">
      <c r="B253" s="17"/>
      <c r="C253" s="14"/>
      <c r="D253" s="14"/>
      <c r="E253" s="18"/>
      <c r="F253" s="61"/>
      <c r="G253" s="73"/>
      <c r="H253" s="79"/>
      <c r="I253" s="79"/>
      <c r="J253" s="14"/>
      <c r="K253" s="38"/>
      <c r="L253" s="38"/>
      <c r="M253" s="17"/>
    </row>
    <row r="254" spans="2:13" ht="14.45" customHeight="1" x14ac:dyDescent="0.25">
      <c r="B254" s="17"/>
      <c r="C254" s="14"/>
      <c r="D254" s="14"/>
      <c r="E254" s="18"/>
      <c r="F254" s="61"/>
      <c r="G254" s="73"/>
      <c r="H254" s="79"/>
      <c r="I254" s="79"/>
      <c r="J254" s="14"/>
      <c r="K254" s="38"/>
      <c r="L254" s="38"/>
      <c r="M254" s="17"/>
    </row>
    <row r="255" spans="2:13" ht="14.45" customHeight="1" x14ac:dyDescent="0.25">
      <c r="B255" s="17"/>
      <c r="C255" s="14"/>
      <c r="D255" s="14"/>
      <c r="E255" s="18"/>
      <c r="F255" s="61"/>
      <c r="G255" s="73"/>
      <c r="H255" s="79"/>
      <c r="I255" s="79"/>
      <c r="J255" s="14"/>
      <c r="K255" s="38"/>
      <c r="L255" s="38"/>
      <c r="M255" s="17"/>
    </row>
    <row r="256" spans="2:13" ht="14.45" customHeight="1" x14ac:dyDescent="0.25">
      <c r="B256" s="17"/>
      <c r="C256" s="14"/>
      <c r="D256" s="14"/>
      <c r="E256" s="18"/>
      <c r="F256" s="61"/>
      <c r="G256" s="73"/>
      <c r="H256" s="79"/>
      <c r="I256" s="79"/>
      <c r="J256" s="14"/>
      <c r="K256" s="38"/>
      <c r="L256" s="38"/>
      <c r="M256" s="17"/>
    </row>
    <row r="257" spans="2:13" ht="14.45" customHeight="1" x14ac:dyDescent="0.25">
      <c r="B257" s="17"/>
      <c r="C257" s="14"/>
      <c r="D257" s="14"/>
      <c r="E257" s="18"/>
      <c r="F257" s="61"/>
      <c r="G257" s="73"/>
      <c r="H257" s="79"/>
      <c r="I257" s="79"/>
      <c r="J257" s="14"/>
      <c r="K257" s="38"/>
      <c r="L257" s="38"/>
      <c r="M257" s="17"/>
    </row>
    <row r="258" spans="2:13" ht="14.45" customHeight="1" x14ac:dyDescent="0.25">
      <c r="B258" s="17"/>
      <c r="C258" s="14"/>
      <c r="D258" s="14"/>
      <c r="E258" s="18"/>
      <c r="F258" s="61"/>
      <c r="G258" s="73"/>
      <c r="H258" s="79"/>
      <c r="I258" s="79"/>
      <c r="J258" s="14"/>
      <c r="K258" s="38"/>
      <c r="L258" s="38"/>
      <c r="M258" s="17"/>
    </row>
    <row r="259" spans="2:13" ht="14.45" customHeight="1" x14ac:dyDescent="0.25">
      <c r="B259" s="17"/>
      <c r="C259" s="14"/>
      <c r="D259" s="14"/>
      <c r="E259" s="18"/>
      <c r="F259" s="61"/>
      <c r="G259" s="73"/>
      <c r="H259" s="79"/>
      <c r="I259" s="79"/>
      <c r="J259" s="14"/>
      <c r="K259" s="38"/>
      <c r="L259" s="38"/>
      <c r="M259" s="17"/>
    </row>
    <row r="260" spans="2:13" ht="14.45" customHeight="1" x14ac:dyDescent="0.25">
      <c r="B260" s="17"/>
      <c r="C260" s="14"/>
      <c r="D260" s="14"/>
      <c r="E260" s="18"/>
      <c r="F260" s="61"/>
      <c r="G260" s="73"/>
      <c r="H260" s="79"/>
      <c r="I260" s="79"/>
      <c r="J260" s="14"/>
      <c r="K260" s="38"/>
      <c r="L260" s="38"/>
      <c r="M260" s="17"/>
    </row>
    <row r="261" spans="2:13" ht="14.45" customHeight="1" x14ac:dyDescent="0.25">
      <c r="B261" s="17"/>
      <c r="C261" s="14"/>
      <c r="D261" s="14"/>
      <c r="E261" s="18"/>
      <c r="F261" s="61"/>
      <c r="G261" s="73"/>
      <c r="H261" s="79"/>
      <c r="I261" s="79"/>
      <c r="J261" s="14"/>
      <c r="K261" s="38"/>
      <c r="L261" s="38"/>
      <c r="M261" s="17"/>
    </row>
    <row r="262" spans="2:13" ht="14.45" customHeight="1" x14ac:dyDescent="0.25">
      <c r="B262" s="17"/>
      <c r="C262" s="14"/>
      <c r="D262" s="14"/>
      <c r="E262" s="18"/>
      <c r="F262" s="61"/>
      <c r="G262" s="73"/>
      <c r="H262" s="79"/>
      <c r="I262" s="79"/>
      <c r="J262" s="14"/>
      <c r="K262" s="38"/>
      <c r="L262" s="38"/>
      <c r="M262" s="17"/>
    </row>
    <row r="263" spans="2:13" ht="14.45" customHeight="1" x14ac:dyDescent="0.25">
      <c r="B263" s="17"/>
      <c r="C263" s="14"/>
      <c r="D263" s="14"/>
      <c r="E263" s="18"/>
      <c r="F263" s="61"/>
      <c r="G263" s="73"/>
      <c r="H263" s="79"/>
      <c r="I263" s="79"/>
      <c r="J263" s="14"/>
      <c r="K263" s="38"/>
      <c r="L263" s="38"/>
      <c r="M263" s="17"/>
    </row>
    <row r="264" spans="2:13" ht="14.45" customHeight="1" x14ac:dyDescent="0.25">
      <c r="B264" s="17"/>
      <c r="C264" s="14"/>
      <c r="D264" s="14"/>
      <c r="E264" s="18"/>
      <c r="F264" s="61"/>
      <c r="G264" s="73"/>
      <c r="H264" s="79"/>
      <c r="I264" s="79"/>
      <c r="J264" s="14"/>
      <c r="K264" s="38"/>
      <c r="L264" s="38"/>
      <c r="M264" s="17"/>
    </row>
    <row r="265" spans="2:13" ht="14.45" customHeight="1" x14ac:dyDescent="0.25">
      <c r="B265" s="17"/>
      <c r="C265" s="14"/>
      <c r="D265" s="14"/>
      <c r="E265" s="18"/>
      <c r="F265" s="61"/>
      <c r="G265" s="73"/>
      <c r="H265" s="79"/>
      <c r="I265" s="79"/>
      <c r="J265" s="14"/>
      <c r="K265" s="38"/>
      <c r="L265" s="38"/>
      <c r="M265" s="17"/>
    </row>
    <row r="266" spans="2:13" ht="14.45" customHeight="1" x14ac:dyDescent="0.25">
      <c r="B266" s="17"/>
      <c r="C266" s="14"/>
      <c r="D266" s="14"/>
      <c r="E266" s="18"/>
      <c r="F266" s="61"/>
      <c r="G266" s="73"/>
      <c r="H266" s="79"/>
      <c r="I266" s="79"/>
      <c r="J266" s="14"/>
      <c r="K266" s="38"/>
      <c r="L266" s="38"/>
      <c r="M266" s="17"/>
    </row>
    <row r="267" spans="2:13" ht="14.45" customHeight="1" x14ac:dyDescent="0.25">
      <c r="B267" s="17"/>
      <c r="C267" s="14"/>
      <c r="D267" s="14"/>
      <c r="E267" s="18"/>
      <c r="F267" s="61"/>
      <c r="G267" s="73"/>
      <c r="H267" s="79"/>
      <c r="I267" s="79"/>
      <c r="J267" s="14"/>
      <c r="K267" s="38"/>
      <c r="L267" s="38"/>
      <c r="M267" s="17"/>
    </row>
    <row r="268" spans="2:13" ht="14.45" customHeight="1" x14ac:dyDescent="0.25">
      <c r="B268" s="17"/>
      <c r="C268" s="14"/>
      <c r="D268" s="14"/>
      <c r="E268" s="18"/>
      <c r="F268" s="61"/>
      <c r="G268" s="73"/>
      <c r="H268" s="79"/>
      <c r="I268" s="79"/>
      <c r="J268" s="14"/>
      <c r="K268" s="38"/>
      <c r="L268" s="38"/>
      <c r="M268" s="17"/>
    </row>
    <row r="269" spans="2:13" ht="14.45" customHeight="1" x14ac:dyDescent="0.25">
      <c r="B269" s="17"/>
      <c r="C269" s="14"/>
      <c r="D269" s="14"/>
      <c r="E269" s="18"/>
      <c r="F269" s="61"/>
      <c r="G269" s="73"/>
      <c r="H269" s="79"/>
      <c r="I269" s="79"/>
      <c r="J269" s="14"/>
      <c r="K269" s="38"/>
      <c r="L269" s="38"/>
      <c r="M269" s="17"/>
    </row>
    <row r="270" spans="2:13" ht="14.45" customHeight="1" x14ac:dyDescent="0.25">
      <c r="B270" s="17"/>
      <c r="C270" s="14"/>
      <c r="D270" s="14"/>
      <c r="E270" s="18"/>
      <c r="F270" s="61"/>
      <c r="G270" s="73"/>
      <c r="H270" s="79"/>
      <c r="I270" s="79"/>
      <c r="J270" s="14"/>
      <c r="K270" s="38"/>
      <c r="L270" s="38"/>
      <c r="M270" s="17"/>
    </row>
    <row r="271" spans="2:13" ht="14.45" customHeight="1" x14ac:dyDescent="0.25">
      <c r="B271" s="17"/>
      <c r="C271" s="14"/>
      <c r="D271" s="14"/>
      <c r="E271" s="18"/>
      <c r="F271" s="61"/>
      <c r="G271" s="73"/>
      <c r="H271" s="79"/>
      <c r="I271" s="79"/>
      <c r="J271" s="14"/>
      <c r="K271" s="38"/>
      <c r="L271" s="38"/>
      <c r="M271" s="17"/>
    </row>
    <row r="272" spans="2:13" ht="14.45" customHeight="1" x14ac:dyDescent="0.25">
      <c r="B272" s="17"/>
      <c r="C272" s="14"/>
      <c r="D272" s="14"/>
      <c r="E272" s="18"/>
      <c r="F272" s="61"/>
      <c r="G272" s="73"/>
      <c r="H272" s="79"/>
      <c r="I272" s="79"/>
      <c r="J272" s="14"/>
      <c r="K272" s="38"/>
      <c r="L272" s="38"/>
      <c r="M272" s="17"/>
    </row>
    <row r="273" spans="2:13" ht="14.45" customHeight="1" x14ac:dyDescent="0.25">
      <c r="B273" s="17"/>
      <c r="C273" s="14"/>
      <c r="D273" s="14"/>
      <c r="E273" s="18"/>
      <c r="F273" s="61"/>
      <c r="G273" s="73"/>
      <c r="H273" s="79"/>
      <c r="I273" s="79"/>
      <c r="J273" s="14"/>
      <c r="K273" s="38"/>
      <c r="L273" s="38"/>
      <c r="M273" s="17"/>
    </row>
    <row r="274" spans="2:13" ht="14.45" customHeight="1" x14ac:dyDescent="0.25">
      <c r="B274" s="17"/>
      <c r="C274" s="14"/>
      <c r="D274" s="14"/>
      <c r="E274" s="18"/>
      <c r="F274" s="61"/>
      <c r="G274" s="73"/>
      <c r="H274" s="79"/>
      <c r="I274" s="79"/>
      <c r="J274" s="14"/>
      <c r="K274" s="38"/>
      <c r="L274" s="38"/>
      <c r="M274" s="17"/>
    </row>
    <row r="275" spans="2:13" ht="14.45" customHeight="1" x14ac:dyDescent="0.25">
      <c r="B275" s="17"/>
      <c r="C275" s="14"/>
      <c r="D275" s="14"/>
      <c r="E275" s="18"/>
      <c r="F275" s="61"/>
      <c r="G275" s="73"/>
      <c r="H275" s="79"/>
      <c r="I275" s="79"/>
      <c r="J275" s="14"/>
      <c r="K275" s="38"/>
      <c r="L275" s="38"/>
      <c r="M275" s="17"/>
    </row>
    <row r="276" spans="2:13" ht="14.45" customHeight="1" x14ac:dyDescent="0.25">
      <c r="B276" s="17"/>
      <c r="C276" s="14"/>
      <c r="D276" s="14"/>
      <c r="E276" s="18"/>
      <c r="F276" s="61"/>
      <c r="G276" s="73"/>
      <c r="H276" s="79"/>
      <c r="I276" s="79"/>
      <c r="J276" s="14"/>
      <c r="K276" s="38"/>
      <c r="L276" s="38"/>
      <c r="M276" s="17"/>
    </row>
    <row r="277" spans="2:13" ht="14.45" customHeight="1" x14ac:dyDescent="0.25">
      <c r="B277" s="17"/>
      <c r="C277" s="14"/>
      <c r="D277" s="14"/>
      <c r="E277" s="18"/>
      <c r="F277" s="61"/>
      <c r="G277" s="73"/>
      <c r="H277" s="79"/>
      <c r="I277" s="79"/>
      <c r="J277" s="14"/>
      <c r="K277" s="38"/>
      <c r="L277" s="38"/>
      <c r="M277" s="17"/>
    </row>
    <row r="278" spans="2:13" ht="14.45" customHeight="1" x14ac:dyDescent="0.25">
      <c r="B278" s="17"/>
      <c r="C278" s="14"/>
      <c r="D278" s="14"/>
      <c r="E278" s="18"/>
      <c r="F278" s="61"/>
      <c r="G278" s="73"/>
      <c r="H278" s="79"/>
      <c r="I278" s="79"/>
      <c r="J278" s="14"/>
      <c r="K278" s="38"/>
      <c r="L278" s="38"/>
      <c r="M278" s="17"/>
    </row>
    <row r="279" spans="2:13" ht="14.45" customHeight="1" x14ac:dyDescent="0.25">
      <c r="B279" s="17"/>
      <c r="C279" s="14"/>
      <c r="D279" s="14"/>
      <c r="E279" s="18"/>
      <c r="F279" s="61"/>
      <c r="G279" s="73"/>
      <c r="H279" s="79"/>
      <c r="I279" s="79"/>
      <c r="J279" s="14"/>
      <c r="K279" s="38"/>
      <c r="L279" s="38"/>
      <c r="M279" s="17"/>
    </row>
    <row r="280" spans="2:13" ht="14.45" customHeight="1" x14ac:dyDescent="0.25">
      <c r="B280" s="17"/>
      <c r="C280" s="14"/>
      <c r="D280" s="14"/>
      <c r="E280" s="18"/>
      <c r="F280" s="61"/>
      <c r="G280" s="73"/>
      <c r="H280" s="79"/>
      <c r="I280" s="79"/>
      <c r="J280" s="14"/>
      <c r="K280" s="38"/>
      <c r="L280" s="38"/>
      <c r="M280" s="17"/>
    </row>
    <row r="281" spans="2:13" ht="14.45" customHeight="1" x14ac:dyDescent="0.25">
      <c r="B281" s="17"/>
      <c r="C281" s="14"/>
      <c r="D281" s="14"/>
      <c r="E281" s="18"/>
      <c r="F281" s="61"/>
      <c r="G281" s="73"/>
      <c r="H281" s="79"/>
      <c r="I281" s="79"/>
      <c r="J281" s="14"/>
      <c r="K281" s="38"/>
      <c r="L281" s="38"/>
      <c r="M281" s="17"/>
    </row>
    <row r="282" spans="2:13" ht="14.45" customHeight="1" x14ac:dyDescent="0.25">
      <c r="B282" s="17"/>
      <c r="C282" s="14"/>
      <c r="D282" s="14"/>
      <c r="E282" s="18"/>
      <c r="F282" s="61"/>
      <c r="G282" s="73"/>
      <c r="H282" s="79"/>
      <c r="I282" s="79"/>
      <c r="J282" s="14"/>
      <c r="K282" s="38"/>
      <c r="L282" s="38"/>
      <c r="M282" s="17"/>
    </row>
    <row r="283" spans="2:13" ht="14.45" customHeight="1" x14ac:dyDescent="0.25">
      <c r="B283" s="17"/>
      <c r="C283" s="14"/>
      <c r="D283" s="14"/>
      <c r="E283" s="18"/>
      <c r="F283" s="61"/>
      <c r="G283" s="73"/>
      <c r="H283" s="79"/>
      <c r="I283" s="79"/>
      <c r="J283" s="14"/>
      <c r="K283" s="38"/>
      <c r="L283" s="38"/>
      <c r="M283" s="17"/>
    </row>
    <row r="284" spans="2:13" ht="14.45" customHeight="1" x14ac:dyDescent="0.25">
      <c r="B284" s="17"/>
      <c r="C284" s="14"/>
      <c r="D284" s="14"/>
      <c r="E284" s="18"/>
      <c r="F284" s="61"/>
      <c r="G284" s="73"/>
      <c r="H284" s="79"/>
      <c r="I284" s="79"/>
      <c r="J284" s="14"/>
      <c r="K284" s="38"/>
      <c r="L284" s="38"/>
      <c r="M284" s="17"/>
    </row>
    <row r="285" spans="2:13" ht="14.45" customHeight="1" x14ac:dyDescent="0.25">
      <c r="B285" s="17"/>
      <c r="C285" s="14"/>
      <c r="D285" s="14"/>
      <c r="E285" s="18"/>
      <c r="F285" s="61"/>
      <c r="G285" s="73"/>
      <c r="H285" s="79"/>
      <c r="I285" s="79"/>
      <c r="J285" s="14"/>
      <c r="K285" s="38"/>
      <c r="L285" s="38"/>
      <c r="M285" s="17"/>
    </row>
    <row r="286" spans="2:13" ht="14.45" customHeight="1" x14ac:dyDescent="0.25">
      <c r="B286" s="17"/>
      <c r="C286" s="14"/>
      <c r="D286" s="14"/>
      <c r="E286" s="18"/>
      <c r="F286" s="61"/>
      <c r="G286" s="73"/>
      <c r="H286" s="79"/>
      <c r="I286" s="79"/>
      <c r="J286" s="14"/>
      <c r="K286" s="38"/>
      <c r="L286" s="38"/>
      <c r="M286" s="17"/>
    </row>
    <row r="287" spans="2:13" ht="14.45" customHeight="1" x14ac:dyDescent="0.25">
      <c r="B287" s="17"/>
      <c r="C287" s="14"/>
      <c r="D287" s="14"/>
      <c r="E287" s="18"/>
      <c r="F287" s="61"/>
      <c r="G287" s="73"/>
      <c r="H287" s="79"/>
      <c r="I287" s="79"/>
      <c r="J287" s="14"/>
      <c r="K287" s="38"/>
      <c r="L287" s="38"/>
      <c r="M287" s="17"/>
    </row>
    <row r="288" spans="2:13" ht="14.45" customHeight="1" x14ac:dyDescent="0.25">
      <c r="B288" s="17"/>
      <c r="C288" s="14"/>
      <c r="D288" s="14"/>
      <c r="E288" s="18"/>
      <c r="F288" s="61"/>
      <c r="G288" s="73"/>
      <c r="H288" s="79"/>
      <c r="I288" s="79"/>
      <c r="J288" s="14"/>
      <c r="K288" s="38"/>
      <c r="L288" s="38"/>
      <c r="M288" s="17"/>
    </row>
    <row r="289" spans="2:13" ht="14.45" customHeight="1" x14ac:dyDescent="0.25">
      <c r="B289" s="17"/>
      <c r="C289" s="14"/>
      <c r="D289" s="14"/>
      <c r="E289" s="18"/>
      <c r="F289" s="61"/>
      <c r="G289" s="73"/>
      <c r="H289" s="79"/>
      <c r="I289" s="79"/>
      <c r="J289" s="14"/>
      <c r="K289" s="38"/>
      <c r="L289" s="38"/>
      <c r="M289" s="17"/>
    </row>
    <row r="290" spans="2:13" ht="14.45" customHeight="1" x14ac:dyDescent="0.25">
      <c r="B290" s="17"/>
      <c r="C290" s="14"/>
      <c r="D290" s="14"/>
      <c r="E290" s="18"/>
      <c r="F290" s="61"/>
      <c r="G290" s="73"/>
      <c r="H290" s="79"/>
      <c r="I290" s="79"/>
      <c r="J290" s="14"/>
      <c r="K290" s="38"/>
      <c r="L290" s="38"/>
      <c r="M290" s="17"/>
    </row>
    <row r="291" spans="2:13" ht="14.45" customHeight="1" x14ac:dyDescent="0.25">
      <c r="B291" s="17"/>
      <c r="C291" s="14"/>
      <c r="D291" s="14"/>
      <c r="E291" s="18"/>
      <c r="F291" s="61"/>
      <c r="G291" s="73"/>
      <c r="H291" s="79"/>
      <c r="I291" s="79"/>
      <c r="J291" s="14"/>
      <c r="K291" s="38"/>
      <c r="L291" s="38"/>
      <c r="M291" s="17"/>
    </row>
    <row r="292" spans="2:13" ht="14.45" customHeight="1" x14ac:dyDescent="0.25">
      <c r="B292" s="17"/>
      <c r="C292" s="14"/>
      <c r="D292" s="14"/>
      <c r="E292" s="18"/>
      <c r="F292" s="61"/>
      <c r="G292" s="73"/>
      <c r="H292" s="79"/>
      <c r="I292" s="79"/>
      <c r="J292" s="14"/>
      <c r="K292" s="38"/>
      <c r="L292" s="38"/>
      <c r="M292" s="17"/>
    </row>
    <row r="293" spans="2:13" ht="14.45" customHeight="1" x14ac:dyDescent="0.25">
      <c r="B293" s="17"/>
      <c r="C293" s="14"/>
      <c r="D293" s="14"/>
      <c r="E293" s="18"/>
      <c r="F293" s="61"/>
      <c r="G293" s="73"/>
      <c r="H293" s="79"/>
      <c r="I293" s="79"/>
      <c r="J293" s="14"/>
      <c r="K293" s="38"/>
      <c r="L293" s="38"/>
      <c r="M293" s="17"/>
    </row>
    <row r="294" spans="2:13" ht="14.45" customHeight="1" x14ac:dyDescent="0.25">
      <c r="B294" s="17"/>
      <c r="C294" s="14"/>
      <c r="D294" s="14"/>
      <c r="E294" s="18"/>
      <c r="F294" s="61"/>
      <c r="G294" s="73"/>
      <c r="H294" s="79"/>
      <c r="I294" s="79"/>
      <c r="J294" s="14"/>
      <c r="K294" s="38"/>
      <c r="L294" s="38"/>
      <c r="M294" s="17"/>
    </row>
    <row r="295" spans="2:13" ht="14.45" customHeight="1" x14ac:dyDescent="0.25">
      <c r="B295" s="17"/>
      <c r="C295" s="14"/>
      <c r="D295" s="14"/>
      <c r="E295" s="18"/>
      <c r="F295" s="61"/>
      <c r="G295" s="73"/>
      <c r="H295" s="79"/>
      <c r="I295" s="79"/>
      <c r="J295" s="14"/>
      <c r="K295" s="38"/>
      <c r="L295" s="38"/>
      <c r="M295" s="17"/>
    </row>
    <row r="296" spans="2:13" ht="14.45" customHeight="1" x14ac:dyDescent="0.25">
      <c r="B296" s="17"/>
      <c r="C296" s="14"/>
      <c r="D296" s="14"/>
      <c r="E296" s="18"/>
      <c r="F296" s="61"/>
      <c r="G296" s="73"/>
      <c r="H296" s="79"/>
      <c r="I296" s="79"/>
      <c r="J296" s="14"/>
      <c r="K296" s="38"/>
      <c r="L296" s="38"/>
      <c r="M296" s="17"/>
    </row>
    <row r="297" spans="2:13" ht="14.45" customHeight="1" x14ac:dyDescent="0.25">
      <c r="B297" s="17"/>
      <c r="C297" s="14"/>
      <c r="D297" s="14"/>
      <c r="E297" s="18"/>
      <c r="F297" s="61"/>
      <c r="G297" s="73"/>
      <c r="H297" s="79"/>
      <c r="I297" s="79"/>
      <c r="J297" s="14"/>
      <c r="K297" s="38"/>
      <c r="L297" s="38"/>
      <c r="M297" s="17"/>
    </row>
    <row r="298" spans="2:13" ht="14.45" customHeight="1" x14ac:dyDescent="0.25">
      <c r="B298" s="17"/>
      <c r="C298" s="14"/>
      <c r="D298" s="14"/>
      <c r="E298" s="18"/>
      <c r="F298" s="61"/>
      <c r="G298" s="73"/>
      <c r="H298" s="79"/>
      <c r="I298" s="79"/>
      <c r="J298" s="14"/>
      <c r="K298" s="38"/>
      <c r="L298" s="38"/>
      <c r="M298" s="17"/>
    </row>
    <row r="299" spans="2:13" ht="14.45" customHeight="1" x14ac:dyDescent="0.25">
      <c r="B299" s="17"/>
      <c r="C299" s="14"/>
      <c r="D299" s="14"/>
      <c r="E299" s="18"/>
      <c r="F299" s="61"/>
      <c r="G299" s="73"/>
      <c r="H299" s="79"/>
      <c r="I299" s="79"/>
      <c r="J299" s="14"/>
      <c r="K299" s="38"/>
      <c r="L299" s="38"/>
      <c r="M299" s="17"/>
    </row>
    <row r="300" spans="2:13" ht="14.45" customHeight="1" x14ac:dyDescent="0.25">
      <c r="B300" s="17"/>
      <c r="C300" s="14"/>
      <c r="D300" s="14"/>
      <c r="E300" s="18"/>
      <c r="F300" s="61"/>
      <c r="G300" s="73"/>
      <c r="H300" s="79"/>
      <c r="I300" s="79"/>
      <c r="J300" s="14"/>
      <c r="K300" s="38"/>
      <c r="L300" s="38"/>
      <c r="M300" s="17"/>
    </row>
    <row r="301" spans="2:13" ht="14.45" customHeight="1" x14ac:dyDescent="0.25">
      <c r="B301" s="17"/>
      <c r="C301" s="14"/>
      <c r="D301" s="14"/>
      <c r="E301" s="18"/>
      <c r="F301" s="61"/>
      <c r="G301" s="73"/>
      <c r="H301" s="79"/>
      <c r="I301" s="79"/>
      <c r="J301" s="14"/>
      <c r="K301" s="38"/>
      <c r="L301" s="38"/>
      <c r="M301" s="17"/>
    </row>
    <row r="302" spans="2:13" ht="14.45" customHeight="1" x14ac:dyDescent="0.25">
      <c r="B302" s="17"/>
      <c r="C302" s="14"/>
      <c r="D302" s="14"/>
      <c r="E302" s="18"/>
      <c r="F302" s="61"/>
      <c r="G302" s="73"/>
      <c r="H302" s="79"/>
      <c r="I302" s="79"/>
      <c r="J302" s="14"/>
      <c r="K302" s="38"/>
      <c r="L302" s="38"/>
      <c r="M302" s="17"/>
    </row>
    <row r="303" spans="2:13" ht="14.45" customHeight="1" x14ac:dyDescent="0.25">
      <c r="B303" s="17"/>
      <c r="C303" s="14"/>
      <c r="D303" s="14"/>
      <c r="E303" s="18"/>
      <c r="F303" s="61"/>
      <c r="G303" s="73"/>
      <c r="H303" s="79"/>
      <c r="I303" s="79"/>
      <c r="J303" s="14"/>
      <c r="K303" s="38"/>
      <c r="L303" s="38"/>
      <c r="M303" s="17"/>
    </row>
    <row r="304" spans="2:13" ht="14.45" customHeight="1" x14ac:dyDescent="0.25">
      <c r="B304" s="17"/>
      <c r="C304" s="14"/>
      <c r="D304" s="14"/>
      <c r="E304" s="18"/>
      <c r="F304" s="61"/>
      <c r="G304" s="73"/>
      <c r="H304" s="79"/>
      <c r="I304" s="79"/>
      <c r="J304" s="14"/>
      <c r="K304" s="38"/>
      <c r="L304" s="38"/>
      <c r="M304" s="17"/>
    </row>
    <row r="305" spans="2:13" ht="14.45" customHeight="1" x14ac:dyDescent="0.25">
      <c r="B305" s="17"/>
      <c r="C305" s="14"/>
      <c r="D305" s="14"/>
      <c r="E305" s="18"/>
      <c r="F305" s="61"/>
      <c r="G305" s="73"/>
      <c r="H305" s="79"/>
      <c r="I305" s="79"/>
      <c r="J305" s="14"/>
      <c r="K305" s="38"/>
      <c r="L305" s="38"/>
      <c r="M305" s="17"/>
    </row>
    <row r="306" spans="2:13" ht="14.45" customHeight="1" x14ac:dyDescent="0.25">
      <c r="B306" s="17"/>
      <c r="C306" s="14"/>
      <c r="D306" s="14"/>
      <c r="E306" s="18"/>
      <c r="F306" s="61"/>
      <c r="G306" s="73"/>
      <c r="H306" s="79"/>
      <c r="I306" s="79"/>
      <c r="J306" s="14"/>
      <c r="K306" s="38"/>
      <c r="L306" s="38"/>
      <c r="M306" s="17"/>
    </row>
    <row r="307" spans="2:13" ht="14.45" customHeight="1" x14ac:dyDescent="0.25">
      <c r="B307" s="17"/>
      <c r="C307" s="14"/>
      <c r="D307" s="14"/>
      <c r="E307" s="18"/>
      <c r="F307" s="61"/>
      <c r="G307" s="73"/>
      <c r="H307" s="79"/>
      <c r="I307" s="79"/>
      <c r="J307" s="14"/>
      <c r="K307" s="38"/>
      <c r="L307" s="38"/>
      <c r="M307" s="17"/>
    </row>
    <row r="308" spans="2:13" ht="14.45" customHeight="1" x14ac:dyDescent="0.25">
      <c r="B308" s="17"/>
      <c r="C308" s="14"/>
      <c r="D308" s="14"/>
      <c r="E308" s="18"/>
      <c r="F308" s="61"/>
      <c r="G308" s="73"/>
      <c r="H308" s="79"/>
      <c r="I308" s="79"/>
      <c r="J308" s="14"/>
      <c r="K308" s="38"/>
      <c r="L308" s="38"/>
      <c r="M308" s="17"/>
    </row>
    <row r="309" spans="2:13" ht="14.45" customHeight="1" x14ac:dyDescent="0.25">
      <c r="B309" s="17"/>
      <c r="C309" s="14"/>
      <c r="D309" s="14"/>
      <c r="E309" s="18"/>
      <c r="F309" s="61"/>
      <c r="G309" s="73"/>
      <c r="H309" s="79"/>
      <c r="I309" s="79"/>
      <c r="J309" s="14"/>
      <c r="K309" s="38"/>
      <c r="L309" s="38"/>
      <c r="M309" s="17"/>
    </row>
    <row r="310" spans="2:13" ht="14.45" customHeight="1" x14ac:dyDescent="0.25">
      <c r="B310" s="17"/>
      <c r="C310" s="14"/>
      <c r="D310" s="14"/>
      <c r="E310" s="18"/>
      <c r="F310" s="61"/>
      <c r="G310" s="73"/>
      <c r="H310" s="79"/>
      <c r="I310" s="79"/>
      <c r="J310" s="14"/>
      <c r="K310" s="38"/>
      <c r="L310" s="38"/>
      <c r="M310" s="17"/>
    </row>
    <row r="311" spans="2:13" ht="14.45" customHeight="1" x14ac:dyDescent="0.25">
      <c r="B311" s="17"/>
      <c r="C311" s="14"/>
      <c r="D311" s="14"/>
      <c r="E311" s="18"/>
      <c r="F311" s="61"/>
      <c r="G311" s="73"/>
      <c r="H311" s="79"/>
      <c r="I311" s="79"/>
      <c r="J311" s="14"/>
      <c r="K311" s="38"/>
      <c r="L311" s="38"/>
      <c r="M311" s="17"/>
    </row>
    <row r="312" spans="2:13" ht="14.45" customHeight="1" x14ac:dyDescent="0.25">
      <c r="B312" s="17"/>
      <c r="C312" s="14"/>
      <c r="D312" s="14"/>
      <c r="E312" s="18"/>
      <c r="F312" s="61"/>
      <c r="G312" s="73"/>
      <c r="H312" s="79"/>
      <c r="I312" s="79"/>
      <c r="J312" s="14"/>
      <c r="K312" s="38"/>
      <c r="L312" s="38"/>
      <c r="M312" s="17"/>
    </row>
    <row r="313" spans="2:13" ht="14.45" customHeight="1" x14ac:dyDescent="0.25">
      <c r="B313" s="17"/>
      <c r="C313" s="14"/>
      <c r="D313" s="14"/>
      <c r="E313" s="18"/>
      <c r="F313" s="61"/>
      <c r="G313" s="73"/>
      <c r="H313" s="79"/>
      <c r="I313" s="79"/>
      <c r="J313" s="14"/>
      <c r="K313" s="38"/>
      <c r="L313" s="38"/>
      <c r="M313" s="17"/>
    </row>
    <row r="314" spans="2:13" ht="14.45" customHeight="1" x14ac:dyDescent="0.25">
      <c r="B314" s="17"/>
      <c r="C314" s="14"/>
      <c r="D314" s="14"/>
      <c r="E314" s="18"/>
      <c r="F314" s="61"/>
      <c r="G314" s="73"/>
      <c r="H314" s="79"/>
      <c r="I314" s="79"/>
      <c r="J314" s="14"/>
      <c r="K314" s="38"/>
      <c r="L314" s="38"/>
      <c r="M314" s="17"/>
    </row>
    <row r="315" spans="2:13" ht="14.45" customHeight="1" x14ac:dyDescent="0.25">
      <c r="B315" s="17"/>
      <c r="C315" s="14"/>
      <c r="D315" s="14"/>
      <c r="E315" s="18"/>
      <c r="F315" s="61"/>
      <c r="G315" s="73"/>
      <c r="H315" s="79"/>
      <c r="I315" s="79"/>
      <c r="J315" s="14"/>
      <c r="K315" s="38"/>
      <c r="L315" s="38"/>
      <c r="M315" s="17"/>
    </row>
    <row r="316" spans="2:13" ht="14.45" customHeight="1" x14ac:dyDescent="0.25">
      <c r="B316" s="17"/>
      <c r="C316" s="14"/>
      <c r="D316" s="14"/>
      <c r="E316" s="18"/>
      <c r="F316" s="61"/>
      <c r="G316" s="73"/>
      <c r="H316" s="79"/>
      <c r="I316" s="79"/>
      <c r="J316" s="14"/>
      <c r="K316" s="38"/>
      <c r="L316" s="38"/>
      <c r="M316" s="17"/>
    </row>
    <row r="317" spans="2:13" ht="14.45" customHeight="1" x14ac:dyDescent="0.25">
      <c r="B317" s="17"/>
      <c r="C317" s="14"/>
      <c r="D317" s="14"/>
      <c r="E317" s="18"/>
      <c r="F317" s="61"/>
      <c r="G317" s="73"/>
      <c r="H317" s="79"/>
      <c r="I317" s="79"/>
      <c r="J317" s="14"/>
      <c r="K317" s="38"/>
      <c r="L317" s="38"/>
      <c r="M317" s="17"/>
    </row>
    <row r="318" spans="2:13" ht="14.45" customHeight="1" x14ac:dyDescent="0.25">
      <c r="B318" s="17"/>
      <c r="C318" s="14"/>
      <c r="D318" s="14"/>
      <c r="E318" s="18"/>
      <c r="F318" s="61"/>
      <c r="G318" s="73"/>
      <c r="H318" s="79"/>
      <c r="I318" s="79"/>
      <c r="J318" s="14"/>
      <c r="K318" s="38"/>
      <c r="L318" s="38"/>
      <c r="M318" s="17"/>
    </row>
    <row r="319" spans="2:13" ht="14.45" customHeight="1" x14ac:dyDescent="0.25">
      <c r="B319" s="17"/>
      <c r="C319" s="14"/>
      <c r="D319" s="14"/>
      <c r="E319" s="18"/>
      <c r="F319" s="61"/>
      <c r="G319" s="73"/>
      <c r="H319" s="79"/>
      <c r="I319" s="79"/>
      <c r="J319" s="14"/>
      <c r="K319" s="38"/>
      <c r="L319" s="38"/>
      <c r="M319" s="17"/>
    </row>
    <row r="320" spans="2:13" ht="14.45" customHeight="1" x14ac:dyDescent="0.25">
      <c r="B320" s="17"/>
      <c r="C320" s="14"/>
      <c r="D320" s="14"/>
      <c r="E320" s="18"/>
      <c r="F320" s="61"/>
      <c r="G320" s="73"/>
      <c r="H320" s="79"/>
      <c r="I320" s="79"/>
      <c r="J320" s="14"/>
      <c r="K320" s="38"/>
      <c r="L320" s="38"/>
      <c r="M320" s="17"/>
    </row>
    <row r="321" spans="2:13" ht="14.45" customHeight="1" x14ac:dyDescent="0.25">
      <c r="B321" s="17"/>
      <c r="C321" s="14"/>
      <c r="D321" s="14"/>
      <c r="E321" s="18"/>
      <c r="F321" s="61"/>
      <c r="G321" s="73"/>
      <c r="H321" s="79"/>
      <c r="I321" s="79"/>
      <c r="J321" s="14"/>
      <c r="K321" s="38"/>
      <c r="L321" s="38"/>
      <c r="M321" s="17"/>
    </row>
    <row r="322" spans="2:13" ht="14.45" customHeight="1" x14ac:dyDescent="0.25">
      <c r="B322" s="17"/>
      <c r="C322" s="14"/>
      <c r="D322" s="14"/>
      <c r="E322" s="18"/>
      <c r="F322" s="61"/>
      <c r="G322" s="73"/>
      <c r="H322" s="79"/>
      <c r="I322" s="79"/>
      <c r="J322" s="14"/>
      <c r="K322" s="38"/>
      <c r="L322" s="38"/>
      <c r="M322" s="17"/>
    </row>
    <row r="323" spans="2:13" ht="14.45" customHeight="1" x14ac:dyDescent="0.25">
      <c r="B323" s="17"/>
      <c r="C323" s="14"/>
      <c r="D323" s="14"/>
      <c r="E323" s="18"/>
      <c r="F323" s="61"/>
      <c r="G323" s="73"/>
      <c r="H323" s="79"/>
      <c r="I323" s="79"/>
      <c r="J323" s="14"/>
      <c r="K323" s="38"/>
      <c r="L323" s="38"/>
      <c r="M323" s="17"/>
    </row>
    <row r="324" spans="2:13" ht="14.45" customHeight="1" x14ac:dyDescent="0.25">
      <c r="B324" s="17"/>
      <c r="C324" s="14"/>
      <c r="D324" s="14"/>
      <c r="E324" s="18"/>
      <c r="F324" s="61"/>
      <c r="G324" s="73"/>
      <c r="H324" s="79"/>
      <c r="I324" s="79"/>
      <c r="J324" s="14"/>
      <c r="K324" s="38"/>
      <c r="L324" s="38"/>
      <c r="M324" s="17"/>
    </row>
    <row r="325" spans="2:13" ht="14.45" customHeight="1" x14ac:dyDescent="0.25">
      <c r="B325" s="17"/>
      <c r="C325" s="14"/>
      <c r="D325" s="14"/>
      <c r="E325" s="18"/>
      <c r="F325" s="61"/>
      <c r="G325" s="73"/>
      <c r="H325" s="79"/>
      <c r="I325" s="79"/>
      <c r="J325" s="14"/>
      <c r="K325" s="38"/>
      <c r="L325" s="38"/>
      <c r="M325" s="17"/>
    </row>
    <row r="326" spans="2:13" ht="14.45" customHeight="1" x14ac:dyDescent="0.25">
      <c r="B326" s="17"/>
      <c r="C326" s="14"/>
      <c r="D326" s="14"/>
      <c r="E326" s="18"/>
      <c r="F326" s="61"/>
      <c r="G326" s="73"/>
      <c r="H326" s="79"/>
      <c r="I326" s="79"/>
      <c r="J326" s="14"/>
      <c r="K326" s="38"/>
      <c r="L326" s="38"/>
      <c r="M326" s="17"/>
    </row>
    <row r="327" spans="2:13" ht="14.45" customHeight="1" x14ac:dyDescent="0.25">
      <c r="B327" s="17"/>
      <c r="C327" s="14"/>
      <c r="D327" s="14"/>
      <c r="E327" s="18"/>
      <c r="F327" s="61"/>
      <c r="G327" s="73"/>
      <c r="H327" s="79"/>
      <c r="I327" s="79"/>
      <c r="J327" s="14"/>
      <c r="K327" s="38"/>
      <c r="L327" s="38"/>
      <c r="M327" s="17"/>
    </row>
    <row r="328" spans="2:13" ht="14.45" customHeight="1" x14ac:dyDescent="0.25">
      <c r="B328" s="17"/>
      <c r="C328" s="14"/>
      <c r="D328" s="14"/>
      <c r="E328" s="18"/>
      <c r="F328" s="61"/>
      <c r="G328" s="73"/>
      <c r="H328" s="79"/>
      <c r="I328" s="79"/>
      <c r="J328" s="14"/>
      <c r="K328" s="38"/>
      <c r="L328" s="38"/>
      <c r="M328" s="17"/>
    </row>
    <row r="329" spans="2:13" ht="14.45" customHeight="1" x14ac:dyDescent="0.25">
      <c r="B329" s="17"/>
      <c r="C329" s="14"/>
      <c r="D329" s="14"/>
      <c r="E329" s="18"/>
      <c r="F329" s="61"/>
      <c r="G329" s="73"/>
      <c r="H329" s="79"/>
      <c r="I329" s="79"/>
      <c r="J329" s="14"/>
      <c r="K329" s="38"/>
      <c r="L329" s="38"/>
      <c r="M329" s="17"/>
    </row>
    <row r="330" spans="2:13" ht="14.45" customHeight="1" x14ac:dyDescent="0.25">
      <c r="B330" s="17"/>
      <c r="C330" s="14"/>
      <c r="D330" s="14"/>
      <c r="E330" s="18"/>
      <c r="F330" s="61"/>
      <c r="G330" s="73"/>
      <c r="H330" s="79"/>
      <c r="I330" s="79"/>
      <c r="J330" s="14"/>
      <c r="K330" s="38"/>
      <c r="L330" s="38"/>
      <c r="M330" s="17"/>
    </row>
    <row r="331" spans="2:13" ht="14.45" customHeight="1" x14ac:dyDescent="0.25">
      <c r="B331" s="17"/>
      <c r="C331" s="14"/>
      <c r="D331" s="14"/>
      <c r="E331" s="18"/>
      <c r="F331" s="61"/>
      <c r="G331" s="73"/>
      <c r="H331" s="79"/>
      <c r="I331" s="79"/>
      <c r="J331" s="14"/>
      <c r="K331" s="38"/>
      <c r="L331" s="38"/>
      <c r="M331" s="17"/>
    </row>
    <row r="332" spans="2:13" ht="14.45" customHeight="1" x14ac:dyDescent="0.25">
      <c r="B332" s="17"/>
      <c r="C332" s="14"/>
      <c r="D332" s="14"/>
      <c r="E332" s="18"/>
      <c r="F332" s="61"/>
      <c r="G332" s="73"/>
      <c r="H332" s="79"/>
      <c r="I332" s="79"/>
      <c r="J332" s="14"/>
      <c r="K332" s="38"/>
      <c r="L332" s="38"/>
      <c r="M332" s="17"/>
    </row>
    <row r="333" spans="2:13" ht="14.45" customHeight="1" x14ac:dyDescent="0.25">
      <c r="B333" s="17"/>
      <c r="C333" s="14"/>
      <c r="D333" s="14"/>
      <c r="E333" s="18"/>
      <c r="F333" s="61"/>
      <c r="G333" s="73"/>
      <c r="H333" s="79"/>
      <c r="I333" s="79"/>
      <c r="J333" s="14"/>
      <c r="K333" s="38"/>
      <c r="L333" s="38"/>
      <c r="M333" s="17"/>
    </row>
    <row r="334" spans="2:13" ht="14.45" customHeight="1" x14ac:dyDescent="0.25">
      <c r="B334" s="17"/>
      <c r="C334" s="14"/>
      <c r="D334" s="14"/>
      <c r="E334" s="18"/>
      <c r="F334" s="61"/>
      <c r="G334" s="73"/>
      <c r="H334" s="79"/>
      <c r="I334" s="79"/>
      <c r="J334" s="14"/>
      <c r="K334" s="38"/>
      <c r="L334" s="38"/>
      <c r="M334" s="17"/>
    </row>
    <row r="335" spans="2:13" ht="14.45" customHeight="1" x14ac:dyDescent="0.25">
      <c r="B335" s="17"/>
      <c r="C335" s="14"/>
      <c r="D335" s="14"/>
      <c r="E335" s="18"/>
      <c r="F335" s="61"/>
      <c r="G335" s="73"/>
      <c r="H335" s="79"/>
      <c r="I335" s="79"/>
      <c r="J335" s="14"/>
      <c r="K335" s="38"/>
      <c r="L335" s="38"/>
      <c r="M335" s="17"/>
    </row>
    <row r="336" spans="2:13" ht="14.45" customHeight="1" x14ac:dyDescent="0.25">
      <c r="B336" s="17"/>
      <c r="C336" s="14"/>
      <c r="D336" s="14"/>
      <c r="E336" s="18"/>
      <c r="F336" s="61"/>
      <c r="G336" s="73"/>
      <c r="H336" s="79"/>
      <c r="I336" s="79"/>
      <c r="J336" s="14"/>
      <c r="K336" s="38"/>
      <c r="L336" s="38"/>
      <c r="M336" s="17"/>
    </row>
    <row r="337" spans="2:13" ht="14.45" customHeight="1" x14ac:dyDescent="0.25">
      <c r="B337" s="17"/>
      <c r="C337" s="14"/>
      <c r="D337" s="14"/>
      <c r="E337" s="18"/>
      <c r="F337" s="61"/>
      <c r="G337" s="73"/>
      <c r="H337" s="79"/>
      <c r="I337" s="79"/>
      <c r="J337" s="14"/>
      <c r="K337" s="38"/>
      <c r="L337" s="38"/>
      <c r="M337" s="17"/>
    </row>
    <row r="338" spans="2:13" ht="14.45" customHeight="1" x14ac:dyDescent="0.25">
      <c r="B338" s="17"/>
      <c r="C338" s="14"/>
      <c r="D338" s="14"/>
      <c r="E338" s="18"/>
      <c r="F338" s="61"/>
      <c r="G338" s="73"/>
      <c r="H338" s="79"/>
      <c r="I338" s="79"/>
      <c r="J338" s="14"/>
      <c r="K338" s="38"/>
      <c r="L338" s="38"/>
      <c r="M338" s="17"/>
    </row>
    <row r="339" spans="2:13" ht="14.45" customHeight="1" x14ac:dyDescent="0.25">
      <c r="B339" s="17"/>
      <c r="C339" s="14"/>
      <c r="D339" s="14"/>
      <c r="E339" s="18"/>
      <c r="F339" s="61"/>
      <c r="G339" s="73"/>
      <c r="H339" s="79"/>
      <c r="I339" s="79"/>
      <c r="J339" s="14"/>
      <c r="K339" s="38"/>
      <c r="L339" s="38"/>
      <c r="M339" s="17"/>
    </row>
    <row r="340" spans="2:13" ht="14.45" customHeight="1" x14ac:dyDescent="0.25">
      <c r="B340" s="17"/>
      <c r="C340" s="14"/>
      <c r="D340" s="14"/>
      <c r="E340" s="18"/>
      <c r="F340" s="61"/>
      <c r="G340" s="73"/>
      <c r="H340" s="79"/>
      <c r="I340" s="79"/>
      <c r="J340" s="14"/>
      <c r="K340" s="38"/>
      <c r="L340" s="38"/>
      <c r="M340" s="17"/>
    </row>
    <row r="341" spans="2:13" ht="14.45" customHeight="1" x14ac:dyDescent="0.25">
      <c r="B341" s="17"/>
      <c r="C341" s="14"/>
      <c r="D341" s="14"/>
      <c r="E341" s="18"/>
      <c r="F341" s="61"/>
      <c r="G341" s="73"/>
      <c r="H341" s="79"/>
      <c r="I341" s="79"/>
      <c r="J341" s="14"/>
      <c r="K341" s="38"/>
      <c r="L341" s="38"/>
      <c r="M341" s="17"/>
    </row>
    <row r="342" spans="2:13" ht="14.45" customHeight="1" x14ac:dyDescent="0.25">
      <c r="B342" s="17"/>
      <c r="C342" s="14"/>
      <c r="D342" s="14"/>
      <c r="E342" s="18"/>
      <c r="F342" s="61"/>
      <c r="G342" s="73"/>
      <c r="H342" s="79"/>
      <c r="I342" s="79"/>
      <c r="J342" s="14"/>
      <c r="K342" s="38"/>
      <c r="L342" s="38"/>
      <c r="M342" s="17"/>
    </row>
    <row r="343" spans="2:13" ht="14.45" customHeight="1" x14ac:dyDescent="0.25">
      <c r="B343" s="17"/>
      <c r="C343" s="14"/>
      <c r="D343" s="14"/>
      <c r="E343" s="18"/>
      <c r="F343" s="61"/>
      <c r="G343" s="73"/>
      <c r="H343" s="79"/>
      <c r="I343" s="79"/>
      <c r="J343" s="14"/>
      <c r="K343" s="38"/>
      <c r="L343" s="38"/>
      <c r="M343" s="17"/>
    </row>
    <row r="344" spans="2:13" ht="14.45" customHeight="1" x14ac:dyDescent="0.25">
      <c r="B344" s="17"/>
      <c r="C344" s="14"/>
      <c r="D344" s="14"/>
      <c r="E344" s="18"/>
      <c r="F344" s="61"/>
      <c r="G344" s="73"/>
      <c r="H344" s="79"/>
      <c r="I344" s="79"/>
      <c r="J344" s="14"/>
      <c r="K344" s="38"/>
      <c r="L344" s="38"/>
      <c r="M344" s="17"/>
    </row>
    <row r="345" spans="2:13" ht="14.45" customHeight="1" x14ac:dyDescent="0.25">
      <c r="B345" s="17"/>
      <c r="C345" s="14"/>
      <c r="D345" s="14"/>
      <c r="E345" s="18"/>
      <c r="F345" s="61"/>
      <c r="G345" s="73"/>
      <c r="H345" s="79"/>
      <c r="I345" s="79"/>
      <c r="J345" s="14"/>
      <c r="K345" s="38"/>
      <c r="L345" s="38"/>
      <c r="M345" s="17"/>
    </row>
    <row r="346" spans="2:13" ht="14.45" customHeight="1" x14ac:dyDescent="0.25">
      <c r="B346" s="17"/>
      <c r="C346" s="14"/>
      <c r="D346" s="14"/>
      <c r="E346" s="18"/>
      <c r="F346" s="61"/>
      <c r="G346" s="73"/>
      <c r="H346" s="79"/>
      <c r="I346" s="79"/>
      <c r="J346" s="14"/>
      <c r="K346" s="38"/>
      <c r="L346" s="38"/>
      <c r="M346" s="17"/>
    </row>
    <row r="347" spans="2:13" ht="14.45" customHeight="1" x14ac:dyDescent="0.25">
      <c r="B347" s="17"/>
      <c r="C347" s="14"/>
      <c r="D347" s="14"/>
      <c r="E347" s="18"/>
      <c r="F347" s="61"/>
      <c r="G347" s="73"/>
      <c r="H347" s="79"/>
      <c r="I347" s="79"/>
      <c r="J347" s="14"/>
      <c r="K347" s="38"/>
      <c r="L347" s="38"/>
      <c r="M347" s="17"/>
    </row>
    <row r="348" spans="2:13" ht="14.45" customHeight="1" x14ac:dyDescent="0.25">
      <c r="B348" s="17"/>
      <c r="C348" s="14"/>
      <c r="D348" s="14"/>
      <c r="E348" s="18"/>
      <c r="F348" s="61"/>
      <c r="G348" s="73"/>
      <c r="H348" s="79"/>
      <c r="I348" s="79"/>
      <c r="J348" s="14"/>
      <c r="K348" s="38"/>
      <c r="L348" s="38"/>
      <c r="M348" s="17"/>
    </row>
    <row r="349" spans="2:13" ht="14.45" customHeight="1" x14ac:dyDescent="0.25">
      <c r="B349" s="17"/>
      <c r="C349" s="14"/>
      <c r="D349" s="14"/>
      <c r="E349" s="18"/>
      <c r="F349" s="61"/>
      <c r="G349" s="73"/>
      <c r="H349" s="79"/>
      <c r="I349" s="79"/>
      <c r="J349" s="14"/>
      <c r="K349" s="38"/>
      <c r="L349" s="38"/>
      <c r="M349" s="17"/>
    </row>
    <row r="350" spans="2:13" ht="14.45" customHeight="1" x14ac:dyDescent="0.25">
      <c r="B350" s="17"/>
      <c r="C350" s="14"/>
      <c r="D350" s="14"/>
      <c r="E350" s="18"/>
      <c r="F350" s="61"/>
      <c r="G350" s="73"/>
      <c r="H350" s="79"/>
      <c r="I350" s="79"/>
      <c r="J350" s="14"/>
      <c r="K350" s="38"/>
      <c r="L350" s="38"/>
      <c r="M350" s="17"/>
    </row>
    <row r="351" spans="2:13" ht="14.45" customHeight="1" x14ac:dyDescent="0.25">
      <c r="B351" s="17"/>
      <c r="C351" s="14"/>
      <c r="D351" s="14"/>
      <c r="E351" s="18"/>
      <c r="F351" s="61"/>
      <c r="G351" s="73"/>
      <c r="H351" s="79"/>
      <c r="I351" s="79"/>
      <c r="J351" s="14"/>
      <c r="K351" s="38"/>
      <c r="L351" s="38"/>
      <c r="M351" s="17"/>
    </row>
    <row r="352" spans="2:13" ht="14.45" customHeight="1" x14ac:dyDescent="0.25">
      <c r="B352" s="17"/>
      <c r="C352" s="14"/>
      <c r="D352" s="14"/>
      <c r="E352" s="18"/>
      <c r="F352" s="61"/>
      <c r="G352" s="73"/>
      <c r="H352" s="79"/>
      <c r="I352" s="79"/>
      <c r="J352" s="14"/>
      <c r="K352" s="38"/>
      <c r="L352" s="38"/>
      <c r="M352" s="17"/>
    </row>
    <row r="353" spans="2:13" ht="14.45" customHeight="1" x14ac:dyDescent="0.25">
      <c r="B353" s="17"/>
      <c r="C353" s="14"/>
      <c r="D353" s="14"/>
      <c r="E353" s="18"/>
      <c r="F353" s="61"/>
      <c r="G353" s="73"/>
      <c r="H353" s="79"/>
      <c r="I353" s="79"/>
      <c r="J353" s="14"/>
      <c r="K353" s="38"/>
      <c r="L353" s="38"/>
      <c r="M353" s="17"/>
    </row>
    <row r="354" spans="2:13" ht="14.45" customHeight="1" x14ac:dyDescent="0.25">
      <c r="B354" s="17"/>
      <c r="C354" s="14"/>
      <c r="D354" s="14"/>
      <c r="E354" s="18"/>
      <c r="F354" s="61"/>
      <c r="G354" s="73"/>
      <c r="H354" s="79"/>
      <c r="I354" s="79"/>
      <c r="J354" s="14"/>
      <c r="K354" s="38"/>
      <c r="L354" s="38"/>
      <c r="M354" s="17"/>
    </row>
    <row r="355" spans="2:13" ht="14.45" customHeight="1" x14ac:dyDescent="0.25">
      <c r="B355" s="17"/>
      <c r="C355" s="14"/>
      <c r="D355" s="14"/>
      <c r="E355" s="18"/>
      <c r="F355" s="61"/>
      <c r="G355" s="73"/>
      <c r="H355" s="79"/>
      <c r="I355" s="79"/>
      <c r="J355" s="14"/>
      <c r="K355" s="38"/>
      <c r="L355" s="38"/>
      <c r="M355" s="17"/>
    </row>
    <row r="356" spans="2:13" ht="14.45" customHeight="1" x14ac:dyDescent="0.25">
      <c r="B356" s="17"/>
      <c r="C356" s="14"/>
      <c r="D356" s="14"/>
      <c r="E356" s="18"/>
      <c r="F356" s="61"/>
      <c r="G356" s="73"/>
      <c r="H356" s="79"/>
      <c r="I356" s="79"/>
      <c r="J356" s="14"/>
      <c r="K356" s="38"/>
      <c r="L356" s="38"/>
      <c r="M356" s="17"/>
    </row>
    <row r="357" spans="2:13" ht="14.45" customHeight="1" x14ac:dyDescent="0.25">
      <c r="B357" s="17"/>
      <c r="C357" s="14"/>
      <c r="D357" s="14"/>
      <c r="E357" s="18"/>
      <c r="F357" s="61"/>
      <c r="G357" s="73"/>
      <c r="H357" s="79"/>
      <c r="I357" s="79"/>
      <c r="J357" s="14"/>
      <c r="K357" s="38"/>
      <c r="L357" s="38"/>
      <c r="M357" s="17"/>
    </row>
    <row r="358" spans="2:13" ht="14.45" customHeight="1" x14ac:dyDescent="0.25">
      <c r="B358" s="17"/>
      <c r="C358" s="14"/>
      <c r="D358" s="14"/>
      <c r="E358" s="18"/>
      <c r="F358" s="61"/>
      <c r="G358" s="73"/>
      <c r="H358" s="79"/>
      <c r="I358" s="79"/>
      <c r="J358" s="14"/>
      <c r="K358" s="38"/>
      <c r="L358" s="38"/>
      <c r="M358" s="17"/>
    </row>
    <row r="359" spans="2:13" ht="14.45" customHeight="1" x14ac:dyDescent="0.25">
      <c r="B359" s="17"/>
      <c r="C359" s="14"/>
      <c r="D359" s="14"/>
      <c r="E359" s="18"/>
      <c r="F359" s="61"/>
      <c r="G359" s="73"/>
      <c r="H359" s="79"/>
      <c r="I359" s="79"/>
      <c r="J359" s="14"/>
      <c r="K359" s="38"/>
      <c r="L359" s="38"/>
      <c r="M359" s="17"/>
    </row>
    <row r="360" spans="2:13" ht="14.45" customHeight="1" x14ac:dyDescent="0.25">
      <c r="B360" s="17"/>
      <c r="C360" s="14"/>
      <c r="D360" s="14"/>
      <c r="E360" s="18"/>
      <c r="F360" s="61"/>
      <c r="G360" s="73"/>
      <c r="H360" s="79"/>
      <c r="I360" s="79"/>
      <c r="J360" s="14"/>
      <c r="K360" s="38"/>
      <c r="L360" s="38"/>
      <c r="M360" s="17"/>
    </row>
    <row r="361" spans="2:13" ht="14.45" customHeight="1" x14ac:dyDescent="0.25">
      <c r="B361" s="17"/>
      <c r="C361" s="14"/>
      <c r="D361" s="14"/>
      <c r="E361" s="18"/>
      <c r="F361" s="61"/>
      <c r="G361" s="73"/>
      <c r="H361" s="79"/>
      <c r="I361" s="79"/>
      <c r="J361" s="14"/>
      <c r="K361" s="38"/>
      <c r="L361" s="38"/>
      <c r="M361" s="17"/>
    </row>
    <row r="362" spans="2:13" ht="14.45" customHeight="1" x14ac:dyDescent="0.25">
      <c r="B362" s="17"/>
      <c r="C362" s="14"/>
      <c r="D362" s="14"/>
      <c r="E362" s="18"/>
      <c r="F362" s="61"/>
      <c r="G362" s="73"/>
      <c r="H362" s="79"/>
      <c r="I362" s="79"/>
      <c r="J362" s="14"/>
      <c r="K362" s="38"/>
      <c r="L362" s="38"/>
      <c r="M362" s="17"/>
    </row>
    <row r="363" spans="2:13" ht="14.45" customHeight="1" x14ac:dyDescent="0.25">
      <c r="B363" s="17"/>
      <c r="C363" s="14"/>
      <c r="D363" s="14"/>
      <c r="E363" s="18"/>
      <c r="F363" s="61"/>
      <c r="G363" s="73"/>
      <c r="H363" s="79"/>
      <c r="I363" s="79"/>
      <c r="J363" s="14"/>
      <c r="K363" s="38"/>
      <c r="L363" s="38"/>
      <c r="M363" s="17"/>
    </row>
    <row r="364" spans="2:13" ht="14.45" customHeight="1" x14ac:dyDescent="0.25">
      <c r="B364" s="17"/>
      <c r="C364" s="14"/>
      <c r="D364" s="14"/>
      <c r="E364" s="18"/>
      <c r="F364" s="61"/>
      <c r="G364" s="73"/>
      <c r="H364" s="79"/>
      <c r="I364" s="79"/>
      <c r="J364" s="14"/>
      <c r="K364" s="38"/>
      <c r="L364" s="38"/>
      <c r="M364" s="17"/>
    </row>
    <row r="365" spans="2:13" ht="14.45" customHeight="1" x14ac:dyDescent="0.25">
      <c r="B365" s="17"/>
      <c r="C365" s="14"/>
      <c r="D365" s="14"/>
      <c r="E365" s="18"/>
      <c r="F365" s="61"/>
      <c r="G365" s="73"/>
      <c r="H365" s="79"/>
      <c r="I365" s="79"/>
      <c r="J365" s="14"/>
      <c r="K365" s="38"/>
      <c r="L365" s="38"/>
      <c r="M365" s="17"/>
    </row>
    <row r="366" spans="2:13" ht="14.45" customHeight="1" x14ac:dyDescent="0.25">
      <c r="B366" s="17"/>
      <c r="C366" s="14"/>
      <c r="D366" s="14"/>
      <c r="E366" s="18"/>
      <c r="F366" s="61"/>
      <c r="G366" s="73"/>
      <c r="H366" s="79"/>
      <c r="I366" s="79"/>
      <c r="J366" s="14"/>
      <c r="K366" s="38"/>
      <c r="L366" s="38"/>
      <c r="M366" s="17"/>
    </row>
    <row r="367" spans="2:13" ht="14.45" customHeight="1" x14ac:dyDescent="0.25">
      <c r="B367" s="17"/>
      <c r="C367" s="14"/>
      <c r="D367" s="14"/>
      <c r="E367" s="18"/>
      <c r="F367" s="61"/>
      <c r="G367" s="73"/>
      <c r="H367" s="79"/>
      <c r="I367" s="79"/>
      <c r="J367" s="14"/>
      <c r="K367" s="38"/>
      <c r="L367" s="38"/>
      <c r="M367" s="17"/>
    </row>
    <row r="368" spans="2:13" ht="14.45" customHeight="1" x14ac:dyDescent="0.25">
      <c r="B368" s="17"/>
      <c r="C368" s="14"/>
      <c r="D368" s="14"/>
      <c r="E368" s="18"/>
      <c r="F368" s="61"/>
      <c r="G368" s="73"/>
      <c r="H368" s="79"/>
      <c r="I368" s="79"/>
      <c r="J368" s="14"/>
      <c r="K368" s="38"/>
      <c r="L368" s="38"/>
      <c r="M368" s="17"/>
    </row>
    <row r="369" spans="2:13" ht="14.45" customHeight="1" x14ac:dyDescent="0.25">
      <c r="B369" s="17"/>
      <c r="C369" s="14"/>
      <c r="D369" s="14"/>
      <c r="E369" s="18"/>
      <c r="F369" s="61"/>
      <c r="G369" s="73"/>
      <c r="H369" s="79"/>
      <c r="I369" s="79"/>
      <c r="J369" s="14"/>
      <c r="K369" s="38"/>
      <c r="L369" s="38"/>
      <c r="M369" s="17"/>
    </row>
    <row r="370" spans="2:13" ht="14.45" customHeight="1" x14ac:dyDescent="0.25">
      <c r="B370" s="17"/>
      <c r="C370" s="14"/>
      <c r="D370" s="14"/>
      <c r="E370" s="18"/>
      <c r="F370" s="61"/>
      <c r="G370" s="73"/>
      <c r="H370" s="79"/>
      <c r="I370" s="79"/>
      <c r="J370" s="14"/>
      <c r="K370" s="38"/>
      <c r="L370" s="38"/>
      <c r="M370" s="17"/>
    </row>
    <row r="371" spans="2:13" ht="14.45" customHeight="1" x14ac:dyDescent="0.25">
      <c r="B371" s="17"/>
      <c r="C371" s="14"/>
      <c r="D371" s="14"/>
      <c r="E371" s="18"/>
      <c r="F371" s="61"/>
      <c r="G371" s="73"/>
      <c r="H371" s="79"/>
      <c r="I371" s="79"/>
      <c r="J371" s="14"/>
      <c r="K371" s="38"/>
      <c r="L371" s="38"/>
      <c r="M371" s="17"/>
    </row>
    <row r="372" spans="2:13" ht="14.45" customHeight="1" x14ac:dyDescent="0.25">
      <c r="B372" s="17"/>
      <c r="C372" s="14"/>
      <c r="D372" s="14"/>
      <c r="E372" s="18"/>
      <c r="F372" s="61"/>
      <c r="G372" s="73"/>
      <c r="H372" s="79"/>
      <c r="I372" s="79"/>
      <c r="J372" s="14"/>
      <c r="K372" s="38"/>
      <c r="L372" s="38"/>
      <c r="M372" s="17"/>
    </row>
    <row r="373" spans="2:13" ht="14.45" customHeight="1" x14ac:dyDescent="0.25">
      <c r="B373" s="17"/>
      <c r="C373" s="14"/>
      <c r="D373" s="14"/>
      <c r="E373" s="18"/>
      <c r="F373" s="61"/>
      <c r="G373" s="73"/>
      <c r="H373" s="79"/>
      <c r="I373" s="79"/>
      <c r="J373" s="14"/>
      <c r="K373" s="38"/>
      <c r="L373" s="38"/>
      <c r="M373" s="17"/>
    </row>
    <row r="374" spans="2:13" ht="14.45" customHeight="1" x14ac:dyDescent="0.25">
      <c r="B374" s="17"/>
      <c r="C374" s="14"/>
      <c r="D374" s="14"/>
      <c r="E374" s="18"/>
      <c r="F374" s="61"/>
      <c r="G374" s="73"/>
      <c r="H374" s="79"/>
      <c r="I374" s="79"/>
      <c r="J374" s="14"/>
      <c r="K374" s="38"/>
      <c r="L374" s="38"/>
      <c r="M374" s="17"/>
    </row>
    <row r="375" spans="2:13" ht="14.45" customHeight="1" x14ac:dyDescent="0.25">
      <c r="B375" s="17"/>
      <c r="C375" s="14"/>
      <c r="D375" s="14"/>
      <c r="E375" s="18"/>
      <c r="F375" s="61"/>
      <c r="G375" s="73"/>
      <c r="H375" s="79"/>
      <c r="I375" s="79"/>
      <c r="J375" s="14"/>
      <c r="K375" s="38"/>
      <c r="L375" s="38"/>
      <c r="M375" s="17"/>
    </row>
    <row r="376" spans="2:13" ht="14.45" customHeight="1" x14ac:dyDescent="0.25">
      <c r="B376" s="17"/>
      <c r="C376" s="14"/>
      <c r="D376" s="14"/>
      <c r="E376" s="18"/>
      <c r="F376" s="61"/>
      <c r="G376" s="73"/>
      <c r="H376" s="79"/>
      <c r="I376" s="79"/>
      <c r="J376" s="14"/>
      <c r="K376" s="38"/>
      <c r="L376" s="38"/>
      <c r="M376" s="17"/>
    </row>
    <row r="377" spans="2:13" ht="14.45" customHeight="1" x14ac:dyDescent="0.25">
      <c r="B377" s="17"/>
      <c r="C377" s="14"/>
      <c r="D377" s="14"/>
      <c r="E377" s="18"/>
      <c r="F377" s="61"/>
      <c r="G377" s="73"/>
      <c r="H377" s="79"/>
      <c r="I377" s="79"/>
      <c r="J377" s="14"/>
      <c r="K377" s="38"/>
      <c r="L377" s="38"/>
      <c r="M377" s="17"/>
    </row>
    <row r="378" spans="2:13" ht="14.45" customHeight="1" x14ac:dyDescent="0.25">
      <c r="B378" s="17"/>
      <c r="C378" s="14"/>
      <c r="D378" s="14"/>
      <c r="E378" s="18"/>
      <c r="F378" s="61"/>
      <c r="G378" s="73"/>
      <c r="H378" s="79"/>
      <c r="I378" s="79"/>
      <c r="J378" s="14"/>
      <c r="K378" s="38"/>
      <c r="L378" s="38"/>
      <c r="M378" s="17"/>
    </row>
    <row r="379" spans="2:13" ht="14.45" customHeight="1" x14ac:dyDescent="0.25">
      <c r="B379" s="17"/>
      <c r="C379" s="14"/>
      <c r="D379" s="14"/>
      <c r="E379" s="18"/>
      <c r="F379" s="61"/>
      <c r="G379" s="73"/>
      <c r="H379" s="79"/>
      <c r="I379" s="79"/>
      <c r="J379" s="14"/>
      <c r="K379" s="38"/>
      <c r="L379" s="38"/>
      <c r="M379" s="17"/>
    </row>
    <row r="380" spans="2:13" ht="14.45" customHeight="1" x14ac:dyDescent="0.25">
      <c r="B380" s="17"/>
      <c r="C380" s="14"/>
      <c r="D380" s="14"/>
      <c r="E380" s="18"/>
      <c r="F380" s="61"/>
      <c r="G380" s="73"/>
      <c r="H380" s="79"/>
      <c r="I380" s="79"/>
      <c r="J380" s="14"/>
      <c r="K380" s="38"/>
      <c r="L380" s="38"/>
      <c r="M380" s="17"/>
    </row>
    <row r="381" spans="2:13" ht="14.45" customHeight="1" x14ac:dyDescent="0.25">
      <c r="B381" s="17"/>
      <c r="C381" s="14"/>
      <c r="D381" s="14"/>
      <c r="E381" s="18"/>
      <c r="F381" s="61"/>
      <c r="G381" s="73"/>
      <c r="H381" s="79"/>
      <c r="I381" s="79"/>
      <c r="J381" s="14"/>
      <c r="K381" s="38"/>
      <c r="L381" s="38"/>
      <c r="M381" s="17"/>
    </row>
    <row r="382" spans="2:13" ht="14.45" customHeight="1" x14ac:dyDescent="0.25">
      <c r="B382" s="17"/>
      <c r="C382" s="14"/>
      <c r="D382" s="14"/>
      <c r="E382" s="18"/>
      <c r="F382" s="61"/>
      <c r="G382" s="73"/>
      <c r="H382" s="79"/>
      <c r="I382" s="79"/>
      <c r="J382" s="14"/>
      <c r="K382" s="38"/>
      <c r="L382" s="38"/>
      <c r="M382" s="17"/>
    </row>
    <row r="383" spans="2:13" ht="14.45" customHeight="1" x14ac:dyDescent="0.25">
      <c r="B383" s="17"/>
      <c r="C383" s="14"/>
      <c r="D383" s="14"/>
      <c r="E383" s="18"/>
      <c r="F383" s="61"/>
      <c r="G383" s="73"/>
      <c r="H383" s="79"/>
      <c r="I383" s="79"/>
      <c r="J383" s="14"/>
      <c r="K383" s="38"/>
      <c r="L383" s="38"/>
      <c r="M383" s="17"/>
    </row>
    <row r="384" spans="2:13" ht="14.45" customHeight="1" x14ac:dyDescent="0.25">
      <c r="B384" s="17"/>
      <c r="C384" s="14"/>
      <c r="D384" s="14"/>
      <c r="E384" s="18"/>
      <c r="F384" s="61"/>
      <c r="G384" s="73"/>
      <c r="H384" s="79"/>
      <c r="I384" s="79"/>
      <c r="J384" s="14"/>
      <c r="K384" s="38"/>
      <c r="L384" s="38"/>
      <c r="M384" s="17"/>
    </row>
    <row r="385" spans="2:13" ht="14.45" customHeight="1" x14ac:dyDescent="0.25">
      <c r="B385" s="17"/>
      <c r="C385" s="14"/>
      <c r="D385" s="14"/>
      <c r="E385" s="18"/>
      <c r="F385" s="61"/>
      <c r="G385" s="73"/>
      <c r="H385" s="79"/>
      <c r="I385" s="79"/>
      <c r="J385" s="14"/>
      <c r="K385" s="38"/>
      <c r="L385" s="38"/>
      <c r="M385" s="17"/>
    </row>
    <row r="386" spans="2:13" ht="14.45" customHeight="1" x14ac:dyDescent="0.25">
      <c r="B386" s="17"/>
      <c r="C386" s="14"/>
      <c r="D386" s="14"/>
      <c r="E386" s="18"/>
      <c r="F386" s="61"/>
      <c r="G386" s="73"/>
      <c r="H386" s="79"/>
      <c r="I386" s="79"/>
      <c r="J386" s="14"/>
      <c r="K386" s="38"/>
      <c r="L386" s="38"/>
      <c r="M386" s="17"/>
    </row>
    <row r="387" spans="2:13" ht="14.45" customHeight="1" x14ac:dyDescent="0.25">
      <c r="B387" s="17"/>
      <c r="C387" s="14"/>
      <c r="D387" s="14"/>
      <c r="E387" s="18"/>
      <c r="F387" s="61"/>
      <c r="G387" s="73"/>
      <c r="H387" s="79"/>
      <c r="I387" s="79"/>
      <c r="J387" s="14"/>
      <c r="K387" s="38"/>
      <c r="L387" s="38"/>
      <c r="M387" s="17"/>
    </row>
    <row r="388" spans="2:13" ht="14.45" customHeight="1" x14ac:dyDescent="0.25">
      <c r="B388" s="17"/>
      <c r="C388" s="14"/>
      <c r="D388" s="14"/>
      <c r="E388" s="18"/>
      <c r="F388" s="61"/>
      <c r="G388" s="73"/>
      <c r="H388" s="79"/>
      <c r="I388" s="79"/>
      <c r="J388" s="14"/>
      <c r="K388" s="38"/>
      <c r="L388" s="38"/>
      <c r="M388" s="17"/>
    </row>
    <row r="389" spans="2:13" ht="14.45" customHeight="1" x14ac:dyDescent="0.25">
      <c r="B389" s="17"/>
      <c r="C389" s="14"/>
      <c r="D389" s="14"/>
      <c r="E389" s="18"/>
      <c r="F389" s="61"/>
      <c r="G389" s="73"/>
      <c r="H389" s="79"/>
      <c r="I389" s="79"/>
      <c r="J389" s="14"/>
      <c r="K389" s="38"/>
      <c r="L389" s="38"/>
      <c r="M389" s="17"/>
    </row>
    <row r="390" spans="2:13" ht="14.45" customHeight="1" x14ac:dyDescent="0.25">
      <c r="B390" s="17"/>
      <c r="C390" s="14"/>
      <c r="D390" s="14"/>
      <c r="E390" s="18"/>
      <c r="F390" s="61"/>
      <c r="G390" s="73"/>
      <c r="H390" s="79"/>
      <c r="I390" s="79"/>
      <c r="J390" s="14"/>
      <c r="K390" s="38"/>
      <c r="L390" s="38"/>
      <c r="M390" s="17"/>
    </row>
    <row r="391" spans="2:13" ht="14.45" customHeight="1" x14ac:dyDescent="0.25">
      <c r="B391" s="17"/>
      <c r="C391" s="14"/>
      <c r="D391" s="14"/>
      <c r="E391" s="18"/>
      <c r="F391" s="61"/>
      <c r="G391" s="73"/>
      <c r="H391" s="79"/>
      <c r="I391" s="79"/>
      <c r="J391" s="14"/>
      <c r="K391" s="38"/>
      <c r="L391" s="38"/>
      <c r="M391" s="17"/>
    </row>
    <row r="392" spans="2:13" ht="14.45" customHeight="1" x14ac:dyDescent="0.25">
      <c r="B392" s="17"/>
      <c r="C392" s="14"/>
      <c r="D392" s="14"/>
      <c r="E392" s="18"/>
      <c r="F392" s="61"/>
      <c r="G392" s="73"/>
      <c r="H392" s="79"/>
      <c r="I392" s="79"/>
      <c r="J392" s="14"/>
      <c r="K392" s="38"/>
      <c r="L392" s="38"/>
      <c r="M392" s="17"/>
    </row>
    <row r="393" spans="2:13" ht="14.45" customHeight="1" x14ac:dyDescent="0.25">
      <c r="B393" s="17"/>
      <c r="C393" s="14"/>
      <c r="D393" s="14"/>
      <c r="E393" s="18"/>
      <c r="F393" s="61"/>
      <c r="G393" s="73"/>
      <c r="H393" s="79"/>
      <c r="I393" s="79"/>
      <c r="J393" s="14"/>
      <c r="K393" s="38"/>
      <c r="L393" s="38"/>
      <c r="M393" s="17"/>
    </row>
    <row r="394" spans="2:13" ht="14.45" customHeight="1" x14ac:dyDescent="0.25">
      <c r="B394" s="17"/>
      <c r="C394" s="14"/>
      <c r="D394" s="14"/>
      <c r="E394" s="18"/>
      <c r="F394" s="61"/>
      <c r="G394" s="73"/>
      <c r="H394" s="79"/>
      <c r="I394" s="79"/>
      <c r="J394" s="14"/>
      <c r="K394" s="38"/>
      <c r="L394" s="38"/>
      <c r="M394" s="17"/>
    </row>
    <row r="395" spans="2:13" ht="14.45" customHeight="1" x14ac:dyDescent="0.25">
      <c r="B395" s="17"/>
      <c r="C395" s="14"/>
      <c r="D395" s="14"/>
      <c r="E395" s="18"/>
      <c r="F395" s="61"/>
      <c r="G395" s="73"/>
      <c r="H395" s="79"/>
      <c r="I395" s="79"/>
      <c r="J395" s="14"/>
      <c r="K395" s="38"/>
      <c r="L395" s="38"/>
      <c r="M395" s="17"/>
    </row>
    <row r="396" spans="2:13" ht="14.45" customHeight="1" x14ac:dyDescent="0.25">
      <c r="B396" s="17"/>
      <c r="C396" s="14"/>
      <c r="D396" s="14"/>
      <c r="E396" s="18"/>
      <c r="F396" s="61"/>
      <c r="G396" s="73"/>
      <c r="H396" s="79"/>
      <c r="I396" s="79"/>
      <c r="J396" s="14"/>
      <c r="K396" s="38"/>
      <c r="L396" s="38"/>
      <c r="M396" s="17"/>
    </row>
    <row r="397" spans="2:13" ht="14.45" customHeight="1" x14ac:dyDescent="0.25">
      <c r="B397" s="17"/>
      <c r="C397" s="14"/>
      <c r="D397" s="14"/>
      <c r="E397" s="18"/>
      <c r="F397" s="61"/>
      <c r="G397" s="73"/>
      <c r="H397" s="79"/>
      <c r="I397" s="79"/>
      <c r="J397" s="14"/>
      <c r="K397" s="38"/>
      <c r="L397" s="38"/>
      <c r="M397" s="17"/>
    </row>
    <row r="398" spans="2:13" ht="14.45" customHeight="1" x14ac:dyDescent="0.25">
      <c r="B398" s="17"/>
      <c r="C398" s="14"/>
      <c r="D398" s="14"/>
      <c r="E398" s="18"/>
      <c r="F398" s="61"/>
      <c r="G398" s="73"/>
      <c r="H398" s="79"/>
      <c r="I398" s="79"/>
      <c r="J398" s="14"/>
      <c r="K398" s="38"/>
      <c r="L398" s="38"/>
      <c r="M398" s="17"/>
    </row>
    <row r="399" spans="2:13" ht="14.45" customHeight="1" x14ac:dyDescent="0.25">
      <c r="B399" s="17"/>
      <c r="C399" s="14"/>
      <c r="D399" s="14"/>
      <c r="E399" s="18"/>
      <c r="F399" s="61"/>
      <c r="G399" s="73"/>
      <c r="H399" s="79"/>
      <c r="I399" s="79"/>
      <c r="J399" s="14"/>
      <c r="K399" s="38"/>
      <c r="L399" s="38"/>
      <c r="M399" s="17"/>
    </row>
    <row r="400" spans="2:13" ht="14.45" customHeight="1" x14ac:dyDescent="0.25">
      <c r="B400" s="17"/>
      <c r="C400" s="14"/>
      <c r="D400" s="14"/>
      <c r="E400" s="18"/>
      <c r="F400" s="61"/>
      <c r="G400" s="73"/>
      <c r="H400" s="79"/>
      <c r="I400" s="79"/>
      <c r="J400" s="14"/>
      <c r="K400" s="38"/>
      <c r="L400" s="38"/>
      <c r="M400" s="17"/>
    </row>
    <row r="401" spans="2:13" ht="14.45" customHeight="1" x14ac:dyDescent="0.25">
      <c r="B401" s="17"/>
      <c r="C401" s="14"/>
      <c r="D401" s="14"/>
      <c r="E401" s="18"/>
      <c r="F401" s="61"/>
      <c r="G401" s="73"/>
      <c r="H401" s="79"/>
      <c r="I401" s="79"/>
      <c r="J401" s="14"/>
      <c r="K401" s="38"/>
      <c r="L401" s="38"/>
      <c r="M401" s="17"/>
    </row>
    <row r="402" spans="2:13" ht="14.45" customHeight="1" x14ac:dyDescent="0.25">
      <c r="B402" s="17"/>
      <c r="C402" s="14"/>
      <c r="D402" s="14"/>
      <c r="E402" s="18"/>
      <c r="F402" s="61"/>
      <c r="G402" s="73"/>
      <c r="H402" s="79"/>
      <c r="I402" s="79"/>
      <c r="J402" s="14"/>
      <c r="K402" s="38"/>
      <c r="L402" s="38"/>
      <c r="M402" s="17"/>
    </row>
    <row r="403" spans="2:13" ht="14.45" customHeight="1" x14ac:dyDescent="0.25">
      <c r="B403" s="17"/>
      <c r="C403" s="14"/>
      <c r="D403" s="14"/>
      <c r="E403" s="18"/>
      <c r="F403" s="61"/>
      <c r="G403" s="73"/>
      <c r="H403" s="79"/>
      <c r="I403" s="79"/>
      <c r="J403" s="14"/>
      <c r="K403" s="38"/>
      <c r="L403" s="38"/>
      <c r="M403" s="17"/>
    </row>
    <row r="404" spans="2:13" ht="14.45" customHeight="1" x14ac:dyDescent="0.25">
      <c r="B404" s="17"/>
      <c r="C404" s="14"/>
      <c r="D404" s="14"/>
      <c r="E404" s="18"/>
      <c r="F404" s="61"/>
      <c r="G404" s="73"/>
      <c r="H404" s="79"/>
      <c r="I404" s="79"/>
      <c r="J404" s="14"/>
      <c r="K404" s="38"/>
      <c r="L404" s="38"/>
      <c r="M404" s="17"/>
    </row>
    <row r="405" spans="2:13" ht="14.45" customHeight="1" x14ac:dyDescent="0.25">
      <c r="B405" s="17"/>
      <c r="C405" s="14"/>
      <c r="D405" s="14"/>
      <c r="E405" s="18"/>
      <c r="F405" s="61"/>
      <c r="G405" s="73"/>
      <c r="H405" s="79"/>
      <c r="I405" s="79"/>
      <c r="J405" s="14"/>
      <c r="K405" s="38"/>
      <c r="L405" s="38"/>
      <c r="M405" s="17"/>
    </row>
    <row r="406" spans="2:13" ht="14.45" customHeight="1" x14ac:dyDescent="0.25">
      <c r="B406" s="17"/>
      <c r="C406" s="14"/>
      <c r="D406" s="14"/>
      <c r="E406" s="18"/>
      <c r="F406" s="61"/>
      <c r="G406" s="73"/>
      <c r="H406" s="79"/>
      <c r="I406" s="79"/>
      <c r="J406" s="14"/>
      <c r="K406" s="38"/>
      <c r="L406" s="38"/>
      <c r="M406" s="17"/>
    </row>
    <row r="407" spans="2:13" ht="14.45" customHeight="1" x14ac:dyDescent="0.25">
      <c r="B407" s="17"/>
      <c r="C407" s="14"/>
      <c r="D407" s="14"/>
      <c r="E407" s="18"/>
      <c r="F407" s="61"/>
      <c r="G407" s="73"/>
      <c r="H407" s="79"/>
      <c r="I407" s="79"/>
      <c r="J407" s="14"/>
      <c r="K407" s="38"/>
      <c r="L407" s="38"/>
      <c r="M407" s="17"/>
    </row>
    <row r="408" spans="2:13" ht="14.45" customHeight="1" x14ac:dyDescent="0.25">
      <c r="B408" s="17"/>
      <c r="C408" s="14"/>
      <c r="D408" s="14"/>
      <c r="E408" s="18"/>
      <c r="F408" s="61"/>
      <c r="G408" s="73"/>
      <c r="H408" s="79"/>
      <c r="I408" s="79"/>
      <c r="J408" s="14"/>
      <c r="K408" s="38"/>
      <c r="L408" s="38"/>
      <c r="M408" s="17"/>
    </row>
    <row r="409" spans="2:13" ht="14.45" customHeight="1" x14ac:dyDescent="0.25">
      <c r="B409" s="17"/>
      <c r="C409" s="14"/>
      <c r="D409" s="14"/>
      <c r="E409" s="18"/>
      <c r="F409" s="61"/>
      <c r="G409" s="73"/>
      <c r="H409" s="79"/>
      <c r="I409" s="79"/>
      <c r="J409" s="14"/>
      <c r="K409" s="38"/>
      <c r="L409" s="38"/>
      <c r="M409" s="17"/>
    </row>
    <row r="410" spans="2:13" ht="14.45" customHeight="1" x14ac:dyDescent="0.25">
      <c r="B410" s="17"/>
      <c r="C410" s="14"/>
      <c r="D410" s="14"/>
      <c r="E410" s="18"/>
      <c r="F410" s="61"/>
      <c r="G410" s="73"/>
      <c r="H410" s="79"/>
      <c r="I410" s="79"/>
      <c r="J410" s="14"/>
      <c r="K410" s="38"/>
      <c r="L410" s="38"/>
      <c r="M410" s="17"/>
    </row>
    <row r="411" spans="2:13" ht="14.45" customHeight="1" x14ac:dyDescent="0.25">
      <c r="B411" s="17"/>
      <c r="C411" s="14"/>
      <c r="D411" s="14"/>
      <c r="E411" s="18"/>
      <c r="F411" s="61"/>
      <c r="G411" s="73"/>
      <c r="H411" s="79"/>
      <c r="I411" s="79"/>
      <c r="J411" s="14"/>
      <c r="K411" s="38"/>
      <c r="L411" s="38"/>
      <c r="M411" s="17"/>
    </row>
    <row r="412" spans="2:13" ht="14.45" customHeight="1" x14ac:dyDescent="0.25">
      <c r="B412" s="17"/>
      <c r="C412" s="14"/>
      <c r="D412" s="14"/>
      <c r="E412" s="18"/>
      <c r="F412" s="61"/>
      <c r="G412" s="73"/>
      <c r="H412" s="79"/>
      <c r="I412" s="79"/>
      <c r="J412" s="14"/>
      <c r="K412" s="38"/>
      <c r="L412" s="38"/>
      <c r="M412" s="17"/>
    </row>
    <row r="413" spans="2:13" ht="14.45" customHeight="1" x14ac:dyDescent="0.25">
      <c r="B413" s="17"/>
      <c r="C413" s="14"/>
      <c r="D413" s="14"/>
      <c r="E413" s="18"/>
      <c r="F413" s="61"/>
      <c r="G413" s="73"/>
      <c r="H413" s="79"/>
      <c r="I413" s="79"/>
      <c r="J413" s="14"/>
      <c r="K413" s="38"/>
      <c r="L413" s="38"/>
      <c r="M413" s="17"/>
    </row>
    <row r="414" spans="2:13" ht="14.45" customHeight="1" x14ac:dyDescent="0.25">
      <c r="B414" s="17"/>
      <c r="C414" s="14"/>
      <c r="D414" s="14"/>
      <c r="E414" s="18"/>
      <c r="F414" s="61"/>
      <c r="G414" s="73"/>
      <c r="H414" s="79"/>
      <c r="I414" s="79"/>
      <c r="J414" s="14"/>
      <c r="K414" s="38"/>
      <c r="L414" s="38"/>
      <c r="M414" s="17"/>
    </row>
    <row r="415" spans="2:13" ht="14.45" customHeight="1" x14ac:dyDescent="0.25">
      <c r="B415" s="17"/>
      <c r="C415" s="14"/>
      <c r="D415" s="14"/>
      <c r="E415" s="18"/>
      <c r="F415" s="61"/>
      <c r="G415" s="73"/>
      <c r="H415" s="79"/>
      <c r="I415" s="79"/>
      <c r="J415" s="14"/>
      <c r="K415" s="38"/>
      <c r="L415" s="38"/>
      <c r="M415" s="17"/>
    </row>
    <row r="416" spans="2:13" ht="14.45" customHeight="1" x14ac:dyDescent="0.25">
      <c r="B416" s="17"/>
      <c r="C416" s="14"/>
      <c r="D416" s="14"/>
      <c r="E416" s="18"/>
      <c r="F416" s="61"/>
      <c r="G416" s="73"/>
      <c r="H416" s="79"/>
      <c r="I416" s="79"/>
      <c r="J416" s="14"/>
      <c r="K416" s="38"/>
      <c r="L416" s="38"/>
      <c r="M416" s="17"/>
    </row>
    <row r="417" spans="2:13" ht="14.45" customHeight="1" x14ac:dyDescent="0.25">
      <c r="B417" s="17"/>
      <c r="C417" s="14"/>
      <c r="D417" s="14"/>
      <c r="E417" s="18"/>
      <c r="F417" s="61"/>
      <c r="G417" s="73"/>
      <c r="H417" s="79"/>
      <c r="I417" s="79"/>
      <c r="J417" s="14"/>
      <c r="K417" s="38"/>
      <c r="L417" s="38"/>
      <c r="M417" s="17"/>
    </row>
    <row r="418" spans="2:13" ht="14.45" customHeight="1" x14ac:dyDescent="0.25">
      <c r="B418" s="17"/>
      <c r="C418" s="14"/>
      <c r="D418" s="14"/>
      <c r="E418" s="18"/>
      <c r="F418" s="61"/>
      <c r="G418" s="73"/>
      <c r="H418" s="79"/>
      <c r="I418" s="79"/>
      <c r="J418" s="14"/>
      <c r="K418" s="38"/>
      <c r="L418" s="38"/>
      <c r="M418" s="17"/>
    </row>
    <row r="419" spans="2:13" ht="14.45" customHeight="1" x14ac:dyDescent="0.25">
      <c r="B419" s="17"/>
      <c r="C419" s="14"/>
      <c r="D419" s="14"/>
      <c r="E419" s="18"/>
      <c r="F419" s="61"/>
      <c r="G419" s="73"/>
      <c r="H419" s="79"/>
      <c r="I419" s="79"/>
      <c r="J419" s="14"/>
      <c r="K419" s="38"/>
      <c r="L419" s="38"/>
      <c r="M419" s="17"/>
    </row>
    <row r="420" spans="2:13" ht="14.45" customHeight="1" x14ac:dyDescent="0.25">
      <c r="B420" s="17"/>
      <c r="C420" s="14"/>
      <c r="D420" s="14"/>
      <c r="E420" s="18"/>
      <c r="F420" s="61"/>
      <c r="G420" s="73"/>
      <c r="H420" s="79"/>
      <c r="I420" s="79"/>
      <c r="J420" s="14"/>
      <c r="K420" s="38"/>
      <c r="L420" s="38"/>
      <c r="M420" s="17"/>
    </row>
    <row r="421" spans="2:13" ht="14.45" customHeight="1" x14ac:dyDescent="0.25">
      <c r="B421" s="17"/>
      <c r="C421" s="14"/>
      <c r="D421" s="14"/>
      <c r="E421" s="18"/>
      <c r="F421" s="61"/>
      <c r="G421" s="73"/>
      <c r="H421" s="79"/>
      <c r="I421" s="79"/>
      <c r="J421" s="14"/>
      <c r="K421" s="38"/>
      <c r="L421" s="38"/>
      <c r="M421" s="17"/>
    </row>
    <row r="422" spans="2:13" ht="14.45" customHeight="1" x14ac:dyDescent="0.25">
      <c r="B422" s="17"/>
      <c r="C422" s="14"/>
      <c r="D422" s="14"/>
      <c r="E422" s="18"/>
      <c r="F422" s="61"/>
      <c r="G422" s="73"/>
      <c r="H422" s="79"/>
      <c r="I422" s="79"/>
      <c r="J422" s="14"/>
      <c r="K422" s="38"/>
      <c r="L422" s="38"/>
      <c r="M422" s="17"/>
    </row>
    <row r="423" spans="2:13" ht="14.45" customHeight="1" x14ac:dyDescent="0.25">
      <c r="B423" s="17"/>
      <c r="C423" s="14"/>
      <c r="D423" s="14"/>
      <c r="E423" s="18"/>
      <c r="F423" s="61"/>
      <c r="G423" s="73"/>
      <c r="H423" s="79"/>
      <c r="I423" s="79"/>
      <c r="J423" s="14"/>
      <c r="K423" s="38"/>
      <c r="L423" s="38"/>
      <c r="M423" s="17"/>
    </row>
    <row r="424" spans="2:13" ht="14.45" customHeight="1" x14ac:dyDescent="0.25">
      <c r="B424" s="17"/>
      <c r="C424" s="14"/>
      <c r="D424" s="14"/>
      <c r="E424" s="18"/>
      <c r="F424" s="61"/>
      <c r="G424" s="73"/>
      <c r="H424" s="79"/>
      <c r="I424" s="79"/>
      <c r="J424" s="14"/>
      <c r="K424" s="38"/>
      <c r="L424" s="38"/>
      <c r="M424" s="17"/>
    </row>
    <row r="425" spans="2:13" ht="14.45" customHeight="1" x14ac:dyDescent="0.25">
      <c r="B425" s="17"/>
      <c r="C425" s="14"/>
      <c r="D425" s="14"/>
      <c r="E425" s="18"/>
      <c r="F425" s="61"/>
      <c r="G425" s="73"/>
      <c r="H425" s="79"/>
      <c r="I425" s="79"/>
      <c r="J425" s="14"/>
      <c r="K425" s="38"/>
      <c r="L425" s="38"/>
      <c r="M425" s="17"/>
    </row>
    <row r="426" spans="2:13" ht="14.45" customHeight="1" x14ac:dyDescent="0.25">
      <c r="B426" s="17"/>
      <c r="C426" s="14"/>
      <c r="D426" s="14"/>
      <c r="E426" s="18"/>
      <c r="F426" s="61"/>
      <c r="G426" s="73"/>
      <c r="H426" s="79"/>
      <c r="I426" s="79"/>
      <c r="J426" s="14"/>
      <c r="K426" s="38"/>
      <c r="L426" s="38"/>
      <c r="M426" s="17"/>
    </row>
    <row r="427" spans="2:13" ht="14.45" customHeight="1" x14ac:dyDescent="0.25">
      <c r="B427" s="17"/>
      <c r="C427" s="14"/>
      <c r="D427" s="14"/>
      <c r="E427" s="18"/>
      <c r="F427" s="61"/>
      <c r="G427" s="73"/>
      <c r="H427" s="79"/>
      <c r="I427" s="79"/>
      <c r="J427" s="14"/>
      <c r="K427" s="38"/>
      <c r="L427" s="38"/>
      <c r="M427" s="17"/>
    </row>
    <row r="428" spans="2:13" ht="14.45" customHeight="1" x14ac:dyDescent="0.25">
      <c r="B428" s="17"/>
      <c r="C428" s="14"/>
      <c r="D428" s="14"/>
      <c r="E428" s="18"/>
      <c r="F428" s="61"/>
      <c r="G428" s="73"/>
      <c r="H428" s="79"/>
      <c r="I428" s="79"/>
      <c r="J428" s="14"/>
      <c r="K428" s="38"/>
      <c r="L428" s="38"/>
      <c r="M428" s="17"/>
    </row>
    <row r="429" spans="2:13" ht="14.45" customHeight="1" x14ac:dyDescent="0.25">
      <c r="B429" s="17"/>
      <c r="C429" s="14"/>
      <c r="D429" s="14"/>
      <c r="E429" s="18"/>
      <c r="F429" s="61"/>
      <c r="G429" s="73"/>
      <c r="H429" s="79"/>
      <c r="I429" s="79"/>
      <c r="J429" s="14"/>
      <c r="K429" s="38"/>
      <c r="L429" s="38"/>
      <c r="M429" s="17"/>
    </row>
    <row r="430" spans="2:13" ht="14.45" customHeight="1" x14ac:dyDescent="0.25">
      <c r="B430" s="17"/>
      <c r="C430" s="14"/>
      <c r="D430" s="14"/>
      <c r="E430" s="18"/>
      <c r="F430" s="61"/>
      <c r="G430" s="73"/>
      <c r="H430" s="79"/>
      <c r="I430" s="79"/>
      <c r="J430" s="14"/>
      <c r="K430" s="38"/>
      <c r="L430" s="38"/>
      <c r="M430" s="17"/>
    </row>
    <row r="431" spans="2:13" ht="14.45" customHeight="1" x14ac:dyDescent="0.25">
      <c r="B431" s="17"/>
      <c r="C431" s="14"/>
      <c r="D431" s="14"/>
      <c r="E431" s="18"/>
      <c r="F431" s="61"/>
      <c r="G431" s="73"/>
      <c r="H431" s="79"/>
      <c r="I431" s="79"/>
      <c r="J431" s="14"/>
      <c r="K431" s="38"/>
      <c r="L431" s="38"/>
      <c r="M431" s="17"/>
    </row>
    <row r="432" spans="2:13" ht="14.45" customHeight="1" x14ac:dyDescent="0.25">
      <c r="B432" s="17"/>
      <c r="C432" s="14"/>
      <c r="D432" s="14"/>
      <c r="E432" s="18"/>
      <c r="F432" s="61"/>
      <c r="G432" s="73"/>
      <c r="H432" s="79"/>
      <c r="I432" s="79"/>
      <c r="J432" s="14"/>
      <c r="K432" s="38"/>
      <c r="L432" s="38"/>
      <c r="M432" s="17"/>
    </row>
    <row r="433" spans="2:13" ht="14.45" customHeight="1" x14ac:dyDescent="0.25">
      <c r="B433" s="17"/>
      <c r="C433" s="14"/>
      <c r="D433" s="14"/>
      <c r="E433" s="18"/>
      <c r="F433" s="61"/>
      <c r="G433" s="73"/>
      <c r="H433" s="79"/>
      <c r="I433" s="79"/>
      <c r="J433" s="14"/>
      <c r="K433" s="38"/>
      <c r="L433" s="38"/>
      <c r="M433" s="17"/>
    </row>
    <row r="434" spans="2:13" ht="14.45" customHeight="1" x14ac:dyDescent="0.25">
      <c r="B434" s="17"/>
      <c r="C434" s="14"/>
      <c r="D434" s="14"/>
      <c r="E434" s="18"/>
      <c r="F434" s="61"/>
      <c r="G434" s="73"/>
      <c r="H434" s="79"/>
      <c r="I434" s="79"/>
      <c r="J434" s="14"/>
      <c r="K434" s="38"/>
      <c r="L434" s="38"/>
      <c r="M434" s="17"/>
    </row>
    <row r="435" spans="2:13" ht="14.45" customHeight="1" x14ac:dyDescent="0.25">
      <c r="B435" s="17"/>
      <c r="C435" s="14"/>
      <c r="D435" s="14"/>
      <c r="E435" s="18"/>
      <c r="F435" s="61"/>
      <c r="G435" s="73"/>
      <c r="H435" s="79"/>
      <c r="I435" s="79"/>
      <c r="J435" s="14"/>
      <c r="K435" s="38"/>
      <c r="L435" s="38"/>
      <c r="M435" s="17"/>
    </row>
    <row r="436" spans="2:13" ht="14.45" customHeight="1" x14ac:dyDescent="0.25">
      <c r="B436" s="17"/>
      <c r="C436" s="14"/>
      <c r="D436" s="14"/>
      <c r="E436" s="18"/>
      <c r="F436" s="61"/>
      <c r="G436" s="73"/>
      <c r="H436" s="79"/>
      <c r="I436" s="79"/>
      <c r="J436" s="14"/>
      <c r="K436" s="38"/>
      <c r="L436" s="38"/>
      <c r="M436" s="17"/>
    </row>
    <row r="437" spans="2:13" ht="14.45" customHeight="1" x14ac:dyDescent="0.25">
      <c r="B437" s="17"/>
      <c r="C437" s="14"/>
      <c r="D437" s="14"/>
      <c r="E437" s="18"/>
      <c r="F437" s="61"/>
      <c r="G437" s="73"/>
      <c r="H437" s="79"/>
      <c r="I437" s="79"/>
      <c r="J437" s="14"/>
      <c r="K437" s="38"/>
      <c r="L437" s="38"/>
      <c r="M437" s="17"/>
    </row>
    <row r="438" spans="2:13" ht="14.45" customHeight="1" x14ac:dyDescent="0.25">
      <c r="B438" s="17"/>
      <c r="C438" s="14"/>
      <c r="D438" s="14"/>
      <c r="E438" s="18"/>
      <c r="F438" s="61"/>
      <c r="G438" s="73"/>
      <c r="H438" s="79"/>
      <c r="I438" s="79"/>
      <c r="J438" s="14"/>
      <c r="K438" s="38"/>
      <c r="L438" s="38"/>
      <c r="M438" s="17"/>
    </row>
    <row r="439" spans="2:13" ht="14.45" customHeight="1" x14ac:dyDescent="0.25">
      <c r="B439" s="17"/>
      <c r="C439" s="14"/>
      <c r="D439" s="14"/>
      <c r="E439" s="18"/>
      <c r="F439" s="61"/>
      <c r="G439" s="73"/>
      <c r="H439" s="79"/>
      <c r="I439" s="79"/>
      <c r="J439" s="14"/>
      <c r="K439" s="38"/>
      <c r="L439" s="38"/>
      <c r="M439" s="17"/>
    </row>
    <row r="440" spans="2:13" ht="14.45" customHeight="1" x14ac:dyDescent="0.25">
      <c r="B440" s="17"/>
      <c r="C440" s="14"/>
      <c r="D440" s="14"/>
      <c r="E440" s="18"/>
      <c r="F440" s="61"/>
      <c r="G440" s="73"/>
      <c r="H440" s="79"/>
      <c r="I440" s="79"/>
      <c r="J440" s="14"/>
      <c r="K440" s="38"/>
      <c r="L440" s="38"/>
      <c r="M440" s="17"/>
    </row>
    <row r="441" spans="2:13" ht="14.45" customHeight="1" x14ac:dyDescent="0.25">
      <c r="B441" s="17"/>
      <c r="C441" s="14"/>
      <c r="D441" s="14"/>
      <c r="E441" s="18"/>
      <c r="F441" s="61"/>
      <c r="G441" s="73"/>
      <c r="H441" s="79"/>
      <c r="I441" s="79"/>
      <c r="J441" s="14"/>
      <c r="K441" s="38"/>
      <c r="L441" s="38"/>
      <c r="M441" s="17"/>
    </row>
    <row r="442" spans="2:13" ht="14.45" customHeight="1" x14ac:dyDescent="0.25">
      <c r="B442" s="17"/>
      <c r="C442" s="14"/>
      <c r="D442" s="14"/>
      <c r="E442" s="18"/>
      <c r="F442" s="61"/>
      <c r="G442" s="73"/>
      <c r="H442" s="79"/>
      <c r="I442" s="79"/>
      <c r="J442" s="14"/>
      <c r="K442" s="38"/>
      <c r="L442" s="38"/>
      <c r="M442" s="17"/>
    </row>
    <row r="443" spans="2:13" ht="14.45" customHeight="1" x14ac:dyDescent="0.25">
      <c r="B443" s="17"/>
      <c r="C443" s="14"/>
      <c r="D443" s="14"/>
      <c r="E443" s="18"/>
      <c r="F443" s="61"/>
      <c r="G443" s="73"/>
      <c r="H443" s="79"/>
      <c r="I443" s="79"/>
      <c r="J443" s="14"/>
      <c r="K443" s="38"/>
      <c r="L443" s="38"/>
      <c r="M443" s="17"/>
    </row>
    <row r="444" spans="2:13" ht="14.45" customHeight="1" x14ac:dyDescent="0.25">
      <c r="B444" s="17"/>
      <c r="C444" s="14"/>
      <c r="D444" s="14"/>
      <c r="E444" s="18"/>
      <c r="F444" s="61"/>
      <c r="G444" s="73"/>
      <c r="H444" s="79"/>
      <c r="I444" s="79"/>
      <c r="J444" s="14"/>
      <c r="K444" s="38"/>
      <c r="L444" s="38"/>
      <c r="M444" s="17"/>
    </row>
    <row r="445" spans="2:13" ht="14.45" customHeight="1" x14ac:dyDescent="0.25">
      <c r="B445" s="17"/>
      <c r="C445" s="14"/>
      <c r="D445" s="14"/>
      <c r="E445" s="18"/>
      <c r="F445" s="61"/>
      <c r="G445" s="73"/>
      <c r="H445" s="79"/>
      <c r="I445" s="79"/>
      <c r="J445" s="14"/>
      <c r="K445" s="38"/>
      <c r="L445" s="38"/>
      <c r="M445" s="17"/>
    </row>
    <row r="446" spans="2:13" ht="14.45" customHeight="1" x14ac:dyDescent="0.25">
      <c r="B446" s="17"/>
      <c r="C446" s="14"/>
      <c r="D446" s="14"/>
      <c r="E446" s="18"/>
      <c r="F446" s="61"/>
      <c r="G446" s="73"/>
      <c r="H446" s="79"/>
      <c r="I446" s="79"/>
      <c r="J446" s="14"/>
      <c r="K446" s="38"/>
      <c r="L446" s="38"/>
      <c r="M446" s="17"/>
    </row>
    <row r="447" spans="2:13" ht="14.45" customHeight="1" x14ac:dyDescent="0.25">
      <c r="B447" s="17"/>
      <c r="C447" s="14"/>
      <c r="D447" s="14"/>
      <c r="E447" s="18"/>
      <c r="F447" s="61"/>
      <c r="G447" s="73"/>
      <c r="H447" s="79"/>
      <c r="I447" s="79"/>
      <c r="J447" s="14"/>
      <c r="K447" s="38"/>
      <c r="L447" s="38"/>
      <c r="M447" s="17"/>
    </row>
    <row r="448" spans="2:13" ht="14.45" customHeight="1" x14ac:dyDescent="0.25">
      <c r="B448" s="17"/>
      <c r="C448" s="14"/>
      <c r="D448" s="14"/>
      <c r="E448" s="18"/>
      <c r="F448" s="61"/>
      <c r="G448" s="73"/>
      <c r="H448" s="79"/>
      <c r="I448" s="79"/>
      <c r="J448" s="14"/>
      <c r="K448" s="38"/>
      <c r="L448" s="38"/>
      <c r="M448" s="17"/>
    </row>
    <row r="449" spans="2:13" ht="14.45" customHeight="1" x14ac:dyDescent="0.25">
      <c r="B449" s="17"/>
      <c r="C449" s="14"/>
      <c r="D449" s="14"/>
      <c r="E449" s="18"/>
      <c r="F449" s="61"/>
      <c r="G449" s="73"/>
      <c r="H449" s="79"/>
      <c r="I449" s="79"/>
      <c r="J449" s="14"/>
      <c r="K449" s="38"/>
      <c r="L449" s="38"/>
      <c r="M449" s="17"/>
    </row>
    <row r="450" spans="2:13" ht="14.45" customHeight="1" x14ac:dyDescent="0.25">
      <c r="B450" s="17"/>
      <c r="C450" s="14"/>
      <c r="D450" s="14"/>
      <c r="E450" s="18"/>
      <c r="F450" s="61"/>
      <c r="G450" s="73"/>
      <c r="H450" s="79"/>
      <c r="I450" s="79"/>
      <c r="J450" s="14"/>
      <c r="K450" s="38"/>
      <c r="L450" s="38"/>
      <c r="M450" s="17"/>
    </row>
    <row r="451" spans="2:13" ht="14.45" customHeight="1" x14ac:dyDescent="0.25">
      <c r="B451" s="17"/>
      <c r="C451" s="14"/>
      <c r="D451" s="14"/>
      <c r="E451" s="18"/>
      <c r="F451" s="61"/>
      <c r="G451" s="73"/>
      <c r="H451" s="79"/>
      <c r="I451" s="79"/>
      <c r="J451" s="14"/>
      <c r="K451" s="38"/>
      <c r="L451" s="38"/>
      <c r="M451" s="17"/>
    </row>
    <row r="452" spans="2:13" ht="14.45" customHeight="1" x14ac:dyDescent="0.25">
      <c r="B452" s="17"/>
      <c r="C452" s="14"/>
      <c r="D452" s="14"/>
      <c r="E452" s="18"/>
      <c r="F452" s="61"/>
      <c r="G452" s="73"/>
      <c r="H452" s="79"/>
      <c r="I452" s="79"/>
      <c r="J452" s="14"/>
      <c r="K452" s="38"/>
      <c r="L452" s="38"/>
      <c r="M452" s="17"/>
    </row>
    <row r="453" spans="2:13" ht="14.45" customHeight="1" x14ac:dyDescent="0.25">
      <c r="B453" s="17"/>
      <c r="C453" s="14"/>
      <c r="D453" s="14"/>
      <c r="E453" s="18"/>
      <c r="F453" s="61"/>
      <c r="G453" s="73"/>
      <c r="H453" s="79"/>
      <c r="I453" s="79"/>
      <c r="J453" s="14"/>
      <c r="K453" s="38"/>
      <c r="L453" s="38"/>
      <c r="M453" s="17"/>
    </row>
    <row r="454" spans="2:13" ht="14.45" customHeight="1" x14ac:dyDescent="0.25">
      <c r="B454" s="17"/>
      <c r="C454" s="14"/>
      <c r="D454" s="14"/>
      <c r="E454" s="18"/>
      <c r="F454" s="61"/>
      <c r="G454" s="73"/>
      <c r="H454" s="79"/>
      <c r="I454" s="79"/>
      <c r="J454" s="14"/>
      <c r="K454" s="38"/>
      <c r="L454" s="38"/>
      <c r="M454" s="17"/>
    </row>
    <row r="455" spans="2:13" ht="14.45" customHeight="1" x14ac:dyDescent="0.25">
      <c r="B455" s="17"/>
      <c r="C455" s="14"/>
      <c r="D455" s="14"/>
      <c r="E455" s="18"/>
      <c r="F455" s="61"/>
      <c r="G455" s="73"/>
      <c r="H455" s="79"/>
      <c r="I455" s="79"/>
      <c r="J455" s="14"/>
      <c r="K455" s="38"/>
      <c r="L455" s="38"/>
      <c r="M455" s="17"/>
    </row>
    <row r="456" spans="2:13" ht="14.45" customHeight="1" x14ac:dyDescent="0.25">
      <c r="B456" s="17"/>
      <c r="C456" s="14"/>
      <c r="D456" s="14"/>
      <c r="E456" s="18"/>
      <c r="F456" s="61"/>
      <c r="G456" s="73"/>
      <c r="H456" s="79"/>
      <c r="I456" s="79"/>
      <c r="J456" s="14"/>
      <c r="K456" s="38"/>
      <c r="L456" s="38"/>
      <c r="M456" s="17"/>
    </row>
    <row r="457" spans="2:13" ht="14.45" customHeight="1" x14ac:dyDescent="0.25">
      <c r="B457" s="17"/>
      <c r="C457" s="14"/>
      <c r="D457" s="14"/>
      <c r="E457" s="18"/>
      <c r="F457" s="61"/>
      <c r="G457" s="73"/>
      <c r="H457" s="79"/>
      <c r="I457" s="79"/>
      <c r="J457" s="14"/>
      <c r="K457" s="38"/>
      <c r="L457" s="38"/>
      <c r="M457" s="17"/>
    </row>
    <row r="458" spans="2:13" ht="14.45" customHeight="1" x14ac:dyDescent="0.25">
      <c r="B458" s="17"/>
      <c r="C458" s="14"/>
      <c r="D458" s="14"/>
      <c r="E458" s="18"/>
      <c r="F458" s="61"/>
      <c r="G458" s="73"/>
      <c r="H458" s="79"/>
      <c r="I458" s="79"/>
      <c r="J458" s="14"/>
      <c r="K458" s="38"/>
      <c r="L458" s="38"/>
      <c r="M458" s="17"/>
    </row>
    <row r="459" spans="2:13" ht="14.45" customHeight="1" x14ac:dyDescent="0.25">
      <c r="B459" s="17"/>
      <c r="C459" s="14"/>
      <c r="D459" s="14"/>
      <c r="E459" s="18"/>
      <c r="F459" s="61"/>
      <c r="G459" s="73"/>
      <c r="H459" s="79"/>
      <c r="I459" s="79"/>
      <c r="J459" s="14"/>
      <c r="K459" s="38"/>
      <c r="L459" s="38"/>
      <c r="M459" s="17"/>
    </row>
    <row r="460" spans="2:13" ht="14.45" customHeight="1" x14ac:dyDescent="0.25">
      <c r="B460" s="17"/>
      <c r="C460" s="14"/>
      <c r="D460" s="14"/>
      <c r="E460" s="18"/>
      <c r="F460" s="61"/>
      <c r="G460" s="73"/>
      <c r="H460" s="79"/>
      <c r="I460" s="79"/>
      <c r="J460" s="14"/>
      <c r="K460" s="38"/>
      <c r="L460" s="38"/>
      <c r="M460" s="17"/>
    </row>
    <row r="461" spans="2:13" ht="14.45" customHeight="1" x14ac:dyDescent="0.25">
      <c r="B461" s="17"/>
      <c r="C461" s="14"/>
      <c r="D461" s="14"/>
      <c r="E461" s="18"/>
      <c r="F461" s="61"/>
      <c r="G461" s="73"/>
      <c r="H461" s="79"/>
      <c r="I461" s="79"/>
      <c r="J461" s="14"/>
      <c r="K461" s="38"/>
      <c r="L461" s="38"/>
      <c r="M461" s="17"/>
    </row>
    <row r="462" spans="2:13" ht="14.45" customHeight="1" x14ac:dyDescent="0.25">
      <c r="B462" s="17"/>
      <c r="C462" s="14"/>
      <c r="D462" s="14"/>
      <c r="E462" s="18"/>
      <c r="F462" s="61"/>
      <c r="G462" s="73"/>
      <c r="H462" s="79"/>
      <c r="I462" s="79"/>
      <c r="J462" s="14"/>
      <c r="K462" s="38"/>
      <c r="L462" s="38"/>
      <c r="M462" s="17"/>
    </row>
    <row r="463" spans="2:13" ht="14.45" customHeight="1" x14ac:dyDescent="0.25">
      <c r="B463" s="17"/>
      <c r="C463" s="14"/>
      <c r="D463" s="14"/>
      <c r="E463" s="18"/>
      <c r="F463" s="61"/>
      <c r="G463" s="73"/>
      <c r="H463" s="79"/>
      <c r="I463" s="79"/>
      <c r="J463" s="14"/>
      <c r="K463" s="38"/>
      <c r="L463" s="38"/>
      <c r="M463" s="17"/>
    </row>
    <row r="464" spans="2:13" ht="14.45" customHeight="1" x14ac:dyDescent="0.25">
      <c r="B464" s="17"/>
      <c r="C464" s="14"/>
      <c r="D464" s="14"/>
      <c r="E464" s="18"/>
      <c r="F464" s="61"/>
      <c r="G464" s="73"/>
      <c r="H464" s="79"/>
      <c r="I464" s="79"/>
      <c r="J464" s="14"/>
      <c r="K464" s="38"/>
      <c r="L464" s="38"/>
      <c r="M464" s="17"/>
    </row>
    <row r="465" spans="2:13" ht="14.45" customHeight="1" x14ac:dyDescent="0.25">
      <c r="B465" s="17"/>
      <c r="C465" s="14"/>
      <c r="D465" s="14"/>
      <c r="E465" s="18"/>
      <c r="F465" s="61"/>
      <c r="G465" s="73"/>
      <c r="H465" s="79"/>
      <c r="I465" s="79"/>
      <c r="J465" s="14"/>
      <c r="K465" s="38"/>
      <c r="L465" s="38"/>
      <c r="M465" s="17"/>
    </row>
    <row r="466" spans="2:13" ht="14.45" customHeight="1" x14ac:dyDescent="0.25">
      <c r="B466" s="17"/>
      <c r="C466" s="14"/>
      <c r="D466" s="14"/>
      <c r="E466" s="18"/>
      <c r="F466" s="61"/>
      <c r="G466" s="73"/>
      <c r="H466" s="79"/>
      <c r="I466" s="79"/>
      <c r="J466" s="14"/>
      <c r="K466" s="38"/>
      <c r="L466" s="38"/>
      <c r="M466" s="17"/>
    </row>
    <row r="467" spans="2:13" ht="14.45" customHeight="1" x14ac:dyDescent="0.25">
      <c r="B467" s="17"/>
      <c r="C467" s="14"/>
      <c r="D467" s="14"/>
      <c r="E467" s="18"/>
      <c r="F467" s="61"/>
      <c r="G467" s="73"/>
      <c r="H467" s="79"/>
      <c r="I467" s="79"/>
      <c r="J467" s="14"/>
      <c r="K467" s="38"/>
      <c r="L467" s="38"/>
      <c r="M467" s="17"/>
    </row>
    <row r="468" spans="2:13" ht="14.45" customHeight="1" x14ac:dyDescent="0.25">
      <c r="B468" s="17"/>
      <c r="C468" s="14"/>
      <c r="D468" s="14"/>
      <c r="E468" s="18"/>
      <c r="F468" s="61"/>
      <c r="G468" s="73"/>
      <c r="H468" s="79"/>
      <c r="I468" s="79"/>
      <c r="J468" s="14"/>
      <c r="K468" s="38"/>
      <c r="L468" s="38"/>
      <c r="M468" s="17"/>
    </row>
    <row r="469" spans="2:13" ht="14.45" customHeight="1" x14ac:dyDescent="0.25">
      <c r="B469" s="17"/>
      <c r="C469" s="14"/>
      <c r="D469" s="14"/>
      <c r="E469" s="18"/>
      <c r="F469" s="61"/>
      <c r="G469" s="73"/>
      <c r="H469" s="79"/>
      <c r="I469" s="79"/>
      <c r="J469" s="14"/>
      <c r="K469" s="38"/>
      <c r="L469" s="38"/>
      <c r="M469" s="17"/>
    </row>
    <row r="470" spans="2:13" ht="14.45" customHeight="1" x14ac:dyDescent="0.25">
      <c r="B470" s="17"/>
      <c r="C470" s="14"/>
      <c r="D470" s="14"/>
      <c r="E470" s="18"/>
      <c r="F470" s="61"/>
      <c r="G470" s="73"/>
      <c r="H470" s="79"/>
      <c r="I470" s="79"/>
      <c r="J470" s="14"/>
      <c r="K470" s="38"/>
      <c r="L470" s="38"/>
      <c r="M470" s="17"/>
    </row>
    <row r="471" spans="2:13" ht="14.45" customHeight="1" x14ac:dyDescent="0.25">
      <c r="B471" s="17"/>
      <c r="C471" s="14"/>
      <c r="D471" s="14"/>
      <c r="E471" s="18"/>
      <c r="F471" s="61"/>
      <c r="G471" s="73"/>
      <c r="H471" s="79"/>
      <c r="I471" s="79"/>
      <c r="J471" s="14"/>
      <c r="K471" s="38"/>
      <c r="L471" s="38"/>
      <c r="M471" s="17"/>
    </row>
    <row r="472" spans="2:13" ht="14.45" customHeight="1" x14ac:dyDescent="0.25">
      <c r="B472" s="17"/>
      <c r="C472" s="14"/>
      <c r="D472" s="14"/>
      <c r="E472" s="18"/>
      <c r="F472" s="61"/>
      <c r="G472" s="73"/>
      <c r="H472" s="79"/>
      <c r="I472" s="79"/>
      <c r="J472" s="14"/>
      <c r="K472" s="38"/>
      <c r="L472" s="38"/>
      <c r="M472" s="17"/>
    </row>
    <row r="473" spans="2:13" ht="14.45" customHeight="1" x14ac:dyDescent="0.25">
      <c r="B473" s="17"/>
      <c r="C473" s="14"/>
      <c r="D473" s="14"/>
      <c r="E473" s="18"/>
      <c r="F473" s="61"/>
      <c r="G473" s="73"/>
      <c r="H473" s="79"/>
      <c r="I473" s="79"/>
      <c r="J473" s="14"/>
      <c r="K473" s="38"/>
      <c r="L473" s="38"/>
      <c r="M473" s="17"/>
    </row>
    <row r="474" spans="2:13" ht="14.45" customHeight="1" x14ac:dyDescent="0.25">
      <c r="B474" s="17"/>
      <c r="C474" s="14"/>
      <c r="D474" s="14"/>
      <c r="E474" s="18"/>
      <c r="F474" s="61"/>
      <c r="G474" s="73"/>
      <c r="H474" s="79"/>
      <c r="I474" s="79"/>
      <c r="J474" s="14"/>
      <c r="K474" s="38"/>
      <c r="L474" s="38"/>
      <c r="M474" s="17"/>
    </row>
    <row r="475" spans="2:13" ht="14.45" customHeight="1" x14ac:dyDescent="0.25">
      <c r="B475" s="17"/>
      <c r="C475" s="14"/>
      <c r="D475" s="14"/>
      <c r="E475" s="18"/>
      <c r="F475" s="61"/>
      <c r="G475" s="73"/>
      <c r="H475" s="79"/>
      <c r="I475" s="79"/>
      <c r="J475" s="14"/>
      <c r="K475" s="38"/>
      <c r="L475" s="38"/>
      <c r="M475" s="17"/>
    </row>
    <row r="476" spans="2:13" ht="14.45" customHeight="1" x14ac:dyDescent="0.25">
      <c r="B476" s="17"/>
      <c r="C476" s="14"/>
      <c r="D476" s="14"/>
      <c r="E476" s="18"/>
      <c r="F476" s="61"/>
      <c r="G476" s="73"/>
      <c r="H476" s="79"/>
      <c r="I476" s="79"/>
      <c r="J476" s="14"/>
      <c r="K476" s="38"/>
      <c r="L476" s="38"/>
      <c r="M476" s="17"/>
    </row>
    <row r="477" spans="2:13" ht="14.45" customHeight="1" x14ac:dyDescent="0.25">
      <c r="B477" s="17"/>
      <c r="C477" s="14"/>
      <c r="D477" s="14"/>
      <c r="E477" s="18"/>
      <c r="F477" s="61"/>
      <c r="G477" s="73"/>
      <c r="H477" s="79"/>
      <c r="I477" s="79"/>
      <c r="J477" s="14"/>
      <c r="K477" s="38"/>
      <c r="L477" s="38"/>
      <c r="M477" s="17"/>
    </row>
    <row r="478" spans="2:13" ht="14.45" customHeight="1" x14ac:dyDescent="0.25">
      <c r="B478" s="17"/>
      <c r="C478" s="14"/>
      <c r="D478" s="14"/>
      <c r="E478" s="18"/>
      <c r="F478" s="61"/>
      <c r="G478" s="73"/>
      <c r="H478" s="79"/>
      <c r="I478" s="79"/>
      <c r="J478" s="14"/>
      <c r="K478" s="38"/>
      <c r="L478" s="38"/>
      <c r="M478" s="17"/>
    </row>
    <row r="479" spans="2:13" ht="14.45" customHeight="1" x14ac:dyDescent="0.25">
      <c r="B479" s="17"/>
      <c r="C479" s="14"/>
      <c r="D479" s="14"/>
      <c r="E479" s="18"/>
      <c r="F479" s="61"/>
      <c r="G479" s="73"/>
      <c r="H479" s="79"/>
      <c r="I479" s="79"/>
      <c r="J479" s="14"/>
      <c r="K479" s="38"/>
      <c r="L479" s="38"/>
      <c r="M479" s="17"/>
    </row>
    <row r="480" spans="2:13" ht="14.45" customHeight="1" x14ac:dyDescent="0.25">
      <c r="B480" s="17"/>
      <c r="C480" s="14"/>
      <c r="D480" s="14"/>
      <c r="E480" s="18"/>
      <c r="F480" s="61"/>
      <c r="G480" s="73"/>
      <c r="H480" s="79"/>
      <c r="I480" s="79"/>
      <c r="J480" s="14"/>
      <c r="K480" s="38"/>
      <c r="L480" s="38"/>
      <c r="M480" s="17"/>
    </row>
    <row r="481" spans="2:13" ht="14.45" customHeight="1" x14ac:dyDescent="0.25">
      <c r="B481" s="17"/>
      <c r="C481" s="14"/>
      <c r="D481" s="14"/>
      <c r="E481" s="18"/>
      <c r="F481" s="61"/>
      <c r="G481" s="73"/>
      <c r="H481" s="79"/>
      <c r="I481" s="79"/>
      <c r="J481" s="14"/>
      <c r="K481" s="38"/>
      <c r="L481" s="38"/>
      <c r="M481" s="17"/>
    </row>
    <row r="482" spans="2:13" ht="14.45" customHeight="1" x14ac:dyDescent="0.25">
      <c r="B482" s="17"/>
      <c r="C482" s="14"/>
      <c r="D482" s="14"/>
      <c r="E482" s="18"/>
      <c r="F482" s="61"/>
      <c r="G482" s="73"/>
      <c r="H482" s="79"/>
      <c r="I482" s="79"/>
      <c r="J482" s="14"/>
      <c r="K482" s="38"/>
      <c r="L482" s="38"/>
      <c r="M482" s="17"/>
    </row>
    <row r="483" spans="2:13" ht="14.45" customHeight="1" x14ac:dyDescent="0.25">
      <c r="B483" s="17"/>
      <c r="C483" s="14"/>
      <c r="D483" s="14"/>
      <c r="E483" s="18"/>
      <c r="F483" s="61"/>
      <c r="G483" s="73"/>
      <c r="H483" s="79"/>
      <c r="I483" s="79"/>
      <c r="J483" s="14"/>
      <c r="K483" s="38"/>
      <c r="L483" s="38"/>
      <c r="M483" s="17"/>
    </row>
    <row r="484" spans="2:13" ht="14.45" customHeight="1" x14ac:dyDescent="0.25">
      <c r="B484" s="17"/>
      <c r="C484" s="14"/>
      <c r="D484" s="14"/>
      <c r="E484" s="18"/>
      <c r="F484" s="61"/>
      <c r="G484" s="73"/>
      <c r="H484" s="79"/>
      <c r="I484" s="79"/>
      <c r="J484" s="14"/>
      <c r="K484" s="38"/>
      <c r="L484" s="38"/>
      <c r="M484" s="17"/>
    </row>
    <row r="485" spans="2:13" ht="14.45" customHeight="1" x14ac:dyDescent="0.25">
      <c r="B485" s="17"/>
      <c r="C485" s="14"/>
      <c r="D485" s="14"/>
      <c r="E485" s="18"/>
      <c r="F485" s="61"/>
      <c r="G485" s="73"/>
      <c r="H485" s="79"/>
      <c r="I485" s="79"/>
      <c r="J485" s="14"/>
      <c r="K485" s="38"/>
      <c r="L485" s="38"/>
      <c r="M485" s="17"/>
    </row>
    <row r="486" spans="2:13" ht="14.45" customHeight="1" x14ac:dyDescent="0.25">
      <c r="B486" s="17"/>
      <c r="C486" s="14"/>
      <c r="D486" s="14"/>
      <c r="E486" s="18"/>
      <c r="F486" s="61"/>
      <c r="G486" s="73"/>
      <c r="H486" s="79"/>
      <c r="I486" s="79"/>
      <c r="J486" s="14"/>
      <c r="K486" s="38"/>
      <c r="L486" s="38"/>
      <c r="M486" s="17"/>
    </row>
    <row r="487" spans="2:13" ht="14.45" customHeight="1" x14ac:dyDescent="0.25">
      <c r="B487" s="17"/>
      <c r="C487" s="14"/>
      <c r="D487" s="14"/>
      <c r="E487" s="18"/>
      <c r="F487" s="61"/>
      <c r="G487" s="73"/>
      <c r="H487" s="79"/>
      <c r="I487" s="79"/>
      <c r="J487" s="14"/>
      <c r="K487" s="38"/>
      <c r="L487" s="38"/>
      <c r="M487" s="17"/>
    </row>
    <row r="488" spans="2:13" ht="14.45" customHeight="1" x14ac:dyDescent="0.25">
      <c r="B488" s="17"/>
      <c r="C488" s="14"/>
      <c r="D488" s="14"/>
      <c r="E488" s="18"/>
      <c r="F488" s="61"/>
      <c r="G488" s="73"/>
      <c r="H488" s="79"/>
      <c r="I488" s="79"/>
      <c r="J488" s="14"/>
      <c r="K488" s="38"/>
      <c r="L488" s="38"/>
      <c r="M488" s="17"/>
    </row>
    <row r="489" spans="2:13" ht="14.45" customHeight="1" x14ac:dyDescent="0.25">
      <c r="B489" s="17"/>
      <c r="C489" s="14"/>
      <c r="D489" s="14"/>
      <c r="E489" s="18"/>
      <c r="F489" s="61"/>
      <c r="G489" s="73"/>
      <c r="H489" s="79"/>
      <c r="I489" s="79"/>
      <c r="J489" s="14"/>
      <c r="K489" s="38"/>
      <c r="L489" s="38"/>
      <c r="M489" s="17"/>
    </row>
    <row r="490" spans="2:13" ht="14.45" customHeight="1" x14ac:dyDescent="0.25">
      <c r="B490" s="17"/>
      <c r="C490" s="14"/>
      <c r="D490" s="14"/>
      <c r="E490" s="18"/>
      <c r="F490" s="61"/>
      <c r="G490" s="73"/>
      <c r="H490" s="79"/>
      <c r="I490" s="79"/>
      <c r="J490" s="14"/>
      <c r="K490" s="38"/>
      <c r="L490" s="38"/>
      <c r="M490" s="17"/>
    </row>
    <row r="491" spans="2:13" ht="14.45" customHeight="1" x14ac:dyDescent="0.25">
      <c r="B491" s="17"/>
      <c r="C491" s="14"/>
      <c r="D491" s="14"/>
      <c r="E491" s="18"/>
      <c r="F491" s="61"/>
      <c r="G491" s="73"/>
      <c r="H491" s="79"/>
      <c r="I491" s="79"/>
      <c r="J491" s="14"/>
      <c r="K491" s="38"/>
      <c r="L491" s="38"/>
      <c r="M491" s="17"/>
    </row>
    <row r="492" spans="2:13" ht="14.45" customHeight="1" x14ac:dyDescent="0.25">
      <c r="B492" s="17"/>
      <c r="C492" s="14"/>
      <c r="D492" s="14"/>
      <c r="E492" s="18"/>
      <c r="F492" s="61"/>
      <c r="G492" s="73"/>
      <c r="H492" s="79"/>
      <c r="I492" s="79"/>
      <c r="J492" s="14"/>
      <c r="K492" s="38"/>
      <c r="L492" s="38"/>
      <c r="M492" s="17"/>
    </row>
    <row r="493" spans="2:13" ht="14.45" customHeight="1" x14ac:dyDescent="0.25">
      <c r="B493" s="17"/>
      <c r="C493" s="14"/>
      <c r="D493" s="14"/>
      <c r="E493" s="18"/>
      <c r="F493" s="61"/>
      <c r="G493" s="73"/>
      <c r="H493" s="79"/>
      <c r="I493" s="79"/>
      <c r="J493" s="14"/>
      <c r="K493" s="38"/>
      <c r="L493" s="38"/>
      <c r="M493" s="17"/>
    </row>
    <row r="494" spans="2:13" ht="14.45" customHeight="1" x14ac:dyDescent="0.25">
      <c r="B494" s="17"/>
      <c r="C494" s="14"/>
      <c r="D494" s="14"/>
      <c r="E494" s="18"/>
      <c r="F494" s="61"/>
      <c r="G494" s="73"/>
      <c r="H494" s="79"/>
      <c r="I494" s="79"/>
      <c r="J494" s="14"/>
      <c r="K494" s="38"/>
      <c r="L494" s="38"/>
      <c r="M494" s="17"/>
    </row>
    <row r="495" spans="2:13" ht="14.45" customHeight="1" x14ac:dyDescent="0.25">
      <c r="B495" s="17"/>
      <c r="C495" s="14"/>
      <c r="D495" s="14"/>
      <c r="E495" s="18"/>
      <c r="F495" s="61"/>
      <c r="G495" s="73"/>
      <c r="H495" s="79"/>
      <c r="I495" s="79"/>
      <c r="J495" s="14"/>
      <c r="K495" s="38"/>
      <c r="L495" s="38"/>
      <c r="M495" s="17"/>
    </row>
    <row r="496" spans="2:13" ht="14.45" customHeight="1" x14ac:dyDescent="0.25">
      <c r="B496" s="17"/>
      <c r="C496" s="14"/>
      <c r="D496" s="14"/>
      <c r="E496" s="18"/>
      <c r="F496" s="61"/>
      <c r="G496" s="73"/>
      <c r="H496" s="79"/>
      <c r="I496" s="79"/>
      <c r="J496" s="14"/>
      <c r="K496" s="38"/>
      <c r="L496" s="38"/>
      <c r="M496" s="17"/>
    </row>
    <row r="497" spans="2:13" ht="14.45" customHeight="1" x14ac:dyDescent="0.25">
      <c r="B497" s="17"/>
      <c r="C497" s="14"/>
      <c r="D497" s="14"/>
      <c r="E497" s="18"/>
      <c r="F497" s="61"/>
      <c r="G497" s="73"/>
      <c r="H497" s="79"/>
      <c r="I497" s="79"/>
      <c r="J497" s="14"/>
      <c r="K497" s="38"/>
      <c r="L497" s="38"/>
      <c r="M497" s="17"/>
    </row>
    <row r="498" spans="2:13" ht="14.45" customHeight="1" x14ac:dyDescent="0.25">
      <c r="B498" s="17"/>
      <c r="C498" s="14"/>
      <c r="D498" s="14"/>
      <c r="E498" s="18"/>
      <c r="F498" s="61"/>
      <c r="G498" s="73"/>
      <c r="H498" s="79"/>
      <c r="I498" s="79"/>
      <c r="J498" s="14"/>
      <c r="K498" s="38"/>
      <c r="L498" s="38"/>
      <c r="M498" s="17"/>
    </row>
    <row r="499" spans="2:13" ht="14.45" customHeight="1" x14ac:dyDescent="0.25">
      <c r="B499" s="17"/>
      <c r="C499" s="14"/>
      <c r="D499" s="14"/>
      <c r="E499" s="18"/>
      <c r="F499" s="61"/>
      <c r="G499" s="73"/>
      <c r="H499" s="79"/>
      <c r="I499" s="79"/>
      <c r="J499" s="14"/>
      <c r="K499" s="38"/>
      <c r="L499" s="38"/>
      <c r="M499" s="17"/>
    </row>
    <row r="500" spans="2:13" ht="14.45" customHeight="1" x14ac:dyDescent="0.25">
      <c r="B500" s="17"/>
      <c r="C500" s="14"/>
      <c r="D500" s="14"/>
      <c r="E500" s="18"/>
      <c r="F500" s="61"/>
      <c r="G500" s="73"/>
      <c r="H500" s="79"/>
      <c r="I500" s="79"/>
      <c r="J500" s="14"/>
      <c r="K500" s="38"/>
      <c r="L500" s="38"/>
      <c r="M500" s="17"/>
    </row>
    <row r="501" spans="2:13" ht="14.45" customHeight="1" x14ac:dyDescent="0.25">
      <c r="B501" s="17"/>
      <c r="C501" s="14"/>
      <c r="D501" s="14"/>
      <c r="E501" s="18"/>
      <c r="F501" s="61"/>
      <c r="G501" s="73"/>
      <c r="H501" s="79"/>
      <c r="I501" s="79"/>
      <c r="J501" s="14"/>
      <c r="K501" s="38"/>
      <c r="L501" s="38"/>
      <c r="M501" s="17"/>
    </row>
    <row r="502" spans="2:13" ht="14.45" customHeight="1" x14ac:dyDescent="0.25">
      <c r="B502" s="17"/>
      <c r="C502" s="14"/>
      <c r="D502" s="14"/>
      <c r="E502" s="18"/>
      <c r="F502" s="61"/>
      <c r="G502" s="73"/>
      <c r="H502" s="79"/>
      <c r="I502" s="79"/>
      <c r="J502" s="14"/>
      <c r="K502" s="38"/>
      <c r="L502" s="38"/>
      <c r="M502" s="17"/>
    </row>
    <row r="503" spans="2:13" ht="14.45" customHeight="1" x14ac:dyDescent="0.25">
      <c r="B503" s="17"/>
      <c r="C503" s="14"/>
      <c r="D503" s="14"/>
      <c r="E503" s="18"/>
      <c r="F503" s="61"/>
      <c r="G503" s="73"/>
      <c r="H503" s="79"/>
      <c r="I503" s="79"/>
      <c r="J503" s="14"/>
      <c r="K503" s="38"/>
      <c r="L503" s="38"/>
      <c r="M503" s="17"/>
    </row>
    <row r="504" spans="2:13" ht="14.45" customHeight="1" x14ac:dyDescent="0.25">
      <c r="B504" s="17"/>
      <c r="C504" s="14"/>
      <c r="D504" s="14"/>
      <c r="E504" s="18"/>
      <c r="F504" s="61"/>
      <c r="G504" s="73"/>
      <c r="H504" s="79"/>
      <c r="I504" s="79"/>
      <c r="J504" s="14"/>
      <c r="K504" s="38"/>
      <c r="L504" s="38"/>
      <c r="M504" s="17"/>
    </row>
    <row r="505" spans="2:13" ht="14.45" customHeight="1" x14ac:dyDescent="0.25">
      <c r="B505" s="17"/>
      <c r="C505" s="14"/>
      <c r="D505" s="14"/>
      <c r="E505" s="18"/>
      <c r="F505" s="61"/>
      <c r="G505" s="73"/>
      <c r="H505" s="79"/>
      <c r="I505" s="79"/>
      <c r="J505" s="14"/>
      <c r="K505" s="38"/>
      <c r="L505" s="38"/>
      <c r="M505" s="17"/>
    </row>
    <row r="506" spans="2:13" ht="14.45" customHeight="1" x14ac:dyDescent="0.25">
      <c r="B506" s="17"/>
      <c r="C506" s="14"/>
      <c r="D506" s="14"/>
      <c r="E506" s="18"/>
      <c r="F506" s="61"/>
      <c r="G506" s="73"/>
      <c r="H506" s="79"/>
      <c r="I506" s="79"/>
      <c r="J506" s="14"/>
      <c r="K506" s="38"/>
      <c r="L506" s="38"/>
      <c r="M506" s="17"/>
    </row>
    <row r="507" spans="2:13" ht="14.45" customHeight="1" x14ac:dyDescent="0.25">
      <c r="B507" s="17"/>
      <c r="C507" s="14"/>
      <c r="D507" s="14"/>
      <c r="E507" s="18"/>
      <c r="F507" s="61"/>
      <c r="G507" s="73"/>
      <c r="H507" s="79"/>
      <c r="I507" s="79"/>
      <c r="J507" s="14"/>
      <c r="K507" s="38"/>
      <c r="L507" s="38"/>
      <c r="M507" s="17"/>
    </row>
    <row r="508" spans="2:13" ht="14.45" customHeight="1" x14ac:dyDescent="0.25">
      <c r="B508" s="17"/>
      <c r="C508" s="14"/>
      <c r="D508" s="14"/>
      <c r="E508" s="18"/>
      <c r="F508" s="61"/>
      <c r="G508" s="73"/>
      <c r="H508" s="79"/>
      <c r="I508" s="79"/>
      <c r="J508" s="14"/>
      <c r="K508" s="38"/>
      <c r="L508" s="38"/>
      <c r="M508" s="17"/>
    </row>
    <row r="509" spans="2:13" ht="14.45" customHeight="1" x14ac:dyDescent="0.25">
      <c r="B509" s="17"/>
      <c r="C509" s="14"/>
      <c r="D509" s="14"/>
      <c r="E509" s="18"/>
      <c r="F509" s="61"/>
      <c r="G509" s="73"/>
      <c r="H509" s="79"/>
      <c r="I509" s="79"/>
      <c r="J509" s="14"/>
      <c r="K509" s="38"/>
      <c r="L509" s="38"/>
      <c r="M509" s="17"/>
    </row>
    <row r="510" spans="2:13" ht="14.45" customHeight="1" x14ac:dyDescent="0.25">
      <c r="B510" s="17"/>
      <c r="C510" s="14"/>
      <c r="D510" s="14"/>
      <c r="E510" s="18"/>
      <c r="F510" s="61"/>
      <c r="G510" s="73"/>
      <c r="H510" s="79"/>
      <c r="I510" s="79"/>
      <c r="J510" s="14"/>
      <c r="K510" s="38"/>
      <c r="L510" s="38"/>
      <c r="M510" s="17"/>
    </row>
    <row r="511" spans="2:13" ht="14.45" customHeight="1" x14ac:dyDescent="0.25">
      <c r="B511" s="17"/>
      <c r="C511" s="14"/>
      <c r="D511" s="14"/>
      <c r="E511" s="18"/>
      <c r="F511" s="61"/>
      <c r="G511" s="73"/>
      <c r="H511" s="79"/>
      <c r="I511" s="79"/>
      <c r="J511" s="14"/>
      <c r="K511" s="38"/>
      <c r="L511" s="38"/>
      <c r="M511" s="17"/>
    </row>
    <row r="512" spans="2:13" ht="14.45" customHeight="1" x14ac:dyDescent="0.25">
      <c r="B512" s="17"/>
      <c r="C512" s="14"/>
      <c r="D512" s="14"/>
      <c r="E512" s="18"/>
      <c r="F512" s="61"/>
      <c r="G512" s="73"/>
      <c r="H512" s="79"/>
      <c r="I512" s="79"/>
      <c r="J512" s="14"/>
      <c r="K512" s="38"/>
      <c r="L512" s="38"/>
      <c r="M512" s="17"/>
    </row>
    <row r="513" spans="2:13" ht="14.45" customHeight="1" x14ac:dyDescent="0.25">
      <c r="B513" s="17"/>
      <c r="C513" s="14"/>
      <c r="D513" s="14"/>
      <c r="E513" s="18"/>
      <c r="F513" s="61"/>
      <c r="G513" s="73"/>
      <c r="H513" s="79"/>
      <c r="I513" s="79"/>
      <c r="J513" s="14"/>
      <c r="K513" s="38"/>
      <c r="L513" s="38"/>
      <c r="M513" s="17"/>
    </row>
    <row r="514" spans="2:13" ht="14.45" customHeight="1" x14ac:dyDescent="0.25">
      <c r="B514" s="17"/>
      <c r="C514" s="14"/>
      <c r="D514" s="14"/>
      <c r="E514" s="18"/>
      <c r="F514" s="61"/>
      <c r="G514" s="73"/>
      <c r="H514" s="79"/>
      <c r="I514" s="79"/>
      <c r="J514" s="14"/>
      <c r="K514" s="38"/>
      <c r="L514" s="38"/>
      <c r="M514" s="17"/>
    </row>
    <row r="515" spans="2:13" ht="14.45" customHeight="1" x14ac:dyDescent="0.25">
      <c r="B515" s="17"/>
      <c r="C515" s="14"/>
      <c r="D515" s="14"/>
      <c r="E515" s="18"/>
      <c r="F515" s="61"/>
      <c r="G515" s="73"/>
      <c r="H515" s="79"/>
      <c r="I515" s="79"/>
      <c r="J515" s="14"/>
      <c r="K515" s="38"/>
      <c r="L515" s="38"/>
      <c r="M515" s="17"/>
    </row>
    <row r="516" spans="2:13" ht="14.45" customHeight="1" x14ac:dyDescent="0.25">
      <c r="B516" s="17"/>
      <c r="C516" s="14"/>
      <c r="D516" s="14"/>
      <c r="E516" s="18"/>
      <c r="F516" s="61"/>
      <c r="G516" s="73"/>
      <c r="H516" s="79"/>
      <c r="I516" s="79"/>
      <c r="J516" s="14"/>
      <c r="K516" s="38"/>
      <c r="L516" s="38"/>
      <c r="M516" s="17"/>
    </row>
    <row r="517" spans="2:13" ht="14.45" customHeight="1" x14ac:dyDescent="0.25">
      <c r="B517" s="17"/>
      <c r="C517" s="14"/>
      <c r="D517" s="14"/>
      <c r="E517" s="18"/>
      <c r="F517" s="61"/>
      <c r="G517" s="73"/>
      <c r="H517" s="79"/>
      <c r="I517" s="79"/>
      <c r="J517" s="14"/>
      <c r="K517" s="38"/>
      <c r="L517" s="38"/>
      <c r="M517" s="17"/>
    </row>
    <row r="518" spans="2:13" ht="14.45" customHeight="1" x14ac:dyDescent="0.25">
      <c r="B518" s="17"/>
      <c r="C518" s="14"/>
      <c r="D518" s="14"/>
      <c r="E518" s="18"/>
      <c r="F518" s="61"/>
      <c r="G518" s="73"/>
      <c r="H518" s="79"/>
      <c r="I518" s="79"/>
      <c r="J518" s="14"/>
      <c r="K518" s="38"/>
      <c r="L518" s="38"/>
      <c r="M518" s="17"/>
    </row>
    <row r="519" spans="2:13" ht="14.45" customHeight="1" x14ac:dyDescent="0.25">
      <c r="B519" s="17"/>
      <c r="C519" s="14"/>
      <c r="D519" s="14"/>
      <c r="E519" s="18"/>
      <c r="F519" s="61"/>
      <c r="G519" s="73"/>
      <c r="H519" s="79"/>
      <c r="I519" s="79"/>
      <c r="J519" s="14"/>
      <c r="K519" s="38"/>
      <c r="L519" s="38"/>
      <c r="M519" s="17"/>
    </row>
    <row r="520" spans="2:13" ht="14.45" customHeight="1" x14ac:dyDescent="0.25">
      <c r="B520" s="17"/>
      <c r="C520" s="14"/>
      <c r="D520" s="14"/>
      <c r="E520" s="18"/>
      <c r="F520" s="61"/>
      <c r="G520" s="73"/>
      <c r="H520" s="79"/>
      <c r="I520" s="79"/>
      <c r="J520" s="14"/>
      <c r="K520" s="38"/>
      <c r="L520" s="38"/>
      <c r="M520" s="17"/>
    </row>
    <row r="521" spans="2:13" ht="14.45" customHeight="1" x14ac:dyDescent="0.25">
      <c r="B521" s="17"/>
      <c r="C521" s="14"/>
      <c r="D521" s="14"/>
      <c r="E521" s="18"/>
      <c r="F521" s="61"/>
      <c r="G521" s="73"/>
      <c r="H521" s="79"/>
      <c r="I521" s="79"/>
      <c r="J521" s="14"/>
      <c r="K521" s="38"/>
      <c r="L521" s="38"/>
      <c r="M521" s="17"/>
    </row>
    <row r="522" spans="2:13" ht="14.45" customHeight="1" x14ac:dyDescent="0.25">
      <c r="B522" s="17"/>
      <c r="C522" s="14"/>
      <c r="D522" s="14"/>
      <c r="E522" s="18"/>
      <c r="F522" s="61"/>
      <c r="G522" s="73"/>
      <c r="H522" s="79"/>
      <c r="I522" s="79"/>
      <c r="J522" s="14"/>
      <c r="K522" s="38"/>
      <c r="L522" s="38"/>
      <c r="M522" s="17"/>
    </row>
    <row r="523" spans="2:13" ht="14.45" customHeight="1" x14ac:dyDescent="0.25">
      <c r="B523" s="17"/>
      <c r="C523" s="14"/>
      <c r="D523" s="14"/>
      <c r="E523" s="18"/>
      <c r="F523" s="61"/>
      <c r="G523" s="73"/>
      <c r="H523" s="79"/>
      <c r="I523" s="79"/>
      <c r="J523" s="14"/>
      <c r="K523" s="38"/>
      <c r="L523" s="38"/>
      <c r="M523" s="17"/>
    </row>
    <row r="524" spans="2:13" ht="14.45" customHeight="1" x14ac:dyDescent="0.25">
      <c r="B524" s="17"/>
      <c r="C524" s="14"/>
      <c r="D524" s="14"/>
      <c r="E524" s="18"/>
      <c r="F524" s="61"/>
      <c r="G524" s="73"/>
      <c r="H524" s="79"/>
      <c r="I524" s="79"/>
      <c r="J524" s="14"/>
      <c r="K524" s="38"/>
      <c r="L524" s="38"/>
      <c r="M524" s="17"/>
    </row>
    <row r="525" spans="2:13" ht="14.45" customHeight="1" x14ac:dyDescent="0.25">
      <c r="B525" s="17"/>
      <c r="C525" s="14"/>
      <c r="D525" s="14"/>
      <c r="E525" s="18"/>
      <c r="F525" s="61"/>
      <c r="G525" s="73"/>
      <c r="H525" s="79"/>
      <c r="I525" s="79"/>
      <c r="J525" s="14"/>
      <c r="K525" s="38"/>
      <c r="L525" s="38"/>
      <c r="M525" s="17"/>
    </row>
    <row r="526" spans="2:13" ht="14.45" customHeight="1" x14ac:dyDescent="0.25">
      <c r="B526" s="17"/>
      <c r="C526" s="14"/>
      <c r="D526" s="14"/>
      <c r="E526" s="18"/>
      <c r="F526" s="61"/>
      <c r="G526" s="73"/>
      <c r="H526" s="79"/>
      <c r="I526" s="79"/>
      <c r="J526" s="14"/>
      <c r="K526" s="38"/>
      <c r="L526" s="38"/>
      <c r="M526" s="17"/>
    </row>
    <row r="527" spans="2:13" ht="14.45" customHeight="1" x14ac:dyDescent="0.25">
      <c r="B527" s="17"/>
      <c r="C527" s="14"/>
      <c r="D527" s="14"/>
      <c r="E527" s="18"/>
      <c r="F527" s="61"/>
      <c r="G527" s="73"/>
      <c r="H527" s="79"/>
      <c r="I527" s="79"/>
      <c r="J527" s="14"/>
      <c r="K527" s="38"/>
      <c r="L527" s="38"/>
      <c r="M527" s="17"/>
    </row>
    <row r="528" spans="2:13" ht="14.45" customHeight="1" x14ac:dyDescent="0.25">
      <c r="B528" s="17"/>
      <c r="C528" s="14"/>
      <c r="D528" s="14"/>
      <c r="E528" s="18"/>
      <c r="F528" s="61"/>
      <c r="G528" s="73"/>
      <c r="H528" s="79"/>
      <c r="I528" s="79"/>
      <c r="J528" s="14"/>
      <c r="K528" s="38"/>
      <c r="L528" s="38"/>
      <c r="M528" s="17"/>
    </row>
    <row r="529" spans="2:13" ht="14.45" customHeight="1" x14ac:dyDescent="0.25">
      <c r="B529" s="17"/>
      <c r="C529" s="14"/>
      <c r="D529" s="14"/>
      <c r="E529" s="18"/>
      <c r="F529" s="61"/>
      <c r="G529" s="73"/>
      <c r="H529" s="79"/>
      <c r="I529" s="79"/>
      <c r="J529" s="14"/>
      <c r="K529" s="38"/>
      <c r="L529" s="38"/>
      <c r="M529" s="17"/>
    </row>
    <row r="530" spans="2:13" ht="14.45" customHeight="1" x14ac:dyDescent="0.25">
      <c r="B530" s="17"/>
      <c r="C530" s="14"/>
      <c r="D530" s="14"/>
      <c r="E530" s="18"/>
      <c r="F530" s="61"/>
      <c r="G530" s="73"/>
      <c r="H530" s="79"/>
      <c r="I530" s="79"/>
      <c r="J530" s="14"/>
      <c r="K530" s="38"/>
      <c r="L530" s="38"/>
      <c r="M530" s="17"/>
    </row>
    <row r="531" spans="2:13" ht="14.45" customHeight="1" x14ac:dyDescent="0.25">
      <c r="B531" s="17"/>
      <c r="C531" s="14"/>
      <c r="D531" s="14"/>
      <c r="E531" s="18"/>
      <c r="F531" s="61"/>
      <c r="G531" s="73"/>
      <c r="H531" s="79"/>
      <c r="I531" s="79"/>
      <c r="J531" s="14"/>
      <c r="K531" s="38"/>
      <c r="L531" s="38"/>
      <c r="M531" s="17"/>
    </row>
    <row r="532" spans="2:13" ht="14.45" customHeight="1" x14ac:dyDescent="0.25">
      <c r="B532" s="17"/>
      <c r="C532" s="14"/>
      <c r="D532" s="14"/>
      <c r="E532" s="18"/>
      <c r="F532" s="61"/>
      <c r="G532" s="73"/>
      <c r="H532" s="79"/>
      <c r="I532" s="79"/>
      <c r="J532" s="14"/>
      <c r="K532" s="38"/>
      <c r="L532" s="38"/>
      <c r="M532" s="17"/>
    </row>
    <row r="533" spans="2:13" ht="14.45" customHeight="1" x14ac:dyDescent="0.25">
      <c r="B533" s="17"/>
      <c r="C533" s="14"/>
      <c r="D533" s="14"/>
      <c r="E533" s="18"/>
      <c r="F533" s="61"/>
      <c r="G533" s="73"/>
      <c r="H533" s="79"/>
      <c r="I533" s="79"/>
      <c r="J533" s="14"/>
      <c r="K533" s="38"/>
      <c r="L533" s="38"/>
      <c r="M533" s="17"/>
    </row>
    <row r="534" spans="2:13" ht="14.45" customHeight="1" x14ac:dyDescent="0.25">
      <c r="B534" s="17"/>
      <c r="C534" s="14"/>
      <c r="D534" s="14"/>
      <c r="E534" s="18"/>
      <c r="F534" s="61"/>
      <c r="G534" s="73"/>
      <c r="H534" s="79"/>
      <c r="I534" s="79"/>
      <c r="J534" s="14"/>
      <c r="K534" s="38"/>
      <c r="L534" s="38"/>
      <c r="M534" s="17"/>
    </row>
    <row r="535" spans="2:13" ht="14.45" customHeight="1" x14ac:dyDescent="0.25">
      <c r="B535" s="17"/>
      <c r="C535" s="14"/>
      <c r="D535" s="14"/>
      <c r="E535" s="18"/>
      <c r="F535" s="61"/>
      <c r="G535" s="73"/>
      <c r="H535" s="79"/>
      <c r="I535" s="79"/>
      <c r="J535" s="14"/>
      <c r="K535" s="38"/>
      <c r="L535" s="38"/>
      <c r="M535" s="17"/>
    </row>
    <row r="536" spans="2:13" ht="14.45" customHeight="1" x14ac:dyDescent="0.25">
      <c r="B536" s="17"/>
      <c r="C536" s="14"/>
      <c r="D536" s="14"/>
      <c r="E536" s="18"/>
      <c r="F536" s="61"/>
      <c r="G536" s="73"/>
      <c r="H536" s="79"/>
      <c r="I536" s="79"/>
      <c r="J536" s="14"/>
      <c r="K536" s="38"/>
      <c r="L536" s="38"/>
      <c r="M536" s="17"/>
    </row>
    <row r="537" spans="2:13" ht="14.45" customHeight="1" x14ac:dyDescent="0.25">
      <c r="B537" s="17"/>
      <c r="C537" s="14"/>
      <c r="D537" s="14"/>
      <c r="E537" s="18"/>
      <c r="F537" s="61"/>
      <c r="G537" s="73"/>
      <c r="H537" s="79"/>
      <c r="I537" s="79"/>
      <c r="J537" s="14"/>
      <c r="K537" s="38"/>
      <c r="L537" s="38"/>
      <c r="M537" s="17"/>
    </row>
    <row r="538" spans="2:13" ht="14.45" customHeight="1" x14ac:dyDescent="0.25">
      <c r="B538" s="17"/>
      <c r="C538" s="14"/>
      <c r="D538" s="14"/>
      <c r="E538" s="18"/>
      <c r="F538" s="61"/>
      <c r="G538" s="73"/>
      <c r="H538" s="79"/>
      <c r="I538" s="79"/>
      <c r="J538" s="14"/>
      <c r="K538" s="38"/>
      <c r="L538" s="38"/>
      <c r="M538" s="17"/>
    </row>
    <row r="539" spans="2:13" ht="14.45" customHeight="1" x14ac:dyDescent="0.25">
      <c r="B539" s="17"/>
      <c r="C539" s="14"/>
      <c r="D539" s="14"/>
      <c r="E539" s="18"/>
      <c r="F539" s="61"/>
      <c r="G539" s="73"/>
      <c r="H539" s="79"/>
      <c r="I539" s="79"/>
      <c r="J539" s="14"/>
      <c r="K539" s="38"/>
      <c r="L539" s="38"/>
      <c r="M539" s="17"/>
    </row>
    <row r="540" spans="2:13" ht="14.45" customHeight="1" x14ac:dyDescent="0.25">
      <c r="B540" s="17"/>
      <c r="C540" s="14"/>
      <c r="D540" s="14"/>
      <c r="E540" s="18"/>
      <c r="F540" s="61"/>
      <c r="G540" s="73"/>
      <c r="H540" s="79"/>
      <c r="I540" s="79"/>
      <c r="J540" s="14"/>
      <c r="K540" s="38"/>
      <c r="L540" s="38"/>
      <c r="M540" s="17"/>
    </row>
    <row r="541" spans="2:13" ht="14.45" customHeight="1" x14ac:dyDescent="0.25">
      <c r="B541" s="17"/>
      <c r="C541" s="14"/>
      <c r="D541" s="14"/>
      <c r="E541" s="18"/>
      <c r="F541" s="61"/>
      <c r="G541" s="73"/>
      <c r="H541" s="79"/>
      <c r="I541" s="79"/>
      <c r="J541" s="14"/>
      <c r="K541" s="38"/>
      <c r="L541" s="38"/>
      <c r="M541" s="17"/>
    </row>
    <row r="542" spans="2:13" ht="14.45" customHeight="1" x14ac:dyDescent="0.25">
      <c r="B542" s="17"/>
      <c r="C542" s="14"/>
      <c r="D542" s="14"/>
      <c r="E542" s="18"/>
      <c r="F542" s="61"/>
      <c r="G542" s="73"/>
      <c r="H542" s="79"/>
      <c r="I542" s="79"/>
      <c r="J542" s="14"/>
      <c r="K542" s="38"/>
      <c r="L542" s="38"/>
      <c r="M542" s="17"/>
    </row>
    <row r="543" spans="2:13" ht="14.45" customHeight="1" x14ac:dyDescent="0.25">
      <c r="B543" s="17"/>
      <c r="C543" s="14"/>
      <c r="D543" s="14"/>
      <c r="E543" s="18"/>
      <c r="F543" s="61"/>
      <c r="G543" s="73"/>
      <c r="H543" s="79"/>
      <c r="I543" s="79"/>
      <c r="J543" s="14"/>
      <c r="K543" s="38"/>
      <c r="L543" s="38"/>
      <c r="M543" s="17"/>
    </row>
    <row r="544" spans="2:13" ht="14.45" customHeight="1" x14ac:dyDescent="0.25">
      <c r="B544" s="17"/>
      <c r="C544" s="14"/>
      <c r="D544" s="14"/>
      <c r="E544" s="18"/>
      <c r="F544" s="61"/>
      <c r="G544" s="73"/>
      <c r="H544" s="79"/>
      <c r="I544" s="79"/>
      <c r="J544" s="14"/>
      <c r="K544" s="38"/>
      <c r="L544" s="38"/>
      <c r="M544" s="17"/>
    </row>
    <row r="545" spans="2:13" ht="14.45" customHeight="1" x14ac:dyDescent="0.25">
      <c r="B545" s="17"/>
      <c r="C545" s="14"/>
      <c r="D545" s="14"/>
      <c r="E545" s="18"/>
      <c r="F545" s="61"/>
      <c r="G545" s="73"/>
      <c r="H545" s="79"/>
      <c r="I545" s="79"/>
      <c r="J545" s="14"/>
      <c r="K545" s="38"/>
      <c r="L545" s="38"/>
      <c r="M545" s="17"/>
    </row>
    <row r="546" spans="2:13" ht="14.45" customHeight="1" x14ac:dyDescent="0.25">
      <c r="B546" s="17"/>
      <c r="C546" s="14"/>
      <c r="D546" s="14"/>
      <c r="E546" s="18"/>
      <c r="F546" s="61"/>
      <c r="G546" s="73"/>
      <c r="H546" s="79"/>
      <c r="I546" s="79"/>
      <c r="J546" s="14"/>
      <c r="K546" s="38"/>
      <c r="L546" s="38"/>
      <c r="M546" s="17"/>
    </row>
    <row r="547" spans="2:13" ht="14.45" customHeight="1" x14ac:dyDescent="0.25">
      <c r="B547" s="17"/>
      <c r="C547" s="14"/>
      <c r="D547" s="14"/>
      <c r="E547" s="18"/>
      <c r="F547" s="61"/>
      <c r="G547" s="73"/>
      <c r="H547" s="79"/>
      <c r="I547" s="79"/>
      <c r="J547" s="14"/>
      <c r="K547" s="38"/>
      <c r="L547" s="38"/>
      <c r="M547" s="17"/>
    </row>
    <row r="548" spans="2:13" ht="14.45" customHeight="1" x14ac:dyDescent="0.25">
      <c r="B548" s="17"/>
      <c r="C548" s="14"/>
      <c r="D548" s="14"/>
      <c r="E548" s="18"/>
      <c r="F548" s="61"/>
      <c r="G548" s="73"/>
      <c r="H548" s="79"/>
      <c r="I548" s="79"/>
      <c r="J548" s="14"/>
      <c r="K548" s="38"/>
      <c r="L548" s="38"/>
      <c r="M548" s="17"/>
    </row>
    <row r="549" spans="2:13" ht="14.45" customHeight="1" x14ac:dyDescent="0.25">
      <c r="B549" s="17"/>
      <c r="C549" s="14"/>
      <c r="D549" s="14"/>
      <c r="E549" s="18"/>
      <c r="F549" s="61"/>
      <c r="G549" s="73"/>
      <c r="H549" s="79"/>
      <c r="I549" s="79"/>
      <c r="J549" s="14"/>
      <c r="K549" s="38"/>
      <c r="L549" s="38"/>
      <c r="M549" s="17"/>
    </row>
    <row r="550" spans="2:13" ht="14.45" customHeight="1" x14ac:dyDescent="0.25">
      <c r="B550" s="17"/>
      <c r="C550" s="14"/>
      <c r="D550" s="14"/>
      <c r="E550" s="18"/>
      <c r="F550" s="61"/>
      <c r="G550" s="73"/>
      <c r="H550" s="79"/>
      <c r="I550" s="79"/>
      <c r="J550" s="14"/>
      <c r="K550" s="38"/>
      <c r="L550" s="38"/>
      <c r="M550" s="17"/>
    </row>
    <row r="551" spans="2:13" ht="14.45" customHeight="1" x14ac:dyDescent="0.25">
      <c r="B551" s="17"/>
      <c r="C551" s="14"/>
      <c r="D551" s="14"/>
      <c r="E551" s="18"/>
      <c r="F551" s="61"/>
      <c r="G551" s="73"/>
      <c r="H551" s="79"/>
      <c r="I551" s="79"/>
      <c r="J551" s="14"/>
      <c r="K551" s="38"/>
      <c r="L551" s="38"/>
      <c r="M551" s="17"/>
    </row>
    <row r="552" spans="2:13" ht="14.45" customHeight="1" x14ac:dyDescent="0.25">
      <c r="B552" s="17"/>
      <c r="C552" s="14"/>
      <c r="D552" s="14"/>
      <c r="E552" s="18"/>
      <c r="F552" s="61"/>
      <c r="G552" s="73"/>
      <c r="H552" s="79"/>
      <c r="I552" s="79"/>
      <c r="J552" s="14"/>
      <c r="K552" s="38"/>
      <c r="L552" s="38"/>
      <c r="M552" s="17"/>
    </row>
    <row r="553" spans="2:13" ht="14.45" customHeight="1" x14ac:dyDescent="0.25">
      <c r="B553" s="17"/>
      <c r="C553" s="14"/>
      <c r="D553" s="14"/>
      <c r="E553" s="18"/>
      <c r="F553" s="61"/>
      <c r="G553" s="73"/>
      <c r="H553" s="79"/>
      <c r="I553" s="79"/>
      <c r="J553" s="14"/>
      <c r="K553" s="38"/>
      <c r="L553" s="38"/>
      <c r="M553" s="17"/>
    </row>
    <row r="554" spans="2:13" ht="14.45" customHeight="1" x14ac:dyDescent="0.25">
      <c r="B554" s="17"/>
      <c r="C554" s="14"/>
      <c r="D554" s="14"/>
      <c r="E554" s="18"/>
      <c r="F554" s="61"/>
      <c r="G554" s="73"/>
      <c r="H554" s="79"/>
      <c r="I554" s="79"/>
      <c r="J554" s="14"/>
      <c r="K554" s="38"/>
      <c r="L554" s="38"/>
      <c r="M554" s="17"/>
    </row>
    <row r="555" spans="2:13" ht="14.45" customHeight="1" x14ac:dyDescent="0.25">
      <c r="B555" s="17"/>
      <c r="C555" s="14"/>
      <c r="D555" s="14"/>
      <c r="E555" s="18"/>
      <c r="F555" s="61"/>
      <c r="G555" s="73"/>
      <c r="H555" s="79"/>
      <c r="I555" s="79"/>
      <c r="J555" s="14"/>
      <c r="K555" s="38"/>
      <c r="L555" s="38"/>
      <c r="M555" s="17"/>
    </row>
    <row r="556" spans="2:13" ht="14.45" customHeight="1" x14ac:dyDescent="0.25">
      <c r="B556" s="17"/>
      <c r="C556" s="14"/>
      <c r="D556" s="14"/>
      <c r="E556" s="18"/>
      <c r="F556" s="61"/>
      <c r="G556" s="73"/>
      <c r="H556" s="79"/>
      <c r="I556" s="79"/>
      <c r="J556" s="14"/>
      <c r="K556" s="38"/>
      <c r="L556" s="38"/>
      <c r="M556" s="17"/>
    </row>
    <row r="557" spans="2:13" ht="14.45" customHeight="1" x14ac:dyDescent="0.25">
      <c r="B557" s="17"/>
      <c r="C557" s="14"/>
      <c r="D557" s="14"/>
      <c r="E557" s="18"/>
      <c r="F557" s="61"/>
      <c r="G557" s="73"/>
      <c r="H557" s="79"/>
      <c r="I557" s="79"/>
      <c r="J557" s="14"/>
      <c r="K557" s="38"/>
      <c r="L557" s="38"/>
      <c r="M557" s="17"/>
    </row>
    <row r="558" spans="2:13" ht="14.45" customHeight="1" x14ac:dyDescent="0.25">
      <c r="B558" s="17"/>
      <c r="C558" s="14"/>
      <c r="D558" s="14"/>
      <c r="E558" s="18"/>
      <c r="F558" s="61"/>
      <c r="G558" s="73"/>
      <c r="H558" s="79"/>
      <c r="I558" s="79"/>
      <c r="J558" s="14"/>
      <c r="K558" s="38"/>
      <c r="L558" s="38"/>
      <c r="M558" s="17"/>
    </row>
    <row r="559" spans="2:13" ht="14.45" customHeight="1" x14ac:dyDescent="0.25">
      <c r="B559" s="17"/>
      <c r="C559" s="14"/>
      <c r="D559" s="14"/>
      <c r="E559" s="18"/>
      <c r="F559" s="61"/>
      <c r="G559" s="73"/>
      <c r="H559" s="79"/>
      <c r="I559" s="79"/>
      <c r="J559" s="14"/>
      <c r="K559" s="38"/>
      <c r="L559" s="38"/>
      <c r="M559" s="17"/>
    </row>
    <row r="560" spans="2:13" ht="14.45" customHeight="1" x14ac:dyDescent="0.25">
      <c r="B560" s="17"/>
      <c r="C560" s="14"/>
      <c r="D560" s="14"/>
      <c r="E560" s="18"/>
      <c r="F560" s="61"/>
      <c r="G560" s="73"/>
      <c r="H560" s="79"/>
      <c r="I560" s="79"/>
      <c r="J560" s="14"/>
      <c r="K560" s="38"/>
      <c r="L560" s="38"/>
      <c r="M560" s="17"/>
    </row>
    <row r="561" spans="2:13" ht="14.45" customHeight="1" x14ac:dyDescent="0.25">
      <c r="B561" s="17"/>
      <c r="C561" s="14"/>
      <c r="D561" s="14"/>
      <c r="E561" s="18"/>
      <c r="F561" s="61"/>
      <c r="G561" s="73"/>
      <c r="H561" s="79"/>
      <c r="I561" s="79"/>
      <c r="J561" s="14"/>
      <c r="K561" s="38"/>
      <c r="L561" s="38"/>
      <c r="M561" s="17"/>
    </row>
    <row r="562" spans="2:13" ht="14.45" customHeight="1" x14ac:dyDescent="0.25">
      <c r="B562" s="17"/>
      <c r="C562" s="14"/>
      <c r="D562" s="14"/>
      <c r="E562" s="18"/>
      <c r="F562" s="61"/>
      <c r="G562" s="73"/>
      <c r="H562" s="79"/>
      <c r="I562" s="79"/>
      <c r="J562" s="14"/>
      <c r="K562" s="38"/>
      <c r="L562" s="38"/>
      <c r="M562" s="17"/>
    </row>
    <row r="563" spans="2:13" ht="14.45" customHeight="1" x14ac:dyDescent="0.25">
      <c r="B563" s="17"/>
      <c r="C563" s="14"/>
      <c r="D563" s="14"/>
      <c r="E563" s="18"/>
      <c r="F563" s="61"/>
      <c r="G563" s="73"/>
      <c r="H563" s="79"/>
      <c r="I563" s="79"/>
      <c r="J563" s="14"/>
      <c r="K563" s="38"/>
      <c r="L563" s="38"/>
      <c r="M563" s="17"/>
    </row>
    <row r="564" spans="2:13" ht="14.45" customHeight="1" x14ac:dyDescent="0.25">
      <c r="B564" s="17"/>
      <c r="C564" s="14"/>
      <c r="D564" s="14"/>
      <c r="E564" s="18"/>
      <c r="F564" s="61"/>
      <c r="G564" s="73"/>
      <c r="H564" s="79"/>
      <c r="I564" s="79"/>
      <c r="J564" s="14"/>
      <c r="K564" s="38"/>
      <c r="L564" s="38"/>
      <c r="M564" s="17"/>
    </row>
    <row r="565" spans="2:13" ht="14.45" customHeight="1" x14ac:dyDescent="0.25">
      <c r="B565" s="17"/>
      <c r="C565" s="14"/>
      <c r="D565" s="14"/>
      <c r="E565" s="18"/>
      <c r="F565" s="61"/>
      <c r="G565" s="73"/>
      <c r="H565" s="79"/>
      <c r="I565" s="79"/>
      <c r="J565" s="14"/>
      <c r="K565" s="38"/>
      <c r="L565" s="38"/>
      <c r="M565" s="17"/>
    </row>
    <row r="566" spans="2:13" ht="14.45" customHeight="1" x14ac:dyDescent="0.25">
      <c r="B566" s="17"/>
      <c r="C566" s="14"/>
      <c r="D566" s="14"/>
      <c r="E566" s="18"/>
      <c r="F566" s="61"/>
      <c r="G566" s="73"/>
      <c r="H566" s="79"/>
      <c r="I566" s="79"/>
      <c r="J566" s="14"/>
      <c r="K566" s="38"/>
      <c r="L566" s="38"/>
      <c r="M566" s="17"/>
    </row>
    <row r="567" spans="2:13" ht="14.45" customHeight="1" x14ac:dyDescent="0.25">
      <c r="B567" s="17"/>
      <c r="C567" s="14"/>
      <c r="D567" s="14"/>
      <c r="E567" s="18"/>
      <c r="F567" s="61"/>
      <c r="G567" s="73"/>
      <c r="H567" s="79"/>
      <c r="I567" s="79"/>
      <c r="J567" s="14"/>
      <c r="K567" s="38"/>
      <c r="L567" s="38"/>
      <c r="M567" s="17"/>
    </row>
    <row r="568" spans="2:13" ht="14.45" customHeight="1" x14ac:dyDescent="0.25">
      <c r="B568" s="17"/>
      <c r="C568" s="14"/>
      <c r="D568" s="14"/>
      <c r="E568" s="18"/>
      <c r="F568" s="61"/>
      <c r="G568" s="73"/>
      <c r="H568" s="79"/>
      <c r="I568" s="79"/>
      <c r="J568" s="14"/>
      <c r="K568" s="38"/>
      <c r="L568" s="38"/>
      <c r="M568" s="17"/>
    </row>
    <row r="569" spans="2:13" ht="14.45" customHeight="1" x14ac:dyDescent="0.25">
      <c r="B569" s="17"/>
      <c r="C569" s="14"/>
      <c r="D569" s="14"/>
      <c r="E569" s="18"/>
      <c r="F569" s="61"/>
      <c r="G569" s="73"/>
      <c r="H569" s="79"/>
      <c r="I569" s="79"/>
      <c r="J569" s="14"/>
      <c r="K569" s="38"/>
      <c r="L569" s="38"/>
      <c r="M569" s="17"/>
    </row>
    <row r="570" spans="2:13" ht="14.45" customHeight="1" x14ac:dyDescent="0.25">
      <c r="B570" s="17"/>
      <c r="C570" s="14"/>
      <c r="D570" s="14"/>
      <c r="E570" s="18"/>
      <c r="F570" s="61"/>
      <c r="G570" s="73"/>
      <c r="H570" s="79"/>
      <c r="I570" s="79"/>
      <c r="J570" s="14"/>
      <c r="K570" s="38"/>
      <c r="L570" s="38"/>
      <c r="M570" s="17"/>
    </row>
    <row r="571" spans="2:13" ht="14.45" customHeight="1" x14ac:dyDescent="0.25">
      <c r="B571" s="17"/>
      <c r="C571" s="14"/>
      <c r="D571" s="14"/>
      <c r="E571" s="18"/>
      <c r="F571" s="61"/>
      <c r="G571" s="73"/>
      <c r="H571" s="79"/>
      <c r="I571" s="79"/>
      <c r="J571" s="14"/>
      <c r="K571" s="38"/>
      <c r="L571" s="38"/>
      <c r="M571" s="17"/>
    </row>
    <row r="572" spans="2:13" ht="14.45" customHeight="1" x14ac:dyDescent="0.25">
      <c r="B572" s="17"/>
      <c r="C572" s="14"/>
      <c r="D572" s="14"/>
      <c r="E572" s="18"/>
      <c r="F572" s="61"/>
      <c r="G572" s="73"/>
      <c r="H572" s="79"/>
      <c r="I572" s="79"/>
      <c r="J572" s="14"/>
      <c r="K572" s="38"/>
      <c r="L572" s="38"/>
      <c r="M572" s="17"/>
    </row>
    <row r="573" spans="2:13" ht="14.45" customHeight="1" x14ac:dyDescent="0.25">
      <c r="B573" s="17"/>
      <c r="C573" s="14"/>
      <c r="D573" s="14"/>
      <c r="E573" s="18"/>
      <c r="F573" s="61"/>
      <c r="G573" s="73"/>
      <c r="H573" s="79"/>
      <c r="I573" s="79"/>
      <c r="J573" s="14"/>
      <c r="K573" s="38"/>
      <c r="L573" s="38"/>
      <c r="M573" s="17"/>
    </row>
    <row r="574" spans="2:13" ht="14.45" customHeight="1" x14ac:dyDescent="0.25">
      <c r="B574" s="17"/>
      <c r="C574" s="14"/>
      <c r="D574" s="14"/>
      <c r="E574" s="18"/>
      <c r="F574" s="61"/>
      <c r="G574" s="73"/>
      <c r="H574" s="79"/>
      <c r="I574" s="79"/>
      <c r="J574" s="14"/>
      <c r="K574" s="38"/>
      <c r="L574" s="38"/>
      <c r="M574" s="17"/>
    </row>
    <row r="575" spans="2:13" ht="14.45" customHeight="1" x14ac:dyDescent="0.25">
      <c r="B575" s="17"/>
      <c r="C575" s="14"/>
      <c r="D575" s="14"/>
      <c r="E575" s="18"/>
      <c r="F575" s="61"/>
      <c r="G575" s="73"/>
      <c r="H575" s="79"/>
      <c r="I575" s="79"/>
      <c r="J575" s="14"/>
      <c r="K575" s="38"/>
      <c r="L575" s="38"/>
      <c r="M575" s="17"/>
    </row>
    <row r="576" spans="2:13" ht="14.45" customHeight="1" x14ac:dyDescent="0.25">
      <c r="B576" s="17"/>
      <c r="C576" s="14"/>
      <c r="D576" s="14"/>
      <c r="E576" s="18"/>
      <c r="F576" s="61"/>
      <c r="G576" s="73"/>
      <c r="H576" s="79"/>
      <c r="I576" s="79"/>
      <c r="J576" s="14"/>
      <c r="K576" s="38"/>
      <c r="L576" s="38"/>
      <c r="M576" s="17"/>
    </row>
    <row r="577" spans="2:13" ht="14.45" customHeight="1" x14ac:dyDescent="0.25">
      <c r="B577" s="17"/>
      <c r="C577" s="14"/>
      <c r="D577" s="14"/>
      <c r="E577" s="18"/>
      <c r="F577" s="61"/>
      <c r="G577" s="73"/>
      <c r="H577" s="79"/>
      <c r="I577" s="79"/>
      <c r="J577" s="14"/>
      <c r="K577" s="38"/>
      <c r="L577" s="38"/>
      <c r="M577" s="17"/>
    </row>
    <row r="578" spans="2:13" ht="14.45" customHeight="1" x14ac:dyDescent="0.25">
      <c r="B578" s="17"/>
      <c r="C578" s="14"/>
      <c r="D578" s="14"/>
      <c r="E578" s="18"/>
      <c r="F578" s="61"/>
      <c r="G578" s="73"/>
      <c r="H578" s="79"/>
      <c r="I578" s="79"/>
      <c r="J578" s="14"/>
      <c r="K578" s="38"/>
      <c r="L578" s="38"/>
      <c r="M578" s="17"/>
    </row>
    <row r="579" spans="2:13" ht="14.45" customHeight="1" x14ac:dyDescent="0.25">
      <c r="B579" s="17"/>
      <c r="C579" s="14"/>
      <c r="D579" s="14"/>
      <c r="E579" s="18"/>
      <c r="F579" s="61"/>
      <c r="G579" s="73"/>
      <c r="H579" s="79"/>
      <c r="I579" s="79"/>
      <c r="J579" s="14"/>
      <c r="K579" s="38"/>
      <c r="L579" s="38"/>
      <c r="M579" s="17"/>
    </row>
    <row r="580" spans="2:13" ht="14.45" customHeight="1" x14ac:dyDescent="0.25">
      <c r="B580" s="17"/>
      <c r="C580" s="14"/>
      <c r="D580" s="14"/>
      <c r="E580" s="18"/>
      <c r="F580" s="61"/>
      <c r="G580" s="73"/>
      <c r="H580" s="79"/>
      <c r="I580" s="79"/>
      <c r="J580" s="14"/>
      <c r="K580" s="38"/>
      <c r="L580" s="38"/>
      <c r="M580" s="17"/>
    </row>
    <row r="581" spans="2:13" ht="14.45" customHeight="1" x14ac:dyDescent="0.25">
      <c r="B581" s="17"/>
      <c r="C581" s="14"/>
      <c r="D581" s="14"/>
      <c r="E581" s="18"/>
      <c r="F581" s="61"/>
      <c r="G581" s="73"/>
      <c r="H581" s="79"/>
      <c r="I581" s="79"/>
      <c r="J581" s="14"/>
      <c r="K581" s="38"/>
      <c r="L581" s="38"/>
      <c r="M581" s="17"/>
    </row>
    <row r="582" spans="2:13" ht="14.45" customHeight="1" x14ac:dyDescent="0.25">
      <c r="B582" s="17"/>
      <c r="C582" s="14"/>
      <c r="D582" s="14"/>
      <c r="E582" s="18"/>
      <c r="F582" s="61"/>
      <c r="G582" s="73"/>
      <c r="H582" s="79"/>
      <c r="I582" s="79"/>
      <c r="J582" s="14"/>
      <c r="K582" s="38"/>
      <c r="L582" s="38"/>
      <c r="M582" s="17"/>
    </row>
    <row r="583" spans="2:13" ht="14.45" customHeight="1" x14ac:dyDescent="0.25">
      <c r="B583" s="17"/>
      <c r="C583" s="14"/>
      <c r="D583" s="14"/>
      <c r="E583" s="18"/>
      <c r="F583" s="61"/>
      <c r="G583" s="73"/>
      <c r="H583" s="79"/>
      <c r="I583" s="79"/>
      <c r="J583" s="14"/>
      <c r="K583" s="38"/>
      <c r="L583" s="38"/>
      <c r="M583" s="17"/>
    </row>
    <row r="584" spans="2:13" ht="14.45" customHeight="1" x14ac:dyDescent="0.25">
      <c r="B584" s="17"/>
      <c r="C584" s="14"/>
      <c r="D584" s="14"/>
      <c r="E584" s="18"/>
      <c r="F584" s="61"/>
      <c r="G584" s="73"/>
      <c r="H584" s="79"/>
      <c r="I584" s="79"/>
      <c r="J584" s="14"/>
      <c r="K584" s="38"/>
      <c r="L584" s="38"/>
      <c r="M584" s="17"/>
    </row>
    <row r="585" spans="2:13" ht="14.45" customHeight="1" x14ac:dyDescent="0.25">
      <c r="B585" s="17"/>
      <c r="C585" s="14"/>
      <c r="D585" s="14"/>
      <c r="E585" s="18"/>
      <c r="F585" s="61"/>
      <c r="G585" s="73"/>
      <c r="H585" s="79"/>
      <c r="I585" s="79"/>
      <c r="J585" s="14"/>
      <c r="K585" s="38"/>
      <c r="L585" s="38"/>
      <c r="M585" s="17"/>
    </row>
    <row r="586" spans="2:13" ht="14.45" customHeight="1" x14ac:dyDescent="0.25">
      <c r="B586" s="17"/>
      <c r="C586" s="14"/>
      <c r="D586" s="14"/>
      <c r="E586" s="18"/>
      <c r="F586" s="61"/>
      <c r="G586" s="73"/>
      <c r="H586" s="79"/>
      <c r="I586" s="79"/>
      <c r="J586" s="14"/>
      <c r="K586" s="38"/>
      <c r="L586" s="38"/>
      <c r="M586" s="17"/>
    </row>
    <row r="587" spans="2:13" ht="14.45" customHeight="1" x14ac:dyDescent="0.25">
      <c r="B587" s="17"/>
      <c r="C587" s="14"/>
      <c r="D587" s="14"/>
      <c r="E587" s="18"/>
      <c r="F587" s="61"/>
      <c r="G587" s="73"/>
      <c r="H587" s="79"/>
      <c r="I587" s="79"/>
      <c r="J587" s="14"/>
      <c r="K587" s="38"/>
      <c r="L587" s="38"/>
      <c r="M587" s="17"/>
    </row>
    <row r="588" spans="2:13" ht="14.45" customHeight="1" x14ac:dyDescent="0.25">
      <c r="B588" s="17"/>
      <c r="C588" s="14"/>
      <c r="D588" s="14"/>
      <c r="E588" s="18"/>
      <c r="F588" s="61"/>
      <c r="G588" s="73"/>
      <c r="H588" s="79"/>
      <c r="I588" s="79"/>
      <c r="J588" s="14"/>
      <c r="K588" s="38"/>
      <c r="L588" s="38"/>
      <c r="M588" s="17"/>
    </row>
    <row r="589" spans="2:13" ht="14.45" customHeight="1" x14ac:dyDescent="0.25">
      <c r="B589" s="17"/>
      <c r="C589" s="14"/>
      <c r="D589" s="14"/>
      <c r="E589" s="18"/>
      <c r="F589" s="61"/>
      <c r="G589" s="73"/>
      <c r="H589" s="79"/>
      <c r="I589" s="79"/>
      <c r="J589" s="14"/>
      <c r="K589" s="38"/>
      <c r="L589" s="38"/>
      <c r="M589" s="17"/>
    </row>
    <row r="590" spans="2:13" ht="14.45" customHeight="1" x14ac:dyDescent="0.25">
      <c r="B590" s="17"/>
      <c r="C590" s="14"/>
      <c r="D590" s="14"/>
      <c r="E590" s="18"/>
      <c r="F590" s="61"/>
      <c r="G590" s="73"/>
      <c r="H590" s="79"/>
      <c r="I590" s="79"/>
      <c r="J590" s="14"/>
      <c r="K590" s="38"/>
      <c r="L590" s="38"/>
      <c r="M590" s="17"/>
    </row>
    <row r="591" spans="2:13" ht="14.45" customHeight="1" x14ac:dyDescent="0.25">
      <c r="B591" s="17"/>
      <c r="C591" s="14"/>
      <c r="D591" s="14"/>
      <c r="E591" s="18"/>
      <c r="F591" s="61"/>
      <c r="G591" s="73"/>
      <c r="H591" s="79"/>
      <c r="I591" s="79"/>
      <c r="J591" s="14"/>
      <c r="K591" s="38"/>
      <c r="L591" s="38"/>
      <c r="M591" s="17"/>
    </row>
    <row r="592" spans="2:13" ht="14.45" customHeight="1" x14ac:dyDescent="0.25">
      <c r="B592" s="17"/>
      <c r="C592" s="14"/>
      <c r="D592" s="14"/>
      <c r="E592" s="18"/>
      <c r="F592" s="61"/>
      <c r="G592" s="73"/>
      <c r="H592" s="79"/>
      <c r="I592" s="79"/>
      <c r="J592" s="14"/>
      <c r="K592" s="38"/>
      <c r="L592" s="38"/>
      <c r="M592" s="17"/>
    </row>
    <row r="593" spans="2:13" ht="14.45" customHeight="1" x14ac:dyDescent="0.25">
      <c r="B593" s="17"/>
      <c r="C593" s="14"/>
      <c r="D593" s="14"/>
      <c r="E593" s="18"/>
      <c r="F593" s="61"/>
      <c r="G593" s="73"/>
      <c r="H593" s="79"/>
      <c r="I593" s="79"/>
      <c r="J593" s="14"/>
      <c r="K593" s="38"/>
      <c r="L593" s="38"/>
      <c r="M593" s="17"/>
    </row>
    <row r="594" spans="2:13" ht="14.45" customHeight="1" x14ac:dyDescent="0.25">
      <c r="B594" s="17"/>
      <c r="C594" s="14"/>
      <c r="D594" s="14"/>
      <c r="E594" s="18"/>
      <c r="F594" s="61"/>
      <c r="G594" s="73"/>
      <c r="H594" s="79"/>
      <c r="I594" s="79"/>
      <c r="J594" s="14"/>
      <c r="K594" s="38"/>
      <c r="L594" s="38"/>
      <c r="M594" s="17"/>
    </row>
    <row r="595" spans="2:13" ht="14.45" customHeight="1" x14ac:dyDescent="0.25">
      <c r="B595" s="17"/>
      <c r="C595" s="14"/>
      <c r="D595" s="14"/>
      <c r="E595" s="18"/>
      <c r="F595" s="61"/>
      <c r="G595" s="73"/>
      <c r="H595" s="79"/>
      <c r="I595" s="79"/>
      <c r="J595" s="14"/>
      <c r="K595" s="38"/>
      <c r="L595" s="38"/>
      <c r="M595" s="17"/>
    </row>
    <row r="596" spans="2:13" ht="14.45" customHeight="1" x14ac:dyDescent="0.25">
      <c r="B596" s="17"/>
      <c r="C596" s="14"/>
      <c r="D596" s="14"/>
      <c r="E596" s="18"/>
      <c r="F596" s="61"/>
      <c r="G596" s="73"/>
      <c r="H596" s="79"/>
      <c r="I596" s="79"/>
      <c r="J596" s="14"/>
      <c r="K596" s="38"/>
      <c r="L596" s="38"/>
      <c r="M596" s="17"/>
    </row>
    <row r="597" spans="2:13" ht="14.45" customHeight="1" x14ac:dyDescent="0.25">
      <c r="B597" s="17"/>
      <c r="C597" s="14"/>
      <c r="D597" s="14"/>
      <c r="E597" s="18"/>
      <c r="F597" s="61"/>
      <c r="G597" s="73"/>
      <c r="H597" s="79"/>
      <c r="I597" s="79"/>
      <c r="J597" s="14"/>
      <c r="K597" s="38"/>
      <c r="L597" s="38"/>
      <c r="M597" s="17"/>
    </row>
    <row r="598" spans="2:13" ht="14.45" customHeight="1" x14ac:dyDescent="0.25">
      <c r="B598" s="17"/>
      <c r="C598" s="14"/>
      <c r="D598" s="14"/>
      <c r="E598" s="18"/>
      <c r="F598" s="61"/>
      <c r="G598" s="73"/>
      <c r="H598" s="79"/>
      <c r="I598" s="79"/>
      <c r="J598" s="14"/>
      <c r="K598" s="38"/>
      <c r="L598" s="38"/>
      <c r="M598" s="17"/>
    </row>
    <row r="599" spans="2:13" ht="14.45" customHeight="1" x14ac:dyDescent="0.25">
      <c r="B599" s="17"/>
      <c r="C599" s="14"/>
      <c r="D599" s="14"/>
      <c r="E599" s="18"/>
      <c r="F599" s="61"/>
      <c r="G599" s="73"/>
      <c r="H599" s="79"/>
      <c r="I599" s="79"/>
      <c r="J599" s="14"/>
      <c r="K599" s="38"/>
      <c r="L599" s="38"/>
      <c r="M599" s="17"/>
    </row>
    <row r="600" spans="2:13" ht="14.45" customHeight="1" x14ac:dyDescent="0.25">
      <c r="B600" s="17"/>
      <c r="C600" s="14"/>
      <c r="D600" s="14"/>
      <c r="E600" s="18"/>
      <c r="F600" s="61"/>
      <c r="G600" s="73"/>
      <c r="H600" s="79"/>
      <c r="I600" s="79"/>
      <c r="J600" s="14"/>
      <c r="K600" s="38"/>
      <c r="L600" s="38"/>
      <c r="M600" s="17"/>
    </row>
    <row r="601" spans="2:13" ht="14.45" customHeight="1" x14ac:dyDescent="0.25">
      <c r="B601" s="17"/>
      <c r="C601" s="14"/>
      <c r="D601" s="14"/>
      <c r="E601" s="18"/>
      <c r="F601" s="61"/>
      <c r="G601" s="73"/>
      <c r="H601" s="79"/>
      <c r="I601" s="79"/>
      <c r="J601" s="14"/>
      <c r="K601" s="38"/>
      <c r="L601" s="38"/>
      <c r="M601" s="17"/>
    </row>
    <row r="602" spans="2:13" ht="14.45" customHeight="1" x14ac:dyDescent="0.25">
      <c r="B602" s="17"/>
      <c r="C602" s="14"/>
      <c r="D602" s="14"/>
      <c r="E602" s="18"/>
      <c r="F602" s="61"/>
      <c r="G602" s="73"/>
      <c r="H602" s="79"/>
      <c r="I602" s="79"/>
      <c r="J602" s="14"/>
      <c r="K602" s="38"/>
      <c r="L602" s="38"/>
      <c r="M602" s="17"/>
    </row>
    <row r="603" spans="2:13" ht="14.45" customHeight="1" x14ac:dyDescent="0.25">
      <c r="B603" s="17"/>
      <c r="C603" s="14"/>
      <c r="D603" s="14"/>
      <c r="E603" s="18"/>
      <c r="F603" s="61"/>
      <c r="G603" s="73"/>
      <c r="H603" s="79"/>
      <c r="I603" s="79"/>
      <c r="J603" s="14"/>
      <c r="K603" s="38"/>
      <c r="L603" s="38"/>
      <c r="M603" s="17"/>
    </row>
    <row r="604" spans="2:13" ht="14.45" customHeight="1" x14ac:dyDescent="0.25">
      <c r="B604" s="17"/>
      <c r="C604" s="14"/>
      <c r="D604" s="14"/>
      <c r="E604" s="18"/>
      <c r="F604" s="61"/>
      <c r="G604" s="73"/>
      <c r="H604" s="79"/>
      <c r="I604" s="79"/>
      <c r="J604" s="14"/>
      <c r="K604" s="38"/>
      <c r="L604" s="38"/>
      <c r="M604" s="17"/>
    </row>
    <row r="605" spans="2:13" ht="14.45" customHeight="1" x14ac:dyDescent="0.25">
      <c r="B605" s="17"/>
      <c r="C605" s="14"/>
      <c r="D605" s="14"/>
      <c r="E605" s="18"/>
      <c r="F605" s="61"/>
      <c r="G605" s="73"/>
      <c r="H605" s="79"/>
      <c r="I605" s="79"/>
      <c r="J605" s="14"/>
      <c r="K605" s="38"/>
      <c r="L605" s="38"/>
      <c r="M605" s="17"/>
    </row>
    <row r="606" spans="2:13" ht="14.45" customHeight="1" x14ac:dyDescent="0.25">
      <c r="B606" s="17"/>
      <c r="C606" s="14"/>
      <c r="D606" s="14"/>
      <c r="E606" s="18"/>
      <c r="F606" s="61"/>
      <c r="G606" s="73"/>
      <c r="H606" s="79"/>
      <c r="I606" s="79"/>
      <c r="J606" s="14"/>
      <c r="K606" s="38"/>
      <c r="L606" s="38"/>
      <c r="M606" s="17"/>
    </row>
    <row r="607" spans="2:13" ht="14.45" customHeight="1" x14ac:dyDescent="0.25">
      <c r="B607" s="17"/>
      <c r="C607" s="14"/>
      <c r="D607" s="14"/>
      <c r="E607" s="18"/>
      <c r="F607" s="61"/>
      <c r="G607" s="73"/>
      <c r="H607" s="79"/>
      <c r="I607" s="79"/>
      <c r="J607" s="14"/>
      <c r="K607" s="38"/>
      <c r="L607" s="38"/>
      <c r="M607" s="17"/>
    </row>
    <row r="608" spans="2:13" ht="14.45" customHeight="1" x14ac:dyDescent="0.25">
      <c r="B608" s="17"/>
      <c r="C608" s="14"/>
      <c r="D608" s="14"/>
      <c r="E608" s="18"/>
      <c r="F608" s="61"/>
      <c r="G608" s="73"/>
      <c r="H608" s="79"/>
      <c r="I608" s="79"/>
      <c r="J608" s="14"/>
      <c r="K608" s="38"/>
      <c r="L608" s="38"/>
      <c r="M608" s="17"/>
    </row>
    <row r="609" spans="2:13" ht="14.45" customHeight="1" x14ac:dyDescent="0.25">
      <c r="B609" s="17"/>
      <c r="C609" s="14"/>
      <c r="D609" s="14"/>
      <c r="E609" s="18"/>
      <c r="F609" s="61"/>
      <c r="G609" s="73"/>
      <c r="H609" s="79"/>
      <c r="I609" s="79"/>
      <c r="J609" s="14"/>
      <c r="K609" s="38"/>
      <c r="L609" s="38"/>
      <c r="M609" s="17"/>
    </row>
    <row r="610" spans="2:13" ht="14.45" customHeight="1" x14ac:dyDescent="0.25">
      <c r="B610" s="17"/>
      <c r="C610" s="14"/>
      <c r="D610" s="14"/>
      <c r="E610" s="18"/>
      <c r="F610" s="61"/>
      <c r="G610" s="73"/>
      <c r="H610" s="79"/>
      <c r="I610" s="79"/>
      <c r="J610" s="14"/>
      <c r="K610" s="38"/>
      <c r="L610" s="38"/>
      <c r="M610" s="17"/>
    </row>
    <row r="611" spans="2:13" ht="14.45" customHeight="1" x14ac:dyDescent="0.25">
      <c r="B611" s="17"/>
      <c r="C611" s="14"/>
      <c r="D611" s="14"/>
      <c r="E611" s="18"/>
      <c r="F611" s="61"/>
      <c r="G611" s="73"/>
      <c r="H611" s="79"/>
      <c r="I611" s="79"/>
      <c r="J611" s="14"/>
      <c r="K611" s="38"/>
      <c r="L611" s="38"/>
      <c r="M611" s="17"/>
    </row>
    <row r="612" spans="2:13" ht="14.45" customHeight="1" x14ac:dyDescent="0.25">
      <c r="B612" s="17"/>
      <c r="C612" s="14"/>
      <c r="D612" s="14"/>
      <c r="E612" s="18"/>
      <c r="F612" s="61"/>
      <c r="G612" s="73"/>
      <c r="H612" s="79"/>
      <c r="I612" s="79"/>
      <c r="J612" s="14"/>
      <c r="K612" s="38"/>
      <c r="L612" s="38"/>
      <c r="M612" s="17"/>
    </row>
    <row r="613" spans="2:13" ht="14.45" customHeight="1" x14ac:dyDescent="0.25">
      <c r="B613" s="17"/>
      <c r="C613" s="14"/>
      <c r="D613" s="14"/>
      <c r="E613" s="18"/>
      <c r="F613" s="61"/>
      <c r="G613" s="73"/>
      <c r="H613" s="79"/>
      <c r="I613" s="79"/>
      <c r="J613" s="14"/>
      <c r="K613" s="38"/>
      <c r="L613" s="38"/>
      <c r="M613" s="17"/>
    </row>
    <row r="614" spans="2:13" ht="14.45" customHeight="1" x14ac:dyDescent="0.25">
      <c r="B614" s="17"/>
      <c r="C614" s="14"/>
      <c r="D614" s="14"/>
      <c r="E614" s="18"/>
      <c r="F614" s="61"/>
      <c r="G614" s="73"/>
      <c r="H614" s="79"/>
      <c r="I614" s="79"/>
      <c r="J614" s="14"/>
      <c r="K614" s="38"/>
      <c r="L614" s="38"/>
      <c r="M614" s="17"/>
    </row>
    <row r="615" spans="2:13" ht="14.45" customHeight="1" x14ac:dyDescent="0.25">
      <c r="B615" s="17"/>
      <c r="C615" s="14"/>
      <c r="D615" s="14"/>
      <c r="E615" s="18"/>
      <c r="F615" s="61"/>
      <c r="G615" s="73"/>
      <c r="H615" s="79"/>
      <c r="I615" s="79"/>
      <c r="J615" s="14"/>
      <c r="K615" s="38"/>
      <c r="L615" s="38"/>
      <c r="M615" s="17"/>
    </row>
    <row r="616" spans="2:13" ht="14.45" customHeight="1" x14ac:dyDescent="0.25">
      <c r="B616" s="17"/>
      <c r="C616" s="14"/>
      <c r="D616" s="14"/>
      <c r="E616" s="18"/>
      <c r="F616" s="61"/>
      <c r="G616" s="73"/>
      <c r="H616" s="79"/>
      <c r="I616" s="79"/>
      <c r="J616" s="14"/>
      <c r="K616" s="38"/>
      <c r="L616" s="38"/>
      <c r="M616" s="17"/>
    </row>
    <row r="617" spans="2:13" ht="14.45" customHeight="1" x14ac:dyDescent="0.25">
      <c r="B617" s="17"/>
      <c r="C617" s="14"/>
      <c r="D617" s="14"/>
      <c r="E617" s="18"/>
      <c r="F617" s="61"/>
      <c r="G617" s="73"/>
      <c r="H617" s="79"/>
      <c r="I617" s="79"/>
      <c r="J617" s="14"/>
      <c r="K617" s="38"/>
      <c r="L617" s="38"/>
      <c r="M617" s="17"/>
    </row>
    <row r="618" spans="2:13" ht="14.45" customHeight="1" x14ac:dyDescent="0.25">
      <c r="B618" s="17"/>
      <c r="C618" s="14"/>
      <c r="D618" s="14"/>
      <c r="E618" s="18"/>
      <c r="F618" s="61"/>
      <c r="G618" s="73"/>
      <c r="H618" s="79"/>
      <c r="I618" s="79"/>
      <c r="J618" s="14"/>
      <c r="K618" s="38"/>
      <c r="L618" s="38"/>
      <c r="M618" s="17"/>
    </row>
    <row r="619" spans="2:13" ht="14.45" customHeight="1" x14ac:dyDescent="0.25">
      <c r="B619" s="17"/>
      <c r="C619" s="14"/>
      <c r="D619" s="14"/>
      <c r="E619" s="18"/>
      <c r="F619" s="61"/>
      <c r="G619" s="73"/>
      <c r="H619" s="79"/>
      <c r="I619" s="79"/>
      <c r="J619" s="14"/>
      <c r="K619" s="38"/>
      <c r="L619" s="38"/>
      <c r="M619" s="17"/>
    </row>
    <row r="620" spans="2:13" ht="14.45" customHeight="1" x14ac:dyDescent="0.25">
      <c r="B620" s="17"/>
      <c r="C620" s="14"/>
      <c r="D620" s="14"/>
      <c r="E620" s="18"/>
      <c r="F620" s="61"/>
      <c r="G620" s="73"/>
      <c r="H620" s="79"/>
      <c r="I620" s="79"/>
      <c r="J620" s="14"/>
      <c r="K620" s="38"/>
      <c r="L620" s="38"/>
      <c r="M620" s="17"/>
    </row>
    <row r="621" spans="2:13" ht="14.45" customHeight="1" x14ac:dyDescent="0.25">
      <c r="B621" s="17"/>
      <c r="C621" s="14"/>
      <c r="D621" s="14"/>
      <c r="E621" s="18"/>
      <c r="F621" s="61"/>
      <c r="G621" s="73"/>
      <c r="H621" s="79"/>
      <c r="I621" s="79"/>
      <c r="J621" s="14"/>
      <c r="K621" s="38"/>
      <c r="L621" s="38"/>
      <c r="M621" s="17"/>
    </row>
    <row r="622" spans="2:13" ht="14.45" customHeight="1" x14ac:dyDescent="0.25">
      <c r="B622" s="17"/>
      <c r="C622" s="14"/>
      <c r="D622" s="14"/>
      <c r="E622" s="18"/>
      <c r="F622" s="61"/>
      <c r="G622" s="73"/>
      <c r="H622" s="79"/>
      <c r="I622" s="79"/>
      <c r="J622" s="14"/>
      <c r="K622" s="38"/>
      <c r="L622" s="38"/>
      <c r="M622" s="17"/>
    </row>
    <row r="623" spans="2:13" ht="14.45" customHeight="1" x14ac:dyDescent="0.25">
      <c r="B623" s="17"/>
      <c r="C623" s="14"/>
      <c r="D623" s="14"/>
      <c r="E623" s="18"/>
      <c r="F623" s="61"/>
      <c r="G623" s="73"/>
      <c r="H623" s="79"/>
      <c r="I623" s="79"/>
      <c r="J623" s="14"/>
      <c r="K623" s="38"/>
      <c r="L623" s="38"/>
      <c r="M623" s="17"/>
    </row>
    <row r="624" spans="2:13" ht="14.45" customHeight="1" x14ac:dyDescent="0.25">
      <c r="B624" s="17"/>
      <c r="C624" s="14"/>
      <c r="D624" s="14"/>
      <c r="E624" s="18"/>
      <c r="F624" s="61"/>
      <c r="G624" s="73"/>
      <c r="H624" s="79"/>
      <c r="I624" s="79"/>
      <c r="J624" s="14"/>
      <c r="K624" s="38"/>
      <c r="L624" s="38"/>
      <c r="M624" s="17"/>
    </row>
    <row r="625" spans="2:13" ht="14.45" customHeight="1" x14ac:dyDescent="0.25">
      <c r="B625" s="17"/>
      <c r="C625" s="14"/>
      <c r="D625" s="14"/>
      <c r="E625" s="18"/>
      <c r="F625" s="61"/>
      <c r="G625" s="73"/>
      <c r="H625" s="79"/>
      <c r="I625" s="79"/>
      <c r="J625" s="14"/>
      <c r="K625" s="38"/>
      <c r="L625" s="38"/>
      <c r="M625" s="17"/>
    </row>
    <row r="626" spans="2:13" ht="14.45" customHeight="1" x14ac:dyDescent="0.25">
      <c r="B626" s="17"/>
      <c r="C626" s="14"/>
      <c r="D626" s="14"/>
      <c r="E626" s="18"/>
      <c r="F626" s="61"/>
      <c r="G626" s="73"/>
      <c r="H626" s="79"/>
      <c r="I626" s="79"/>
      <c r="J626" s="14"/>
      <c r="K626" s="38"/>
      <c r="L626" s="38"/>
      <c r="M626" s="17"/>
    </row>
    <row r="627" spans="2:13" ht="14.45" customHeight="1" x14ac:dyDescent="0.25">
      <c r="B627" s="17"/>
      <c r="C627" s="14"/>
      <c r="D627" s="14"/>
      <c r="E627" s="18"/>
      <c r="F627" s="61"/>
      <c r="G627" s="73"/>
      <c r="H627" s="79"/>
      <c r="I627" s="79"/>
      <c r="J627" s="14"/>
      <c r="K627" s="38"/>
      <c r="L627" s="38"/>
      <c r="M627" s="17"/>
    </row>
    <row r="628" spans="2:13" ht="14.45" customHeight="1" x14ac:dyDescent="0.25">
      <c r="B628" s="17"/>
      <c r="C628" s="14"/>
      <c r="D628" s="14"/>
      <c r="E628" s="18"/>
      <c r="F628" s="61"/>
      <c r="G628" s="73"/>
      <c r="H628" s="79"/>
      <c r="I628" s="79"/>
      <c r="J628" s="14"/>
      <c r="K628" s="38"/>
      <c r="L628" s="38"/>
      <c r="M628" s="17"/>
    </row>
    <row r="629" spans="2:13" ht="14.45" customHeight="1" x14ac:dyDescent="0.25">
      <c r="B629" s="17"/>
      <c r="C629" s="14"/>
      <c r="D629" s="14"/>
      <c r="E629" s="18"/>
      <c r="F629" s="61"/>
      <c r="G629" s="73"/>
      <c r="H629" s="79"/>
      <c r="I629" s="79"/>
      <c r="J629" s="14"/>
      <c r="K629" s="38"/>
      <c r="L629" s="38"/>
      <c r="M629" s="17"/>
    </row>
    <row r="630" spans="2:13" ht="14.45" customHeight="1" x14ac:dyDescent="0.25">
      <c r="B630" s="17"/>
      <c r="C630" s="14"/>
      <c r="D630" s="14"/>
      <c r="E630" s="18"/>
      <c r="F630" s="61"/>
      <c r="G630" s="73"/>
      <c r="H630" s="79"/>
      <c r="I630" s="79"/>
      <c r="J630" s="14"/>
      <c r="K630" s="38"/>
      <c r="L630" s="38"/>
      <c r="M630" s="17"/>
    </row>
    <row r="631" spans="2:13" ht="14.45" customHeight="1" x14ac:dyDescent="0.25">
      <c r="B631" s="17"/>
      <c r="C631" s="14"/>
      <c r="D631" s="14"/>
      <c r="E631" s="18"/>
      <c r="F631" s="61"/>
      <c r="G631" s="73"/>
      <c r="H631" s="79"/>
      <c r="I631" s="79"/>
      <c r="J631" s="14"/>
      <c r="K631" s="38"/>
      <c r="L631" s="38"/>
      <c r="M631" s="17"/>
    </row>
    <row r="632" spans="2:13" ht="14.45" customHeight="1" x14ac:dyDescent="0.25">
      <c r="B632" s="17"/>
      <c r="C632" s="14"/>
      <c r="D632" s="14"/>
      <c r="E632" s="18"/>
      <c r="F632" s="61"/>
      <c r="G632" s="73"/>
      <c r="H632" s="79"/>
      <c r="I632" s="79"/>
      <c r="J632" s="14"/>
      <c r="K632" s="38"/>
      <c r="L632" s="38"/>
      <c r="M632" s="17"/>
    </row>
    <row r="633" spans="2:13" ht="14.45" customHeight="1" x14ac:dyDescent="0.25">
      <c r="B633" s="17"/>
      <c r="C633" s="14"/>
      <c r="D633" s="14"/>
      <c r="E633" s="18"/>
      <c r="F633" s="61"/>
      <c r="G633" s="73"/>
      <c r="H633" s="79"/>
      <c r="I633" s="79"/>
      <c r="J633" s="14"/>
      <c r="K633" s="38"/>
      <c r="L633" s="38"/>
      <c r="M633" s="17"/>
    </row>
    <row r="634" spans="2:13" ht="14.45" customHeight="1" x14ac:dyDescent="0.25">
      <c r="B634" s="17"/>
      <c r="C634" s="14"/>
      <c r="D634" s="14"/>
      <c r="E634" s="18"/>
      <c r="F634" s="61"/>
      <c r="G634" s="73"/>
      <c r="H634" s="79"/>
      <c r="I634" s="79"/>
      <c r="J634" s="14"/>
      <c r="K634" s="38"/>
      <c r="L634" s="38"/>
      <c r="M634" s="17"/>
    </row>
    <row r="635" spans="2:13" ht="14.45" customHeight="1" x14ac:dyDescent="0.25">
      <c r="B635" s="17"/>
      <c r="C635" s="14"/>
      <c r="D635" s="14"/>
      <c r="E635" s="18"/>
      <c r="F635" s="61"/>
      <c r="G635" s="73"/>
      <c r="H635" s="79"/>
      <c r="I635" s="79"/>
      <c r="J635" s="14"/>
      <c r="K635" s="38"/>
      <c r="L635" s="38"/>
      <c r="M635" s="17"/>
    </row>
    <row r="636" spans="2:13" ht="14.45" customHeight="1" x14ac:dyDescent="0.25">
      <c r="B636" s="17"/>
      <c r="C636" s="14"/>
      <c r="D636" s="14"/>
      <c r="E636" s="18"/>
      <c r="F636" s="61"/>
      <c r="G636" s="73"/>
      <c r="H636" s="79"/>
      <c r="I636" s="79"/>
      <c r="J636" s="14"/>
      <c r="K636" s="38"/>
      <c r="L636" s="38"/>
      <c r="M636" s="17"/>
    </row>
    <row r="637" spans="2:13" ht="14.45" customHeight="1" x14ac:dyDescent="0.25">
      <c r="B637" s="17"/>
      <c r="C637" s="14"/>
      <c r="D637" s="14"/>
      <c r="E637" s="18"/>
      <c r="F637" s="61"/>
      <c r="G637" s="73"/>
      <c r="H637" s="79"/>
      <c r="I637" s="79"/>
      <c r="J637" s="14"/>
      <c r="K637" s="38"/>
      <c r="L637" s="38"/>
      <c r="M637" s="17"/>
    </row>
    <row r="638" spans="2:13" ht="14.45" customHeight="1" x14ac:dyDescent="0.25">
      <c r="B638" s="17"/>
      <c r="C638" s="14"/>
      <c r="D638" s="14"/>
      <c r="E638" s="18"/>
      <c r="F638" s="61"/>
      <c r="G638" s="73"/>
      <c r="H638" s="79"/>
      <c r="I638" s="79"/>
      <c r="J638" s="14"/>
      <c r="K638" s="38"/>
      <c r="L638" s="38"/>
      <c r="M638" s="17"/>
    </row>
    <row r="639" spans="2:13" ht="14.45" customHeight="1" x14ac:dyDescent="0.25">
      <c r="B639" s="17"/>
      <c r="C639" s="14"/>
      <c r="D639" s="14"/>
      <c r="E639" s="18"/>
      <c r="F639" s="61"/>
      <c r="G639" s="73"/>
      <c r="H639" s="79"/>
      <c r="I639" s="79"/>
      <c r="J639" s="14"/>
      <c r="K639" s="38"/>
      <c r="L639" s="38"/>
      <c r="M639" s="17"/>
    </row>
    <row r="640" spans="2:13" ht="14.45" customHeight="1" x14ac:dyDescent="0.25">
      <c r="B640" s="17"/>
      <c r="C640" s="14"/>
      <c r="D640" s="14"/>
      <c r="E640" s="18"/>
      <c r="F640" s="61"/>
      <c r="G640" s="73"/>
      <c r="H640" s="79"/>
      <c r="I640" s="79"/>
      <c r="J640" s="14"/>
      <c r="K640" s="38"/>
      <c r="L640" s="38"/>
      <c r="M640" s="17"/>
    </row>
    <row r="641" spans="2:13" ht="14.45" customHeight="1" x14ac:dyDescent="0.25">
      <c r="B641" s="17"/>
      <c r="C641" s="14"/>
      <c r="D641" s="14"/>
      <c r="E641" s="18"/>
      <c r="F641" s="61"/>
      <c r="G641" s="73"/>
      <c r="H641" s="79"/>
      <c r="I641" s="79"/>
      <c r="J641" s="14"/>
      <c r="K641" s="38"/>
      <c r="L641" s="38"/>
      <c r="M641" s="17"/>
    </row>
    <row r="642" spans="2:13" ht="14.45" customHeight="1" x14ac:dyDescent="0.25">
      <c r="B642" s="17"/>
      <c r="C642" s="14"/>
      <c r="D642" s="14"/>
      <c r="E642" s="18"/>
      <c r="F642" s="61"/>
      <c r="G642" s="73"/>
      <c r="H642" s="79"/>
      <c r="I642" s="79"/>
      <c r="J642" s="14"/>
      <c r="K642" s="38"/>
      <c r="L642" s="38"/>
      <c r="M642" s="17"/>
    </row>
    <row r="643" spans="2:13" ht="14.45" customHeight="1" x14ac:dyDescent="0.25">
      <c r="B643" s="17"/>
      <c r="C643" s="14"/>
      <c r="D643" s="14"/>
      <c r="E643" s="18"/>
      <c r="F643" s="61"/>
      <c r="G643" s="73"/>
      <c r="H643" s="79"/>
      <c r="I643" s="79"/>
      <c r="J643" s="14"/>
      <c r="K643" s="38"/>
      <c r="L643" s="38"/>
      <c r="M643" s="17"/>
    </row>
    <row r="644" spans="2:13" ht="14.45" customHeight="1" x14ac:dyDescent="0.25">
      <c r="B644" s="17"/>
      <c r="C644" s="14"/>
      <c r="D644" s="14"/>
      <c r="E644" s="18"/>
      <c r="F644" s="61"/>
      <c r="G644" s="73"/>
      <c r="H644" s="79"/>
      <c r="I644" s="79"/>
      <c r="J644" s="14"/>
      <c r="K644" s="38"/>
      <c r="L644" s="38"/>
      <c r="M644" s="17"/>
    </row>
    <row r="645" spans="2:13" ht="14.45" customHeight="1" x14ac:dyDescent="0.25">
      <c r="B645" s="17"/>
      <c r="C645" s="14"/>
      <c r="D645" s="14"/>
      <c r="E645" s="18"/>
      <c r="F645" s="61"/>
      <c r="G645" s="73"/>
      <c r="H645" s="79"/>
      <c r="I645" s="79"/>
      <c r="J645" s="14"/>
      <c r="K645" s="38"/>
      <c r="L645" s="38"/>
      <c r="M645" s="17"/>
    </row>
    <row r="646" spans="2:13" ht="14.45" customHeight="1" x14ac:dyDescent="0.25">
      <c r="B646" s="17"/>
      <c r="C646" s="14"/>
      <c r="D646" s="14"/>
      <c r="E646" s="18"/>
      <c r="F646" s="61"/>
      <c r="G646" s="73"/>
      <c r="H646" s="79"/>
      <c r="I646" s="79"/>
      <c r="J646" s="14"/>
      <c r="K646" s="38"/>
      <c r="L646" s="38"/>
      <c r="M646" s="17"/>
    </row>
    <row r="647" spans="2:13" ht="14.45" customHeight="1" x14ac:dyDescent="0.25">
      <c r="B647" s="17"/>
      <c r="C647" s="14"/>
      <c r="D647" s="14"/>
      <c r="E647" s="18"/>
      <c r="F647" s="61"/>
      <c r="G647" s="73"/>
      <c r="H647" s="79"/>
      <c r="I647" s="79"/>
      <c r="J647" s="14"/>
      <c r="K647" s="38"/>
      <c r="L647" s="38"/>
      <c r="M647" s="17"/>
    </row>
    <row r="648" spans="2:13" ht="14.45" customHeight="1" x14ac:dyDescent="0.25">
      <c r="B648" s="17"/>
      <c r="C648" s="14"/>
      <c r="D648" s="14"/>
      <c r="E648" s="18"/>
      <c r="F648" s="61"/>
      <c r="G648" s="73"/>
      <c r="H648" s="79"/>
      <c r="I648" s="79"/>
      <c r="J648" s="14"/>
      <c r="K648" s="38"/>
      <c r="L648" s="38"/>
      <c r="M648" s="17"/>
    </row>
    <row r="649" spans="2:13" ht="14.45" customHeight="1" x14ac:dyDescent="0.25">
      <c r="B649" s="17"/>
      <c r="C649" s="14"/>
      <c r="D649" s="14"/>
      <c r="E649" s="18"/>
      <c r="F649" s="61"/>
      <c r="G649" s="73"/>
      <c r="H649" s="79"/>
      <c r="I649" s="79"/>
      <c r="J649" s="14"/>
      <c r="K649" s="38"/>
      <c r="L649" s="38"/>
      <c r="M649" s="17"/>
    </row>
    <row r="650" spans="2:13" ht="14.45" customHeight="1" x14ac:dyDescent="0.25">
      <c r="B650" s="17"/>
      <c r="C650" s="14"/>
      <c r="D650" s="14"/>
      <c r="E650" s="18"/>
      <c r="F650" s="61"/>
      <c r="G650" s="73"/>
      <c r="H650" s="79"/>
      <c r="I650" s="79"/>
      <c r="J650" s="14"/>
      <c r="K650" s="38"/>
      <c r="L650" s="38"/>
      <c r="M650" s="17"/>
    </row>
    <row r="651" spans="2:13" ht="14.45" customHeight="1" x14ac:dyDescent="0.25">
      <c r="B651" s="17"/>
      <c r="C651" s="14"/>
      <c r="D651" s="14"/>
      <c r="E651" s="18"/>
      <c r="F651" s="61"/>
      <c r="G651" s="73"/>
      <c r="H651" s="79"/>
      <c r="I651" s="79"/>
      <c r="J651" s="14"/>
      <c r="K651" s="38"/>
      <c r="L651" s="38"/>
      <c r="M651" s="17"/>
    </row>
    <row r="652" spans="2:13" ht="14.45" customHeight="1" x14ac:dyDescent="0.25">
      <c r="B652" s="17"/>
      <c r="C652" s="14"/>
      <c r="D652" s="14"/>
      <c r="E652" s="18"/>
      <c r="F652" s="61"/>
      <c r="G652" s="73"/>
      <c r="H652" s="79"/>
      <c r="I652" s="79"/>
      <c r="J652" s="14"/>
      <c r="K652" s="38"/>
      <c r="L652" s="38"/>
      <c r="M652" s="17"/>
    </row>
    <row r="653" spans="2:13" ht="14.45" customHeight="1" x14ac:dyDescent="0.25">
      <c r="B653" s="17"/>
      <c r="C653" s="14"/>
      <c r="D653" s="14"/>
      <c r="E653" s="18"/>
      <c r="F653" s="61"/>
      <c r="G653" s="73"/>
      <c r="H653" s="79"/>
      <c r="I653" s="79"/>
      <c r="J653" s="14"/>
      <c r="K653" s="38"/>
      <c r="L653" s="38"/>
      <c r="M653" s="17"/>
    </row>
    <row r="654" spans="2:13" ht="14.45" customHeight="1" x14ac:dyDescent="0.25">
      <c r="B654" s="17"/>
      <c r="C654" s="14"/>
      <c r="D654" s="14"/>
      <c r="E654" s="18"/>
      <c r="F654" s="61"/>
      <c r="G654" s="73"/>
      <c r="H654" s="79"/>
      <c r="I654" s="79"/>
      <c r="J654" s="14"/>
      <c r="K654" s="38"/>
      <c r="L654" s="38"/>
      <c r="M654" s="17"/>
    </row>
    <row r="655" spans="2:13" ht="14.45" customHeight="1" x14ac:dyDescent="0.25">
      <c r="B655" s="17"/>
      <c r="C655" s="14"/>
      <c r="D655" s="14"/>
      <c r="E655" s="18"/>
      <c r="F655" s="61"/>
      <c r="G655" s="73"/>
      <c r="H655" s="79"/>
      <c r="I655" s="79"/>
      <c r="J655" s="14"/>
      <c r="K655" s="38"/>
      <c r="L655" s="38"/>
      <c r="M655" s="17"/>
    </row>
    <row r="656" spans="2:13" ht="14.45" customHeight="1" x14ac:dyDescent="0.25">
      <c r="B656" s="17"/>
      <c r="C656" s="14"/>
      <c r="D656" s="14"/>
      <c r="E656" s="18"/>
      <c r="F656" s="61"/>
      <c r="G656" s="73"/>
      <c r="H656" s="79"/>
      <c r="I656" s="79"/>
      <c r="J656" s="14"/>
      <c r="K656" s="38"/>
      <c r="L656" s="38"/>
      <c r="M656" s="17"/>
    </row>
    <row r="657" spans="2:13" ht="14.45" customHeight="1" x14ac:dyDescent="0.25">
      <c r="B657" s="17"/>
      <c r="C657" s="14"/>
      <c r="D657" s="14"/>
      <c r="E657" s="18"/>
      <c r="F657" s="61"/>
      <c r="G657" s="73"/>
      <c r="H657" s="79"/>
      <c r="I657" s="79"/>
      <c r="J657" s="14"/>
      <c r="K657" s="38"/>
      <c r="L657" s="38"/>
      <c r="M657" s="17"/>
    </row>
    <row r="658" spans="2:13" ht="14.45" customHeight="1" x14ac:dyDescent="0.25">
      <c r="B658" s="17"/>
      <c r="C658" s="14"/>
      <c r="D658" s="14"/>
      <c r="E658" s="18"/>
      <c r="F658" s="61"/>
      <c r="G658" s="73"/>
      <c r="H658" s="79"/>
      <c r="I658" s="79"/>
      <c r="J658" s="14"/>
      <c r="K658" s="38"/>
      <c r="L658" s="38"/>
      <c r="M658" s="17"/>
    </row>
    <row r="659" spans="2:13" ht="14.45" customHeight="1" x14ac:dyDescent="0.25">
      <c r="B659" s="17"/>
      <c r="C659" s="14"/>
      <c r="D659" s="14"/>
      <c r="E659" s="18"/>
      <c r="F659" s="61"/>
      <c r="G659" s="73"/>
      <c r="H659" s="79"/>
      <c r="I659" s="79"/>
      <c r="J659" s="14"/>
      <c r="K659" s="38"/>
      <c r="L659" s="38"/>
      <c r="M659" s="17"/>
    </row>
    <row r="660" spans="2:13" ht="14.45" customHeight="1" x14ac:dyDescent="0.25">
      <c r="B660" s="17"/>
      <c r="C660" s="14"/>
      <c r="D660" s="14"/>
      <c r="E660" s="18"/>
      <c r="F660" s="61"/>
      <c r="G660" s="73"/>
      <c r="H660" s="79"/>
      <c r="I660" s="79"/>
      <c r="J660" s="14"/>
      <c r="K660" s="38"/>
      <c r="L660" s="38"/>
      <c r="M660" s="17"/>
    </row>
    <row r="661" spans="2:13" ht="14.45" customHeight="1" x14ac:dyDescent="0.25">
      <c r="B661" s="17"/>
      <c r="C661" s="14"/>
      <c r="D661" s="14"/>
      <c r="E661" s="18"/>
      <c r="F661" s="61"/>
      <c r="G661" s="73"/>
      <c r="H661" s="79"/>
      <c r="I661" s="79"/>
      <c r="J661" s="14"/>
      <c r="K661" s="38"/>
      <c r="L661" s="38"/>
      <c r="M661" s="17"/>
    </row>
    <row r="662" spans="2:13" ht="14.45" customHeight="1" x14ac:dyDescent="0.25">
      <c r="B662" s="17"/>
      <c r="C662" s="14"/>
      <c r="D662" s="14"/>
      <c r="E662" s="18"/>
      <c r="F662" s="61"/>
      <c r="G662" s="73"/>
      <c r="H662" s="79"/>
      <c r="I662" s="79"/>
      <c r="J662" s="14"/>
      <c r="K662" s="38"/>
      <c r="L662" s="38"/>
      <c r="M662" s="17"/>
    </row>
    <row r="663" spans="2:13" ht="14.45" customHeight="1" x14ac:dyDescent="0.25">
      <c r="B663" s="17"/>
      <c r="C663" s="14"/>
      <c r="D663" s="14"/>
      <c r="E663" s="18"/>
      <c r="F663" s="61"/>
      <c r="G663" s="73"/>
      <c r="H663" s="79"/>
      <c r="I663" s="79"/>
      <c r="J663" s="14"/>
      <c r="K663" s="38"/>
      <c r="L663" s="38"/>
      <c r="M663" s="17"/>
    </row>
    <row r="664" spans="2:13" ht="14.45" customHeight="1" x14ac:dyDescent="0.25">
      <c r="B664" s="17"/>
      <c r="C664" s="14"/>
      <c r="D664" s="14"/>
      <c r="E664" s="18"/>
      <c r="F664" s="61"/>
      <c r="G664" s="73"/>
      <c r="H664" s="79"/>
      <c r="I664" s="79"/>
      <c r="J664" s="14"/>
      <c r="K664" s="38"/>
      <c r="L664" s="38"/>
      <c r="M664" s="17"/>
    </row>
    <row r="665" spans="2:13" ht="14.45" customHeight="1" x14ac:dyDescent="0.25">
      <c r="B665" s="17"/>
      <c r="C665" s="14"/>
      <c r="D665" s="14"/>
      <c r="E665" s="18"/>
      <c r="F665" s="61"/>
      <c r="G665" s="73"/>
      <c r="H665" s="79"/>
      <c r="I665" s="79"/>
      <c r="J665" s="14"/>
      <c r="K665" s="38"/>
      <c r="L665" s="38"/>
      <c r="M665" s="17"/>
    </row>
    <row r="666" spans="2:13" ht="14.45" customHeight="1" x14ac:dyDescent="0.25">
      <c r="B666" s="17"/>
      <c r="C666" s="14"/>
      <c r="D666" s="14"/>
      <c r="E666" s="18"/>
      <c r="F666" s="61"/>
      <c r="G666" s="73"/>
      <c r="H666" s="79"/>
      <c r="I666" s="79"/>
      <c r="J666" s="14"/>
      <c r="K666" s="38"/>
      <c r="L666" s="38"/>
      <c r="M666" s="17"/>
    </row>
    <row r="667" spans="2:13" ht="14.45" customHeight="1" x14ac:dyDescent="0.25">
      <c r="B667" s="17"/>
      <c r="C667" s="14"/>
      <c r="D667" s="14"/>
      <c r="E667" s="18"/>
      <c r="F667" s="61"/>
      <c r="G667" s="73"/>
      <c r="H667" s="79"/>
      <c r="I667" s="79"/>
      <c r="J667" s="14"/>
      <c r="K667" s="38"/>
      <c r="L667" s="38"/>
      <c r="M667" s="17"/>
    </row>
    <row r="668" spans="2:13" ht="14.45" customHeight="1" x14ac:dyDescent="0.25">
      <c r="B668" s="17"/>
      <c r="C668" s="14"/>
      <c r="D668" s="14"/>
      <c r="E668" s="18"/>
      <c r="F668" s="61"/>
      <c r="G668" s="73"/>
      <c r="H668" s="79"/>
      <c r="I668" s="79"/>
      <c r="J668" s="14"/>
      <c r="K668" s="38"/>
      <c r="L668" s="38"/>
      <c r="M668" s="17"/>
    </row>
    <row r="669" spans="2:13" ht="14.45" customHeight="1" x14ac:dyDescent="0.25">
      <c r="B669" s="17"/>
      <c r="C669" s="14"/>
      <c r="D669" s="14"/>
      <c r="E669" s="18"/>
      <c r="F669" s="61"/>
      <c r="G669" s="73"/>
      <c r="H669" s="79"/>
      <c r="I669" s="79"/>
      <c r="J669" s="14"/>
      <c r="K669" s="38"/>
      <c r="L669" s="38"/>
      <c r="M669" s="17"/>
    </row>
    <row r="670" spans="2:13" ht="14.45" customHeight="1" x14ac:dyDescent="0.25">
      <c r="B670" s="17"/>
      <c r="C670" s="14"/>
      <c r="D670" s="14"/>
      <c r="E670" s="18"/>
      <c r="F670" s="61"/>
      <c r="G670" s="73"/>
      <c r="H670" s="79"/>
      <c r="I670" s="79"/>
      <c r="J670" s="14"/>
      <c r="K670" s="38"/>
      <c r="L670" s="38"/>
      <c r="M670" s="17"/>
    </row>
    <row r="671" spans="2:13" ht="14.45" customHeight="1" x14ac:dyDescent="0.25">
      <c r="B671" s="17"/>
      <c r="C671" s="14"/>
      <c r="D671" s="14"/>
      <c r="E671" s="18"/>
      <c r="F671" s="61"/>
      <c r="G671" s="73"/>
      <c r="H671" s="79"/>
      <c r="I671" s="79"/>
      <c r="J671" s="14"/>
      <c r="K671" s="38"/>
      <c r="L671" s="38"/>
      <c r="M671" s="17"/>
    </row>
    <row r="672" spans="2:13" ht="14.45" customHeight="1" x14ac:dyDescent="0.25">
      <c r="B672" s="17"/>
      <c r="C672" s="14"/>
      <c r="D672" s="14"/>
      <c r="E672" s="18"/>
      <c r="F672" s="61"/>
      <c r="G672" s="73"/>
      <c r="H672" s="79"/>
      <c r="I672" s="79"/>
      <c r="J672" s="14"/>
      <c r="K672" s="38"/>
      <c r="L672" s="38"/>
      <c r="M672" s="17"/>
    </row>
    <row r="673" spans="2:13" ht="14.45" customHeight="1" x14ac:dyDescent="0.25">
      <c r="B673" s="17"/>
      <c r="C673" s="14"/>
      <c r="D673" s="14"/>
      <c r="E673" s="18"/>
      <c r="F673" s="61"/>
      <c r="G673" s="73"/>
      <c r="H673" s="79"/>
      <c r="I673" s="79"/>
      <c r="J673" s="14"/>
      <c r="K673" s="38"/>
      <c r="L673" s="38"/>
      <c r="M673" s="17"/>
    </row>
    <row r="674" spans="2:13" ht="14.45" customHeight="1" x14ac:dyDescent="0.25">
      <c r="B674" s="17"/>
      <c r="C674" s="14"/>
      <c r="D674" s="14"/>
      <c r="E674" s="18"/>
      <c r="F674" s="61"/>
      <c r="G674" s="73"/>
      <c r="H674" s="79"/>
      <c r="I674" s="79"/>
      <c r="J674" s="14"/>
      <c r="K674" s="38"/>
      <c r="L674" s="38"/>
      <c r="M674" s="17"/>
    </row>
    <row r="675" spans="2:13" ht="14.45" customHeight="1" x14ac:dyDescent="0.25">
      <c r="B675" s="17"/>
      <c r="C675" s="14"/>
      <c r="D675" s="14"/>
      <c r="E675" s="18"/>
      <c r="F675" s="61"/>
      <c r="G675" s="73"/>
      <c r="H675" s="79"/>
      <c r="I675" s="79"/>
      <c r="J675" s="14"/>
      <c r="K675" s="38"/>
      <c r="L675" s="38"/>
      <c r="M675" s="17"/>
    </row>
    <row r="676" spans="2:13" ht="14.45" customHeight="1" x14ac:dyDescent="0.25">
      <c r="B676" s="17"/>
      <c r="C676" s="14"/>
      <c r="D676" s="14"/>
      <c r="E676" s="18"/>
      <c r="F676" s="61"/>
      <c r="G676" s="73"/>
      <c r="H676" s="79"/>
      <c r="I676" s="79"/>
      <c r="J676" s="14"/>
      <c r="K676" s="38"/>
      <c r="L676" s="38"/>
      <c r="M676" s="17"/>
    </row>
    <row r="677" spans="2:13" ht="14.45" customHeight="1" x14ac:dyDescent="0.25">
      <c r="B677" s="17"/>
      <c r="C677" s="14"/>
      <c r="D677" s="14"/>
      <c r="E677" s="18"/>
      <c r="F677" s="61"/>
      <c r="G677" s="73"/>
      <c r="H677" s="79"/>
      <c r="I677" s="79"/>
      <c r="J677" s="14"/>
      <c r="K677" s="38"/>
      <c r="L677" s="38"/>
      <c r="M677" s="17"/>
    </row>
    <row r="678" spans="2:13" ht="14.45" customHeight="1" x14ac:dyDescent="0.25">
      <c r="B678" s="17"/>
      <c r="C678" s="14"/>
      <c r="D678" s="14"/>
      <c r="E678" s="18"/>
      <c r="F678" s="61"/>
      <c r="G678" s="73"/>
      <c r="H678" s="79"/>
      <c r="I678" s="79"/>
      <c r="J678" s="14"/>
      <c r="K678" s="38"/>
      <c r="L678" s="38"/>
      <c r="M678" s="17"/>
    </row>
    <row r="679" spans="2:13" ht="14.45" customHeight="1" x14ac:dyDescent="0.25">
      <c r="B679" s="17"/>
      <c r="C679" s="14"/>
      <c r="D679" s="14"/>
      <c r="E679" s="18"/>
      <c r="F679" s="61"/>
      <c r="G679" s="73"/>
      <c r="H679" s="79"/>
      <c r="I679" s="79"/>
      <c r="J679" s="14"/>
      <c r="K679" s="38"/>
      <c r="L679" s="38"/>
      <c r="M679" s="17"/>
    </row>
    <row r="680" spans="2:13" ht="14.45" customHeight="1" x14ac:dyDescent="0.25">
      <c r="B680" s="17"/>
      <c r="C680" s="14"/>
      <c r="D680" s="14"/>
      <c r="E680" s="18"/>
      <c r="F680" s="61"/>
      <c r="G680" s="73"/>
      <c r="H680" s="79"/>
      <c r="I680" s="79"/>
      <c r="J680" s="14"/>
      <c r="K680" s="38"/>
      <c r="L680" s="38"/>
      <c r="M680" s="17"/>
    </row>
    <row r="681" spans="2:13" ht="14.45" customHeight="1" x14ac:dyDescent="0.25">
      <c r="B681" s="17"/>
      <c r="C681" s="14"/>
      <c r="D681" s="14"/>
      <c r="E681" s="18"/>
      <c r="F681" s="61"/>
      <c r="G681" s="73"/>
      <c r="H681" s="79"/>
      <c r="I681" s="79"/>
      <c r="J681" s="14"/>
      <c r="K681" s="38"/>
      <c r="L681" s="38"/>
      <c r="M681" s="17"/>
    </row>
    <row r="682" spans="2:13" ht="14.45" customHeight="1" x14ac:dyDescent="0.25">
      <c r="B682" s="17"/>
      <c r="C682" s="14"/>
      <c r="D682" s="14"/>
      <c r="E682" s="18"/>
      <c r="F682" s="61"/>
      <c r="G682" s="73"/>
      <c r="H682" s="79"/>
      <c r="I682" s="79"/>
      <c r="J682" s="14"/>
      <c r="K682" s="38"/>
      <c r="L682" s="38"/>
      <c r="M682" s="17"/>
    </row>
    <row r="683" spans="2:13" ht="14.45" customHeight="1" x14ac:dyDescent="0.25">
      <c r="B683" s="17"/>
      <c r="C683" s="14"/>
      <c r="D683" s="14"/>
      <c r="E683" s="18"/>
      <c r="F683" s="61"/>
      <c r="G683" s="73"/>
      <c r="H683" s="79"/>
      <c r="I683" s="79"/>
      <c r="J683" s="14"/>
      <c r="K683" s="38"/>
      <c r="L683" s="38"/>
      <c r="M683" s="17"/>
    </row>
    <row r="684" spans="2:13" ht="14.45" customHeight="1" x14ac:dyDescent="0.25">
      <c r="B684" s="17"/>
      <c r="C684" s="14"/>
      <c r="D684" s="14"/>
      <c r="E684" s="18"/>
      <c r="F684" s="61"/>
      <c r="G684" s="73"/>
      <c r="H684" s="79"/>
      <c r="I684" s="79"/>
      <c r="J684" s="14"/>
      <c r="K684" s="38"/>
      <c r="L684" s="38"/>
      <c r="M684" s="17"/>
    </row>
    <row r="685" spans="2:13" ht="14.45" customHeight="1" x14ac:dyDescent="0.25">
      <c r="B685" s="17"/>
      <c r="C685" s="14"/>
      <c r="D685" s="14"/>
      <c r="E685" s="18"/>
      <c r="F685" s="61"/>
      <c r="G685" s="73"/>
      <c r="H685" s="79"/>
      <c r="I685" s="79"/>
      <c r="J685" s="14"/>
      <c r="K685" s="38"/>
      <c r="L685" s="38"/>
      <c r="M685" s="17"/>
    </row>
    <row r="686" spans="2:13" ht="14.45" customHeight="1" x14ac:dyDescent="0.25">
      <c r="B686" s="17"/>
      <c r="C686" s="14"/>
      <c r="D686" s="14"/>
      <c r="E686" s="18"/>
      <c r="F686" s="61"/>
      <c r="G686" s="73"/>
      <c r="H686" s="79"/>
      <c r="I686" s="79"/>
      <c r="J686" s="14"/>
      <c r="K686" s="38"/>
      <c r="L686" s="38"/>
      <c r="M686" s="17"/>
    </row>
    <row r="687" spans="2:13" ht="14.45" customHeight="1" x14ac:dyDescent="0.25">
      <c r="B687" s="17"/>
      <c r="C687" s="14"/>
      <c r="D687" s="14"/>
      <c r="E687" s="18"/>
      <c r="F687" s="61"/>
      <c r="G687" s="73"/>
      <c r="H687" s="79"/>
      <c r="I687" s="79"/>
      <c r="J687" s="14"/>
      <c r="K687" s="38"/>
      <c r="L687" s="38"/>
      <c r="M687" s="17"/>
    </row>
    <row r="688" spans="2:13" ht="14.45" customHeight="1" x14ac:dyDescent="0.25">
      <c r="B688" s="17"/>
      <c r="C688" s="14"/>
      <c r="D688" s="14"/>
      <c r="E688" s="18"/>
      <c r="F688" s="61"/>
      <c r="G688" s="73"/>
      <c r="H688" s="79"/>
      <c r="I688" s="79"/>
      <c r="J688" s="14"/>
      <c r="K688" s="38"/>
      <c r="L688" s="38"/>
      <c r="M688" s="17"/>
    </row>
    <row r="689" spans="2:13" ht="14.45" customHeight="1" x14ac:dyDescent="0.25">
      <c r="B689" s="17"/>
      <c r="C689" s="14"/>
      <c r="D689" s="14"/>
      <c r="E689" s="18"/>
      <c r="F689" s="61"/>
      <c r="G689" s="73"/>
      <c r="H689" s="79"/>
      <c r="I689" s="79"/>
      <c r="J689" s="14"/>
      <c r="K689" s="38"/>
      <c r="L689" s="38"/>
      <c r="M689" s="17"/>
    </row>
    <row r="690" spans="2:13" ht="14.45" customHeight="1" x14ac:dyDescent="0.25">
      <c r="B690" s="17"/>
      <c r="C690" s="14"/>
      <c r="D690" s="14"/>
      <c r="E690" s="18"/>
      <c r="F690" s="61"/>
      <c r="G690" s="73"/>
      <c r="H690" s="79"/>
      <c r="I690" s="79"/>
      <c r="J690" s="14"/>
      <c r="K690" s="38"/>
      <c r="L690" s="38"/>
      <c r="M690" s="17"/>
    </row>
    <row r="691" spans="2:13" ht="14.45" customHeight="1" x14ac:dyDescent="0.25">
      <c r="B691" s="17"/>
      <c r="C691" s="14"/>
      <c r="D691" s="14"/>
      <c r="E691" s="18"/>
      <c r="F691" s="61"/>
      <c r="G691" s="73"/>
      <c r="H691" s="79"/>
      <c r="I691" s="79"/>
      <c r="J691" s="14"/>
      <c r="K691" s="38"/>
      <c r="L691" s="38"/>
      <c r="M691" s="17"/>
    </row>
    <row r="692" spans="2:13" ht="14.45" customHeight="1" x14ac:dyDescent="0.25">
      <c r="B692" s="17"/>
      <c r="C692" s="14"/>
      <c r="D692" s="14"/>
      <c r="E692" s="18"/>
      <c r="F692" s="61"/>
      <c r="G692" s="73"/>
      <c r="H692" s="79"/>
      <c r="I692" s="79"/>
      <c r="J692" s="14"/>
      <c r="K692" s="38"/>
      <c r="L692" s="38"/>
      <c r="M692" s="17"/>
    </row>
    <row r="693" spans="2:13" ht="14.45" customHeight="1" x14ac:dyDescent="0.25">
      <c r="B693" s="17"/>
      <c r="C693" s="14"/>
      <c r="D693" s="14"/>
      <c r="E693" s="18"/>
      <c r="F693" s="61"/>
      <c r="G693" s="73"/>
      <c r="H693" s="79"/>
      <c r="I693" s="79"/>
      <c r="J693" s="14"/>
      <c r="K693" s="38"/>
      <c r="L693" s="38"/>
      <c r="M693" s="17"/>
    </row>
    <row r="694" spans="2:13" ht="14.45" customHeight="1" x14ac:dyDescent="0.25">
      <c r="B694" s="17"/>
      <c r="C694" s="14"/>
      <c r="D694" s="14"/>
      <c r="E694" s="18"/>
      <c r="F694" s="61"/>
      <c r="G694" s="73"/>
      <c r="H694" s="79"/>
      <c r="I694" s="79"/>
      <c r="J694" s="14"/>
      <c r="K694" s="38"/>
      <c r="L694" s="38"/>
      <c r="M694" s="17"/>
    </row>
    <row r="695" spans="2:13" ht="14.45" customHeight="1" x14ac:dyDescent="0.25">
      <c r="B695" s="17"/>
      <c r="C695" s="14"/>
      <c r="D695" s="14"/>
      <c r="E695" s="18"/>
      <c r="F695" s="61"/>
      <c r="G695" s="73"/>
      <c r="H695" s="79"/>
      <c r="I695" s="79"/>
      <c r="J695" s="14"/>
      <c r="K695" s="38"/>
      <c r="L695" s="38"/>
      <c r="M695" s="17"/>
    </row>
    <row r="696" spans="2:13" ht="14.45" customHeight="1" x14ac:dyDescent="0.25">
      <c r="B696" s="17"/>
      <c r="C696" s="14"/>
      <c r="D696" s="14"/>
      <c r="E696" s="18"/>
      <c r="F696" s="61"/>
      <c r="G696" s="73"/>
      <c r="H696" s="79"/>
      <c r="I696" s="79"/>
      <c r="J696" s="14"/>
      <c r="K696" s="38"/>
      <c r="L696" s="38"/>
      <c r="M696" s="17"/>
    </row>
    <row r="697" spans="2:13" ht="14.45" customHeight="1" x14ac:dyDescent="0.25">
      <c r="B697" s="17"/>
      <c r="C697" s="14"/>
      <c r="D697" s="14"/>
      <c r="E697" s="18"/>
      <c r="F697" s="61"/>
      <c r="G697" s="73"/>
      <c r="H697" s="79"/>
      <c r="I697" s="79"/>
      <c r="J697" s="14"/>
      <c r="K697" s="38"/>
      <c r="L697" s="38"/>
      <c r="M697" s="17"/>
    </row>
    <row r="698" spans="2:13" ht="14.45" customHeight="1" x14ac:dyDescent="0.25">
      <c r="B698" s="17"/>
      <c r="C698" s="14"/>
      <c r="D698" s="14"/>
      <c r="E698" s="18"/>
      <c r="F698" s="61"/>
      <c r="G698" s="73"/>
      <c r="H698" s="79"/>
      <c r="I698" s="79"/>
      <c r="J698" s="14"/>
      <c r="K698" s="38"/>
      <c r="L698" s="38"/>
      <c r="M698" s="17"/>
    </row>
    <row r="699" spans="2:13" ht="14.45" customHeight="1" x14ac:dyDescent="0.25">
      <c r="B699" s="17"/>
      <c r="C699" s="14"/>
      <c r="D699" s="14"/>
      <c r="E699" s="18"/>
      <c r="F699" s="61"/>
      <c r="G699" s="73"/>
      <c r="H699" s="79"/>
      <c r="I699" s="79"/>
      <c r="J699" s="14"/>
      <c r="K699" s="38"/>
      <c r="L699" s="38"/>
      <c r="M699" s="17"/>
    </row>
    <row r="700" spans="2:13" ht="14.45" customHeight="1" x14ac:dyDescent="0.25">
      <c r="B700" s="17"/>
      <c r="C700" s="14"/>
      <c r="D700" s="14"/>
      <c r="E700" s="18"/>
      <c r="F700" s="61"/>
      <c r="G700" s="73"/>
      <c r="H700" s="79"/>
      <c r="I700" s="79"/>
      <c r="J700" s="14"/>
      <c r="K700" s="38"/>
      <c r="L700" s="38"/>
      <c r="M700" s="17"/>
    </row>
    <row r="701" spans="2:13" ht="14.45" customHeight="1" x14ac:dyDescent="0.25">
      <c r="B701" s="17"/>
      <c r="C701" s="14"/>
      <c r="D701" s="14"/>
      <c r="E701" s="18"/>
      <c r="F701" s="61"/>
      <c r="G701" s="73"/>
      <c r="H701" s="79"/>
      <c r="I701" s="79"/>
      <c r="J701" s="14"/>
      <c r="K701" s="38"/>
      <c r="L701" s="38"/>
      <c r="M701" s="17"/>
    </row>
    <row r="702" spans="2:13" ht="14.45" customHeight="1" x14ac:dyDescent="0.25">
      <c r="B702" s="17"/>
      <c r="C702" s="14"/>
      <c r="D702" s="14"/>
      <c r="E702" s="18"/>
      <c r="F702" s="61"/>
      <c r="G702" s="73"/>
      <c r="H702" s="79"/>
      <c r="I702" s="79"/>
      <c r="J702" s="14"/>
      <c r="K702" s="38"/>
      <c r="L702" s="38"/>
      <c r="M702" s="17"/>
    </row>
    <row r="703" spans="2:13" ht="14.45" customHeight="1" x14ac:dyDescent="0.25">
      <c r="B703" s="17"/>
      <c r="C703" s="14"/>
      <c r="D703" s="14"/>
      <c r="E703" s="18"/>
      <c r="F703" s="61"/>
      <c r="G703" s="73"/>
      <c r="H703" s="79"/>
      <c r="I703" s="79"/>
      <c r="J703" s="14"/>
      <c r="K703" s="38"/>
      <c r="L703" s="38"/>
      <c r="M703" s="17"/>
    </row>
    <row r="704" spans="2:13" ht="14.45" customHeight="1" x14ac:dyDescent="0.25">
      <c r="B704" s="17"/>
      <c r="C704" s="14"/>
      <c r="D704" s="14"/>
      <c r="E704" s="18"/>
      <c r="F704" s="61"/>
      <c r="G704" s="73"/>
      <c r="H704" s="79"/>
      <c r="I704" s="79"/>
      <c r="J704" s="14"/>
      <c r="K704" s="38"/>
      <c r="L704" s="38"/>
      <c r="M704" s="17"/>
    </row>
    <row r="705" spans="2:13" ht="14.45" customHeight="1" x14ac:dyDescent="0.25">
      <c r="B705" s="17"/>
      <c r="C705" s="14"/>
      <c r="D705" s="14"/>
      <c r="E705" s="18"/>
      <c r="F705" s="61"/>
      <c r="G705" s="73"/>
      <c r="H705" s="79"/>
      <c r="I705" s="79"/>
      <c r="J705" s="14"/>
      <c r="K705" s="38"/>
      <c r="L705" s="38"/>
      <c r="M705" s="17"/>
    </row>
    <row r="706" spans="2:13" ht="14.45" customHeight="1" x14ac:dyDescent="0.25">
      <c r="B706" s="17"/>
      <c r="C706" s="14"/>
      <c r="D706" s="14"/>
      <c r="E706" s="18"/>
      <c r="F706" s="61"/>
      <c r="G706" s="73"/>
      <c r="H706" s="79"/>
      <c r="I706" s="79"/>
      <c r="J706" s="14"/>
      <c r="K706" s="38"/>
      <c r="L706" s="38"/>
      <c r="M706" s="17"/>
    </row>
    <row r="707" spans="2:13" ht="14.45" customHeight="1" x14ac:dyDescent="0.25">
      <c r="B707" s="17"/>
      <c r="C707" s="14"/>
      <c r="D707" s="14"/>
      <c r="E707" s="18"/>
      <c r="F707" s="61"/>
      <c r="G707" s="73"/>
      <c r="H707" s="79"/>
      <c r="I707" s="79"/>
      <c r="J707" s="14"/>
      <c r="K707" s="38"/>
      <c r="L707" s="38"/>
      <c r="M707" s="17"/>
    </row>
    <row r="708" spans="2:13" ht="14.45" customHeight="1" x14ac:dyDescent="0.25">
      <c r="B708" s="17"/>
      <c r="C708" s="14"/>
      <c r="D708" s="14"/>
      <c r="E708" s="18"/>
      <c r="F708" s="61"/>
      <c r="G708" s="73"/>
      <c r="H708" s="79"/>
      <c r="I708" s="79"/>
      <c r="J708" s="14"/>
      <c r="K708" s="38"/>
      <c r="L708" s="38"/>
      <c r="M708" s="17"/>
    </row>
    <row r="709" spans="2:13" ht="14.45" customHeight="1" x14ac:dyDescent="0.25">
      <c r="B709" s="17"/>
      <c r="C709" s="14"/>
      <c r="D709" s="14"/>
      <c r="E709" s="18"/>
      <c r="F709" s="61"/>
      <c r="G709" s="73"/>
      <c r="H709" s="79"/>
      <c r="I709" s="79"/>
      <c r="J709" s="14"/>
      <c r="K709" s="38"/>
      <c r="L709" s="38"/>
      <c r="M709" s="17"/>
    </row>
    <row r="710" spans="2:13" ht="14.45" customHeight="1" x14ac:dyDescent="0.25">
      <c r="B710" s="17"/>
      <c r="C710" s="14"/>
      <c r="D710" s="14"/>
      <c r="E710" s="18"/>
      <c r="F710" s="61"/>
      <c r="G710" s="73"/>
      <c r="H710" s="79"/>
      <c r="I710" s="79"/>
      <c r="J710" s="14"/>
      <c r="K710" s="38"/>
      <c r="L710" s="38"/>
      <c r="M710" s="17"/>
    </row>
    <row r="711" spans="2:13" ht="14.45" customHeight="1" x14ac:dyDescent="0.25">
      <c r="B711" s="17"/>
      <c r="C711" s="14"/>
      <c r="D711" s="14"/>
      <c r="E711" s="18"/>
      <c r="F711" s="61"/>
      <c r="G711" s="73"/>
      <c r="H711" s="79"/>
      <c r="I711" s="79"/>
      <c r="J711" s="14"/>
      <c r="K711" s="38"/>
      <c r="L711" s="38"/>
      <c r="M711" s="17"/>
    </row>
    <row r="712" spans="2:13" ht="14.45" customHeight="1" x14ac:dyDescent="0.25">
      <c r="B712" s="17"/>
      <c r="C712" s="14"/>
      <c r="D712" s="14"/>
      <c r="E712" s="18"/>
      <c r="F712" s="61"/>
      <c r="G712" s="73"/>
      <c r="H712" s="79"/>
      <c r="I712" s="79"/>
      <c r="J712" s="14"/>
      <c r="K712" s="38"/>
      <c r="L712" s="38"/>
      <c r="M712" s="17"/>
    </row>
    <row r="713" spans="2:13" ht="14.45" customHeight="1" x14ac:dyDescent="0.25">
      <c r="B713" s="17"/>
      <c r="C713" s="14"/>
      <c r="D713" s="14"/>
      <c r="E713" s="18"/>
      <c r="F713" s="61"/>
      <c r="G713" s="73"/>
      <c r="H713" s="79"/>
      <c r="I713" s="79"/>
      <c r="J713" s="14"/>
      <c r="K713" s="38"/>
      <c r="L713" s="38"/>
      <c r="M713" s="17"/>
    </row>
    <row r="714" spans="2:13" ht="14.45" customHeight="1" x14ac:dyDescent="0.25">
      <c r="B714" s="17"/>
      <c r="C714" s="14"/>
      <c r="D714" s="14"/>
      <c r="E714" s="18"/>
      <c r="F714" s="61"/>
      <c r="G714" s="73"/>
      <c r="H714" s="79"/>
      <c r="I714" s="79"/>
      <c r="J714" s="14"/>
      <c r="K714" s="38"/>
      <c r="L714" s="38"/>
      <c r="M714" s="17"/>
    </row>
    <row r="715" spans="2:13" ht="14.45" customHeight="1" x14ac:dyDescent="0.25">
      <c r="B715" s="17"/>
      <c r="C715" s="14"/>
      <c r="D715" s="14"/>
      <c r="E715" s="18"/>
      <c r="F715" s="61"/>
      <c r="G715" s="73"/>
      <c r="H715" s="79"/>
      <c r="I715" s="79"/>
      <c r="J715" s="14"/>
      <c r="K715" s="38"/>
      <c r="L715" s="38"/>
      <c r="M715" s="17"/>
    </row>
    <row r="716" spans="2:13" ht="14.45" customHeight="1" x14ac:dyDescent="0.25">
      <c r="B716" s="17"/>
      <c r="C716" s="14"/>
      <c r="D716" s="14"/>
      <c r="E716" s="18"/>
      <c r="F716" s="61"/>
      <c r="G716" s="73"/>
      <c r="H716" s="79"/>
      <c r="I716" s="79"/>
      <c r="J716" s="14"/>
      <c r="K716" s="38"/>
      <c r="L716" s="38"/>
      <c r="M716" s="17"/>
    </row>
    <row r="717" spans="2:13" ht="14.45" customHeight="1" x14ac:dyDescent="0.25">
      <c r="B717" s="17"/>
      <c r="C717" s="14"/>
      <c r="D717" s="14"/>
      <c r="E717" s="18"/>
      <c r="F717" s="61"/>
      <c r="G717" s="73"/>
      <c r="H717" s="79"/>
      <c r="I717" s="79"/>
      <c r="J717" s="14"/>
      <c r="K717" s="38"/>
      <c r="L717" s="38"/>
      <c r="M717" s="17"/>
    </row>
    <row r="718" spans="2:13" ht="14.45" customHeight="1" x14ac:dyDescent="0.25">
      <c r="B718" s="17"/>
      <c r="C718" s="14"/>
      <c r="D718" s="14"/>
      <c r="E718" s="18"/>
      <c r="F718" s="61"/>
      <c r="G718" s="73"/>
      <c r="H718" s="79"/>
      <c r="I718" s="79"/>
      <c r="J718" s="14"/>
      <c r="K718" s="38"/>
      <c r="L718" s="38"/>
      <c r="M718" s="17"/>
    </row>
    <row r="719" spans="2:13" ht="14.45" customHeight="1" x14ac:dyDescent="0.25">
      <c r="B719" s="17"/>
      <c r="C719" s="14"/>
      <c r="D719" s="14"/>
      <c r="E719" s="18"/>
      <c r="F719" s="61"/>
      <c r="G719" s="73"/>
      <c r="H719" s="79"/>
      <c r="I719" s="79"/>
      <c r="J719" s="14"/>
      <c r="K719" s="38"/>
      <c r="L719" s="38"/>
      <c r="M719" s="17"/>
    </row>
    <row r="720" spans="2:13" ht="14.45" customHeight="1" x14ac:dyDescent="0.25">
      <c r="B720" s="17"/>
      <c r="C720" s="14"/>
      <c r="D720" s="14"/>
      <c r="E720" s="18"/>
      <c r="F720" s="61"/>
      <c r="G720" s="73"/>
      <c r="H720" s="79"/>
      <c r="I720" s="79"/>
      <c r="J720" s="14"/>
      <c r="K720" s="38"/>
      <c r="L720" s="38"/>
      <c r="M720" s="17"/>
    </row>
    <row r="721" spans="2:13" ht="14.45" customHeight="1" x14ac:dyDescent="0.25">
      <c r="B721" s="17"/>
      <c r="C721" s="14"/>
      <c r="D721" s="14"/>
      <c r="E721" s="18"/>
      <c r="F721" s="61"/>
      <c r="G721" s="73"/>
      <c r="H721" s="79"/>
      <c r="I721" s="79"/>
      <c r="J721" s="14"/>
      <c r="K721" s="38"/>
      <c r="L721" s="38"/>
      <c r="M721" s="17"/>
    </row>
    <row r="722" spans="2:13" ht="14.45" customHeight="1" x14ac:dyDescent="0.25">
      <c r="B722" s="17"/>
      <c r="C722" s="14"/>
      <c r="D722" s="14"/>
      <c r="E722" s="18"/>
      <c r="F722" s="61"/>
      <c r="G722" s="73"/>
      <c r="H722" s="79"/>
      <c r="I722" s="79"/>
      <c r="J722" s="14"/>
      <c r="K722" s="38"/>
      <c r="L722" s="38"/>
      <c r="M722" s="17"/>
    </row>
    <row r="723" spans="2:13" ht="14.45" customHeight="1" x14ac:dyDescent="0.25">
      <c r="B723" s="17"/>
      <c r="C723" s="14"/>
      <c r="D723" s="14"/>
      <c r="E723" s="18"/>
      <c r="F723" s="61"/>
      <c r="G723" s="73"/>
      <c r="H723" s="79"/>
      <c r="I723" s="79"/>
      <c r="J723" s="14"/>
      <c r="K723" s="38"/>
      <c r="L723" s="38"/>
      <c r="M723" s="17"/>
    </row>
    <row r="724" spans="2:13" ht="14.45" customHeight="1" x14ac:dyDescent="0.25">
      <c r="B724" s="17"/>
      <c r="C724" s="14"/>
      <c r="D724" s="14"/>
      <c r="E724" s="18"/>
      <c r="F724" s="61"/>
      <c r="G724" s="73"/>
      <c r="H724" s="79"/>
      <c r="I724" s="79"/>
      <c r="J724" s="14"/>
      <c r="K724" s="38"/>
      <c r="L724" s="38"/>
      <c r="M724" s="17"/>
    </row>
    <row r="725" spans="2:13" ht="14.45" customHeight="1" x14ac:dyDescent="0.25">
      <c r="B725" s="17"/>
      <c r="C725" s="14"/>
      <c r="D725" s="14"/>
      <c r="E725" s="18"/>
      <c r="F725" s="61"/>
      <c r="G725" s="73"/>
      <c r="H725" s="79"/>
      <c r="I725" s="79"/>
      <c r="J725" s="14"/>
      <c r="K725" s="38"/>
      <c r="L725" s="38"/>
      <c r="M725" s="17"/>
    </row>
    <row r="726" spans="2:13" ht="14.45" customHeight="1" x14ac:dyDescent="0.25">
      <c r="B726" s="17"/>
      <c r="C726" s="14"/>
      <c r="D726" s="14"/>
      <c r="E726" s="18"/>
      <c r="F726" s="61"/>
      <c r="G726" s="73"/>
      <c r="H726" s="79"/>
      <c r="I726" s="79"/>
      <c r="J726" s="14"/>
      <c r="K726" s="38"/>
      <c r="L726" s="38"/>
      <c r="M726" s="17"/>
    </row>
    <row r="727" spans="2:13" ht="14.45" customHeight="1" x14ac:dyDescent="0.25">
      <c r="B727" s="17"/>
      <c r="C727" s="14"/>
      <c r="D727" s="14"/>
      <c r="E727" s="18"/>
      <c r="F727" s="61"/>
      <c r="G727" s="73"/>
      <c r="H727" s="79"/>
      <c r="I727" s="79"/>
      <c r="J727" s="14"/>
      <c r="K727" s="38"/>
      <c r="L727" s="38"/>
      <c r="M727" s="17"/>
    </row>
    <row r="728" spans="2:13" ht="14.45" customHeight="1" x14ac:dyDescent="0.25">
      <c r="B728" s="17"/>
      <c r="C728" s="14"/>
      <c r="D728" s="14"/>
      <c r="E728" s="18"/>
      <c r="F728" s="61"/>
      <c r="G728" s="73"/>
      <c r="H728" s="79"/>
      <c r="I728" s="79"/>
      <c r="J728" s="14"/>
      <c r="K728" s="38"/>
      <c r="L728" s="38"/>
      <c r="M728" s="17"/>
    </row>
    <row r="729" spans="2:13" ht="14.45" customHeight="1" x14ac:dyDescent="0.25">
      <c r="B729" s="17"/>
      <c r="C729" s="14"/>
      <c r="D729" s="14"/>
      <c r="E729" s="18"/>
      <c r="F729" s="61"/>
      <c r="G729" s="73"/>
      <c r="H729" s="79"/>
      <c r="I729" s="79"/>
      <c r="J729" s="14"/>
      <c r="K729" s="38"/>
      <c r="L729" s="38"/>
      <c r="M729" s="17"/>
    </row>
    <row r="730" spans="2:13" ht="14.45" customHeight="1" x14ac:dyDescent="0.25">
      <c r="B730" s="17"/>
      <c r="C730" s="14"/>
      <c r="D730" s="14"/>
      <c r="E730" s="18"/>
      <c r="F730" s="61"/>
      <c r="G730" s="73"/>
      <c r="H730" s="79"/>
      <c r="I730" s="79"/>
      <c r="J730" s="14"/>
      <c r="K730" s="38"/>
      <c r="L730" s="38"/>
      <c r="M730" s="17"/>
    </row>
    <row r="731" spans="2:13" ht="14.45" customHeight="1" x14ac:dyDescent="0.25">
      <c r="B731" s="17"/>
      <c r="C731" s="14"/>
      <c r="D731" s="14"/>
      <c r="E731" s="18"/>
      <c r="F731" s="61"/>
      <c r="G731" s="73"/>
      <c r="H731" s="79"/>
      <c r="I731" s="79"/>
      <c r="J731" s="14"/>
      <c r="K731" s="38"/>
      <c r="L731" s="38"/>
      <c r="M731" s="17"/>
    </row>
    <row r="732" spans="2:13" ht="14.45" customHeight="1" x14ac:dyDescent="0.25">
      <c r="B732" s="17"/>
      <c r="C732" s="14"/>
      <c r="D732" s="14"/>
      <c r="E732" s="18"/>
      <c r="F732" s="61"/>
      <c r="G732" s="73"/>
      <c r="H732" s="79"/>
      <c r="I732" s="79"/>
      <c r="J732" s="14"/>
      <c r="K732" s="38"/>
      <c r="L732" s="38"/>
      <c r="M732" s="17"/>
    </row>
    <row r="733" spans="2:13" ht="14.45" customHeight="1" x14ac:dyDescent="0.25">
      <c r="B733" s="17"/>
      <c r="C733" s="14"/>
      <c r="D733" s="14"/>
      <c r="E733" s="18"/>
      <c r="F733" s="61"/>
      <c r="G733" s="73"/>
      <c r="H733" s="79"/>
      <c r="I733" s="79"/>
      <c r="J733" s="14"/>
      <c r="K733" s="38"/>
      <c r="L733" s="38"/>
      <c r="M733" s="17"/>
    </row>
    <row r="734" spans="2:13" ht="14.45" customHeight="1" x14ac:dyDescent="0.25">
      <c r="B734" s="17"/>
      <c r="C734" s="14"/>
      <c r="D734" s="14"/>
      <c r="E734" s="18"/>
      <c r="F734" s="61"/>
      <c r="G734" s="73"/>
      <c r="H734" s="79"/>
      <c r="I734" s="79"/>
      <c r="J734" s="14"/>
      <c r="K734" s="38"/>
      <c r="L734" s="38"/>
      <c r="M734" s="17"/>
    </row>
    <row r="735" spans="2:13" ht="14.45" customHeight="1" x14ac:dyDescent="0.25">
      <c r="B735" s="17"/>
      <c r="C735" s="14"/>
      <c r="D735" s="14"/>
      <c r="E735" s="18"/>
      <c r="F735" s="61"/>
      <c r="G735" s="73"/>
      <c r="H735" s="79"/>
      <c r="I735" s="79"/>
      <c r="J735" s="14"/>
      <c r="K735" s="38"/>
      <c r="L735" s="38"/>
      <c r="M735" s="17"/>
    </row>
    <row r="736" spans="2:13" ht="14.45" customHeight="1" x14ac:dyDescent="0.25">
      <c r="B736" s="17"/>
      <c r="C736" s="14"/>
      <c r="D736" s="14"/>
      <c r="E736" s="18"/>
      <c r="F736" s="61"/>
      <c r="G736" s="73"/>
      <c r="H736" s="79"/>
      <c r="I736" s="79"/>
      <c r="J736" s="14"/>
      <c r="K736" s="38"/>
      <c r="L736" s="38"/>
      <c r="M736" s="17"/>
    </row>
    <row r="737" spans="2:13" ht="14.45" customHeight="1" x14ac:dyDescent="0.25">
      <c r="B737" s="17"/>
      <c r="C737" s="14"/>
      <c r="D737" s="14"/>
      <c r="E737" s="18"/>
      <c r="F737" s="61"/>
      <c r="G737" s="73"/>
      <c r="H737" s="79"/>
      <c r="I737" s="79"/>
      <c r="J737" s="14"/>
      <c r="K737" s="38"/>
      <c r="L737" s="38"/>
      <c r="M737" s="17"/>
    </row>
    <row r="738" spans="2:13" ht="14.45" customHeight="1" x14ac:dyDescent="0.25">
      <c r="B738" s="17"/>
      <c r="C738" s="14"/>
      <c r="D738" s="14"/>
      <c r="E738" s="18"/>
      <c r="F738" s="61"/>
      <c r="G738" s="73"/>
      <c r="H738" s="79"/>
      <c r="I738" s="79"/>
      <c r="J738" s="14"/>
      <c r="K738" s="38"/>
      <c r="L738" s="38"/>
      <c r="M738" s="17"/>
    </row>
    <row r="739" spans="2:13" ht="14.45" customHeight="1" x14ac:dyDescent="0.25">
      <c r="B739" s="17"/>
      <c r="C739" s="14"/>
      <c r="D739" s="14"/>
      <c r="E739" s="18"/>
      <c r="F739" s="61"/>
      <c r="G739" s="73"/>
      <c r="H739" s="79"/>
      <c r="I739" s="79"/>
      <c r="J739" s="14"/>
      <c r="K739" s="38"/>
      <c r="L739" s="38"/>
      <c r="M739" s="17"/>
    </row>
    <row r="740" spans="2:13" ht="14.45" customHeight="1" x14ac:dyDescent="0.25">
      <c r="B740" s="17"/>
      <c r="C740" s="14"/>
      <c r="D740" s="14"/>
      <c r="E740" s="18"/>
      <c r="F740" s="61"/>
      <c r="G740" s="73"/>
      <c r="H740" s="79"/>
      <c r="I740" s="79"/>
      <c r="J740" s="14"/>
      <c r="K740" s="38"/>
      <c r="L740" s="38"/>
      <c r="M740" s="17"/>
    </row>
    <row r="741" spans="2:13" ht="14.45" customHeight="1" x14ac:dyDescent="0.25">
      <c r="B741" s="17"/>
      <c r="C741" s="14"/>
      <c r="D741" s="14"/>
      <c r="E741" s="18"/>
      <c r="F741" s="61"/>
      <c r="G741" s="73"/>
      <c r="H741" s="79"/>
      <c r="I741" s="79"/>
      <c r="J741" s="14"/>
      <c r="K741" s="38"/>
      <c r="L741" s="38"/>
      <c r="M741" s="17"/>
    </row>
    <row r="742" spans="2:13" ht="14.45" customHeight="1" x14ac:dyDescent="0.25">
      <c r="B742" s="17"/>
      <c r="C742" s="14"/>
      <c r="D742" s="14"/>
      <c r="E742" s="18"/>
      <c r="F742" s="61"/>
      <c r="G742" s="73"/>
      <c r="H742" s="79"/>
      <c r="I742" s="79"/>
      <c r="J742" s="14"/>
      <c r="K742" s="38"/>
      <c r="L742" s="38"/>
      <c r="M742" s="17"/>
    </row>
    <row r="743" spans="2:13" ht="14.45" customHeight="1" x14ac:dyDescent="0.25">
      <c r="B743" s="17"/>
      <c r="C743" s="14"/>
      <c r="D743" s="14"/>
      <c r="E743" s="18"/>
      <c r="F743" s="61"/>
      <c r="G743" s="73"/>
      <c r="H743" s="79"/>
      <c r="I743" s="79"/>
      <c r="J743" s="14"/>
      <c r="K743" s="38"/>
      <c r="L743" s="38"/>
      <c r="M743" s="17"/>
    </row>
    <row r="744" spans="2:13" ht="14.45" customHeight="1" x14ac:dyDescent="0.25">
      <c r="B744" s="17"/>
      <c r="C744" s="14"/>
      <c r="D744" s="14"/>
      <c r="E744" s="18"/>
      <c r="F744" s="61"/>
      <c r="G744" s="73"/>
      <c r="H744" s="79"/>
      <c r="I744" s="79"/>
      <c r="J744" s="14"/>
      <c r="K744" s="38"/>
      <c r="L744" s="38"/>
      <c r="M744" s="17"/>
    </row>
    <row r="745" spans="2:13" ht="14.45" customHeight="1" x14ac:dyDescent="0.25">
      <c r="B745" s="17"/>
      <c r="C745" s="14"/>
      <c r="D745" s="14"/>
      <c r="E745" s="18"/>
      <c r="F745" s="61"/>
      <c r="G745" s="73"/>
      <c r="H745" s="79"/>
      <c r="I745" s="79"/>
      <c r="J745" s="14"/>
      <c r="K745" s="38"/>
      <c r="L745" s="38"/>
      <c r="M745" s="17"/>
    </row>
    <row r="746" spans="2:13" ht="14.45" customHeight="1" x14ac:dyDescent="0.25">
      <c r="B746" s="17"/>
      <c r="C746" s="14"/>
      <c r="D746" s="14"/>
      <c r="E746" s="18"/>
      <c r="F746" s="61"/>
      <c r="G746" s="73"/>
      <c r="H746" s="79"/>
      <c r="I746" s="79"/>
      <c r="J746" s="14"/>
      <c r="K746" s="38"/>
      <c r="L746" s="38"/>
      <c r="M746" s="17"/>
    </row>
    <row r="747" spans="2:13" ht="14.45" customHeight="1" x14ac:dyDescent="0.25">
      <c r="B747" s="17"/>
      <c r="C747" s="14"/>
      <c r="D747" s="14"/>
      <c r="E747" s="18"/>
      <c r="F747" s="61"/>
      <c r="G747" s="73"/>
      <c r="H747" s="79"/>
      <c r="I747" s="79"/>
      <c r="J747" s="14"/>
      <c r="K747" s="38"/>
      <c r="L747" s="38"/>
      <c r="M747" s="17"/>
    </row>
    <row r="748" spans="2:13" ht="14.45" customHeight="1" x14ac:dyDescent="0.25">
      <c r="B748" s="17"/>
      <c r="C748" s="14"/>
      <c r="D748" s="14"/>
      <c r="E748" s="18"/>
      <c r="F748" s="61"/>
      <c r="G748" s="73"/>
      <c r="H748" s="79"/>
      <c r="I748" s="79"/>
      <c r="J748" s="14"/>
      <c r="K748" s="38"/>
      <c r="L748" s="38"/>
      <c r="M748" s="17"/>
    </row>
    <row r="749" spans="2:13" ht="14.45" customHeight="1" x14ac:dyDescent="0.25">
      <c r="B749" s="17"/>
      <c r="C749" s="14"/>
      <c r="D749" s="14"/>
      <c r="E749" s="18"/>
      <c r="F749" s="61"/>
      <c r="G749" s="73"/>
      <c r="H749" s="79"/>
      <c r="I749" s="79"/>
      <c r="J749" s="14"/>
      <c r="K749" s="38"/>
      <c r="L749" s="38"/>
      <c r="M749" s="17"/>
    </row>
    <row r="750" spans="2:13" ht="14.45" customHeight="1" x14ac:dyDescent="0.25">
      <c r="B750" s="17"/>
      <c r="C750" s="14"/>
      <c r="D750" s="14"/>
      <c r="E750" s="18"/>
      <c r="F750" s="61"/>
      <c r="G750" s="73"/>
      <c r="H750" s="79"/>
      <c r="I750" s="79"/>
      <c r="J750" s="14"/>
      <c r="K750" s="38"/>
      <c r="L750" s="38"/>
      <c r="M750" s="17"/>
    </row>
    <row r="751" spans="2:13" ht="14.45" customHeight="1" x14ac:dyDescent="0.25">
      <c r="B751" s="17"/>
      <c r="C751" s="14"/>
      <c r="D751" s="14"/>
      <c r="E751" s="18"/>
      <c r="F751" s="61"/>
      <c r="G751" s="73"/>
      <c r="H751" s="79"/>
      <c r="I751" s="79"/>
      <c r="J751" s="14"/>
      <c r="K751" s="38"/>
      <c r="L751" s="38"/>
      <c r="M751" s="17"/>
    </row>
    <row r="752" spans="2:13" ht="14.45" customHeight="1" x14ac:dyDescent="0.25">
      <c r="B752" s="17"/>
      <c r="C752" s="14"/>
      <c r="D752" s="14"/>
      <c r="E752" s="18"/>
      <c r="F752" s="61"/>
      <c r="G752" s="73"/>
      <c r="H752" s="79"/>
      <c r="I752" s="79"/>
      <c r="J752" s="14"/>
      <c r="K752" s="38"/>
      <c r="L752" s="38"/>
      <c r="M752" s="17"/>
    </row>
    <row r="753" spans="2:13" ht="14.45" customHeight="1" x14ac:dyDescent="0.25">
      <c r="B753" s="17"/>
      <c r="C753" s="14"/>
      <c r="D753" s="14"/>
      <c r="E753" s="18"/>
      <c r="F753" s="61"/>
      <c r="G753" s="73"/>
      <c r="H753" s="79"/>
      <c r="I753" s="79"/>
      <c r="J753" s="14"/>
      <c r="K753" s="38"/>
      <c r="L753" s="38"/>
      <c r="M753" s="17"/>
    </row>
    <row r="754" spans="2:13" ht="14.45" customHeight="1" x14ac:dyDescent="0.25">
      <c r="B754" s="17"/>
      <c r="C754" s="14"/>
      <c r="D754" s="14"/>
      <c r="E754" s="18"/>
      <c r="F754" s="61"/>
      <c r="G754" s="73"/>
      <c r="H754" s="79"/>
      <c r="I754" s="79"/>
      <c r="J754" s="14"/>
      <c r="K754" s="38"/>
      <c r="L754" s="38"/>
      <c r="M754" s="17"/>
    </row>
    <row r="755" spans="2:13" ht="14.45" customHeight="1" x14ac:dyDescent="0.25">
      <c r="B755" s="17"/>
      <c r="C755" s="14"/>
      <c r="D755" s="14"/>
      <c r="E755" s="18"/>
      <c r="F755" s="61"/>
      <c r="G755" s="73"/>
      <c r="H755" s="79"/>
      <c r="I755" s="79"/>
      <c r="J755" s="14"/>
      <c r="K755" s="38"/>
      <c r="L755" s="38"/>
      <c r="M755" s="17"/>
    </row>
    <row r="756" spans="2:13" ht="14.45" customHeight="1" x14ac:dyDescent="0.25">
      <c r="B756" s="17"/>
      <c r="C756" s="14"/>
      <c r="D756" s="14"/>
      <c r="E756" s="18"/>
      <c r="F756" s="61"/>
      <c r="G756" s="73"/>
      <c r="H756" s="79"/>
      <c r="I756" s="79"/>
      <c r="J756" s="14"/>
      <c r="K756" s="38"/>
      <c r="L756" s="38"/>
      <c r="M756" s="17"/>
    </row>
    <row r="757" spans="2:13" ht="14.45" customHeight="1" x14ac:dyDescent="0.25">
      <c r="B757" s="17"/>
      <c r="C757" s="14"/>
      <c r="D757" s="14"/>
      <c r="E757" s="18"/>
      <c r="F757" s="61"/>
      <c r="G757" s="73"/>
      <c r="H757" s="79"/>
      <c r="I757" s="79"/>
      <c r="J757" s="14"/>
      <c r="K757" s="38"/>
      <c r="L757" s="38"/>
      <c r="M757" s="17"/>
    </row>
    <row r="758" spans="2:13" ht="14.45" customHeight="1" x14ac:dyDescent="0.25">
      <c r="B758" s="17"/>
      <c r="C758" s="14"/>
      <c r="D758" s="14"/>
      <c r="E758" s="18"/>
      <c r="F758" s="61"/>
      <c r="G758" s="73"/>
      <c r="H758" s="79"/>
      <c r="I758" s="79"/>
      <c r="J758" s="14"/>
      <c r="K758" s="38"/>
      <c r="L758" s="38"/>
      <c r="M758" s="17"/>
    </row>
    <row r="759" spans="2:13" ht="14.45" customHeight="1" x14ac:dyDescent="0.25">
      <c r="B759" s="17"/>
      <c r="C759" s="14"/>
      <c r="D759" s="14"/>
      <c r="E759" s="18"/>
      <c r="F759" s="61"/>
      <c r="G759" s="73"/>
      <c r="H759" s="79"/>
      <c r="I759" s="79"/>
      <c r="J759" s="14"/>
      <c r="K759" s="38"/>
      <c r="L759" s="38"/>
      <c r="M759" s="17"/>
    </row>
    <row r="760" spans="2:13" ht="14.45" customHeight="1" x14ac:dyDescent="0.25">
      <c r="B760" s="17"/>
      <c r="C760" s="14"/>
      <c r="D760" s="14"/>
      <c r="E760" s="18"/>
      <c r="F760" s="61"/>
      <c r="G760" s="73"/>
      <c r="H760" s="79"/>
      <c r="I760" s="79"/>
      <c r="J760" s="14"/>
      <c r="K760" s="38"/>
      <c r="L760" s="38"/>
      <c r="M760" s="17"/>
    </row>
    <row r="761" spans="2:13" ht="14.45" customHeight="1" x14ac:dyDescent="0.25">
      <c r="B761" s="17"/>
      <c r="C761" s="14"/>
      <c r="D761" s="14"/>
      <c r="E761" s="18"/>
      <c r="F761" s="61"/>
      <c r="G761" s="73"/>
      <c r="H761" s="79"/>
      <c r="I761" s="79"/>
      <c r="J761" s="14"/>
      <c r="K761" s="38"/>
      <c r="L761" s="38"/>
      <c r="M761" s="17"/>
    </row>
    <row r="762" spans="2:13" ht="14.45" customHeight="1" x14ac:dyDescent="0.25">
      <c r="B762" s="17"/>
      <c r="C762" s="14"/>
      <c r="D762" s="14"/>
      <c r="E762" s="18"/>
      <c r="F762" s="61"/>
      <c r="G762" s="73"/>
      <c r="H762" s="79"/>
      <c r="I762" s="79"/>
      <c r="J762" s="14"/>
      <c r="K762" s="38"/>
      <c r="L762" s="38"/>
      <c r="M762" s="17"/>
    </row>
    <row r="763" spans="2:13" ht="14.45" customHeight="1" x14ac:dyDescent="0.25">
      <c r="B763" s="17"/>
      <c r="C763" s="14"/>
      <c r="D763" s="14"/>
      <c r="E763" s="18"/>
      <c r="F763" s="61"/>
      <c r="G763" s="73"/>
      <c r="H763" s="79"/>
      <c r="I763" s="79"/>
      <c r="J763" s="14"/>
      <c r="K763" s="38"/>
      <c r="L763" s="38"/>
      <c r="M763" s="17"/>
    </row>
    <row r="764" spans="2:13" ht="14.45" customHeight="1" x14ac:dyDescent="0.25">
      <c r="B764" s="17"/>
      <c r="C764" s="14"/>
      <c r="D764" s="14"/>
      <c r="E764" s="18"/>
      <c r="F764" s="61"/>
      <c r="G764" s="73"/>
      <c r="H764" s="79"/>
      <c r="I764" s="79"/>
      <c r="J764" s="14"/>
      <c r="K764" s="38"/>
      <c r="L764" s="38"/>
      <c r="M764" s="17"/>
    </row>
    <row r="765" spans="2:13" ht="14.45" customHeight="1" x14ac:dyDescent="0.25">
      <c r="B765" s="17"/>
      <c r="C765" s="14"/>
      <c r="D765" s="14"/>
      <c r="E765" s="18"/>
      <c r="F765" s="61"/>
      <c r="G765" s="73"/>
      <c r="H765" s="79"/>
      <c r="I765" s="79"/>
      <c r="J765" s="14"/>
      <c r="K765" s="38"/>
      <c r="L765" s="38"/>
      <c r="M765" s="17"/>
    </row>
    <row r="766" spans="2:13" ht="14.45" customHeight="1" x14ac:dyDescent="0.25">
      <c r="B766" s="17"/>
      <c r="C766" s="14"/>
      <c r="D766" s="14"/>
      <c r="E766" s="18"/>
      <c r="F766" s="61"/>
      <c r="G766" s="73"/>
      <c r="H766" s="79"/>
      <c r="I766" s="79"/>
      <c r="J766" s="14"/>
      <c r="K766" s="38"/>
      <c r="L766" s="38"/>
      <c r="M766" s="17"/>
    </row>
    <row r="767" spans="2:13" ht="14.45" customHeight="1" x14ac:dyDescent="0.25">
      <c r="B767" s="17"/>
      <c r="C767" s="14"/>
      <c r="D767" s="14"/>
      <c r="E767" s="18"/>
      <c r="F767" s="61"/>
      <c r="G767" s="73"/>
      <c r="H767" s="79"/>
      <c r="I767" s="79"/>
      <c r="J767" s="14"/>
      <c r="K767" s="38"/>
      <c r="L767" s="38"/>
      <c r="M767" s="17"/>
    </row>
    <row r="768" spans="2:13" ht="14.45" customHeight="1" x14ac:dyDescent="0.25">
      <c r="B768" s="17"/>
      <c r="C768" s="14"/>
      <c r="D768" s="14"/>
      <c r="E768" s="18"/>
      <c r="F768" s="61"/>
      <c r="G768" s="73"/>
      <c r="H768" s="79"/>
      <c r="I768" s="79"/>
      <c r="J768" s="14"/>
      <c r="K768" s="38"/>
      <c r="L768" s="38"/>
      <c r="M768" s="17"/>
    </row>
    <row r="769" spans="2:13" ht="14.45" customHeight="1" x14ac:dyDescent="0.25">
      <c r="B769" s="17"/>
      <c r="C769" s="14"/>
      <c r="D769" s="14"/>
      <c r="E769" s="18"/>
      <c r="F769" s="61"/>
      <c r="G769" s="73"/>
      <c r="H769" s="79"/>
      <c r="I769" s="79"/>
      <c r="J769" s="14"/>
      <c r="K769" s="38"/>
      <c r="L769" s="38"/>
      <c r="M769" s="17"/>
    </row>
    <row r="770" spans="2:13" ht="14.45" customHeight="1" x14ac:dyDescent="0.25">
      <c r="B770" s="17"/>
      <c r="C770" s="14"/>
      <c r="D770" s="14"/>
      <c r="E770" s="18"/>
      <c r="F770" s="61"/>
      <c r="G770" s="73"/>
      <c r="H770" s="79"/>
      <c r="I770" s="79"/>
      <c r="J770" s="14"/>
      <c r="K770" s="38"/>
      <c r="L770" s="38"/>
      <c r="M770" s="17"/>
    </row>
    <row r="771" spans="2:13" ht="14.45" customHeight="1" x14ac:dyDescent="0.25">
      <c r="B771" s="17"/>
      <c r="C771" s="14"/>
      <c r="D771" s="14"/>
      <c r="E771" s="18"/>
      <c r="F771" s="61"/>
      <c r="G771" s="73"/>
      <c r="H771" s="79"/>
      <c r="I771" s="79"/>
      <c r="J771" s="14"/>
      <c r="K771" s="38"/>
      <c r="L771" s="38"/>
      <c r="M771" s="17"/>
    </row>
    <row r="772" spans="2:13" ht="14.45" customHeight="1" x14ac:dyDescent="0.25">
      <c r="B772" s="17"/>
      <c r="C772" s="14"/>
      <c r="D772" s="14"/>
      <c r="E772" s="18"/>
      <c r="F772" s="61"/>
      <c r="G772" s="73"/>
      <c r="H772" s="79"/>
      <c r="I772" s="79"/>
      <c r="J772" s="14"/>
      <c r="K772" s="38"/>
      <c r="L772" s="38"/>
      <c r="M772" s="17"/>
    </row>
    <row r="773" spans="2:13" ht="14.45" customHeight="1" x14ac:dyDescent="0.25">
      <c r="B773" s="17"/>
      <c r="C773" s="14"/>
      <c r="D773" s="14"/>
      <c r="E773" s="18"/>
      <c r="F773" s="61"/>
      <c r="G773" s="73"/>
      <c r="H773" s="79"/>
      <c r="I773" s="79"/>
      <c r="J773" s="14"/>
      <c r="K773" s="38"/>
      <c r="L773" s="38"/>
      <c r="M773" s="17"/>
    </row>
    <row r="774" spans="2:13" ht="14.45" customHeight="1" x14ac:dyDescent="0.25">
      <c r="B774" s="17"/>
      <c r="C774" s="14"/>
      <c r="D774" s="14"/>
      <c r="E774" s="18"/>
      <c r="F774" s="61"/>
      <c r="G774" s="73"/>
      <c r="H774" s="79"/>
      <c r="I774" s="79"/>
      <c r="J774" s="14"/>
      <c r="K774" s="38"/>
      <c r="L774" s="38"/>
      <c r="M774" s="17"/>
    </row>
    <row r="775" spans="2:13" ht="14.45" customHeight="1" x14ac:dyDescent="0.25">
      <c r="B775" s="17"/>
      <c r="C775" s="14"/>
      <c r="D775" s="14"/>
      <c r="E775" s="18"/>
      <c r="F775" s="61"/>
      <c r="G775" s="73"/>
      <c r="H775" s="79"/>
      <c r="I775" s="79"/>
      <c r="J775" s="14"/>
      <c r="K775" s="38"/>
      <c r="L775" s="38"/>
      <c r="M775" s="17"/>
    </row>
    <row r="776" spans="2:13" ht="14.45" customHeight="1" x14ac:dyDescent="0.25">
      <c r="B776" s="17"/>
      <c r="C776" s="14"/>
      <c r="D776" s="14"/>
      <c r="E776" s="18"/>
      <c r="F776" s="61"/>
      <c r="G776" s="73"/>
      <c r="H776" s="79"/>
      <c r="I776" s="79"/>
      <c r="J776" s="14"/>
      <c r="K776" s="38"/>
      <c r="L776" s="38"/>
      <c r="M776" s="17"/>
    </row>
    <row r="777" spans="2:13" ht="14.45" customHeight="1" x14ac:dyDescent="0.25">
      <c r="B777" s="17"/>
      <c r="C777" s="14"/>
      <c r="D777" s="14"/>
      <c r="E777" s="18"/>
      <c r="F777" s="61"/>
      <c r="G777" s="73"/>
      <c r="H777" s="79"/>
      <c r="I777" s="79"/>
      <c r="J777" s="14"/>
      <c r="K777" s="38"/>
      <c r="L777" s="38"/>
      <c r="M777" s="17"/>
    </row>
    <row r="778" spans="2:13" ht="14.45" customHeight="1" x14ac:dyDescent="0.25">
      <c r="B778" s="17"/>
      <c r="C778" s="14"/>
      <c r="D778" s="14"/>
      <c r="E778" s="18"/>
      <c r="F778" s="61"/>
      <c r="G778" s="73"/>
      <c r="H778" s="79"/>
      <c r="I778" s="79"/>
      <c r="J778" s="14"/>
      <c r="K778" s="38"/>
      <c r="L778" s="38"/>
      <c r="M778" s="17"/>
    </row>
    <row r="779" spans="2:13" ht="14.45" customHeight="1" x14ac:dyDescent="0.25">
      <c r="B779" s="17"/>
      <c r="C779" s="14"/>
      <c r="D779" s="14"/>
      <c r="E779" s="18"/>
      <c r="F779" s="61"/>
      <c r="G779" s="73"/>
      <c r="H779" s="79"/>
      <c r="I779" s="79"/>
      <c r="J779" s="14"/>
      <c r="K779" s="38"/>
      <c r="L779" s="38"/>
      <c r="M779" s="17"/>
    </row>
    <row r="780" spans="2:13" ht="14.45" customHeight="1" x14ac:dyDescent="0.25">
      <c r="B780" s="17"/>
      <c r="C780" s="14"/>
      <c r="D780" s="14"/>
      <c r="E780" s="18"/>
      <c r="F780" s="61"/>
      <c r="G780" s="73"/>
      <c r="H780" s="79"/>
      <c r="I780" s="79"/>
      <c r="J780" s="14"/>
      <c r="K780" s="38"/>
      <c r="L780" s="38"/>
      <c r="M780" s="17"/>
    </row>
    <row r="781" spans="2:13" ht="14.45" customHeight="1" x14ac:dyDescent="0.25">
      <c r="B781" s="17"/>
      <c r="C781" s="14"/>
      <c r="D781" s="14"/>
      <c r="E781" s="18"/>
      <c r="F781" s="61"/>
      <c r="G781" s="73"/>
      <c r="H781" s="79"/>
      <c r="I781" s="79"/>
      <c r="J781" s="14"/>
      <c r="K781" s="38"/>
      <c r="L781" s="38"/>
      <c r="M781" s="17"/>
    </row>
    <row r="782" spans="2:13" ht="14.45" customHeight="1" x14ac:dyDescent="0.25">
      <c r="B782" s="17"/>
      <c r="C782" s="14"/>
      <c r="D782" s="14"/>
      <c r="E782" s="18"/>
      <c r="F782" s="61"/>
      <c r="G782" s="73"/>
      <c r="H782" s="79"/>
      <c r="I782" s="79"/>
      <c r="J782" s="14"/>
      <c r="K782" s="38"/>
      <c r="L782" s="38"/>
      <c r="M782" s="17"/>
    </row>
    <row r="783" spans="2:13" ht="14.45" customHeight="1" x14ac:dyDescent="0.25">
      <c r="B783" s="17"/>
      <c r="C783" s="14"/>
      <c r="D783" s="14"/>
      <c r="E783" s="18"/>
      <c r="F783" s="61"/>
      <c r="G783" s="73"/>
      <c r="H783" s="79"/>
      <c r="I783" s="79"/>
      <c r="J783" s="14"/>
      <c r="K783" s="38"/>
      <c r="L783" s="38"/>
      <c r="M783" s="17"/>
    </row>
    <row r="784" spans="2:13" ht="14.45" customHeight="1" x14ac:dyDescent="0.25">
      <c r="B784" s="17"/>
      <c r="C784" s="14"/>
      <c r="D784" s="14"/>
      <c r="E784" s="18"/>
      <c r="F784" s="61"/>
      <c r="G784" s="73"/>
      <c r="H784" s="79"/>
      <c r="I784" s="79"/>
      <c r="J784" s="14"/>
      <c r="K784" s="38"/>
      <c r="L784" s="38"/>
      <c r="M784" s="17"/>
    </row>
    <row r="785" spans="2:13" ht="14.45" customHeight="1" x14ac:dyDescent="0.25">
      <c r="B785" s="17"/>
      <c r="C785" s="14"/>
      <c r="D785" s="14"/>
      <c r="E785" s="18"/>
      <c r="F785" s="61"/>
      <c r="G785" s="73"/>
      <c r="H785" s="79"/>
      <c r="I785" s="79"/>
      <c r="J785" s="14"/>
      <c r="K785" s="38"/>
      <c r="L785" s="38"/>
      <c r="M785" s="17"/>
    </row>
    <row r="786" spans="2:13" ht="14.45" customHeight="1" x14ac:dyDescent="0.25">
      <c r="B786" s="17"/>
      <c r="C786" s="14"/>
      <c r="D786" s="14"/>
      <c r="E786" s="18"/>
      <c r="F786" s="61"/>
      <c r="G786" s="73"/>
      <c r="H786" s="79"/>
      <c r="I786" s="79"/>
      <c r="J786" s="14"/>
      <c r="K786" s="38"/>
      <c r="L786" s="38"/>
      <c r="M786" s="17"/>
    </row>
    <row r="787" spans="2:13" ht="14.45" customHeight="1" x14ac:dyDescent="0.25">
      <c r="B787" s="17"/>
      <c r="C787" s="14"/>
      <c r="D787" s="14"/>
      <c r="E787" s="18"/>
      <c r="F787" s="61"/>
      <c r="G787" s="73"/>
      <c r="H787" s="79"/>
      <c r="I787" s="79"/>
      <c r="J787" s="14"/>
      <c r="K787" s="38"/>
      <c r="L787" s="38"/>
      <c r="M787" s="17"/>
    </row>
    <row r="788" spans="2:13" ht="14.45" customHeight="1" x14ac:dyDescent="0.25">
      <c r="B788" s="17"/>
      <c r="C788" s="14"/>
      <c r="D788" s="14"/>
      <c r="E788" s="18"/>
      <c r="F788" s="61"/>
      <c r="G788" s="73"/>
      <c r="H788" s="79"/>
      <c r="I788" s="79"/>
      <c r="J788" s="14"/>
      <c r="K788" s="38"/>
      <c r="L788" s="38"/>
      <c r="M788" s="17"/>
    </row>
    <row r="789" spans="2:13" ht="14.45" customHeight="1" x14ac:dyDescent="0.25">
      <c r="B789" s="17"/>
      <c r="C789" s="14"/>
      <c r="D789" s="14"/>
      <c r="E789" s="18"/>
      <c r="F789" s="61"/>
      <c r="G789" s="73"/>
      <c r="H789" s="79"/>
      <c r="I789" s="79"/>
      <c r="J789" s="14"/>
      <c r="K789" s="38"/>
      <c r="L789" s="38"/>
      <c r="M789" s="17"/>
    </row>
    <row r="790" spans="2:13" ht="14.45" customHeight="1" x14ac:dyDescent="0.25">
      <c r="B790" s="17"/>
      <c r="C790" s="14"/>
      <c r="D790" s="14"/>
      <c r="E790" s="18"/>
      <c r="F790" s="61"/>
      <c r="G790" s="73"/>
      <c r="H790" s="79"/>
      <c r="I790" s="79"/>
      <c r="J790" s="14"/>
      <c r="K790" s="38"/>
      <c r="L790" s="38"/>
      <c r="M790" s="17"/>
    </row>
    <row r="791" spans="2:13" ht="14.45" customHeight="1" x14ac:dyDescent="0.25">
      <c r="B791" s="17"/>
      <c r="C791" s="14"/>
      <c r="D791" s="14"/>
      <c r="E791" s="18"/>
      <c r="F791" s="61"/>
      <c r="G791" s="73"/>
      <c r="H791" s="79"/>
      <c r="I791" s="79"/>
      <c r="J791" s="14"/>
      <c r="K791" s="38"/>
      <c r="L791" s="38"/>
      <c r="M791" s="17"/>
    </row>
    <row r="792" spans="2:13" ht="14.45" customHeight="1" x14ac:dyDescent="0.25">
      <c r="B792" s="17"/>
      <c r="C792" s="14"/>
      <c r="D792" s="14"/>
      <c r="E792" s="18"/>
      <c r="F792" s="61"/>
      <c r="G792" s="73"/>
      <c r="H792" s="79"/>
      <c r="I792" s="79"/>
      <c r="J792" s="14"/>
      <c r="K792" s="38"/>
      <c r="L792" s="38"/>
      <c r="M792" s="17"/>
    </row>
    <row r="793" spans="2:13" ht="14.45" customHeight="1" x14ac:dyDescent="0.25">
      <c r="B793" s="17"/>
      <c r="C793" s="14"/>
      <c r="D793" s="14"/>
      <c r="E793" s="18"/>
      <c r="F793" s="61"/>
      <c r="G793" s="73"/>
      <c r="H793" s="79"/>
      <c r="I793" s="79"/>
      <c r="J793" s="14"/>
      <c r="K793" s="38"/>
      <c r="L793" s="38"/>
      <c r="M793" s="17"/>
    </row>
    <row r="794" spans="2:13" ht="14.45" customHeight="1" x14ac:dyDescent="0.25">
      <c r="B794" s="17"/>
      <c r="C794" s="14"/>
      <c r="D794" s="14"/>
      <c r="E794" s="18"/>
      <c r="F794" s="61"/>
      <c r="G794" s="73"/>
      <c r="H794" s="79"/>
      <c r="I794" s="79"/>
      <c r="J794" s="14"/>
      <c r="K794" s="38"/>
      <c r="L794" s="38"/>
      <c r="M794" s="17"/>
    </row>
    <row r="795" spans="2:13" ht="14.45" customHeight="1" x14ac:dyDescent="0.25">
      <c r="B795" s="17"/>
      <c r="C795" s="14"/>
      <c r="D795" s="14"/>
      <c r="E795" s="18"/>
      <c r="F795" s="61"/>
      <c r="G795" s="73"/>
      <c r="H795" s="79"/>
      <c r="I795" s="79"/>
      <c r="J795" s="14"/>
      <c r="K795" s="38"/>
      <c r="L795" s="38"/>
      <c r="M795" s="17"/>
    </row>
    <row r="796" spans="2:13" ht="14.45" customHeight="1" x14ac:dyDescent="0.25">
      <c r="B796" s="17"/>
      <c r="C796" s="14"/>
      <c r="D796" s="14"/>
      <c r="E796" s="18"/>
      <c r="F796" s="61"/>
      <c r="G796" s="73"/>
      <c r="H796" s="79"/>
      <c r="I796" s="79"/>
      <c r="J796" s="14"/>
      <c r="K796" s="38"/>
      <c r="L796" s="38"/>
      <c r="M796" s="17"/>
    </row>
    <row r="797" spans="2:13" ht="14.45" customHeight="1" x14ac:dyDescent="0.25">
      <c r="B797" s="17"/>
      <c r="C797" s="14"/>
      <c r="D797" s="14"/>
      <c r="E797" s="18"/>
      <c r="F797" s="61"/>
      <c r="G797" s="73"/>
      <c r="H797" s="79"/>
      <c r="I797" s="79"/>
      <c r="J797" s="14"/>
      <c r="K797" s="38"/>
      <c r="L797" s="38"/>
      <c r="M797" s="17"/>
    </row>
    <row r="798" spans="2:13" ht="14.45" customHeight="1" x14ac:dyDescent="0.25">
      <c r="B798" s="17"/>
      <c r="C798" s="14"/>
      <c r="D798" s="14"/>
      <c r="E798" s="18"/>
      <c r="F798" s="61"/>
      <c r="G798" s="73"/>
      <c r="H798" s="79"/>
      <c r="I798" s="79"/>
      <c r="J798" s="14"/>
      <c r="K798" s="38"/>
      <c r="L798" s="38"/>
      <c r="M798" s="17"/>
    </row>
    <row r="799" spans="2:13" ht="14.45" customHeight="1" x14ac:dyDescent="0.25">
      <c r="B799" s="17"/>
      <c r="C799" s="14"/>
      <c r="D799" s="14"/>
      <c r="E799" s="18"/>
      <c r="F799" s="61"/>
      <c r="G799" s="73"/>
      <c r="H799" s="79"/>
      <c r="I799" s="79"/>
      <c r="J799" s="14"/>
      <c r="K799" s="38"/>
      <c r="L799" s="38"/>
      <c r="M799" s="17"/>
    </row>
    <row r="800" spans="2:13" ht="14.45" customHeight="1" x14ac:dyDescent="0.25">
      <c r="B800" s="17"/>
      <c r="C800" s="14"/>
      <c r="D800" s="14"/>
      <c r="E800" s="18"/>
      <c r="F800" s="61"/>
      <c r="G800" s="73"/>
      <c r="H800" s="79"/>
      <c r="I800" s="79"/>
      <c r="J800" s="14"/>
      <c r="K800" s="38"/>
      <c r="L800" s="38"/>
      <c r="M800" s="17"/>
    </row>
    <row r="801" spans="2:13" ht="14.45" customHeight="1" x14ac:dyDescent="0.25">
      <c r="B801" s="17"/>
      <c r="C801" s="14"/>
      <c r="D801" s="14"/>
      <c r="E801" s="18"/>
      <c r="F801" s="61"/>
      <c r="G801" s="73"/>
      <c r="H801" s="79"/>
      <c r="I801" s="79"/>
      <c r="J801" s="14"/>
      <c r="K801" s="38"/>
      <c r="L801" s="38"/>
      <c r="M801" s="17"/>
    </row>
    <row r="802" spans="2:13" ht="14.45" customHeight="1" x14ac:dyDescent="0.25">
      <c r="B802" s="17"/>
      <c r="C802" s="14"/>
      <c r="D802" s="14"/>
      <c r="E802" s="18"/>
      <c r="F802" s="61"/>
      <c r="G802" s="73"/>
      <c r="H802" s="79"/>
      <c r="I802" s="79"/>
      <c r="J802" s="14"/>
      <c r="K802" s="38"/>
      <c r="L802" s="38"/>
      <c r="M802" s="17"/>
    </row>
    <row r="803" spans="2:13" ht="14.45" customHeight="1" x14ac:dyDescent="0.25">
      <c r="B803" s="17"/>
      <c r="C803" s="14"/>
      <c r="D803" s="14"/>
      <c r="E803" s="18"/>
      <c r="F803" s="61"/>
      <c r="G803" s="73"/>
      <c r="H803" s="79"/>
      <c r="I803" s="79"/>
      <c r="J803" s="14"/>
      <c r="K803" s="38"/>
      <c r="L803" s="38"/>
      <c r="M803" s="17"/>
    </row>
    <row r="804" spans="2:13" ht="14.45" customHeight="1" x14ac:dyDescent="0.25">
      <c r="B804" s="17"/>
      <c r="C804" s="14"/>
      <c r="D804" s="14"/>
      <c r="E804" s="18"/>
      <c r="F804" s="61"/>
      <c r="G804" s="73"/>
      <c r="H804" s="79"/>
      <c r="I804" s="79"/>
      <c r="J804" s="14"/>
      <c r="K804" s="38"/>
      <c r="L804" s="38"/>
      <c r="M804" s="17"/>
    </row>
    <row r="805" spans="2:13" ht="14.45" customHeight="1" x14ac:dyDescent="0.25">
      <c r="B805" s="17"/>
      <c r="C805" s="14"/>
      <c r="D805" s="14"/>
      <c r="E805" s="18"/>
      <c r="F805" s="61"/>
      <c r="G805" s="73"/>
      <c r="H805" s="79"/>
      <c r="I805" s="79"/>
      <c r="J805" s="14"/>
      <c r="K805" s="38"/>
      <c r="L805" s="38"/>
      <c r="M805" s="17"/>
    </row>
    <row r="806" spans="2:13" ht="14.45" customHeight="1" x14ac:dyDescent="0.25">
      <c r="B806" s="17"/>
      <c r="C806" s="14"/>
      <c r="D806" s="14"/>
      <c r="E806" s="18"/>
      <c r="F806" s="61"/>
      <c r="G806" s="73"/>
      <c r="H806" s="79"/>
      <c r="I806" s="79"/>
      <c r="J806" s="14"/>
      <c r="K806" s="38"/>
      <c r="L806" s="38"/>
      <c r="M806" s="17"/>
    </row>
    <row r="807" spans="2:13" ht="14.45" customHeight="1" x14ac:dyDescent="0.25">
      <c r="B807" s="17"/>
      <c r="C807" s="14"/>
      <c r="D807" s="14"/>
      <c r="E807" s="18"/>
      <c r="F807" s="61"/>
      <c r="G807" s="73"/>
      <c r="H807" s="79"/>
      <c r="I807" s="79"/>
      <c r="J807" s="14"/>
      <c r="K807" s="38"/>
      <c r="L807" s="38"/>
      <c r="M807" s="17"/>
    </row>
    <row r="808" spans="2:13" ht="14.45" customHeight="1" x14ac:dyDescent="0.25">
      <c r="B808" s="17"/>
      <c r="C808" s="14"/>
      <c r="D808" s="14"/>
      <c r="E808" s="18"/>
      <c r="F808" s="61"/>
      <c r="G808" s="73"/>
      <c r="H808" s="79"/>
      <c r="I808" s="79"/>
      <c r="J808" s="14"/>
      <c r="K808" s="38"/>
      <c r="L808" s="38"/>
      <c r="M808" s="17"/>
    </row>
    <row r="809" spans="2:13" ht="14.45" customHeight="1" x14ac:dyDescent="0.25">
      <c r="B809" s="17"/>
      <c r="C809" s="14"/>
      <c r="D809" s="14"/>
      <c r="E809" s="18"/>
      <c r="F809" s="61"/>
      <c r="G809" s="73"/>
      <c r="H809" s="79"/>
      <c r="I809" s="79"/>
      <c r="J809" s="14"/>
      <c r="K809" s="38"/>
      <c r="L809" s="38"/>
      <c r="M809" s="17"/>
    </row>
    <row r="810" spans="2:13" ht="14.45" customHeight="1" x14ac:dyDescent="0.25">
      <c r="B810" s="17"/>
      <c r="C810" s="14"/>
      <c r="D810" s="14"/>
      <c r="E810" s="18"/>
      <c r="F810" s="61"/>
      <c r="G810" s="73"/>
      <c r="H810" s="79"/>
      <c r="I810" s="79"/>
      <c r="J810" s="14"/>
      <c r="K810" s="38"/>
      <c r="L810" s="38"/>
      <c r="M810" s="17"/>
    </row>
    <row r="811" spans="2:13" ht="14.45" customHeight="1" x14ac:dyDescent="0.25">
      <c r="B811" s="17"/>
      <c r="C811" s="14"/>
      <c r="D811" s="14"/>
      <c r="E811" s="18"/>
      <c r="F811" s="61"/>
      <c r="G811" s="73"/>
      <c r="H811" s="79"/>
      <c r="I811" s="79"/>
      <c r="J811" s="14"/>
      <c r="K811" s="38"/>
      <c r="L811" s="38"/>
      <c r="M811" s="17"/>
    </row>
    <row r="812" spans="2:13" ht="14.45" customHeight="1" x14ac:dyDescent="0.25">
      <c r="B812" s="17"/>
      <c r="C812" s="14"/>
      <c r="D812" s="14"/>
      <c r="E812" s="18"/>
      <c r="F812" s="61"/>
      <c r="G812" s="73"/>
      <c r="H812" s="79"/>
      <c r="I812" s="79"/>
      <c r="J812" s="14"/>
      <c r="K812" s="38"/>
      <c r="L812" s="38"/>
      <c r="M812" s="17"/>
    </row>
    <row r="813" spans="2:13" ht="14.45" customHeight="1" x14ac:dyDescent="0.25">
      <c r="B813" s="17"/>
      <c r="C813" s="14"/>
      <c r="D813" s="14"/>
      <c r="E813" s="18"/>
      <c r="F813" s="61"/>
      <c r="G813" s="73"/>
      <c r="H813" s="79"/>
      <c r="I813" s="79"/>
      <c r="J813" s="14"/>
      <c r="K813" s="38"/>
      <c r="L813" s="38"/>
      <c r="M813" s="17"/>
    </row>
    <row r="814" spans="2:13" ht="14.45" customHeight="1" x14ac:dyDescent="0.25">
      <c r="B814" s="17"/>
      <c r="C814" s="14"/>
      <c r="D814" s="14"/>
      <c r="E814" s="18"/>
      <c r="F814" s="61"/>
      <c r="G814" s="73"/>
      <c r="H814" s="79"/>
      <c r="I814" s="79"/>
      <c r="J814" s="14"/>
      <c r="K814" s="38"/>
      <c r="L814" s="38"/>
      <c r="M814" s="17"/>
    </row>
    <row r="815" spans="2:13" ht="14.45" customHeight="1" x14ac:dyDescent="0.25">
      <c r="B815" s="17"/>
      <c r="C815" s="14"/>
      <c r="D815" s="14"/>
      <c r="E815" s="18"/>
      <c r="F815" s="61"/>
      <c r="G815" s="73"/>
      <c r="H815" s="79"/>
      <c r="I815" s="79"/>
      <c r="J815" s="14"/>
      <c r="K815" s="38"/>
      <c r="L815" s="38"/>
      <c r="M815" s="17"/>
    </row>
    <row r="816" spans="2:13" ht="14.45" customHeight="1" x14ac:dyDescent="0.25">
      <c r="B816" s="17"/>
      <c r="C816" s="14"/>
      <c r="D816" s="14"/>
      <c r="E816" s="18"/>
      <c r="F816" s="61"/>
      <c r="G816" s="73"/>
      <c r="H816" s="79"/>
      <c r="I816" s="79"/>
      <c r="J816" s="14"/>
      <c r="K816" s="38"/>
      <c r="L816" s="38"/>
      <c r="M816" s="17"/>
    </row>
    <row r="817" spans="2:13" ht="14.45" customHeight="1" x14ac:dyDescent="0.25">
      <c r="B817" s="17"/>
      <c r="C817" s="14"/>
      <c r="D817" s="14"/>
      <c r="E817" s="18"/>
      <c r="F817" s="61"/>
      <c r="G817" s="73"/>
      <c r="H817" s="79"/>
      <c r="I817" s="79"/>
      <c r="J817" s="14"/>
      <c r="K817" s="38"/>
      <c r="L817" s="38"/>
      <c r="M817" s="17"/>
    </row>
    <row r="818" spans="2:13" ht="14.45" customHeight="1" x14ac:dyDescent="0.25">
      <c r="B818" s="17"/>
      <c r="C818" s="14"/>
      <c r="D818" s="14"/>
      <c r="E818" s="18"/>
      <c r="F818" s="61"/>
      <c r="G818" s="73"/>
      <c r="H818" s="79"/>
      <c r="I818" s="79"/>
      <c r="J818" s="14"/>
      <c r="K818" s="38"/>
      <c r="L818" s="38"/>
      <c r="M818" s="17"/>
    </row>
    <row r="819" spans="2:13" ht="14.45" customHeight="1" x14ac:dyDescent="0.25">
      <c r="B819" s="17"/>
      <c r="C819" s="14"/>
      <c r="D819" s="14"/>
      <c r="E819" s="18"/>
      <c r="F819" s="61"/>
      <c r="G819" s="73"/>
      <c r="H819" s="79"/>
      <c r="I819" s="79"/>
      <c r="J819" s="14"/>
      <c r="K819" s="38"/>
      <c r="L819" s="38"/>
      <c r="M819" s="17"/>
    </row>
    <row r="820" spans="2:13" ht="14.45" customHeight="1" x14ac:dyDescent="0.25">
      <c r="B820" s="17"/>
      <c r="C820" s="14"/>
      <c r="D820" s="14"/>
      <c r="E820" s="18"/>
      <c r="F820" s="61"/>
      <c r="G820" s="73"/>
      <c r="H820" s="79"/>
      <c r="I820" s="79"/>
      <c r="J820" s="14"/>
      <c r="K820" s="38"/>
      <c r="L820" s="38"/>
      <c r="M820" s="17"/>
    </row>
    <row r="821" spans="2:13" ht="14.45" customHeight="1" x14ac:dyDescent="0.25">
      <c r="B821" s="17"/>
      <c r="C821" s="14"/>
      <c r="D821" s="14"/>
      <c r="E821" s="18"/>
      <c r="F821" s="61"/>
      <c r="G821" s="73"/>
      <c r="H821" s="79"/>
      <c r="I821" s="79"/>
      <c r="J821" s="14"/>
      <c r="K821" s="38"/>
      <c r="L821" s="38"/>
      <c r="M821" s="17"/>
    </row>
    <row r="822" spans="2:13" ht="14.45" customHeight="1" x14ac:dyDescent="0.25">
      <c r="B822" s="17"/>
      <c r="C822" s="14"/>
      <c r="D822" s="14"/>
      <c r="E822" s="18"/>
      <c r="F822" s="61"/>
      <c r="G822" s="73"/>
      <c r="H822" s="79"/>
      <c r="I822" s="79"/>
      <c r="J822" s="14"/>
      <c r="K822" s="38"/>
      <c r="L822" s="38"/>
      <c r="M822" s="17"/>
    </row>
    <row r="823" spans="2:13" ht="14.45" customHeight="1" x14ac:dyDescent="0.25">
      <c r="B823" s="17"/>
      <c r="C823" s="14"/>
      <c r="D823" s="14"/>
      <c r="E823" s="18"/>
      <c r="F823" s="61"/>
      <c r="G823" s="73"/>
      <c r="H823" s="79"/>
      <c r="I823" s="79"/>
      <c r="J823" s="14"/>
      <c r="K823" s="38"/>
      <c r="L823" s="38"/>
      <c r="M823" s="17"/>
    </row>
    <row r="824" spans="2:13" ht="14.45" customHeight="1" x14ac:dyDescent="0.25">
      <c r="B824" s="17"/>
      <c r="C824" s="14"/>
      <c r="D824" s="14"/>
      <c r="E824" s="18"/>
      <c r="F824" s="61"/>
      <c r="G824" s="73"/>
      <c r="H824" s="79"/>
      <c r="I824" s="79"/>
      <c r="J824" s="14"/>
      <c r="K824" s="38"/>
      <c r="L824" s="38"/>
      <c r="M824" s="17"/>
    </row>
    <row r="825" spans="2:13" ht="14.45" customHeight="1" x14ac:dyDescent="0.25">
      <c r="B825" s="17"/>
      <c r="C825" s="14"/>
      <c r="D825" s="14"/>
      <c r="E825" s="18"/>
      <c r="F825" s="61"/>
      <c r="G825" s="73"/>
      <c r="H825" s="79"/>
      <c r="I825" s="79"/>
      <c r="J825" s="14"/>
      <c r="K825" s="38"/>
      <c r="L825" s="38"/>
      <c r="M825" s="17"/>
    </row>
    <row r="826" spans="2:13" ht="14.45" customHeight="1" x14ac:dyDescent="0.25">
      <c r="B826" s="17"/>
      <c r="C826" s="14"/>
      <c r="D826" s="14"/>
      <c r="E826" s="18"/>
      <c r="F826" s="61"/>
      <c r="G826" s="73"/>
      <c r="H826" s="79"/>
      <c r="I826" s="79"/>
      <c r="J826" s="14"/>
      <c r="K826" s="38"/>
      <c r="L826" s="38"/>
      <c r="M826" s="17"/>
    </row>
    <row r="827" spans="2:13" ht="14.45" customHeight="1" x14ac:dyDescent="0.25">
      <c r="B827" s="17"/>
      <c r="C827" s="14"/>
      <c r="D827" s="14"/>
      <c r="E827" s="18"/>
      <c r="F827" s="61"/>
      <c r="G827" s="73"/>
      <c r="H827" s="79"/>
      <c r="I827" s="79"/>
      <c r="J827" s="14"/>
      <c r="K827" s="38"/>
      <c r="L827" s="38"/>
      <c r="M827" s="17"/>
    </row>
    <row r="828" spans="2:13" ht="14.45" customHeight="1" x14ac:dyDescent="0.25">
      <c r="B828" s="17"/>
      <c r="C828" s="14"/>
      <c r="D828" s="14"/>
      <c r="E828" s="18"/>
      <c r="F828" s="61"/>
      <c r="G828" s="73"/>
      <c r="H828" s="79"/>
      <c r="I828" s="79"/>
      <c r="J828" s="14"/>
      <c r="K828" s="38"/>
      <c r="L828" s="38"/>
      <c r="M828" s="17"/>
    </row>
    <row r="829" spans="2:13" ht="14.45" customHeight="1" x14ac:dyDescent="0.25">
      <c r="B829" s="17"/>
      <c r="C829" s="14"/>
      <c r="D829" s="14"/>
      <c r="E829" s="18"/>
      <c r="F829" s="61"/>
      <c r="G829" s="73"/>
      <c r="H829" s="79"/>
      <c r="I829" s="79"/>
      <c r="J829" s="14"/>
      <c r="K829" s="38"/>
      <c r="L829" s="38"/>
      <c r="M829" s="17"/>
    </row>
    <row r="830" spans="2:13" ht="14.45" customHeight="1" x14ac:dyDescent="0.25">
      <c r="B830" s="17"/>
      <c r="C830" s="14"/>
      <c r="D830" s="14"/>
      <c r="E830" s="18"/>
      <c r="F830" s="61"/>
      <c r="G830" s="73"/>
      <c r="H830" s="79"/>
      <c r="I830" s="79"/>
      <c r="J830" s="14"/>
      <c r="K830" s="38"/>
      <c r="L830" s="38"/>
      <c r="M830" s="17"/>
    </row>
    <row r="831" spans="2:13" ht="14.45" customHeight="1" x14ac:dyDescent="0.25">
      <c r="B831" s="17"/>
      <c r="C831" s="14"/>
      <c r="D831" s="14"/>
      <c r="E831" s="18"/>
      <c r="F831" s="61"/>
      <c r="G831" s="73"/>
      <c r="H831" s="79"/>
      <c r="I831" s="79"/>
      <c r="J831" s="14"/>
      <c r="K831" s="38"/>
      <c r="L831" s="38"/>
      <c r="M831" s="17"/>
    </row>
    <row r="832" spans="2:13" ht="14.45" customHeight="1" x14ac:dyDescent="0.25">
      <c r="B832" s="17"/>
      <c r="C832" s="14"/>
      <c r="D832" s="14"/>
      <c r="E832" s="18"/>
      <c r="F832" s="61"/>
      <c r="G832" s="73"/>
      <c r="H832" s="79"/>
      <c r="I832" s="79"/>
      <c r="J832" s="14"/>
      <c r="K832" s="38"/>
      <c r="L832" s="38"/>
      <c r="M832" s="17"/>
    </row>
    <row r="833" spans="2:13" ht="14.45" customHeight="1" x14ac:dyDescent="0.25">
      <c r="B833" s="17"/>
      <c r="C833" s="14"/>
      <c r="D833" s="14"/>
      <c r="E833" s="18"/>
      <c r="F833" s="61"/>
      <c r="G833" s="73"/>
      <c r="H833" s="79"/>
      <c r="I833" s="79"/>
      <c r="J833" s="14"/>
      <c r="K833" s="38"/>
      <c r="L833" s="38"/>
      <c r="M833" s="17"/>
    </row>
    <row r="834" spans="2:13" ht="14.45" customHeight="1" x14ac:dyDescent="0.25">
      <c r="B834" s="17"/>
      <c r="C834" s="14"/>
      <c r="D834" s="14"/>
      <c r="E834" s="18"/>
      <c r="F834" s="61"/>
      <c r="G834" s="73"/>
      <c r="H834" s="79"/>
      <c r="I834" s="79"/>
      <c r="J834" s="14"/>
      <c r="K834" s="38"/>
      <c r="L834" s="38"/>
      <c r="M834" s="17"/>
    </row>
    <row r="835" spans="2:13" ht="14.45" customHeight="1" x14ac:dyDescent="0.25">
      <c r="B835" s="17"/>
      <c r="C835" s="14"/>
      <c r="D835" s="14"/>
      <c r="E835" s="18"/>
      <c r="F835" s="61"/>
      <c r="G835" s="73"/>
      <c r="H835" s="79"/>
      <c r="I835" s="79"/>
      <c r="J835" s="14"/>
      <c r="K835" s="38"/>
      <c r="L835" s="38"/>
      <c r="M835" s="17"/>
    </row>
    <row r="836" spans="2:13" ht="14.45" customHeight="1" x14ac:dyDescent="0.25">
      <c r="B836" s="17"/>
      <c r="C836" s="14"/>
      <c r="D836" s="14"/>
      <c r="E836" s="18"/>
      <c r="F836" s="61"/>
      <c r="G836" s="73"/>
      <c r="H836" s="79"/>
      <c r="I836" s="79"/>
      <c r="J836" s="14"/>
      <c r="K836" s="38"/>
      <c r="L836" s="38"/>
      <c r="M836" s="17"/>
    </row>
    <row r="837" spans="2:13" ht="14.45" customHeight="1" x14ac:dyDescent="0.25">
      <c r="B837" s="17"/>
      <c r="C837" s="14"/>
      <c r="D837" s="14"/>
      <c r="E837" s="18"/>
      <c r="F837" s="61"/>
      <c r="G837" s="73"/>
      <c r="H837" s="79"/>
      <c r="I837" s="79"/>
      <c r="J837" s="14"/>
      <c r="K837" s="38"/>
      <c r="L837" s="38"/>
      <c r="M837" s="17"/>
    </row>
    <row r="838" spans="2:13" ht="14.45" customHeight="1" x14ac:dyDescent="0.25">
      <c r="B838" s="17"/>
      <c r="C838" s="14"/>
      <c r="D838" s="14"/>
      <c r="E838" s="18"/>
      <c r="F838" s="61"/>
      <c r="G838" s="73"/>
      <c r="H838" s="79"/>
      <c r="I838" s="79"/>
      <c r="J838" s="14"/>
      <c r="K838" s="38"/>
      <c r="L838" s="38"/>
      <c r="M838" s="17"/>
    </row>
    <row r="839" spans="2:13" ht="14.45" customHeight="1" x14ac:dyDescent="0.25">
      <c r="B839" s="17"/>
      <c r="C839" s="14"/>
      <c r="D839" s="14"/>
      <c r="E839" s="18"/>
      <c r="F839" s="61"/>
      <c r="G839" s="73"/>
      <c r="H839" s="79"/>
      <c r="I839" s="79"/>
      <c r="J839" s="14"/>
      <c r="K839" s="38"/>
      <c r="L839" s="38"/>
      <c r="M839" s="17"/>
    </row>
    <row r="840" spans="2:13" ht="14.45" customHeight="1" x14ac:dyDescent="0.25">
      <c r="B840" s="17"/>
      <c r="C840" s="14"/>
      <c r="D840" s="14"/>
      <c r="E840" s="18"/>
      <c r="F840" s="61"/>
      <c r="G840" s="73"/>
      <c r="H840" s="79"/>
      <c r="I840" s="79"/>
      <c r="J840" s="14"/>
      <c r="K840" s="38"/>
      <c r="L840" s="38"/>
      <c r="M840" s="17"/>
    </row>
    <row r="841" spans="2:13" ht="14.45" customHeight="1" x14ac:dyDescent="0.25">
      <c r="B841" s="17"/>
      <c r="C841" s="14"/>
      <c r="D841" s="14"/>
      <c r="E841" s="18"/>
      <c r="F841" s="61"/>
      <c r="G841" s="73"/>
      <c r="H841" s="79"/>
      <c r="I841" s="79"/>
      <c r="J841" s="14"/>
      <c r="K841" s="38"/>
      <c r="L841" s="38"/>
      <c r="M841" s="17"/>
    </row>
    <row r="842" spans="2:13" ht="14.45" customHeight="1" x14ac:dyDescent="0.25">
      <c r="B842" s="17"/>
      <c r="C842" s="14"/>
      <c r="D842" s="14"/>
      <c r="E842" s="18"/>
      <c r="F842" s="61"/>
      <c r="G842" s="73"/>
      <c r="H842" s="79"/>
      <c r="I842" s="79"/>
      <c r="J842" s="14"/>
      <c r="K842" s="38"/>
      <c r="L842" s="38"/>
      <c r="M842" s="17"/>
    </row>
    <row r="843" spans="2:13" ht="14.45" customHeight="1" x14ac:dyDescent="0.25">
      <c r="B843" s="17"/>
      <c r="C843" s="14"/>
      <c r="D843" s="14"/>
      <c r="E843" s="18"/>
      <c r="F843" s="61"/>
      <c r="G843" s="73"/>
      <c r="H843" s="79"/>
      <c r="I843" s="79"/>
      <c r="J843" s="14"/>
      <c r="K843" s="38"/>
      <c r="L843" s="38"/>
      <c r="M843" s="17"/>
    </row>
    <row r="844" spans="2:13" ht="14.45" customHeight="1" x14ac:dyDescent="0.25">
      <c r="B844" s="17"/>
      <c r="C844" s="14"/>
      <c r="D844" s="14"/>
      <c r="E844" s="18"/>
      <c r="F844" s="61"/>
      <c r="G844" s="73"/>
      <c r="H844" s="79"/>
      <c r="I844" s="79"/>
      <c r="J844" s="14"/>
      <c r="K844" s="38"/>
      <c r="L844" s="38"/>
      <c r="M844" s="17"/>
    </row>
    <row r="845" spans="2:13" ht="14.45" customHeight="1" x14ac:dyDescent="0.25">
      <c r="B845" s="17"/>
      <c r="C845" s="14"/>
      <c r="D845" s="14"/>
      <c r="E845" s="18"/>
      <c r="F845" s="61"/>
      <c r="G845" s="73"/>
      <c r="H845" s="79"/>
      <c r="I845" s="79"/>
      <c r="J845" s="14"/>
      <c r="K845" s="38"/>
      <c r="L845" s="38"/>
      <c r="M845" s="17"/>
    </row>
    <row r="846" spans="2:13" ht="14.45" customHeight="1" x14ac:dyDescent="0.25">
      <c r="B846" s="17"/>
      <c r="C846" s="14"/>
      <c r="D846" s="14"/>
      <c r="E846" s="18"/>
      <c r="F846" s="61"/>
      <c r="G846" s="73"/>
      <c r="H846" s="79"/>
      <c r="I846" s="79"/>
      <c r="J846" s="14"/>
      <c r="K846" s="38"/>
      <c r="L846" s="38"/>
      <c r="M846" s="17"/>
    </row>
    <row r="847" spans="2:13" ht="14.45" customHeight="1" x14ac:dyDescent="0.25">
      <c r="B847" s="17"/>
      <c r="C847" s="14"/>
      <c r="D847" s="14"/>
      <c r="E847" s="18"/>
      <c r="F847" s="61"/>
      <c r="G847" s="73"/>
      <c r="H847" s="79"/>
      <c r="I847" s="79"/>
      <c r="J847" s="14"/>
      <c r="K847" s="38"/>
      <c r="L847" s="38"/>
      <c r="M847" s="17"/>
    </row>
    <row r="848" spans="2:13" ht="14.45" customHeight="1" x14ac:dyDescent="0.25">
      <c r="B848" s="17"/>
      <c r="C848" s="14"/>
      <c r="D848" s="14"/>
      <c r="E848" s="18"/>
      <c r="F848" s="61"/>
      <c r="G848" s="73"/>
      <c r="H848" s="79"/>
      <c r="I848" s="79"/>
      <c r="J848" s="14"/>
      <c r="K848" s="38"/>
      <c r="L848" s="38"/>
      <c r="M848" s="17"/>
    </row>
    <row r="849" spans="2:13" ht="14.45" customHeight="1" x14ac:dyDescent="0.25">
      <c r="B849" s="17"/>
      <c r="C849" s="14"/>
      <c r="D849" s="14"/>
      <c r="E849" s="18"/>
      <c r="F849" s="61"/>
      <c r="G849" s="73"/>
      <c r="H849" s="79"/>
      <c r="I849" s="79"/>
      <c r="J849" s="14"/>
      <c r="K849" s="38"/>
      <c r="L849" s="38"/>
      <c r="M849" s="17"/>
    </row>
    <row r="850" spans="2:13" ht="14.45" customHeight="1" x14ac:dyDescent="0.25">
      <c r="B850" s="17"/>
      <c r="C850" s="14"/>
      <c r="D850" s="14"/>
      <c r="E850" s="18"/>
      <c r="F850" s="61"/>
      <c r="G850" s="73"/>
      <c r="H850" s="79"/>
      <c r="I850" s="79"/>
      <c r="J850" s="14"/>
      <c r="K850" s="38"/>
      <c r="L850" s="38"/>
      <c r="M850" s="17"/>
    </row>
    <row r="851" spans="2:13" ht="14.45" customHeight="1" x14ac:dyDescent="0.25">
      <c r="B851" s="17"/>
      <c r="C851" s="14"/>
      <c r="D851" s="14"/>
      <c r="E851" s="18"/>
      <c r="F851" s="61"/>
      <c r="G851" s="73"/>
      <c r="H851" s="79"/>
      <c r="I851" s="79"/>
      <c r="J851" s="14"/>
      <c r="K851" s="38"/>
      <c r="L851" s="38"/>
      <c r="M851" s="17"/>
    </row>
    <row r="852" spans="2:13" ht="14.45" customHeight="1" x14ac:dyDescent="0.25">
      <c r="B852" s="17"/>
      <c r="C852" s="14"/>
      <c r="D852" s="14"/>
      <c r="E852" s="18"/>
      <c r="F852" s="61"/>
      <c r="G852" s="73"/>
      <c r="H852" s="79"/>
      <c r="I852" s="79"/>
      <c r="J852" s="14"/>
      <c r="K852" s="38"/>
      <c r="L852" s="38"/>
      <c r="M852" s="17"/>
    </row>
    <row r="853" spans="2:13" ht="14.45" customHeight="1" x14ac:dyDescent="0.25">
      <c r="B853" s="17"/>
      <c r="C853" s="14"/>
      <c r="D853" s="14"/>
      <c r="E853" s="18"/>
      <c r="F853" s="61"/>
      <c r="G853" s="73"/>
      <c r="H853" s="79"/>
      <c r="I853" s="79"/>
      <c r="J853" s="14"/>
      <c r="K853" s="38"/>
      <c r="L853" s="38"/>
      <c r="M853" s="17"/>
    </row>
    <row r="854" spans="2:13" ht="14.45" customHeight="1" x14ac:dyDescent="0.25">
      <c r="B854" s="17"/>
      <c r="C854" s="14"/>
      <c r="D854" s="14"/>
      <c r="E854" s="18"/>
      <c r="F854" s="61"/>
      <c r="G854" s="73"/>
      <c r="H854" s="79"/>
      <c r="I854" s="79"/>
      <c r="J854" s="14"/>
      <c r="K854" s="38"/>
      <c r="L854" s="38"/>
      <c r="M854" s="17"/>
    </row>
    <row r="855" spans="2:13" ht="14.45" customHeight="1" x14ac:dyDescent="0.25">
      <c r="B855" s="17"/>
      <c r="C855" s="14"/>
      <c r="D855" s="14"/>
      <c r="E855" s="18"/>
      <c r="F855" s="61"/>
      <c r="G855" s="73"/>
      <c r="H855" s="79"/>
      <c r="I855" s="79"/>
      <c r="J855" s="14"/>
      <c r="K855" s="38"/>
      <c r="L855" s="38"/>
      <c r="M855" s="17"/>
    </row>
    <row r="856" spans="2:13" ht="14.45" customHeight="1" x14ac:dyDescent="0.25">
      <c r="B856" s="17"/>
      <c r="C856" s="14"/>
      <c r="D856" s="14"/>
      <c r="E856" s="18"/>
      <c r="F856" s="61"/>
      <c r="G856" s="73"/>
      <c r="H856" s="79"/>
      <c r="I856" s="79"/>
      <c r="J856" s="14"/>
      <c r="K856" s="38"/>
      <c r="L856" s="38"/>
      <c r="M856" s="17"/>
    </row>
    <row r="857" spans="2:13" ht="14.45" customHeight="1" x14ac:dyDescent="0.25">
      <c r="B857" s="17"/>
      <c r="C857" s="14"/>
      <c r="D857" s="14"/>
      <c r="E857" s="18"/>
      <c r="F857" s="61"/>
      <c r="G857" s="73"/>
      <c r="H857" s="79"/>
      <c r="I857" s="79"/>
      <c r="J857" s="14"/>
      <c r="K857" s="38"/>
      <c r="L857" s="38"/>
      <c r="M857" s="17"/>
    </row>
    <row r="858" spans="2:13" ht="14.45" customHeight="1" x14ac:dyDescent="0.25">
      <c r="B858" s="17"/>
      <c r="C858" s="14"/>
      <c r="D858" s="14"/>
      <c r="E858" s="18"/>
      <c r="F858" s="61"/>
      <c r="G858" s="73"/>
      <c r="H858" s="79"/>
      <c r="I858" s="79"/>
      <c r="J858" s="14"/>
      <c r="K858" s="38"/>
      <c r="L858" s="38"/>
      <c r="M858" s="17"/>
    </row>
    <row r="859" spans="2:13" ht="14.45" customHeight="1" x14ac:dyDescent="0.25">
      <c r="B859" s="17"/>
      <c r="C859" s="14"/>
      <c r="D859" s="14"/>
      <c r="E859" s="18"/>
      <c r="F859" s="61"/>
      <c r="G859" s="73"/>
      <c r="H859" s="79"/>
      <c r="I859" s="79"/>
      <c r="J859" s="14"/>
      <c r="K859" s="38"/>
      <c r="L859" s="38"/>
      <c r="M859" s="17"/>
    </row>
    <row r="860" spans="2:13" ht="14.45" customHeight="1" x14ac:dyDescent="0.25">
      <c r="B860" s="17"/>
      <c r="C860" s="14"/>
      <c r="D860" s="14"/>
      <c r="E860" s="18"/>
      <c r="F860" s="61"/>
      <c r="G860" s="73"/>
      <c r="H860" s="79"/>
      <c r="I860" s="79"/>
      <c r="J860" s="14"/>
      <c r="K860" s="38"/>
      <c r="L860" s="38"/>
      <c r="M860" s="17"/>
    </row>
    <row r="861" spans="2:13" ht="14.45" customHeight="1" x14ac:dyDescent="0.25">
      <c r="B861" s="17"/>
      <c r="C861" s="14"/>
      <c r="D861" s="14"/>
      <c r="E861" s="18"/>
      <c r="F861" s="61"/>
      <c r="G861" s="73"/>
      <c r="H861" s="79"/>
      <c r="I861" s="79"/>
      <c r="J861" s="14"/>
      <c r="K861" s="38"/>
      <c r="L861" s="38"/>
      <c r="M861" s="17"/>
    </row>
    <row r="862" spans="2:13" ht="14.45" customHeight="1" x14ac:dyDescent="0.25">
      <c r="B862" s="17"/>
      <c r="C862" s="14"/>
      <c r="D862" s="14"/>
      <c r="E862" s="18"/>
      <c r="F862" s="61"/>
      <c r="G862" s="73"/>
      <c r="H862" s="79"/>
      <c r="I862" s="79"/>
      <c r="J862" s="14"/>
      <c r="K862" s="38"/>
      <c r="L862" s="38"/>
      <c r="M862" s="17"/>
    </row>
    <row r="863" spans="2:13" ht="14.45" customHeight="1" x14ac:dyDescent="0.25">
      <c r="B863" s="17"/>
      <c r="C863" s="14"/>
      <c r="D863" s="14"/>
      <c r="E863" s="18"/>
      <c r="F863" s="61"/>
      <c r="G863" s="73"/>
      <c r="H863" s="79"/>
      <c r="I863" s="79"/>
      <c r="J863" s="14"/>
      <c r="K863" s="38"/>
      <c r="L863" s="38"/>
      <c r="M863" s="17"/>
    </row>
    <row r="864" spans="2:13" ht="14.45" customHeight="1" x14ac:dyDescent="0.25">
      <c r="B864" s="17"/>
      <c r="C864" s="14"/>
      <c r="D864" s="14"/>
      <c r="E864" s="18"/>
      <c r="F864" s="61"/>
      <c r="G864" s="73"/>
      <c r="H864" s="79"/>
      <c r="I864" s="79"/>
      <c r="J864" s="14"/>
      <c r="K864" s="38"/>
      <c r="L864" s="38"/>
      <c r="M864" s="17"/>
    </row>
    <row r="865" spans="2:13" ht="14.45" customHeight="1" x14ac:dyDescent="0.25">
      <c r="B865" s="17"/>
      <c r="C865" s="14"/>
      <c r="D865" s="14"/>
      <c r="E865" s="18"/>
      <c r="F865" s="61"/>
      <c r="G865" s="73"/>
      <c r="H865" s="79"/>
      <c r="I865" s="79"/>
      <c r="J865" s="14"/>
      <c r="K865" s="38"/>
      <c r="L865" s="38"/>
      <c r="M865" s="17"/>
    </row>
    <row r="866" spans="2:13" ht="14.45" customHeight="1" x14ac:dyDescent="0.25">
      <c r="B866" s="17"/>
      <c r="C866" s="14"/>
      <c r="D866" s="14"/>
      <c r="E866" s="18"/>
      <c r="F866" s="61"/>
      <c r="G866" s="73"/>
      <c r="H866" s="79"/>
      <c r="I866" s="79"/>
      <c r="J866" s="14"/>
      <c r="K866" s="38"/>
      <c r="L866" s="38"/>
      <c r="M866" s="17"/>
    </row>
    <row r="867" spans="2:13" ht="14.45" customHeight="1" x14ac:dyDescent="0.25">
      <c r="B867" s="17"/>
      <c r="C867" s="14"/>
      <c r="D867" s="14"/>
      <c r="E867" s="18"/>
      <c r="F867" s="61"/>
      <c r="G867" s="73"/>
      <c r="H867" s="79"/>
      <c r="I867" s="79"/>
      <c r="J867" s="14"/>
      <c r="K867" s="38"/>
      <c r="L867" s="38"/>
      <c r="M867" s="17"/>
    </row>
    <row r="868" spans="2:13" ht="14.45" customHeight="1" x14ac:dyDescent="0.25">
      <c r="B868" s="17"/>
      <c r="C868" s="14"/>
      <c r="D868" s="14"/>
      <c r="E868" s="18"/>
      <c r="F868" s="61"/>
      <c r="G868" s="73"/>
      <c r="H868" s="79"/>
      <c r="I868" s="79"/>
      <c r="J868" s="14"/>
      <c r="K868" s="38"/>
      <c r="L868" s="38"/>
      <c r="M868" s="17"/>
    </row>
    <row r="869" spans="2:13" ht="14.45" customHeight="1" x14ac:dyDescent="0.25">
      <c r="B869" s="17"/>
      <c r="C869" s="14"/>
      <c r="D869" s="14"/>
      <c r="E869" s="18"/>
      <c r="F869" s="61"/>
      <c r="G869" s="73"/>
      <c r="H869" s="79"/>
      <c r="I869" s="79"/>
      <c r="J869" s="14"/>
      <c r="K869" s="38"/>
      <c r="L869" s="38"/>
      <c r="M869" s="17"/>
    </row>
    <row r="870" spans="2:13" ht="14.45" customHeight="1" x14ac:dyDescent="0.25">
      <c r="B870" s="17"/>
      <c r="C870" s="14"/>
      <c r="D870" s="14"/>
      <c r="E870" s="18"/>
      <c r="F870" s="61"/>
      <c r="G870" s="73"/>
      <c r="H870" s="79"/>
      <c r="I870" s="79"/>
      <c r="J870" s="14"/>
      <c r="K870" s="38"/>
      <c r="L870" s="38"/>
      <c r="M870" s="17"/>
    </row>
    <row r="871" spans="2:13" ht="14.45" customHeight="1" x14ac:dyDescent="0.25">
      <c r="B871" s="17"/>
      <c r="C871" s="14"/>
      <c r="D871" s="14"/>
      <c r="E871" s="18"/>
      <c r="F871" s="61"/>
      <c r="G871" s="73"/>
      <c r="H871" s="79"/>
      <c r="I871" s="79"/>
      <c r="J871" s="14"/>
      <c r="K871" s="38"/>
      <c r="L871" s="38"/>
      <c r="M871" s="17"/>
    </row>
    <row r="872" spans="2:13" ht="14.45" customHeight="1" x14ac:dyDescent="0.25">
      <c r="B872" s="17"/>
      <c r="C872" s="14"/>
      <c r="D872" s="14"/>
      <c r="E872" s="18"/>
      <c r="F872" s="61"/>
      <c r="G872" s="73"/>
      <c r="H872" s="79"/>
      <c r="I872" s="79"/>
      <c r="J872" s="14"/>
      <c r="K872" s="38"/>
      <c r="L872" s="38"/>
      <c r="M872" s="17"/>
    </row>
    <row r="873" spans="2:13" ht="14.45" customHeight="1" x14ac:dyDescent="0.25">
      <c r="B873" s="17"/>
      <c r="C873" s="14"/>
      <c r="D873" s="14"/>
      <c r="E873" s="18"/>
      <c r="F873" s="61"/>
      <c r="G873" s="73"/>
      <c r="H873" s="79"/>
      <c r="I873" s="79"/>
      <c r="J873" s="14"/>
      <c r="K873" s="38"/>
      <c r="L873" s="38"/>
      <c r="M873" s="17"/>
    </row>
    <row r="874" spans="2:13" ht="14.45" customHeight="1" x14ac:dyDescent="0.25">
      <c r="B874" s="17"/>
      <c r="C874" s="14"/>
      <c r="D874" s="14"/>
      <c r="E874" s="18"/>
      <c r="F874" s="61"/>
      <c r="G874" s="73"/>
      <c r="H874" s="79"/>
      <c r="I874" s="79"/>
      <c r="J874" s="14"/>
      <c r="K874" s="38"/>
      <c r="L874" s="38"/>
      <c r="M874" s="17"/>
    </row>
    <row r="875" spans="2:13" ht="14.45" customHeight="1" x14ac:dyDescent="0.25">
      <c r="B875" s="17"/>
      <c r="C875" s="14"/>
      <c r="D875" s="14"/>
      <c r="E875" s="18"/>
      <c r="F875" s="61"/>
      <c r="G875" s="73"/>
      <c r="H875" s="79"/>
      <c r="I875" s="79"/>
      <c r="J875" s="14"/>
      <c r="K875" s="38"/>
      <c r="L875" s="38"/>
      <c r="M875" s="17"/>
    </row>
    <row r="876" spans="2:13" ht="14.45" customHeight="1" x14ac:dyDescent="0.25">
      <c r="B876" s="17"/>
      <c r="C876" s="14"/>
      <c r="D876" s="14"/>
      <c r="E876" s="18"/>
      <c r="F876" s="61"/>
      <c r="G876" s="73"/>
      <c r="H876" s="79"/>
      <c r="I876" s="79"/>
      <c r="J876" s="14"/>
      <c r="K876" s="38"/>
      <c r="L876" s="38"/>
      <c r="M876" s="17"/>
    </row>
    <row r="877" spans="2:13" ht="14.45" customHeight="1" x14ac:dyDescent="0.25">
      <c r="B877" s="17"/>
      <c r="C877" s="14"/>
      <c r="D877" s="14"/>
      <c r="E877" s="18"/>
      <c r="F877" s="61"/>
      <c r="G877" s="73"/>
      <c r="H877" s="79"/>
      <c r="I877" s="79"/>
      <c r="J877" s="14"/>
      <c r="K877" s="38"/>
      <c r="L877" s="38"/>
      <c r="M877" s="17"/>
    </row>
    <row r="878" spans="2:13" ht="14.45" customHeight="1" x14ac:dyDescent="0.25">
      <c r="B878" s="17"/>
      <c r="C878" s="14"/>
      <c r="D878" s="14"/>
      <c r="E878" s="18"/>
      <c r="F878" s="61"/>
      <c r="G878" s="73"/>
      <c r="H878" s="79"/>
      <c r="I878" s="79"/>
      <c r="J878" s="14"/>
      <c r="K878" s="38"/>
      <c r="L878" s="38"/>
      <c r="M878" s="17"/>
    </row>
    <row r="879" spans="2:13" ht="14.45" customHeight="1" x14ac:dyDescent="0.25">
      <c r="B879" s="17"/>
      <c r="C879" s="14"/>
      <c r="D879" s="14"/>
      <c r="E879" s="18"/>
      <c r="F879" s="61"/>
      <c r="G879" s="73"/>
      <c r="H879" s="79"/>
      <c r="I879" s="79"/>
      <c r="J879" s="14"/>
      <c r="K879" s="38"/>
      <c r="L879" s="38"/>
      <c r="M879" s="17"/>
    </row>
    <row r="880" spans="2:13" ht="14.45" customHeight="1" x14ac:dyDescent="0.25">
      <c r="B880" s="17"/>
      <c r="C880" s="14"/>
      <c r="D880" s="14"/>
      <c r="E880" s="18"/>
      <c r="F880" s="61"/>
      <c r="G880" s="73"/>
      <c r="H880" s="79"/>
      <c r="I880" s="79"/>
      <c r="J880" s="14"/>
      <c r="K880" s="38"/>
      <c r="L880" s="38"/>
      <c r="M880" s="17"/>
    </row>
    <row r="881" spans="2:13" ht="14.45" customHeight="1" x14ac:dyDescent="0.25">
      <c r="B881" s="17"/>
      <c r="C881" s="14"/>
      <c r="D881" s="14"/>
      <c r="E881" s="18"/>
      <c r="F881" s="61"/>
      <c r="G881" s="73"/>
      <c r="H881" s="79"/>
      <c r="I881" s="79"/>
      <c r="J881" s="14"/>
      <c r="K881" s="38"/>
      <c r="L881" s="38"/>
      <c r="M881" s="17"/>
    </row>
    <row r="882" spans="2:13" ht="14.45" customHeight="1" x14ac:dyDescent="0.25">
      <c r="B882" s="17"/>
      <c r="C882" s="14"/>
      <c r="D882" s="14"/>
      <c r="E882" s="18"/>
      <c r="F882" s="61"/>
      <c r="G882" s="73"/>
      <c r="H882" s="79"/>
      <c r="I882" s="79"/>
      <c r="J882" s="14"/>
      <c r="K882" s="38"/>
      <c r="L882" s="38"/>
      <c r="M882" s="17"/>
    </row>
    <row r="883" spans="2:13" ht="14.45" customHeight="1" x14ac:dyDescent="0.25">
      <c r="B883" s="17"/>
      <c r="C883" s="14"/>
      <c r="D883" s="14"/>
      <c r="E883" s="18"/>
      <c r="F883" s="61"/>
      <c r="G883" s="73"/>
      <c r="H883" s="79"/>
      <c r="I883" s="79"/>
      <c r="J883" s="14"/>
      <c r="K883" s="38"/>
      <c r="L883" s="38"/>
      <c r="M883" s="17"/>
    </row>
    <row r="884" spans="2:13" ht="14.45" customHeight="1" x14ac:dyDescent="0.25">
      <c r="B884" s="17"/>
      <c r="C884" s="14"/>
      <c r="D884" s="14"/>
      <c r="E884" s="18"/>
      <c r="F884" s="61"/>
      <c r="G884" s="73"/>
      <c r="H884" s="79"/>
      <c r="I884" s="79"/>
      <c r="J884" s="14"/>
      <c r="K884" s="38"/>
      <c r="L884" s="38"/>
      <c r="M884" s="17"/>
    </row>
    <row r="885" spans="2:13" ht="14.45" customHeight="1" x14ac:dyDescent="0.25">
      <c r="B885" s="17"/>
      <c r="C885" s="14"/>
      <c r="D885" s="14"/>
      <c r="E885" s="18"/>
      <c r="F885" s="61"/>
      <c r="G885" s="73"/>
      <c r="H885" s="79"/>
      <c r="I885" s="79"/>
      <c r="J885" s="14"/>
      <c r="K885" s="38"/>
      <c r="L885" s="38"/>
      <c r="M885" s="17"/>
    </row>
    <row r="886" spans="2:13" ht="14.45" customHeight="1" x14ac:dyDescent="0.25">
      <c r="B886" s="17"/>
      <c r="C886" s="14"/>
      <c r="D886" s="14"/>
      <c r="E886" s="18"/>
      <c r="F886" s="61"/>
      <c r="G886" s="73"/>
      <c r="H886" s="79"/>
      <c r="I886" s="79"/>
      <c r="J886" s="14"/>
      <c r="K886" s="38"/>
      <c r="L886" s="38"/>
      <c r="M886" s="17"/>
    </row>
    <row r="887" spans="2:13" ht="14.45" customHeight="1" x14ac:dyDescent="0.25">
      <c r="B887" s="17"/>
      <c r="C887" s="14"/>
      <c r="D887" s="14"/>
      <c r="E887" s="18"/>
      <c r="F887" s="61"/>
      <c r="G887" s="73"/>
      <c r="H887" s="79"/>
      <c r="I887" s="79"/>
      <c r="J887" s="14"/>
      <c r="K887" s="38"/>
      <c r="L887" s="38"/>
      <c r="M887" s="17"/>
    </row>
    <row r="888" spans="2:13" ht="14.45" customHeight="1" x14ac:dyDescent="0.25">
      <c r="B888" s="17"/>
      <c r="C888" s="14"/>
      <c r="D888" s="14"/>
      <c r="E888" s="18"/>
      <c r="F888" s="61"/>
      <c r="G888" s="73"/>
      <c r="H888" s="79"/>
      <c r="I888" s="79"/>
      <c r="J888" s="14"/>
      <c r="K888" s="38"/>
      <c r="L888" s="38"/>
      <c r="M888" s="17"/>
    </row>
    <row r="889" spans="2:13" ht="14.45" customHeight="1" x14ac:dyDescent="0.25">
      <c r="B889" s="17"/>
      <c r="C889" s="14"/>
      <c r="D889" s="14"/>
      <c r="E889" s="18"/>
      <c r="F889" s="61"/>
      <c r="G889" s="73"/>
      <c r="H889" s="79"/>
      <c r="I889" s="79"/>
      <c r="J889" s="14"/>
      <c r="K889" s="38"/>
      <c r="L889" s="38"/>
      <c r="M889" s="17"/>
    </row>
    <row r="890" spans="2:13" ht="14.45" customHeight="1" x14ac:dyDescent="0.25">
      <c r="B890" s="17"/>
      <c r="C890" s="14"/>
      <c r="D890" s="14"/>
      <c r="E890" s="18"/>
      <c r="F890" s="61"/>
      <c r="G890" s="73"/>
      <c r="H890" s="79"/>
      <c r="I890" s="79"/>
      <c r="J890" s="14"/>
      <c r="K890" s="38"/>
      <c r="L890" s="38"/>
      <c r="M890" s="17"/>
    </row>
    <row r="891" spans="2:13" ht="14.45" customHeight="1" x14ac:dyDescent="0.25">
      <c r="B891" s="17"/>
      <c r="C891" s="14"/>
      <c r="D891" s="14"/>
      <c r="E891" s="18"/>
      <c r="F891" s="61"/>
      <c r="G891" s="73"/>
      <c r="H891" s="79"/>
      <c r="I891" s="79"/>
      <c r="J891" s="14"/>
      <c r="K891" s="38"/>
      <c r="L891" s="38"/>
      <c r="M891" s="17"/>
    </row>
    <row r="892" spans="2:13" ht="14.45" customHeight="1" x14ac:dyDescent="0.25">
      <c r="B892" s="17"/>
      <c r="C892" s="14"/>
      <c r="D892" s="14"/>
      <c r="E892" s="18"/>
      <c r="F892" s="61"/>
      <c r="G892" s="73"/>
      <c r="H892" s="79"/>
      <c r="I892" s="79"/>
      <c r="J892" s="14"/>
      <c r="K892" s="38"/>
      <c r="L892" s="38"/>
      <c r="M892" s="17"/>
    </row>
    <row r="893" spans="2:13" ht="14.45" customHeight="1" x14ac:dyDescent="0.25">
      <c r="B893" s="17"/>
      <c r="C893" s="14"/>
      <c r="D893" s="14"/>
      <c r="E893" s="18"/>
      <c r="F893" s="61"/>
      <c r="G893" s="73"/>
      <c r="H893" s="79"/>
      <c r="I893" s="79"/>
      <c r="J893" s="14"/>
      <c r="K893" s="38"/>
      <c r="L893" s="38"/>
      <c r="M893" s="17"/>
    </row>
    <row r="894" spans="2:13" ht="14.45" customHeight="1" x14ac:dyDescent="0.25">
      <c r="B894" s="17"/>
      <c r="C894" s="14"/>
      <c r="D894" s="14"/>
      <c r="E894" s="18"/>
      <c r="F894" s="61"/>
      <c r="G894" s="73"/>
      <c r="H894" s="79"/>
      <c r="I894" s="79"/>
      <c r="J894" s="14"/>
      <c r="K894" s="38"/>
      <c r="L894" s="38"/>
      <c r="M894" s="17"/>
    </row>
    <row r="895" spans="2:13" ht="14.45" customHeight="1" x14ac:dyDescent="0.25">
      <c r="B895" s="17"/>
      <c r="C895" s="14"/>
      <c r="D895" s="14"/>
      <c r="E895" s="18"/>
      <c r="F895" s="61"/>
      <c r="G895" s="73"/>
      <c r="H895" s="79"/>
      <c r="I895" s="79"/>
      <c r="J895" s="14"/>
      <c r="K895" s="38"/>
      <c r="L895" s="38"/>
      <c r="M895" s="17"/>
    </row>
    <row r="896" spans="2:13" ht="14.45" customHeight="1" x14ac:dyDescent="0.25">
      <c r="B896" s="17"/>
      <c r="C896" s="14"/>
      <c r="D896" s="14"/>
      <c r="E896" s="18"/>
      <c r="F896" s="61"/>
      <c r="G896" s="73"/>
      <c r="H896" s="79"/>
      <c r="I896" s="79"/>
      <c r="J896" s="14"/>
      <c r="K896" s="38"/>
      <c r="L896" s="38"/>
      <c r="M896" s="17"/>
    </row>
    <row r="897" spans="2:13" ht="14.45" customHeight="1" x14ac:dyDescent="0.25">
      <c r="B897" s="17"/>
      <c r="C897" s="14"/>
      <c r="D897" s="14"/>
      <c r="E897" s="18"/>
      <c r="F897" s="61"/>
      <c r="G897" s="73"/>
      <c r="H897" s="79"/>
      <c r="I897" s="79"/>
      <c r="J897" s="14"/>
      <c r="K897" s="38"/>
      <c r="L897" s="38"/>
      <c r="M897" s="17"/>
    </row>
    <row r="898" spans="2:13" ht="14.45" customHeight="1" x14ac:dyDescent="0.25">
      <c r="B898" s="17"/>
      <c r="C898" s="14"/>
      <c r="D898" s="14"/>
      <c r="E898" s="18"/>
      <c r="F898" s="61"/>
      <c r="G898" s="73"/>
      <c r="H898" s="79"/>
      <c r="I898" s="79"/>
      <c r="J898" s="14"/>
      <c r="K898" s="38"/>
      <c r="L898" s="38"/>
      <c r="M898" s="17"/>
    </row>
    <row r="899" spans="2:13" ht="14.45" customHeight="1" x14ac:dyDescent="0.25">
      <c r="B899" s="17"/>
      <c r="C899" s="14"/>
      <c r="D899" s="14"/>
      <c r="E899" s="18"/>
      <c r="F899" s="61"/>
      <c r="G899" s="73"/>
      <c r="H899" s="79"/>
      <c r="I899" s="79"/>
      <c r="J899" s="14"/>
      <c r="K899" s="38"/>
      <c r="L899" s="38"/>
      <c r="M899" s="17"/>
    </row>
    <row r="900" spans="2:13" ht="14.45" customHeight="1" x14ac:dyDescent="0.25">
      <c r="B900" s="17"/>
      <c r="C900" s="14"/>
      <c r="D900" s="14"/>
      <c r="E900" s="18"/>
      <c r="F900" s="61"/>
      <c r="G900" s="73"/>
      <c r="H900" s="79"/>
      <c r="I900" s="79"/>
      <c r="J900" s="14"/>
      <c r="K900" s="38"/>
      <c r="L900" s="38"/>
      <c r="M900" s="17"/>
    </row>
    <row r="901" spans="2:13" ht="14.45" customHeight="1" x14ac:dyDescent="0.25">
      <c r="B901" s="17"/>
      <c r="C901" s="14"/>
      <c r="D901" s="14"/>
      <c r="E901" s="18"/>
      <c r="F901" s="61"/>
      <c r="G901" s="73"/>
      <c r="H901" s="79"/>
      <c r="I901" s="79"/>
      <c r="J901" s="14"/>
      <c r="K901" s="38"/>
      <c r="L901" s="38"/>
      <c r="M901" s="17"/>
    </row>
    <row r="902" spans="2:13" ht="14.45" customHeight="1" x14ac:dyDescent="0.25">
      <c r="B902" s="17"/>
      <c r="C902" s="14"/>
      <c r="D902" s="14"/>
      <c r="E902" s="18"/>
      <c r="F902" s="61"/>
      <c r="G902" s="73"/>
      <c r="H902" s="79"/>
      <c r="I902" s="79"/>
      <c r="J902" s="14"/>
      <c r="K902" s="38"/>
      <c r="L902" s="38"/>
      <c r="M902" s="17"/>
    </row>
    <row r="903" spans="2:13" ht="14.45" customHeight="1" x14ac:dyDescent="0.25">
      <c r="B903" s="17"/>
      <c r="C903" s="14"/>
      <c r="D903" s="14"/>
      <c r="E903" s="18"/>
      <c r="F903" s="61"/>
      <c r="G903" s="73"/>
      <c r="H903" s="79"/>
      <c r="I903" s="79"/>
      <c r="J903" s="14"/>
      <c r="K903" s="38"/>
      <c r="L903" s="38"/>
      <c r="M903" s="17"/>
    </row>
    <row r="904" spans="2:13" ht="14.45" customHeight="1" x14ac:dyDescent="0.25">
      <c r="B904" s="17"/>
      <c r="C904" s="14"/>
      <c r="D904" s="14"/>
      <c r="E904" s="18"/>
      <c r="F904" s="61"/>
      <c r="G904" s="73"/>
      <c r="H904" s="79"/>
      <c r="I904" s="79"/>
      <c r="J904" s="14"/>
      <c r="K904" s="38"/>
      <c r="L904" s="38"/>
      <c r="M904" s="17"/>
    </row>
    <row r="905" spans="2:13" ht="14.45" customHeight="1" x14ac:dyDescent="0.25">
      <c r="B905" s="17"/>
      <c r="C905" s="14"/>
      <c r="D905" s="14"/>
      <c r="E905" s="18"/>
      <c r="F905" s="61"/>
      <c r="G905" s="73"/>
      <c r="H905" s="79"/>
      <c r="I905" s="79"/>
      <c r="J905" s="14"/>
      <c r="K905" s="38"/>
      <c r="L905" s="38"/>
      <c r="M905" s="17"/>
    </row>
    <row r="906" spans="2:13" ht="14.45" customHeight="1" x14ac:dyDescent="0.25">
      <c r="B906" s="17"/>
      <c r="C906" s="14"/>
      <c r="D906" s="14"/>
      <c r="E906" s="18"/>
      <c r="F906" s="61"/>
      <c r="G906" s="73"/>
      <c r="H906" s="79"/>
      <c r="I906" s="79"/>
      <c r="J906" s="14"/>
      <c r="K906" s="38"/>
      <c r="L906" s="38"/>
      <c r="M906" s="17"/>
    </row>
    <row r="907" spans="2:13" ht="14.45" customHeight="1" x14ac:dyDescent="0.25">
      <c r="B907" s="17"/>
      <c r="C907" s="14"/>
      <c r="D907" s="14"/>
      <c r="E907" s="18"/>
      <c r="F907" s="61"/>
      <c r="G907" s="73"/>
      <c r="H907" s="79"/>
      <c r="I907" s="79"/>
      <c r="J907" s="14"/>
      <c r="K907" s="38"/>
      <c r="L907" s="38"/>
      <c r="M907" s="17"/>
    </row>
    <row r="908" spans="2:13" ht="14.45" customHeight="1" x14ac:dyDescent="0.25">
      <c r="B908" s="17"/>
      <c r="C908" s="14"/>
      <c r="D908" s="14"/>
      <c r="E908" s="18"/>
      <c r="F908" s="61"/>
      <c r="G908" s="73"/>
      <c r="H908" s="79"/>
      <c r="I908" s="79"/>
      <c r="J908" s="14"/>
      <c r="K908" s="38"/>
      <c r="L908" s="38"/>
      <c r="M908" s="17"/>
    </row>
    <row r="909" spans="2:13" ht="14.45" customHeight="1" x14ac:dyDescent="0.25">
      <c r="B909" s="17"/>
      <c r="C909" s="14"/>
      <c r="D909" s="14"/>
      <c r="E909" s="18"/>
      <c r="F909" s="61"/>
      <c r="G909" s="73"/>
      <c r="H909" s="79"/>
      <c r="I909" s="79"/>
      <c r="J909" s="14"/>
      <c r="K909" s="38"/>
      <c r="L909" s="38"/>
      <c r="M909" s="17"/>
    </row>
    <row r="910" spans="2:13" ht="14.45" customHeight="1" x14ac:dyDescent="0.25">
      <c r="B910" s="17"/>
      <c r="C910" s="14"/>
      <c r="D910" s="14"/>
      <c r="E910" s="18"/>
      <c r="F910" s="61"/>
      <c r="G910" s="73"/>
      <c r="H910" s="79"/>
      <c r="I910" s="79"/>
      <c r="J910" s="14"/>
      <c r="K910" s="38"/>
      <c r="L910" s="38"/>
      <c r="M910" s="17"/>
    </row>
    <row r="911" spans="2:13" ht="14.45" customHeight="1" x14ac:dyDescent="0.25">
      <c r="B911" s="17"/>
      <c r="C911" s="14"/>
      <c r="D911" s="14"/>
      <c r="E911" s="18"/>
      <c r="F911" s="61"/>
      <c r="G911" s="73"/>
      <c r="H911" s="79"/>
      <c r="I911" s="79"/>
      <c r="J911" s="14"/>
      <c r="K911" s="38"/>
      <c r="L911" s="38"/>
      <c r="M911" s="17"/>
    </row>
    <row r="912" spans="2:13" ht="14.45" customHeight="1" x14ac:dyDescent="0.25">
      <c r="B912" s="17"/>
      <c r="C912" s="14"/>
      <c r="D912" s="14"/>
      <c r="E912" s="18"/>
      <c r="F912" s="61"/>
      <c r="G912" s="73"/>
      <c r="H912" s="79"/>
      <c r="I912" s="79"/>
      <c r="J912" s="14"/>
      <c r="K912" s="38"/>
      <c r="L912" s="38"/>
      <c r="M912" s="17"/>
    </row>
    <row r="913" spans="2:13" ht="14.45" customHeight="1" x14ac:dyDescent="0.25">
      <c r="B913" s="17"/>
      <c r="C913" s="14"/>
      <c r="D913" s="14"/>
      <c r="E913" s="18"/>
      <c r="F913" s="61"/>
      <c r="G913" s="73"/>
      <c r="H913" s="79"/>
      <c r="I913" s="79"/>
      <c r="J913" s="14"/>
      <c r="K913" s="38"/>
      <c r="L913" s="38"/>
      <c r="M913" s="17"/>
    </row>
    <row r="914" spans="2:13" ht="14.45" customHeight="1" x14ac:dyDescent="0.25">
      <c r="B914" s="17"/>
      <c r="C914" s="14"/>
      <c r="D914" s="14"/>
      <c r="E914" s="18"/>
      <c r="F914" s="61"/>
      <c r="G914" s="73"/>
      <c r="H914" s="79"/>
      <c r="I914" s="79"/>
      <c r="J914" s="14"/>
      <c r="K914" s="38"/>
      <c r="L914" s="38"/>
      <c r="M914" s="17"/>
    </row>
    <row r="915" spans="2:13" ht="14.45" customHeight="1" x14ac:dyDescent="0.25">
      <c r="B915" s="17"/>
      <c r="C915" s="14"/>
      <c r="D915" s="14"/>
      <c r="E915" s="18"/>
      <c r="F915" s="61"/>
      <c r="G915" s="73"/>
      <c r="H915" s="79"/>
      <c r="I915" s="79"/>
      <c r="J915" s="14"/>
      <c r="K915" s="38"/>
      <c r="L915" s="38"/>
      <c r="M915" s="17"/>
    </row>
    <row r="916" spans="2:13" ht="14.45" customHeight="1" x14ac:dyDescent="0.25">
      <c r="B916" s="17"/>
      <c r="C916" s="14"/>
      <c r="D916" s="14"/>
      <c r="E916" s="18"/>
      <c r="F916" s="61"/>
      <c r="G916" s="73"/>
      <c r="H916" s="79"/>
      <c r="I916" s="79"/>
      <c r="J916" s="14"/>
      <c r="K916" s="38"/>
      <c r="L916" s="38"/>
      <c r="M916" s="17"/>
    </row>
    <row r="917" spans="2:13" ht="14.45" customHeight="1" x14ac:dyDescent="0.25">
      <c r="B917" s="17"/>
      <c r="C917" s="14"/>
      <c r="D917" s="14"/>
      <c r="E917" s="18"/>
      <c r="F917" s="61"/>
      <c r="G917" s="73"/>
      <c r="H917" s="79"/>
      <c r="I917" s="79"/>
      <c r="J917" s="14"/>
      <c r="K917" s="38"/>
      <c r="L917" s="38"/>
      <c r="M917" s="17"/>
    </row>
    <row r="918" spans="2:13" ht="14.45" customHeight="1" x14ac:dyDescent="0.25">
      <c r="B918" s="17"/>
      <c r="C918" s="14"/>
      <c r="D918" s="14"/>
      <c r="E918" s="18"/>
      <c r="F918" s="61"/>
      <c r="G918" s="73"/>
      <c r="H918" s="79"/>
      <c r="I918" s="79"/>
      <c r="J918" s="14"/>
      <c r="K918" s="38"/>
      <c r="L918" s="38"/>
      <c r="M918" s="17"/>
    </row>
    <row r="919" spans="2:13" ht="14.45" customHeight="1" x14ac:dyDescent="0.25">
      <c r="B919" s="17"/>
      <c r="C919" s="14"/>
      <c r="D919" s="14"/>
      <c r="E919" s="18"/>
      <c r="F919" s="61"/>
      <c r="G919" s="73"/>
      <c r="H919" s="79"/>
      <c r="I919" s="79"/>
      <c r="J919" s="14"/>
      <c r="K919" s="38"/>
      <c r="L919" s="38"/>
      <c r="M919" s="17"/>
    </row>
    <row r="920" spans="2:13" ht="14.45" customHeight="1" x14ac:dyDescent="0.25">
      <c r="B920" s="17"/>
      <c r="C920" s="14"/>
      <c r="D920" s="14"/>
      <c r="E920" s="18"/>
      <c r="F920" s="61"/>
      <c r="G920" s="73"/>
      <c r="H920" s="79"/>
      <c r="I920" s="79"/>
      <c r="J920" s="14"/>
      <c r="K920" s="38"/>
      <c r="L920" s="38"/>
      <c r="M920" s="17"/>
    </row>
    <row r="921" spans="2:13" ht="14.45" customHeight="1" x14ac:dyDescent="0.25">
      <c r="B921" s="17"/>
      <c r="C921" s="14"/>
      <c r="D921" s="14"/>
      <c r="E921" s="18"/>
      <c r="F921" s="61"/>
      <c r="G921" s="73"/>
      <c r="H921" s="79"/>
      <c r="I921" s="79"/>
      <c r="J921" s="14"/>
      <c r="K921" s="38"/>
      <c r="L921" s="38"/>
      <c r="M921" s="17"/>
    </row>
    <row r="922" spans="2:13" ht="14.45" customHeight="1" x14ac:dyDescent="0.25">
      <c r="B922" s="17"/>
      <c r="C922" s="14"/>
      <c r="D922" s="14"/>
      <c r="E922" s="18"/>
      <c r="F922" s="61"/>
      <c r="G922" s="73"/>
      <c r="H922" s="79"/>
      <c r="I922" s="79"/>
      <c r="J922" s="14"/>
      <c r="K922" s="38"/>
      <c r="L922" s="38"/>
      <c r="M922" s="17"/>
    </row>
    <row r="923" spans="2:13" ht="14.45" customHeight="1" x14ac:dyDescent="0.25">
      <c r="B923" s="17"/>
      <c r="C923" s="14"/>
      <c r="D923" s="14"/>
      <c r="E923" s="18"/>
      <c r="F923" s="61"/>
      <c r="G923" s="73"/>
      <c r="H923" s="79"/>
      <c r="I923" s="79"/>
      <c r="J923" s="14"/>
      <c r="K923" s="38"/>
      <c r="L923" s="38"/>
      <c r="M923" s="17"/>
    </row>
    <row r="924" spans="2:13" ht="14.45" customHeight="1" x14ac:dyDescent="0.25">
      <c r="B924" s="17"/>
      <c r="C924" s="14"/>
      <c r="D924" s="14"/>
      <c r="E924" s="18"/>
      <c r="F924" s="61"/>
      <c r="G924" s="73"/>
      <c r="H924" s="79"/>
      <c r="I924" s="79"/>
      <c r="J924" s="14"/>
      <c r="K924" s="38"/>
      <c r="L924" s="38"/>
      <c r="M924" s="17"/>
    </row>
    <row r="925" spans="2:13" ht="14.45" customHeight="1" x14ac:dyDescent="0.25">
      <c r="B925" s="17"/>
      <c r="C925" s="14"/>
      <c r="D925" s="14"/>
      <c r="E925" s="18"/>
      <c r="F925" s="61"/>
      <c r="G925" s="73"/>
      <c r="H925" s="79"/>
      <c r="I925" s="79"/>
      <c r="J925" s="14"/>
      <c r="K925" s="38"/>
      <c r="L925" s="38"/>
      <c r="M925" s="17"/>
    </row>
    <row r="926" spans="2:13" ht="14.45" customHeight="1" x14ac:dyDescent="0.25">
      <c r="B926" s="17"/>
      <c r="C926" s="14"/>
      <c r="D926" s="14"/>
      <c r="E926" s="18"/>
      <c r="F926" s="61"/>
      <c r="G926" s="73"/>
      <c r="H926" s="79"/>
      <c r="I926" s="79"/>
      <c r="J926" s="14"/>
      <c r="K926" s="38"/>
      <c r="L926" s="38"/>
      <c r="M926" s="17"/>
    </row>
    <row r="927" spans="2:13" ht="14.45" customHeight="1" x14ac:dyDescent="0.25">
      <c r="B927" s="17"/>
      <c r="C927" s="14"/>
      <c r="D927" s="14"/>
      <c r="E927" s="18"/>
      <c r="F927" s="61"/>
      <c r="G927" s="73"/>
      <c r="H927" s="79"/>
      <c r="I927" s="79"/>
      <c r="J927" s="14"/>
      <c r="K927" s="38"/>
      <c r="L927" s="38"/>
      <c r="M927" s="17"/>
    </row>
    <row r="928" spans="2:13" ht="14.45" customHeight="1" x14ac:dyDescent="0.25">
      <c r="B928" s="17"/>
      <c r="C928" s="14"/>
      <c r="D928" s="14"/>
      <c r="E928" s="18"/>
      <c r="F928" s="61"/>
      <c r="G928" s="73"/>
      <c r="H928" s="79"/>
      <c r="I928" s="79"/>
      <c r="J928" s="14"/>
      <c r="K928" s="38"/>
      <c r="L928" s="38"/>
      <c r="M928" s="17"/>
    </row>
    <row r="929" spans="2:13" ht="14.45" customHeight="1" x14ac:dyDescent="0.25">
      <c r="B929" s="17"/>
      <c r="C929" s="14"/>
      <c r="D929" s="14"/>
      <c r="E929" s="18"/>
      <c r="F929" s="61"/>
      <c r="G929" s="73"/>
      <c r="H929" s="79"/>
      <c r="I929" s="79"/>
      <c r="J929" s="14"/>
      <c r="K929" s="38"/>
      <c r="L929" s="38"/>
      <c r="M929" s="17"/>
    </row>
    <row r="930" spans="2:13" ht="14.45" customHeight="1" x14ac:dyDescent="0.25">
      <c r="B930" s="17"/>
      <c r="C930" s="14"/>
      <c r="D930" s="14"/>
      <c r="E930" s="18"/>
      <c r="F930" s="61"/>
      <c r="G930" s="73"/>
      <c r="H930" s="79"/>
      <c r="I930" s="79"/>
      <c r="J930" s="14"/>
      <c r="K930" s="38"/>
      <c r="L930" s="38"/>
      <c r="M930" s="17"/>
    </row>
    <row r="931" spans="2:13" ht="14.45" customHeight="1" x14ac:dyDescent="0.25">
      <c r="B931" s="17"/>
      <c r="C931" s="14"/>
      <c r="D931" s="14"/>
      <c r="E931" s="18"/>
      <c r="F931" s="61"/>
      <c r="G931" s="73"/>
      <c r="H931" s="79"/>
      <c r="I931" s="79"/>
      <c r="J931" s="14"/>
      <c r="K931" s="38"/>
      <c r="L931" s="38"/>
      <c r="M931" s="17"/>
    </row>
    <row r="932" spans="2:13" ht="14.45" customHeight="1" x14ac:dyDescent="0.25">
      <c r="B932" s="17"/>
      <c r="C932" s="14"/>
      <c r="D932" s="14"/>
      <c r="E932" s="18"/>
      <c r="F932" s="61"/>
      <c r="G932" s="73"/>
      <c r="H932" s="79"/>
      <c r="I932" s="79"/>
      <c r="J932" s="14"/>
      <c r="K932" s="38"/>
      <c r="L932" s="38"/>
      <c r="M932" s="17"/>
    </row>
    <row r="933" spans="2:13" ht="14.45" customHeight="1" x14ac:dyDescent="0.25">
      <c r="B933" s="17"/>
      <c r="C933" s="14"/>
      <c r="D933" s="14"/>
      <c r="E933" s="18"/>
      <c r="F933" s="61"/>
      <c r="G933" s="73"/>
      <c r="H933" s="79"/>
      <c r="I933" s="79"/>
      <c r="J933" s="14"/>
      <c r="K933" s="38"/>
      <c r="L933" s="38"/>
      <c r="M933" s="17"/>
    </row>
    <row r="934" spans="2:13" ht="14.45" customHeight="1" x14ac:dyDescent="0.25">
      <c r="B934" s="17"/>
      <c r="C934" s="14"/>
      <c r="D934" s="14"/>
      <c r="E934" s="18"/>
      <c r="F934" s="61"/>
      <c r="G934" s="73"/>
      <c r="H934" s="79"/>
      <c r="I934" s="79"/>
      <c r="J934" s="14"/>
      <c r="K934" s="38"/>
      <c r="L934" s="38"/>
      <c r="M934" s="17"/>
    </row>
    <row r="935" spans="2:13" ht="14.45" customHeight="1" x14ac:dyDescent="0.25">
      <c r="B935" s="17"/>
      <c r="C935" s="14"/>
      <c r="D935" s="14"/>
      <c r="E935" s="18"/>
      <c r="F935" s="61"/>
      <c r="G935" s="73"/>
      <c r="H935" s="79"/>
      <c r="I935" s="79"/>
      <c r="J935" s="14"/>
      <c r="K935" s="38"/>
      <c r="L935" s="38"/>
      <c r="M935" s="17"/>
    </row>
    <row r="936" spans="2:13" ht="14.45" customHeight="1" x14ac:dyDescent="0.25">
      <c r="B936" s="17"/>
      <c r="C936" s="14"/>
      <c r="D936" s="14"/>
      <c r="E936" s="18"/>
      <c r="F936" s="61"/>
      <c r="G936" s="73"/>
      <c r="H936" s="79"/>
      <c r="I936" s="79"/>
      <c r="J936" s="14"/>
      <c r="K936" s="38"/>
      <c r="L936" s="38"/>
      <c r="M936" s="17"/>
    </row>
    <row r="937" spans="2:13" ht="14.45" customHeight="1" x14ac:dyDescent="0.25">
      <c r="B937" s="17"/>
      <c r="C937" s="14"/>
      <c r="D937" s="14"/>
      <c r="E937" s="18"/>
      <c r="F937" s="61"/>
      <c r="G937" s="73"/>
      <c r="H937" s="79"/>
      <c r="I937" s="79"/>
      <c r="J937" s="14"/>
      <c r="K937" s="38"/>
      <c r="L937" s="38"/>
      <c r="M937" s="17"/>
    </row>
    <row r="938" spans="2:13" ht="14.45" customHeight="1" x14ac:dyDescent="0.25">
      <c r="B938" s="17"/>
      <c r="C938" s="14"/>
      <c r="D938" s="14"/>
      <c r="E938" s="18"/>
      <c r="F938" s="61"/>
      <c r="G938" s="73"/>
      <c r="H938" s="79"/>
      <c r="I938" s="79"/>
      <c r="J938" s="14"/>
      <c r="K938" s="38"/>
      <c r="L938" s="38"/>
      <c r="M938" s="17"/>
    </row>
    <row r="939" spans="2:13" ht="14.45" customHeight="1" x14ac:dyDescent="0.25">
      <c r="B939" s="17"/>
      <c r="C939" s="14"/>
      <c r="D939" s="14"/>
      <c r="E939" s="18"/>
      <c r="F939" s="61"/>
      <c r="G939" s="73"/>
      <c r="H939" s="79"/>
      <c r="I939" s="79"/>
      <c r="J939" s="14"/>
      <c r="K939" s="38"/>
      <c r="L939" s="38"/>
      <c r="M939" s="17"/>
    </row>
    <row r="940" spans="2:13" ht="14.45" customHeight="1" x14ac:dyDescent="0.25">
      <c r="B940" s="17"/>
      <c r="C940" s="14"/>
      <c r="D940" s="14"/>
      <c r="E940" s="18"/>
      <c r="F940" s="61"/>
      <c r="G940" s="73"/>
      <c r="H940" s="79"/>
      <c r="I940" s="79"/>
      <c r="J940" s="14"/>
      <c r="K940" s="38"/>
      <c r="L940" s="38"/>
      <c r="M940" s="17"/>
    </row>
    <row r="941" spans="2:13" ht="14.45" customHeight="1" x14ac:dyDescent="0.25">
      <c r="B941" s="17"/>
      <c r="C941" s="14"/>
      <c r="D941" s="14"/>
      <c r="E941" s="18"/>
      <c r="F941" s="61"/>
      <c r="G941" s="73"/>
      <c r="H941" s="79"/>
      <c r="I941" s="79"/>
      <c r="J941" s="14"/>
      <c r="K941" s="38"/>
      <c r="L941" s="38"/>
      <c r="M941" s="17"/>
    </row>
    <row r="942" spans="2:13" ht="14.45" customHeight="1" x14ac:dyDescent="0.25">
      <c r="B942" s="17"/>
      <c r="C942" s="14"/>
      <c r="D942" s="14"/>
      <c r="E942" s="18"/>
      <c r="F942" s="61"/>
      <c r="G942" s="73"/>
      <c r="H942" s="79"/>
      <c r="I942" s="79"/>
      <c r="J942" s="14"/>
      <c r="K942" s="38"/>
      <c r="L942" s="38"/>
      <c r="M942" s="17"/>
    </row>
    <row r="943" spans="2:13" ht="14.45" customHeight="1" x14ac:dyDescent="0.25">
      <c r="B943" s="17"/>
      <c r="C943" s="14"/>
      <c r="D943" s="14"/>
      <c r="E943" s="18"/>
      <c r="F943" s="61"/>
      <c r="G943" s="73"/>
      <c r="H943" s="79"/>
      <c r="I943" s="79"/>
      <c r="J943" s="14"/>
      <c r="K943" s="38"/>
      <c r="L943" s="38"/>
      <c r="M943" s="17"/>
    </row>
    <row r="944" spans="2:13" ht="14.45" customHeight="1" x14ac:dyDescent="0.25">
      <c r="B944" s="17"/>
      <c r="C944" s="14"/>
      <c r="D944" s="14"/>
      <c r="E944" s="18"/>
      <c r="F944" s="61"/>
      <c r="G944" s="73"/>
      <c r="H944" s="79"/>
      <c r="I944" s="79"/>
      <c r="J944" s="14"/>
      <c r="K944" s="38"/>
      <c r="L944" s="38"/>
      <c r="M944" s="17"/>
    </row>
    <row r="945" spans="2:13" ht="14.45" customHeight="1" x14ac:dyDescent="0.25">
      <c r="B945" s="17"/>
      <c r="C945" s="14"/>
      <c r="D945" s="14"/>
      <c r="E945" s="18"/>
      <c r="F945" s="61"/>
      <c r="G945" s="73"/>
      <c r="H945" s="79"/>
      <c r="I945" s="79"/>
      <c r="J945" s="14"/>
      <c r="K945" s="38"/>
      <c r="L945" s="38"/>
      <c r="M945" s="17"/>
    </row>
    <row r="946" spans="2:13" ht="14.45" customHeight="1" x14ac:dyDescent="0.25">
      <c r="B946" s="17"/>
      <c r="C946" s="14"/>
      <c r="D946" s="14"/>
      <c r="E946" s="18"/>
      <c r="F946" s="61"/>
      <c r="G946" s="73"/>
      <c r="H946" s="79"/>
      <c r="I946" s="79"/>
      <c r="J946" s="14"/>
      <c r="K946" s="38"/>
      <c r="L946" s="38"/>
      <c r="M946" s="17"/>
    </row>
    <row r="947" spans="2:13" ht="14.45" customHeight="1" x14ac:dyDescent="0.25">
      <c r="B947" s="17"/>
      <c r="C947" s="14"/>
      <c r="D947" s="14"/>
      <c r="E947" s="18"/>
      <c r="F947" s="61"/>
      <c r="G947" s="73"/>
      <c r="H947" s="79"/>
      <c r="I947" s="79"/>
      <c r="J947" s="14"/>
      <c r="K947" s="38"/>
      <c r="L947" s="38"/>
      <c r="M947" s="17"/>
    </row>
    <row r="948" spans="2:13" ht="14.45" customHeight="1" x14ac:dyDescent="0.25">
      <c r="B948" s="17"/>
      <c r="C948" s="14"/>
      <c r="D948" s="14"/>
      <c r="E948" s="18"/>
      <c r="F948" s="61"/>
      <c r="G948" s="73"/>
      <c r="H948" s="79"/>
      <c r="I948" s="79"/>
      <c r="J948" s="14"/>
      <c r="K948" s="38"/>
      <c r="L948" s="38"/>
      <c r="M948" s="17"/>
    </row>
    <row r="949" spans="2:13" ht="14.45" customHeight="1" x14ac:dyDescent="0.25">
      <c r="B949" s="17"/>
      <c r="C949" s="14"/>
      <c r="D949" s="14"/>
      <c r="E949" s="18"/>
      <c r="F949" s="61"/>
      <c r="G949" s="73"/>
      <c r="H949" s="79"/>
      <c r="I949" s="79"/>
      <c r="J949" s="14"/>
      <c r="K949" s="38"/>
      <c r="L949" s="38"/>
      <c r="M949" s="17"/>
    </row>
    <row r="950" spans="2:13" ht="14.45" customHeight="1" x14ac:dyDescent="0.25">
      <c r="B950" s="17"/>
      <c r="C950" s="14"/>
      <c r="D950" s="14"/>
      <c r="E950" s="18"/>
      <c r="F950" s="61"/>
      <c r="G950" s="73"/>
      <c r="H950" s="79"/>
      <c r="I950" s="79"/>
      <c r="J950" s="14"/>
      <c r="K950" s="38"/>
      <c r="L950" s="38"/>
      <c r="M950" s="17"/>
    </row>
    <row r="951" spans="2:13" ht="14.45" customHeight="1" x14ac:dyDescent="0.25">
      <c r="B951" s="17"/>
      <c r="C951" s="14"/>
      <c r="D951" s="14"/>
      <c r="E951" s="18"/>
      <c r="F951" s="61"/>
      <c r="G951" s="73"/>
      <c r="H951" s="79"/>
      <c r="I951" s="79"/>
      <c r="J951" s="14"/>
      <c r="K951" s="38"/>
      <c r="L951" s="38"/>
      <c r="M951" s="17"/>
    </row>
    <row r="952" spans="2:13" ht="14.45" customHeight="1" x14ac:dyDescent="0.25">
      <c r="B952" s="17"/>
      <c r="C952" s="14"/>
      <c r="D952" s="14"/>
      <c r="E952" s="18"/>
      <c r="F952" s="61"/>
      <c r="G952" s="73"/>
      <c r="H952" s="79"/>
      <c r="I952" s="79"/>
      <c r="J952" s="14"/>
      <c r="K952" s="38"/>
      <c r="L952" s="38"/>
      <c r="M952" s="17"/>
    </row>
    <row r="953" spans="2:13" ht="14.45" customHeight="1" x14ac:dyDescent="0.25">
      <c r="B953" s="17"/>
      <c r="C953" s="14"/>
      <c r="D953" s="14"/>
      <c r="E953" s="18"/>
      <c r="F953" s="61"/>
      <c r="G953" s="73"/>
      <c r="H953" s="79"/>
      <c r="I953" s="79"/>
      <c r="J953" s="14"/>
      <c r="K953" s="38"/>
      <c r="L953" s="38"/>
      <c r="M953" s="17"/>
    </row>
    <row r="954" spans="2:13" ht="14.45" customHeight="1" x14ac:dyDescent="0.25">
      <c r="B954" s="17"/>
      <c r="C954" s="14"/>
      <c r="D954" s="14"/>
      <c r="E954" s="18"/>
      <c r="F954" s="61"/>
      <c r="G954" s="73"/>
      <c r="H954" s="79"/>
      <c r="I954" s="79"/>
      <c r="J954" s="14"/>
      <c r="K954" s="38"/>
      <c r="L954" s="38"/>
      <c r="M954" s="17"/>
    </row>
    <row r="955" spans="2:13" ht="14.45" customHeight="1" x14ac:dyDescent="0.25">
      <c r="B955" s="17"/>
      <c r="C955" s="14"/>
      <c r="D955" s="14"/>
      <c r="E955" s="18"/>
      <c r="F955" s="61"/>
      <c r="G955" s="73"/>
      <c r="H955" s="79"/>
      <c r="I955" s="79"/>
      <c r="J955" s="14"/>
      <c r="K955" s="38"/>
      <c r="L955" s="38"/>
      <c r="M955" s="17"/>
    </row>
    <row r="956" spans="2:13" ht="14.45" customHeight="1" x14ac:dyDescent="0.25">
      <c r="B956" s="17"/>
      <c r="C956" s="14"/>
      <c r="D956" s="14"/>
      <c r="E956" s="18"/>
      <c r="F956" s="61"/>
      <c r="G956" s="73"/>
      <c r="H956" s="79"/>
      <c r="I956" s="79"/>
      <c r="J956" s="14"/>
      <c r="K956" s="38"/>
      <c r="L956" s="38"/>
      <c r="M956" s="17"/>
    </row>
    <row r="957" spans="2:13" ht="14.45" customHeight="1" x14ac:dyDescent="0.25">
      <c r="B957" s="17"/>
      <c r="C957" s="14"/>
      <c r="D957" s="14"/>
      <c r="E957" s="18"/>
      <c r="F957" s="61"/>
      <c r="G957" s="73"/>
      <c r="H957" s="79"/>
      <c r="I957" s="79"/>
      <c r="J957" s="14"/>
      <c r="K957" s="38"/>
      <c r="L957" s="38"/>
      <c r="M957" s="17"/>
    </row>
    <row r="958" spans="2:13" ht="14.45" customHeight="1" x14ac:dyDescent="0.25">
      <c r="B958" s="17"/>
      <c r="C958" s="14"/>
      <c r="D958" s="14"/>
      <c r="E958" s="18"/>
      <c r="F958" s="61"/>
      <c r="G958" s="73"/>
      <c r="H958" s="79"/>
      <c r="I958" s="79"/>
      <c r="J958" s="14"/>
      <c r="K958" s="38"/>
      <c r="L958" s="38"/>
      <c r="M958" s="17"/>
    </row>
    <row r="959" spans="2:13" ht="14.45" customHeight="1" x14ac:dyDescent="0.25">
      <c r="B959" s="17"/>
      <c r="C959" s="14"/>
      <c r="D959" s="14"/>
      <c r="E959" s="18"/>
      <c r="F959" s="61"/>
      <c r="G959" s="73"/>
      <c r="H959" s="79"/>
      <c r="I959" s="79"/>
      <c r="J959" s="14"/>
      <c r="K959" s="38"/>
      <c r="L959" s="38"/>
      <c r="M959" s="17"/>
    </row>
    <row r="960" spans="2:13" ht="14.45" customHeight="1" x14ac:dyDescent="0.25">
      <c r="B960" s="17"/>
      <c r="C960" s="14"/>
      <c r="D960" s="14"/>
      <c r="E960" s="18"/>
      <c r="F960" s="61"/>
      <c r="G960" s="73"/>
      <c r="H960" s="79"/>
      <c r="I960" s="79"/>
      <c r="J960" s="14"/>
      <c r="K960" s="38"/>
      <c r="L960" s="38"/>
      <c r="M960" s="17"/>
    </row>
    <row r="961" spans="2:13" ht="14.45" customHeight="1" x14ac:dyDescent="0.25">
      <c r="B961" s="17"/>
      <c r="C961" s="14"/>
      <c r="D961" s="14"/>
      <c r="E961" s="18"/>
      <c r="F961" s="61"/>
      <c r="G961" s="73"/>
      <c r="H961" s="79"/>
      <c r="I961" s="79"/>
      <c r="J961" s="14"/>
      <c r="K961" s="38"/>
      <c r="L961" s="38"/>
      <c r="M961" s="17"/>
    </row>
    <row r="962" spans="2:13" ht="14.45" customHeight="1" x14ac:dyDescent="0.25">
      <c r="B962" s="17"/>
      <c r="C962" s="14"/>
      <c r="D962" s="14"/>
      <c r="E962" s="18"/>
      <c r="F962" s="61"/>
      <c r="G962" s="73"/>
      <c r="H962" s="79"/>
      <c r="I962" s="79"/>
      <c r="J962" s="14"/>
      <c r="K962" s="38"/>
      <c r="L962" s="38"/>
      <c r="M962" s="17"/>
    </row>
    <row r="963" spans="2:13" ht="14.45" customHeight="1" x14ac:dyDescent="0.25">
      <c r="B963" s="17"/>
      <c r="C963" s="14"/>
      <c r="D963" s="14"/>
      <c r="E963" s="18"/>
      <c r="F963" s="61"/>
      <c r="G963" s="73"/>
      <c r="H963" s="79"/>
      <c r="I963" s="79"/>
      <c r="J963" s="14"/>
      <c r="K963" s="38"/>
      <c r="L963" s="38"/>
      <c r="M963" s="17"/>
    </row>
    <row r="964" spans="2:13" ht="14.45" customHeight="1" x14ac:dyDescent="0.25">
      <c r="B964" s="17"/>
      <c r="C964" s="14"/>
      <c r="D964" s="14"/>
      <c r="E964" s="18"/>
      <c r="F964" s="61"/>
      <c r="G964" s="73"/>
      <c r="H964" s="79"/>
      <c r="I964" s="79"/>
      <c r="J964" s="14"/>
      <c r="K964" s="38"/>
      <c r="L964" s="38"/>
      <c r="M964" s="17"/>
    </row>
    <row r="965" spans="2:13" ht="14.45" customHeight="1" x14ac:dyDescent="0.25">
      <c r="B965" s="17"/>
      <c r="C965" s="14"/>
      <c r="D965" s="14"/>
      <c r="E965" s="18"/>
      <c r="F965" s="61"/>
      <c r="G965" s="73"/>
      <c r="H965" s="79"/>
      <c r="I965" s="79"/>
      <c r="J965" s="14"/>
      <c r="K965" s="38"/>
      <c r="L965" s="38"/>
      <c r="M965" s="17"/>
    </row>
    <row r="966" spans="2:13" ht="14.45" customHeight="1" x14ac:dyDescent="0.25">
      <c r="B966" s="17"/>
      <c r="C966" s="14"/>
      <c r="D966" s="14"/>
      <c r="E966" s="18"/>
      <c r="F966" s="61"/>
      <c r="G966" s="73"/>
      <c r="H966" s="79"/>
      <c r="I966" s="79"/>
      <c r="J966" s="14"/>
      <c r="K966" s="38"/>
      <c r="L966" s="38"/>
      <c r="M966" s="17"/>
    </row>
    <row r="967" spans="2:13" ht="14.45" customHeight="1" x14ac:dyDescent="0.25">
      <c r="B967" s="17"/>
      <c r="C967" s="14"/>
      <c r="D967" s="14"/>
      <c r="E967" s="18"/>
      <c r="F967" s="61"/>
      <c r="G967" s="73"/>
      <c r="H967" s="79"/>
      <c r="I967" s="79"/>
      <c r="J967" s="14"/>
      <c r="K967" s="38"/>
      <c r="L967" s="38"/>
      <c r="M967" s="17"/>
    </row>
    <row r="968" spans="2:13" ht="14.45" customHeight="1" x14ac:dyDescent="0.25">
      <c r="B968" s="17"/>
      <c r="C968" s="14"/>
      <c r="D968" s="14"/>
      <c r="E968" s="18"/>
      <c r="F968" s="61"/>
      <c r="G968" s="73"/>
      <c r="H968" s="79"/>
      <c r="I968" s="79"/>
      <c r="J968" s="14"/>
      <c r="K968" s="38"/>
      <c r="L968" s="38"/>
      <c r="M968" s="17"/>
    </row>
    <row r="969" spans="2:13" ht="14.45" customHeight="1" x14ac:dyDescent="0.25">
      <c r="B969" s="17"/>
      <c r="C969" s="14"/>
      <c r="D969" s="14"/>
      <c r="E969" s="18"/>
      <c r="F969" s="61"/>
      <c r="G969" s="73"/>
      <c r="H969" s="79"/>
      <c r="I969" s="79"/>
      <c r="J969" s="14"/>
      <c r="K969" s="38"/>
      <c r="L969" s="38"/>
      <c r="M969" s="17"/>
    </row>
    <row r="970" spans="2:13" ht="14.45" customHeight="1" x14ac:dyDescent="0.25">
      <c r="B970" s="17"/>
      <c r="C970" s="14"/>
      <c r="D970" s="14"/>
      <c r="E970" s="18"/>
      <c r="F970" s="61"/>
      <c r="G970" s="73"/>
      <c r="H970" s="79"/>
      <c r="I970" s="79"/>
      <c r="J970" s="14"/>
      <c r="K970" s="38"/>
      <c r="L970" s="38"/>
      <c r="M970" s="17"/>
    </row>
    <row r="971" spans="2:13" ht="14.45" customHeight="1" x14ac:dyDescent="0.25">
      <c r="B971" s="17"/>
      <c r="C971" s="14"/>
      <c r="D971" s="14"/>
      <c r="E971" s="18"/>
      <c r="F971" s="61"/>
      <c r="G971" s="73"/>
      <c r="H971" s="79"/>
      <c r="I971" s="79"/>
      <c r="J971" s="14"/>
      <c r="K971" s="38"/>
      <c r="L971" s="38"/>
      <c r="M971" s="17"/>
    </row>
    <row r="972" spans="2:13" ht="14.45" customHeight="1" x14ac:dyDescent="0.25">
      <c r="B972" s="17"/>
      <c r="C972" s="14"/>
      <c r="D972" s="14"/>
      <c r="E972" s="18"/>
      <c r="F972" s="61"/>
      <c r="G972" s="73"/>
      <c r="H972" s="79"/>
      <c r="I972" s="79"/>
      <c r="J972" s="14"/>
      <c r="K972" s="38"/>
      <c r="L972" s="38"/>
      <c r="M972" s="17"/>
    </row>
    <row r="973" spans="2:13" ht="14.45" customHeight="1" x14ac:dyDescent="0.25">
      <c r="B973" s="17"/>
      <c r="C973" s="14"/>
      <c r="D973" s="14"/>
      <c r="E973" s="18"/>
      <c r="F973" s="61"/>
      <c r="G973" s="73"/>
      <c r="H973" s="79"/>
      <c r="I973" s="79"/>
      <c r="J973" s="14"/>
      <c r="K973" s="38"/>
      <c r="L973" s="38"/>
      <c r="M973" s="17"/>
    </row>
    <row r="974" spans="2:13" ht="14.45" customHeight="1" x14ac:dyDescent="0.25">
      <c r="B974" s="17"/>
      <c r="C974" s="14"/>
      <c r="D974" s="14"/>
      <c r="E974" s="18"/>
      <c r="F974" s="61"/>
      <c r="G974" s="73"/>
      <c r="H974" s="79"/>
      <c r="I974" s="79"/>
      <c r="J974" s="14"/>
      <c r="K974" s="38"/>
      <c r="L974" s="38"/>
      <c r="M974" s="17"/>
    </row>
    <row r="975" spans="2:13" ht="14.45" customHeight="1" x14ac:dyDescent="0.25">
      <c r="B975" s="17"/>
      <c r="C975" s="14"/>
      <c r="D975" s="14"/>
      <c r="E975" s="18"/>
      <c r="F975" s="61"/>
      <c r="G975" s="73"/>
      <c r="H975" s="79"/>
      <c r="I975" s="79"/>
      <c r="J975" s="14"/>
      <c r="K975" s="38"/>
      <c r="L975" s="38"/>
      <c r="M975" s="17"/>
    </row>
    <row r="976" spans="2:13" ht="14.45" customHeight="1" x14ac:dyDescent="0.25">
      <c r="B976" s="17"/>
      <c r="C976" s="14"/>
      <c r="D976" s="14"/>
      <c r="E976" s="18"/>
      <c r="F976" s="61"/>
      <c r="G976" s="73"/>
      <c r="H976" s="79"/>
      <c r="I976" s="79"/>
      <c r="J976" s="14"/>
      <c r="K976" s="38"/>
      <c r="L976" s="38"/>
      <c r="M976" s="17"/>
    </row>
    <row r="977" spans="2:13" ht="14.45" customHeight="1" x14ac:dyDescent="0.25">
      <c r="B977" s="17"/>
      <c r="C977" s="14"/>
      <c r="D977" s="14"/>
      <c r="E977" s="18"/>
      <c r="F977" s="61"/>
      <c r="G977" s="73"/>
      <c r="H977" s="79"/>
      <c r="I977" s="79"/>
      <c r="J977" s="14"/>
      <c r="K977" s="38"/>
      <c r="L977" s="38"/>
      <c r="M977" s="17"/>
    </row>
    <row r="978" spans="2:13" ht="14.45" customHeight="1" x14ac:dyDescent="0.25">
      <c r="B978" s="17"/>
      <c r="C978" s="14"/>
      <c r="D978" s="14"/>
      <c r="E978" s="18"/>
      <c r="F978" s="61"/>
      <c r="G978" s="73"/>
      <c r="H978" s="79"/>
      <c r="I978" s="79"/>
      <c r="J978" s="14"/>
      <c r="K978" s="38"/>
      <c r="L978" s="38"/>
      <c r="M978" s="17"/>
    </row>
    <row r="979" spans="2:13" ht="14.45" customHeight="1" x14ac:dyDescent="0.25">
      <c r="B979" s="17"/>
      <c r="C979" s="14"/>
      <c r="D979" s="14"/>
      <c r="E979" s="18"/>
      <c r="F979" s="61"/>
      <c r="G979" s="73"/>
      <c r="H979" s="79"/>
      <c r="I979" s="79"/>
      <c r="J979" s="14"/>
      <c r="K979" s="38"/>
      <c r="L979" s="38"/>
      <c r="M979" s="17"/>
    </row>
    <row r="980" spans="2:13" ht="14.45" customHeight="1" x14ac:dyDescent="0.25">
      <c r="B980" s="17"/>
      <c r="C980" s="14"/>
      <c r="D980" s="14"/>
      <c r="E980" s="18"/>
      <c r="F980" s="61"/>
      <c r="G980" s="73"/>
      <c r="H980" s="79"/>
      <c r="I980" s="79"/>
      <c r="J980" s="14"/>
      <c r="K980" s="38"/>
      <c r="L980" s="38"/>
      <c r="M980" s="17"/>
    </row>
    <row r="981" spans="2:13" ht="14.45" customHeight="1" x14ac:dyDescent="0.25">
      <c r="B981" s="17"/>
      <c r="C981" s="14"/>
      <c r="D981" s="14"/>
      <c r="E981" s="18"/>
      <c r="F981" s="61"/>
      <c r="G981" s="73"/>
      <c r="H981" s="79"/>
      <c r="I981" s="79"/>
      <c r="J981" s="14"/>
      <c r="K981" s="38"/>
      <c r="L981" s="38"/>
      <c r="M981" s="17"/>
    </row>
    <row r="982" spans="2:13" ht="14.45" customHeight="1" x14ac:dyDescent="0.25">
      <c r="B982" s="17"/>
      <c r="C982" s="14"/>
      <c r="D982" s="14"/>
      <c r="E982" s="18"/>
      <c r="F982" s="61"/>
      <c r="G982" s="73"/>
      <c r="H982" s="79"/>
      <c r="I982" s="79"/>
      <c r="J982" s="14"/>
      <c r="K982" s="38"/>
      <c r="L982" s="38"/>
      <c r="M982" s="17"/>
    </row>
    <row r="983" spans="2:13" ht="14.45" customHeight="1" x14ac:dyDescent="0.25">
      <c r="B983" s="17"/>
      <c r="C983" s="14"/>
      <c r="D983" s="14"/>
      <c r="E983" s="18"/>
      <c r="F983" s="61"/>
      <c r="G983" s="73"/>
      <c r="H983" s="79"/>
      <c r="I983" s="79"/>
      <c r="J983" s="14"/>
      <c r="K983" s="38"/>
      <c r="L983" s="38"/>
      <c r="M983" s="17"/>
    </row>
    <row r="984" spans="2:13" ht="14.45" customHeight="1" x14ac:dyDescent="0.25">
      <c r="B984" s="17"/>
      <c r="C984" s="14"/>
      <c r="D984" s="14"/>
      <c r="E984" s="18"/>
      <c r="F984" s="61"/>
      <c r="G984" s="73"/>
      <c r="H984" s="79"/>
      <c r="I984" s="79"/>
      <c r="J984" s="14"/>
      <c r="K984" s="38"/>
      <c r="L984" s="38"/>
      <c r="M984" s="17"/>
    </row>
    <row r="985" spans="2:13" ht="14.45" customHeight="1" x14ac:dyDescent="0.25">
      <c r="B985" s="17"/>
      <c r="C985" s="14"/>
      <c r="D985" s="14"/>
      <c r="E985" s="18"/>
      <c r="F985" s="61"/>
      <c r="G985" s="73"/>
      <c r="H985" s="79"/>
      <c r="I985" s="79"/>
      <c r="J985" s="14"/>
      <c r="K985" s="38"/>
      <c r="L985" s="38"/>
      <c r="M985" s="17"/>
    </row>
    <row r="986" spans="2:13" ht="14.45" customHeight="1" x14ac:dyDescent="0.25">
      <c r="B986" s="17"/>
      <c r="C986" s="14"/>
      <c r="D986" s="14"/>
      <c r="E986" s="18"/>
      <c r="F986" s="61"/>
      <c r="G986" s="73"/>
      <c r="H986" s="79"/>
      <c r="I986" s="79"/>
      <c r="J986" s="14"/>
      <c r="K986" s="38"/>
      <c r="L986" s="38"/>
      <c r="M986" s="17"/>
    </row>
    <row r="987" spans="2:13" ht="14.45" customHeight="1" x14ac:dyDescent="0.25">
      <c r="B987" s="17"/>
      <c r="C987" s="14"/>
      <c r="D987" s="14"/>
      <c r="E987" s="18"/>
      <c r="F987" s="61"/>
      <c r="G987" s="73"/>
      <c r="H987" s="79"/>
      <c r="I987" s="79"/>
      <c r="J987" s="14"/>
      <c r="K987" s="38"/>
      <c r="L987" s="38"/>
      <c r="M987" s="17"/>
    </row>
    <row r="988" spans="2:13" ht="14.45" customHeight="1" x14ac:dyDescent="0.25">
      <c r="B988" s="17"/>
      <c r="C988" s="14"/>
      <c r="D988" s="14"/>
      <c r="E988" s="18"/>
      <c r="F988" s="61"/>
      <c r="G988" s="73"/>
      <c r="H988" s="79"/>
      <c r="I988" s="79"/>
      <c r="J988" s="14"/>
      <c r="K988" s="38"/>
      <c r="L988" s="38"/>
      <c r="M988" s="17"/>
    </row>
    <row r="989" spans="2:13" ht="14.45" customHeight="1" x14ac:dyDescent="0.25">
      <c r="B989" s="17"/>
      <c r="C989" s="14"/>
      <c r="D989" s="14"/>
      <c r="E989" s="18"/>
      <c r="F989" s="61"/>
      <c r="G989" s="73"/>
      <c r="H989" s="79"/>
      <c r="I989" s="79"/>
      <c r="J989" s="14"/>
      <c r="K989" s="38"/>
      <c r="L989" s="38"/>
      <c r="M989" s="17"/>
    </row>
    <row r="990" spans="2:13" ht="14.45" customHeight="1" x14ac:dyDescent="0.25">
      <c r="B990" s="17"/>
      <c r="C990" s="14"/>
      <c r="D990" s="14"/>
      <c r="E990" s="18"/>
      <c r="F990" s="61"/>
      <c r="G990" s="73"/>
      <c r="H990" s="79"/>
      <c r="I990" s="79"/>
      <c r="J990" s="14"/>
      <c r="K990" s="38"/>
      <c r="L990" s="38"/>
      <c r="M990" s="17"/>
    </row>
    <row r="991" spans="2:13" ht="14.45" customHeight="1" x14ac:dyDescent="0.25">
      <c r="B991" s="17"/>
      <c r="C991" s="14"/>
      <c r="D991" s="14"/>
      <c r="E991" s="18"/>
      <c r="F991" s="61"/>
      <c r="G991" s="73"/>
      <c r="H991" s="79"/>
      <c r="I991" s="79"/>
      <c r="J991" s="14"/>
      <c r="K991" s="38"/>
      <c r="L991" s="38"/>
      <c r="M991" s="17"/>
    </row>
    <row r="992" spans="2:13" ht="14.45" customHeight="1" x14ac:dyDescent="0.25">
      <c r="B992" s="17"/>
      <c r="C992" s="14"/>
      <c r="D992" s="14"/>
      <c r="E992" s="18"/>
      <c r="F992" s="61"/>
      <c r="G992" s="73"/>
      <c r="H992" s="79"/>
      <c r="I992" s="79"/>
      <c r="J992" s="14"/>
      <c r="K992" s="38"/>
      <c r="L992" s="38"/>
      <c r="M992" s="17"/>
    </row>
    <row r="993" spans="2:13" ht="14.45" customHeight="1" x14ac:dyDescent="0.25">
      <c r="B993" s="17"/>
      <c r="C993" s="14"/>
      <c r="D993" s="14"/>
      <c r="E993" s="18"/>
      <c r="F993" s="61"/>
      <c r="G993" s="73"/>
      <c r="H993" s="79"/>
      <c r="I993" s="79"/>
      <c r="J993" s="14"/>
      <c r="K993" s="38"/>
      <c r="L993" s="38"/>
      <c r="M993" s="17"/>
    </row>
    <row r="994" spans="2:13" ht="14.45" customHeight="1" x14ac:dyDescent="0.25">
      <c r="B994" s="17"/>
      <c r="C994" s="14"/>
      <c r="D994" s="14"/>
      <c r="E994" s="18"/>
      <c r="F994" s="61"/>
      <c r="G994" s="73"/>
      <c r="H994" s="79"/>
      <c r="I994" s="79"/>
      <c r="J994" s="14"/>
      <c r="K994" s="38"/>
      <c r="L994" s="38"/>
      <c r="M994" s="17"/>
    </row>
    <row r="995" spans="2:13" ht="14.45" customHeight="1" x14ac:dyDescent="0.25">
      <c r="B995" s="17"/>
      <c r="C995" s="14"/>
      <c r="D995" s="14"/>
      <c r="E995" s="18"/>
      <c r="F995" s="61"/>
      <c r="G995" s="73"/>
      <c r="H995" s="79"/>
      <c r="I995" s="79"/>
      <c r="J995" s="14"/>
      <c r="K995" s="38"/>
      <c r="L995" s="38"/>
      <c r="M995" s="17"/>
    </row>
    <row r="996" spans="2:13" ht="14.45" customHeight="1" x14ac:dyDescent="0.25">
      <c r="B996" s="17"/>
      <c r="C996" s="14"/>
      <c r="D996" s="14"/>
      <c r="E996" s="18"/>
      <c r="F996" s="61"/>
      <c r="G996" s="73"/>
      <c r="H996" s="79"/>
      <c r="I996" s="79"/>
      <c r="J996" s="14"/>
      <c r="K996" s="38"/>
      <c r="L996" s="38"/>
      <c r="M996" s="17"/>
    </row>
    <row r="997" spans="2:13" ht="14.45" customHeight="1" x14ac:dyDescent="0.25">
      <c r="B997" s="17"/>
      <c r="C997" s="14"/>
      <c r="D997" s="14"/>
      <c r="E997" s="18"/>
      <c r="F997" s="61"/>
      <c r="G997" s="73"/>
      <c r="H997" s="79"/>
      <c r="I997" s="79"/>
      <c r="J997" s="14"/>
      <c r="K997" s="38"/>
      <c r="L997" s="38"/>
      <c r="M997" s="17"/>
    </row>
    <row r="998" spans="2:13" ht="14.45" customHeight="1" x14ac:dyDescent="0.25">
      <c r="B998" s="17"/>
      <c r="C998" s="14"/>
      <c r="D998" s="14"/>
      <c r="E998" s="18"/>
      <c r="F998" s="61"/>
      <c r="G998" s="73"/>
      <c r="H998" s="79"/>
      <c r="I998" s="79"/>
      <c r="J998" s="14"/>
      <c r="K998" s="38"/>
      <c r="L998" s="38"/>
      <c r="M998" s="17"/>
    </row>
    <row r="999" spans="2:13" ht="14.45" customHeight="1" x14ac:dyDescent="0.25">
      <c r="B999" s="17"/>
      <c r="C999" s="14"/>
      <c r="D999" s="14"/>
      <c r="E999" s="18"/>
      <c r="F999" s="61"/>
      <c r="G999" s="73"/>
      <c r="H999" s="79"/>
      <c r="I999" s="79"/>
      <c r="J999" s="14"/>
      <c r="K999" s="38"/>
      <c r="L999" s="38"/>
      <c r="M999" s="17"/>
    </row>
    <row r="1000" spans="2:13" ht="14.45" customHeight="1" x14ac:dyDescent="0.25">
      <c r="B1000" s="17"/>
      <c r="C1000" s="14"/>
      <c r="D1000" s="14"/>
      <c r="E1000" s="18"/>
      <c r="F1000" s="61"/>
      <c r="G1000" s="73"/>
      <c r="H1000" s="79"/>
      <c r="I1000" s="79"/>
      <c r="J1000" s="14"/>
      <c r="K1000" s="38"/>
      <c r="L1000" s="38"/>
      <c r="M1000" s="17"/>
    </row>
  </sheetData>
  <sheetProtection algorithmName="SHA-512" hashValue="1nm+rHjUPD9cRfJac1P7bm+eow7Uh1VL5WiJlldPSuU21J3Pa62RjOhzimLZRCDM2hCpfTCU+g3v8kSJKIqHdA==" saltValue="3APQAC2fWewaDy+Iak+SpQ==" spinCount="100000" sheet="1" objects="1" scenarios="1"/>
  <mergeCells count="2">
    <mergeCell ref="C10:F10"/>
    <mergeCell ref="H10:I10"/>
  </mergeCells>
  <conditionalFormatting sqref="M10 H10">
    <cfRule type="cellIs" dxfId="134" priority="2" operator="greaterThanOrEqual">
      <formula>6750</formula>
    </cfRule>
  </conditionalFormatting>
  <conditionalFormatting sqref="K13:K1000">
    <cfRule type="cellIs" dxfId="133" priority="1" operator="lessThan">
      <formula>0</formula>
    </cfRule>
  </conditionalFormatting>
  <dataValidations count="1">
    <dataValidation type="list" allowBlank="1" showInputMessage="1" showErrorMessage="1" sqref="H13:H1000" xr:uid="{096D76AE-4340-403D-A6C9-34B278DB91F9}">
      <formula1>"Ativa,Cancelada"</formula1>
    </dataValidation>
  </dataValidations>
  <printOptions horizontalCentered="1"/>
  <pageMargins left="0.19685039370078741" right="0.19685039370078741" top="0.39370078740157483" bottom="0.78740157480314965" header="0.31496062992125984" footer="0.31496062992125984"/>
  <pageSetup paperSize="9" scale="54" fitToHeight="50" orientation="portrait" r:id="rId1"/>
  <headerFooter>
    <oddHeader>&amp;L&amp;"Calibri"&amp;12&amp;K008000 Documento Público&amp;1#_x000D_</oddHeader>
    <oddFooter>Página &amp;P de &amp;N</oddFooter>
  </headerFooter>
  <rowBreaks count="1" manualBreakCount="1">
    <brk id="63" min="1" max="5" man="1"/>
  </rowBreaks>
  <drawing r:id="rId2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477B1E-B35E-49AE-9C1A-965D8608425E}">
  <sheetPr codeName="Planilha11">
    <tabColor theme="8" tint="-0.499984740745262"/>
    <pageSetUpPr fitToPage="1"/>
  </sheetPr>
  <dimension ref="A1:Q1000"/>
  <sheetViews>
    <sheetView showGridLines="0" showRowColHeaders="0" zoomScaleNormal="100" workbookViewId="0">
      <pane ySplit="12" topLeftCell="A13" activePane="bottomLeft" state="frozen"/>
      <selection activeCell="D23" sqref="D23"/>
      <selection pane="bottomLeft" activeCell="H10" sqref="H10:I10"/>
    </sheetView>
  </sheetViews>
  <sheetFormatPr defaultColWidth="0" defaultRowHeight="14.45" customHeight="1" x14ac:dyDescent="0.25"/>
  <cols>
    <col min="1" max="1" width="1.7109375" customWidth="1"/>
    <col min="2" max="2" width="15.28515625" customWidth="1"/>
    <col min="3" max="3" width="35.85546875" customWidth="1"/>
    <col min="4" max="4" width="20.7109375" customWidth="1"/>
    <col min="5" max="5" width="42.28515625" customWidth="1"/>
    <col min="6" max="6" width="25.7109375" customWidth="1"/>
    <col min="7" max="7" width="12.28515625" bestFit="1" customWidth="1"/>
    <col min="8" max="8" width="12.28515625" customWidth="1"/>
    <col min="9" max="9" width="21.42578125" bestFit="1" customWidth="1"/>
    <col min="10" max="10" width="16.140625" customWidth="1"/>
    <col min="11" max="11" width="13" customWidth="1"/>
    <col min="12" max="12" width="11.28515625" customWidth="1"/>
    <col min="13" max="13" width="18.28515625" customWidth="1"/>
    <col min="14" max="14" width="5.7109375" customWidth="1"/>
    <col min="15" max="15" width="25" hidden="1" customWidth="1"/>
    <col min="16" max="16" width="6.7109375" hidden="1" customWidth="1"/>
    <col min="17" max="17" width="3.85546875" hidden="1" customWidth="1"/>
    <col min="18" max="16384" width="8.85546875" hidden="1"/>
  </cols>
  <sheetData>
    <row r="1" spans="2:13" ht="15" x14ac:dyDescent="0.25"/>
    <row r="2" spans="2:13" ht="15" x14ac:dyDescent="0.25"/>
    <row r="3" spans="2:13" ht="15" x14ac:dyDescent="0.25">
      <c r="J3" s="9" t="str">
        <f>IF(H10&gt;=6750,"ATENÇÃO: Você atingiu o limite de faturamento mensal de R$ 6.750,00",IF(H10&gt;=6000,"O limite de faturamento mensal de R$ 6.750,00 está quase sendo atingido.",""))</f>
        <v/>
      </c>
    </row>
    <row r="4" spans="2:13" ht="1.9" customHeight="1" x14ac:dyDescent="0.25"/>
    <row r="5" spans="2:13" s="1" customFormat="1" ht="4.9000000000000004" customHeight="1" x14ac:dyDescent="0.25"/>
    <row r="6" spans="2:13" ht="3" customHeight="1" x14ac:dyDescent="0.25"/>
    <row r="7" spans="2:13" s="1" customFormat="1" ht="4.9000000000000004" customHeight="1" x14ac:dyDescent="0.25"/>
    <row r="8" spans="2:13" ht="1.9" customHeight="1" x14ac:dyDescent="0.25"/>
    <row r="9" spans="2:13" ht="30" customHeight="1" x14ac:dyDescent="0.25"/>
    <row r="10" spans="2:13" ht="34.9" customHeight="1" x14ac:dyDescent="0.25">
      <c r="B10" s="4" t="s">
        <v>0</v>
      </c>
      <c r="C10" s="94" t="str">
        <f>Menu!G26</f>
        <v>Empresa ABCDE</v>
      </c>
      <c r="D10" s="95"/>
      <c r="E10" s="95"/>
      <c r="F10" s="95"/>
      <c r="G10" s="87"/>
      <c r="H10" s="93">
        <f>SUMIF(JUL[Status Nota Fiscal],"Ativa",JUL[Valor da Parcela a Receber])</f>
        <v>0</v>
      </c>
      <c r="I10" s="93"/>
      <c r="J10" s="85"/>
      <c r="M10" s="86"/>
    </row>
    <row r="11" spans="2:13" ht="4.9000000000000004" customHeight="1" x14ac:dyDescent="0.25"/>
    <row r="12" spans="2:13" ht="30" customHeight="1" x14ac:dyDescent="0.25">
      <c r="B12" s="5" t="s">
        <v>2</v>
      </c>
      <c r="C12" s="6" t="s">
        <v>3</v>
      </c>
      <c r="D12" s="6" t="s">
        <v>4</v>
      </c>
      <c r="E12" s="6" t="s">
        <v>5</v>
      </c>
      <c r="F12" s="7" t="s">
        <v>6</v>
      </c>
      <c r="G12" s="7" t="s">
        <v>7</v>
      </c>
      <c r="H12" s="7" t="s">
        <v>8</v>
      </c>
      <c r="I12" s="7" t="s">
        <v>9</v>
      </c>
      <c r="J12" s="7" t="s">
        <v>10</v>
      </c>
      <c r="K12" s="7" t="s">
        <v>11</v>
      </c>
      <c r="L12" s="7" t="s">
        <v>12</v>
      </c>
      <c r="M12" s="8" t="s">
        <v>13</v>
      </c>
    </row>
    <row r="13" spans="2:13" ht="14.45" customHeight="1" x14ac:dyDescent="0.25">
      <c r="B13" s="24"/>
      <c r="C13" s="25"/>
      <c r="D13" s="25"/>
      <c r="E13" s="25"/>
      <c r="F13" s="26"/>
      <c r="G13" s="62"/>
      <c r="H13" s="62"/>
      <c r="I13" s="62"/>
      <c r="J13" s="27"/>
      <c r="K13" s="28"/>
      <c r="L13" s="28"/>
      <c r="M13" s="29"/>
    </row>
    <row r="14" spans="2:13" ht="14.45" customHeight="1" x14ac:dyDescent="0.25">
      <c r="B14" s="30"/>
      <c r="C14" s="31"/>
      <c r="D14" s="31"/>
      <c r="E14" s="31"/>
      <c r="F14" s="32"/>
      <c r="G14" s="63"/>
      <c r="H14" s="63"/>
      <c r="I14" s="63"/>
      <c r="J14" s="33"/>
      <c r="K14" s="34"/>
      <c r="L14" s="34"/>
      <c r="M14" s="35"/>
    </row>
    <row r="15" spans="2:13" ht="14.45" customHeight="1" x14ac:dyDescent="0.25">
      <c r="B15" s="36"/>
      <c r="C15" s="14"/>
      <c r="D15" s="14"/>
      <c r="E15" s="18"/>
      <c r="F15" s="20"/>
      <c r="G15" s="64"/>
      <c r="H15" s="68"/>
      <c r="I15" s="68"/>
      <c r="J15" s="37"/>
      <c r="K15" s="38"/>
      <c r="L15" s="38"/>
      <c r="M15" s="36"/>
    </row>
    <row r="16" spans="2:13" ht="14.45" customHeight="1" x14ac:dyDescent="0.25">
      <c r="B16" s="17"/>
      <c r="C16" s="14"/>
      <c r="D16" s="14"/>
      <c r="E16" s="18"/>
      <c r="F16" s="20"/>
      <c r="G16" s="64"/>
      <c r="H16" s="68"/>
      <c r="I16" s="68"/>
      <c r="J16" s="15"/>
      <c r="K16" s="38"/>
      <c r="L16" s="38"/>
      <c r="M16" s="17"/>
    </row>
    <row r="17" spans="2:13" ht="14.45" customHeight="1" x14ac:dyDescent="0.25">
      <c r="B17" s="17"/>
      <c r="C17" s="14"/>
      <c r="D17" s="14"/>
      <c r="E17" s="18"/>
      <c r="F17" s="20"/>
      <c r="G17" s="64"/>
      <c r="H17" s="68"/>
      <c r="I17" s="68"/>
      <c r="J17" s="15"/>
      <c r="K17" s="38"/>
      <c r="L17" s="38"/>
      <c r="M17" s="17"/>
    </row>
    <row r="18" spans="2:13" ht="14.45" customHeight="1" x14ac:dyDescent="0.25">
      <c r="B18" s="17"/>
      <c r="C18" s="14"/>
      <c r="D18" s="14"/>
      <c r="E18" s="18"/>
      <c r="F18" s="20"/>
      <c r="G18" s="64"/>
      <c r="H18" s="68"/>
      <c r="I18" s="68"/>
      <c r="J18" s="15"/>
      <c r="K18" s="38"/>
      <c r="L18" s="38"/>
      <c r="M18" s="17"/>
    </row>
    <row r="19" spans="2:13" ht="14.45" customHeight="1" x14ac:dyDescent="0.25">
      <c r="B19" s="17"/>
      <c r="C19" s="14"/>
      <c r="D19" s="14"/>
      <c r="E19" s="18"/>
      <c r="F19" s="20"/>
      <c r="G19" s="64"/>
      <c r="H19" s="68"/>
      <c r="I19" s="68"/>
      <c r="J19" s="15"/>
      <c r="K19" s="38"/>
      <c r="L19" s="38"/>
      <c r="M19" s="17"/>
    </row>
    <row r="20" spans="2:13" ht="14.45" customHeight="1" x14ac:dyDescent="0.25">
      <c r="B20" s="17"/>
      <c r="C20" s="14"/>
      <c r="D20" s="14"/>
      <c r="E20" s="18"/>
      <c r="F20" s="20"/>
      <c r="G20" s="64"/>
      <c r="H20" s="68"/>
      <c r="I20" s="68"/>
      <c r="J20" s="15"/>
      <c r="K20" s="38"/>
      <c r="L20" s="38"/>
      <c r="M20" s="17"/>
    </row>
    <row r="21" spans="2:13" ht="14.45" customHeight="1" x14ac:dyDescent="0.25">
      <c r="B21" s="17"/>
      <c r="C21" s="14"/>
      <c r="D21" s="14"/>
      <c r="E21" s="18"/>
      <c r="F21" s="20"/>
      <c r="G21" s="64"/>
      <c r="H21" s="68"/>
      <c r="I21" s="68"/>
      <c r="J21" s="15"/>
      <c r="K21" s="38"/>
      <c r="L21" s="38"/>
      <c r="M21" s="17"/>
    </row>
    <row r="22" spans="2:13" ht="14.45" customHeight="1" x14ac:dyDescent="0.25">
      <c r="B22" s="17"/>
      <c r="C22" s="14"/>
      <c r="D22" s="14"/>
      <c r="E22" s="18"/>
      <c r="F22" s="20"/>
      <c r="G22" s="64"/>
      <c r="H22" s="68"/>
      <c r="I22" s="68"/>
      <c r="J22" s="15"/>
      <c r="K22" s="38"/>
      <c r="L22" s="38"/>
      <c r="M22" s="17"/>
    </row>
    <row r="23" spans="2:13" ht="14.45" customHeight="1" x14ac:dyDescent="0.25">
      <c r="B23" s="17"/>
      <c r="C23" s="14"/>
      <c r="D23" s="14"/>
      <c r="E23" s="18"/>
      <c r="F23" s="20"/>
      <c r="G23" s="64"/>
      <c r="H23" s="68"/>
      <c r="I23" s="68"/>
      <c r="J23" s="15"/>
      <c r="K23" s="38"/>
      <c r="L23" s="38"/>
      <c r="M23" s="17"/>
    </row>
    <row r="24" spans="2:13" ht="14.45" customHeight="1" x14ac:dyDescent="0.25">
      <c r="B24" s="17"/>
      <c r="C24" s="14"/>
      <c r="D24" s="14"/>
      <c r="E24" s="18"/>
      <c r="F24" s="20"/>
      <c r="G24" s="64"/>
      <c r="H24" s="68"/>
      <c r="I24" s="68"/>
      <c r="J24" s="15"/>
      <c r="K24" s="38"/>
      <c r="L24" s="38"/>
      <c r="M24" s="17"/>
    </row>
    <row r="25" spans="2:13" ht="14.45" customHeight="1" x14ac:dyDescent="0.25">
      <c r="B25" s="17"/>
      <c r="C25" s="14"/>
      <c r="D25" s="14"/>
      <c r="E25" s="18"/>
      <c r="F25" s="20"/>
      <c r="G25" s="64"/>
      <c r="H25" s="68"/>
      <c r="I25" s="68"/>
      <c r="J25" s="15"/>
      <c r="K25" s="38"/>
      <c r="L25" s="38"/>
      <c r="M25" s="17"/>
    </row>
    <row r="26" spans="2:13" ht="14.45" customHeight="1" x14ac:dyDescent="0.25">
      <c r="B26" s="17"/>
      <c r="C26" s="14"/>
      <c r="D26" s="14"/>
      <c r="E26" s="18"/>
      <c r="F26" s="20"/>
      <c r="G26" s="64"/>
      <c r="H26" s="68"/>
      <c r="I26" s="68"/>
      <c r="J26" s="15"/>
      <c r="K26" s="38"/>
      <c r="L26" s="38"/>
      <c r="M26" s="17"/>
    </row>
    <row r="27" spans="2:13" ht="14.45" customHeight="1" x14ac:dyDescent="0.25">
      <c r="B27" s="17"/>
      <c r="C27" s="14"/>
      <c r="D27" s="14"/>
      <c r="E27" s="18"/>
      <c r="F27" s="20"/>
      <c r="G27" s="64"/>
      <c r="H27" s="68"/>
      <c r="I27" s="68"/>
      <c r="J27" s="15"/>
      <c r="K27" s="38"/>
      <c r="L27" s="38"/>
      <c r="M27" s="17"/>
    </row>
    <row r="28" spans="2:13" ht="14.45" customHeight="1" x14ac:dyDescent="0.25">
      <c r="B28" s="17"/>
      <c r="C28" s="14"/>
      <c r="D28" s="14"/>
      <c r="E28" s="18"/>
      <c r="F28" s="20"/>
      <c r="G28" s="64"/>
      <c r="H28" s="68"/>
      <c r="I28" s="68"/>
      <c r="J28" s="15"/>
      <c r="K28" s="38"/>
      <c r="L28" s="38"/>
      <c r="M28" s="17"/>
    </row>
    <row r="29" spans="2:13" ht="14.45" customHeight="1" x14ac:dyDescent="0.25">
      <c r="B29" s="17"/>
      <c r="C29" s="14"/>
      <c r="D29" s="14"/>
      <c r="E29" s="18"/>
      <c r="F29" s="20"/>
      <c r="G29" s="64"/>
      <c r="H29" s="68"/>
      <c r="I29" s="68"/>
      <c r="J29" s="15"/>
      <c r="K29" s="38"/>
      <c r="L29" s="38"/>
      <c r="M29" s="17"/>
    </row>
    <row r="30" spans="2:13" ht="14.45" customHeight="1" x14ac:dyDescent="0.25">
      <c r="B30" s="17"/>
      <c r="C30" s="14"/>
      <c r="D30" s="14"/>
      <c r="E30" s="18"/>
      <c r="F30" s="20"/>
      <c r="G30" s="64"/>
      <c r="H30" s="68"/>
      <c r="I30" s="68"/>
      <c r="J30" s="15"/>
      <c r="K30" s="38"/>
      <c r="L30" s="38"/>
      <c r="M30" s="17"/>
    </row>
    <row r="31" spans="2:13" ht="14.45" customHeight="1" x14ac:dyDescent="0.25">
      <c r="B31" s="17"/>
      <c r="C31" s="14"/>
      <c r="D31" s="14"/>
      <c r="E31" s="18"/>
      <c r="F31" s="20"/>
      <c r="G31" s="64"/>
      <c r="H31" s="68"/>
      <c r="I31" s="68"/>
      <c r="J31" s="15"/>
      <c r="K31" s="38"/>
      <c r="L31" s="38"/>
      <c r="M31" s="17"/>
    </row>
    <row r="32" spans="2:13" ht="14.45" customHeight="1" x14ac:dyDescent="0.25">
      <c r="B32" s="17"/>
      <c r="C32" s="14"/>
      <c r="D32" s="14"/>
      <c r="E32" s="18"/>
      <c r="F32" s="20"/>
      <c r="G32" s="64"/>
      <c r="H32" s="68"/>
      <c r="I32" s="68"/>
      <c r="J32" s="15"/>
      <c r="K32" s="38"/>
      <c r="L32" s="38"/>
      <c r="M32" s="17"/>
    </row>
    <row r="33" spans="2:13" ht="14.45" customHeight="1" x14ac:dyDescent="0.25">
      <c r="B33" s="17"/>
      <c r="C33" s="14"/>
      <c r="D33" s="14"/>
      <c r="E33" s="18"/>
      <c r="F33" s="20"/>
      <c r="G33" s="64"/>
      <c r="H33" s="68"/>
      <c r="I33" s="68"/>
      <c r="J33" s="15"/>
      <c r="K33" s="38"/>
      <c r="L33" s="38"/>
      <c r="M33" s="17"/>
    </row>
    <row r="34" spans="2:13" ht="14.45" customHeight="1" x14ac:dyDescent="0.25">
      <c r="B34" s="17"/>
      <c r="C34" s="14"/>
      <c r="D34" s="14"/>
      <c r="E34" s="18"/>
      <c r="F34" s="20"/>
      <c r="G34" s="64"/>
      <c r="H34" s="68"/>
      <c r="I34" s="68"/>
      <c r="J34" s="15"/>
      <c r="K34" s="38"/>
      <c r="L34" s="38"/>
      <c r="M34" s="17"/>
    </row>
    <row r="35" spans="2:13" ht="14.45" customHeight="1" x14ac:dyDescent="0.25">
      <c r="B35" s="39"/>
      <c r="C35" s="40"/>
      <c r="D35" s="40"/>
      <c r="E35" s="41"/>
      <c r="F35" s="42"/>
      <c r="G35" s="65"/>
      <c r="H35" s="70"/>
      <c r="I35" s="70"/>
      <c r="J35" s="43"/>
      <c r="K35" s="38"/>
      <c r="L35" s="38"/>
      <c r="M35" s="17"/>
    </row>
    <row r="36" spans="2:13" ht="14.45" customHeight="1" x14ac:dyDescent="0.25">
      <c r="B36" s="17"/>
      <c r="C36" s="14"/>
      <c r="D36" s="14"/>
      <c r="E36" s="18"/>
      <c r="F36" s="20"/>
      <c r="G36" s="64"/>
      <c r="H36" s="68"/>
      <c r="I36" s="68"/>
      <c r="J36" s="14"/>
      <c r="K36" s="38"/>
      <c r="L36" s="38"/>
      <c r="M36" s="17"/>
    </row>
    <row r="37" spans="2:13" ht="14.45" customHeight="1" x14ac:dyDescent="0.25">
      <c r="B37" s="39"/>
      <c r="C37" s="40"/>
      <c r="D37" s="40"/>
      <c r="E37" s="41"/>
      <c r="F37" s="42"/>
      <c r="G37" s="65"/>
      <c r="H37" s="70"/>
      <c r="I37" s="70"/>
      <c r="J37" s="40"/>
      <c r="K37" s="38"/>
      <c r="L37" s="38"/>
      <c r="M37" s="17"/>
    </row>
    <row r="38" spans="2:13" ht="14.45" customHeight="1" x14ac:dyDescent="0.25">
      <c r="B38" s="44"/>
      <c r="C38" s="45"/>
      <c r="D38" s="45"/>
      <c r="E38" s="46"/>
      <c r="F38" s="47"/>
      <c r="G38" s="66"/>
      <c r="H38" s="77"/>
      <c r="I38" s="77"/>
      <c r="J38" s="45"/>
      <c r="K38" s="38"/>
      <c r="L38" s="38"/>
      <c r="M38" s="17"/>
    </row>
    <row r="39" spans="2:13" ht="14.45" customHeight="1" x14ac:dyDescent="0.25">
      <c r="B39" s="39"/>
      <c r="C39" s="48"/>
      <c r="D39" s="48"/>
      <c r="E39" s="49"/>
      <c r="F39" s="50"/>
      <c r="G39" s="67"/>
      <c r="H39" s="67"/>
      <c r="I39" s="67"/>
      <c r="J39" s="51"/>
      <c r="K39" s="38"/>
      <c r="L39" s="38"/>
      <c r="M39" s="17"/>
    </row>
    <row r="40" spans="2:13" ht="14.45" customHeight="1" x14ac:dyDescent="0.25">
      <c r="B40" s="17"/>
      <c r="C40" s="14"/>
      <c r="D40" s="14"/>
      <c r="E40" s="19"/>
      <c r="F40" s="21"/>
      <c r="G40" s="68"/>
      <c r="H40" s="68"/>
      <c r="I40" s="68"/>
      <c r="J40" s="52"/>
      <c r="K40" s="38"/>
      <c r="L40" s="38"/>
      <c r="M40" s="17"/>
    </row>
    <row r="41" spans="2:13" ht="14.45" customHeight="1" x14ac:dyDescent="0.25">
      <c r="B41" s="17"/>
      <c r="C41" s="14"/>
      <c r="D41" s="14"/>
      <c r="E41" s="19"/>
      <c r="F41" s="21"/>
      <c r="G41" s="68"/>
      <c r="H41" s="68"/>
      <c r="I41" s="68"/>
      <c r="J41" s="52"/>
      <c r="K41" s="38"/>
      <c r="L41" s="38"/>
      <c r="M41" s="17"/>
    </row>
    <row r="42" spans="2:13" ht="14.45" customHeight="1" x14ac:dyDescent="0.25">
      <c r="B42" s="17"/>
      <c r="C42" s="14"/>
      <c r="D42" s="14"/>
      <c r="E42" s="19"/>
      <c r="F42" s="21"/>
      <c r="G42" s="68"/>
      <c r="H42" s="68"/>
      <c r="I42" s="68"/>
      <c r="J42" s="52"/>
      <c r="K42" s="38"/>
      <c r="L42" s="38"/>
      <c r="M42" s="17"/>
    </row>
    <row r="43" spans="2:13" ht="14.45" customHeight="1" x14ac:dyDescent="0.25">
      <c r="B43" s="17"/>
      <c r="C43" s="14"/>
      <c r="D43" s="14"/>
      <c r="E43" s="19"/>
      <c r="F43" s="21"/>
      <c r="G43" s="68"/>
      <c r="H43" s="68"/>
      <c r="I43" s="68"/>
      <c r="J43" s="52"/>
      <c r="K43" s="38"/>
      <c r="L43" s="38"/>
      <c r="M43" s="17"/>
    </row>
    <row r="44" spans="2:13" ht="14.45" customHeight="1" x14ac:dyDescent="0.25">
      <c r="B44" s="17"/>
      <c r="C44" s="14"/>
      <c r="D44" s="14"/>
      <c r="E44" s="19"/>
      <c r="F44" s="21"/>
      <c r="G44" s="68"/>
      <c r="H44" s="68"/>
      <c r="I44" s="68"/>
      <c r="J44" s="52"/>
      <c r="K44" s="38"/>
      <c r="L44" s="38"/>
      <c r="M44" s="17"/>
    </row>
    <row r="45" spans="2:13" ht="14.45" customHeight="1" x14ac:dyDescent="0.25">
      <c r="B45" s="17"/>
      <c r="C45" s="14"/>
      <c r="D45" s="14"/>
      <c r="E45" s="19"/>
      <c r="F45" s="21"/>
      <c r="G45" s="68"/>
      <c r="H45" s="68"/>
      <c r="I45" s="68"/>
      <c r="J45" s="52"/>
      <c r="K45" s="38"/>
      <c r="L45" s="38"/>
      <c r="M45" s="17"/>
    </row>
    <row r="46" spans="2:13" ht="14.45" customHeight="1" x14ac:dyDescent="0.25">
      <c r="B46" s="17"/>
      <c r="C46" s="14"/>
      <c r="D46" s="14"/>
      <c r="E46" s="19"/>
      <c r="F46" s="21"/>
      <c r="G46" s="68"/>
      <c r="H46" s="68"/>
      <c r="I46" s="68"/>
      <c r="J46" s="52"/>
      <c r="K46" s="38"/>
      <c r="L46" s="38"/>
      <c r="M46" s="17"/>
    </row>
    <row r="47" spans="2:13" ht="14.45" customHeight="1" x14ac:dyDescent="0.25">
      <c r="B47" s="17"/>
      <c r="C47" s="14"/>
      <c r="D47" s="14"/>
      <c r="E47" s="19"/>
      <c r="F47" s="21"/>
      <c r="G47" s="68"/>
      <c r="H47" s="68"/>
      <c r="I47" s="68"/>
      <c r="J47" s="52"/>
      <c r="K47" s="38"/>
      <c r="L47" s="38"/>
      <c r="M47" s="17"/>
    </row>
    <row r="48" spans="2:13" ht="14.45" customHeight="1" x14ac:dyDescent="0.25">
      <c r="B48" s="17"/>
      <c r="C48" s="14"/>
      <c r="D48" s="14"/>
      <c r="E48" s="19"/>
      <c r="F48" s="21"/>
      <c r="G48" s="68"/>
      <c r="H48" s="68"/>
      <c r="I48" s="68"/>
      <c r="J48" s="52"/>
      <c r="K48" s="38"/>
      <c r="L48" s="38"/>
      <c r="M48" s="17"/>
    </row>
    <row r="49" spans="2:13" ht="14.45" customHeight="1" x14ac:dyDescent="0.25">
      <c r="B49" s="17"/>
      <c r="C49" s="14"/>
      <c r="D49" s="14"/>
      <c r="E49" s="19"/>
      <c r="F49" s="21"/>
      <c r="G49" s="68"/>
      <c r="H49" s="68"/>
      <c r="I49" s="68"/>
      <c r="J49" s="52"/>
      <c r="K49" s="38"/>
      <c r="L49" s="38"/>
      <c r="M49" s="17"/>
    </row>
    <row r="50" spans="2:13" ht="14.45" customHeight="1" x14ac:dyDescent="0.25">
      <c r="B50" s="53"/>
      <c r="C50" s="40"/>
      <c r="D50" s="40"/>
      <c r="E50" s="54"/>
      <c r="F50" s="55"/>
      <c r="G50" s="69"/>
      <c r="H50" s="78"/>
      <c r="I50" s="78"/>
      <c r="J50" s="56"/>
      <c r="K50" s="38"/>
      <c r="L50" s="38"/>
      <c r="M50" s="17"/>
    </row>
    <row r="51" spans="2:13" ht="14.45" customHeight="1" x14ac:dyDescent="0.25">
      <c r="B51" s="44"/>
      <c r="C51" s="45"/>
      <c r="D51" s="45"/>
      <c r="E51" s="46"/>
      <c r="F51" s="47"/>
      <c r="G51" s="66"/>
      <c r="H51" s="77"/>
      <c r="I51" s="77"/>
      <c r="J51" s="45"/>
      <c r="K51" s="38"/>
      <c r="L51" s="38"/>
      <c r="M51" s="17"/>
    </row>
    <row r="52" spans="2:13" ht="14.45" customHeight="1" x14ac:dyDescent="0.25">
      <c r="B52" s="39"/>
      <c r="C52" s="48"/>
      <c r="D52" s="48"/>
      <c r="E52" s="49"/>
      <c r="F52" s="50"/>
      <c r="G52" s="67"/>
      <c r="H52" s="67"/>
      <c r="I52" s="67"/>
      <c r="J52" s="51"/>
      <c r="K52" s="38"/>
      <c r="L52" s="38"/>
      <c r="M52" s="17"/>
    </row>
    <row r="53" spans="2:13" ht="14.45" customHeight="1" x14ac:dyDescent="0.25">
      <c r="B53" s="17"/>
      <c r="C53" s="14"/>
      <c r="D53" s="14"/>
      <c r="E53" s="19"/>
      <c r="F53" s="21"/>
      <c r="G53" s="68"/>
      <c r="H53" s="68"/>
      <c r="I53" s="68"/>
      <c r="J53" s="52"/>
      <c r="K53" s="38"/>
      <c r="L53" s="38"/>
      <c r="M53" s="17"/>
    </row>
    <row r="54" spans="2:13" ht="14.45" customHeight="1" x14ac:dyDescent="0.25">
      <c r="B54" s="17"/>
      <c r="C54" s="14"/>
      <c r="D54" s="14"/>
      <c r="E54" s="19"/>
      <c r="F54" s="21"/>
      <c r="G54" s="68"/>
      <c r="H54" s="68"/>
      <c r="I54" s="68"/>
      <c r="J54" s="52"/>
      <c r="K54" s="38"/>
      <c r="L54" s="38"/>
      <c r="M54" s="17"/>
    </row>
    <row r="55" spans="2:13" ht="14.45" customHeight="1" x14ac:dyDescent="0.25">
      <c r="B55" s="17"/>
      <c r="C55" s="14"/>
      <c r="D55" s="14"/>
      <c r="E55" s="19"/>
      <c r="F55" s="21"/>
      <c r="G55" s="68"/>
      <c r="H55" s="68"/>
      <c r="I55" s="68"/>
      <c r="J55" s="52"/>
      <c r="K55" s="38"/>
      <c r="L55" s="38"/>
      <c r="M55" s="17"/>
    </row>
    <row r="56" spans="2:13" ht="14.45" customHeight="1" x14ac:dyDescent="0.25">
      <c r="B56" s="17"/>
      <c r="C56" s="14"/>
      <c r="D56" s="14"/>
      <c r="E56" s="19"/>
      <c r="F56" s="21"/>
      <c r="G56" s="68"/>
      <c r="H56" s="68"/>
      <c r="I56" s="68"/>
      <c r="J56" s="52"/>
      <c r="K56" s="38"/>
      <c r="L56" s="38"/>
      <c r="M56" s="17"/>
    </row>
    <row r="57" spans="2:13" ht="14.45" customHeight="1" x14ac:dyDescent="0.25">
      <c r="B57" s="17"/>
      <c r="C57" s="14"/>
      <c r="D57" s="14"/>
      <c r="E57" s="19"/>
      <c r="F57" s="21"/>
      <c r="G57" s="68"/>
      <c r="H57" s="68"/>
      <c r="I57" s="68"/>
      <c r="J57" s="52"/>
      <c r="K57" s="38"/>
      <c r="L57" s="38"/>
      <c r="M57" s="17"/>
    </row>
    <row r="58" spans="2:13" ht="14.45" customHeight="1" x14ac:dyDescent="0.25">
      <c r="B58" s="17"/>
      <c r="C58" s="14"/>
      <c r="D58" s="14"/>
      <c r="E58" s="19"/>
      <c r="F58" s="21"/>
      <c r="G58" s="68"/>
      <c r="H58" s="68"/>
      <c r="I58" s="68"/>
      <c r="J58" s="52"/>
      <c r="K58" s="38"/>
      <c r="L58" s="38"/>
      <c r="M58" s="17"/>
    </row>
    <row r="59" spans="2:13" ht="14.45" customHeight="1" x14ac:dyDescent="0.25">
      <c r="B59" s="17"/>
      <c r="C59" s="14"/>
      <c r="D59" s="14"/>
      <c r="E59" s="19"/>
      <c r="F59" s="21"/>
      <c r="G59" s="68"/>
      <c r="H59" s="68"/>
      <c r="I59" s="68"/>
      <c r="J59" s="52"/>
      <c r="K59" s="38"/>
      <c r="L59" s="38"/>
      <c r="M59" s="17"/>
    </row>
    <row r="60" spans="2:13" ht="14.45" customHeight="1" x14ac:dyDescent="0.25">
      <c r="B60" s="17"/>
      <c r="C60" s="14"/>
      <c r="D60" s="14"/>
      <c r="E60" s="19"/>
      <c r="F60" s="21"/>
      <c r="G60" s="68"/>
      <c r="H60" s="68"/>
      <c r="I60" s="68"/>
      <c r="J60" s="52"/>
      <c r="K60" s="38"/>
      <c r="L60" s="38"/>
      <c r="M60" s="17"/>
    </row>
    <row r="61" spans="2:13" ht="14.45" customHeight="1" x14ac:dyDescent="0.25">
      <c r="B61" s="17"/>
      <c r="C61" s="14"/>
      <c r="D61" s="14"/>
      <c r="E61" s="19"/>
      <c r="F61" s="21"/>
      <c r="G61" s="68"/>
      <c r="H61" s="68"/>
      <c r="I61" s="68"/>
      <c r="J61" s="52"/>
      <c r="K61" s="38"/>
      <c r="L61" s="38"/>
      <c r="M61" s="17"/>
    </row>
    <row r="62" spans="2:13" ht="14.45" customHeight="1" x14ac:dyDescent="0.25">
      <c r="B62" s="17"/>
      <c r="C62" s="14"/>
      <c r="D62" s="14"/>
      <c r="E62" s="19"/>
      <c r="F62" s="21"/>
      <c r="G62" s="68"/>
      <c r="H62" s="68"/>
      <c r="I62" s="68"/>
      <c r="J62" s="52"/>
      <c r="K62" s="38"/>
      <c r="L62" s="38"/>
      <c r="M62" s="17"/>
    </row>
    <row r="63" spans="2:13" ht="14.45" customHeight="1" x14ac:dyDescent="0.25">
      <c r="B63" s="53"/>
      <c r="C63" s="40"/>
      <c r="D63" s="40"/>
      <c r="E63" s="54"/>
      <c r="F63" s="55"/>
      <c r="G63" s="69"/>
      <c r="H63" s="78"/>
      <c r="I63" s="78"/>
      <c r="J63" s="56"/>
      <c r="K63" s="38"/>
      <c r="L63" s="38"/>
      <c r="M63" s="17"/>
    </row>
    <row r="64" spans="2:13" ht="14.45" customHeight="1" x14ac:dyDescent="0.25">
      <c r="B64" s="44"/>
      <c r="C64" s="45"/>
      <c r="D64" s="45"/>
      <c r="E64" s="46"/>
      <c r="F64" s="47"/>
      <c r="G64" s="66"/>
      <c r="H64" s="77"/>
      <c r="I64" s="77"/>
      <c r="J64" s="45"/>
      <c r="K64" s="38"/>
      <c r="L64" s="38"/>
      <c r="M64" s="17"/>
    </row>
    <row r="65" spans="2:13" ht="14.45" customHeight="1" x14ac:dyDescent="0.25">
      <c r="B65" s="53"/>
      <c r="C65" s="40"/>
      <c r="D65" s="40"/>
      <c r="E65" s="41"/>
      <c r="F65" s="57"/>
      <c r="G65" s="70"/>
      <c r="H65" s="70"/>
      <c r="I65" s="70"/>
      <c r="J65" s="16"/>
      <c r="K65" s="38"/>
      <c r="L65" s="38"/>
      <c r="M65" s="17"/>
    </row>
    <row r="66" spans="2:13" ht="14.45" customHeight="1" x14ac:dyDescent="0.25">
      <c r="B66" s="44"/>
      <c r="C66" s="45"/>
      <c r="D66" s="45"/>
      <c r="E66" s="46"/>
      <c r="F66" s="47"/>
      <c r="G66" s="66"/>
      <c r="H66" s="77"/>
      <c r="I66" s="77"/>
      <c r="J66" s="45"/>
      <c r="K66" s="38"/>
      <c r="L66" s="38"/>
      <c r="M66" s="17"/>
    </row>
    <row r="67" spans="2:13" ht="14.45" customHeight="1" x14ac:dyDescent="0.25">
      <c r="B67" s="39"/>
      <c r="C67" s="48"/>
      <c r="D67" s="48"/>
      <c r="E67" s="49"/>
      <c r="F67" s="57"/>
      <c r="G67" s="70"/>
      <c r="H67" s="70"/>
      <c r="I67" s="70"/>
      <c r="J67" s="58"/>
      <c r="K67" s="38"/>
      <c r="L67" s="38"/>
      <c r="M67" s="17"/>
    </row>
    <row r="68" spans="2:13" ht="14.45" customHeight="1" x14ac:dyDescent="0.25">
      <c r="B68" s="44"/>
      <c r="C68" s="45"/>
      <c r="D68" s="45"/>
      <c r="E68" s="46"/>
      <c r="F68" s="47"/>
      <c r="G68" s="66"/>
      <c r="H68" s="77"/>
      <c r="I68" s="77"/>
      <c r="J68" s="45"/>
      <c r="K68" s="38"/>
      <c r="L68" s="38"/>
      <c r="M68" s="17"/>
    </row>
    <row r="69" spans="2:13" ht="14.45" customHeight="1" x14ac:dyDescent="0.25">
      <c r="B69" s="53"/>
      <c r="C69" s="40"/>
      <c r="D69" s="40"/>
      <c r="E69" s="41"/>
      <c r="F69" s="42"/>
      <c r="G69" s="65"/>
      <c r="H69" s="70"/>
      <c r="I69" s="70"/>
      <c r="J69" s="40"/>
      <c r="K69" s="38"/>
      <c r="L69" s="38"/>
      <c r="M69" s="17"/>
    </row>
    <row r="70" spans="2:13" ht="14.45" customHeight="1" x14ac:dyDescent="0.25">
      <c r="B70" s="53"/>
      <c r="C70" s="40"/>
      <c r="D70" s="40"/>
      <c r="E70" s="41"/>
      <c r="F70" s="42"/>
      <c r="G70" s="65"/>
      <c r="H70" s="70"/>
      <c r="I70" s="70"/>
      <c r="J70" s="59"/>
      <c r="K70" s="38"/>
      <c r="L70" s="38"/>
      <c r="M70" s="17"/>
    </row>
    <row r="71" spans="2:13" ht="14.45" customHeight="1" x14ac:dyDescent="0.25">
      <c r="B71" s="17"/>
      <c r="C71" s="14"/>
      <c r="D71" s="14"/>
      <c r="E71" s="18"/>
      <c r="F71" s="22"/>
      <c r="G71" s="71"/>
      <c r="H71" s="68"/>
      <c r="I71" s="68"/>
      <c r="J71" s="15"/>
      <c r="K71" s="38"/>
      <c r="L71" s="38"/>
      <c r="M71" s="17"/>
    </row>
    <row r="72" spans="2:13" ht="14.45" customHeight="1" x14ac:dyDescent="0.25">
      <c r="B72" s="17"/>
      <c r="C72" s="14"/>
      <c r="D72" s="14"/>
      <c r="E72" s="18"/>
      <c r="F72" s="22"/>
      <c r="G72" s="71"/>
      <c r="H72" s="68"/>
      <c r="I72" s="68"/>
      <c r="J72" s="15"/>
      <c r="K72" s="38"/>
      <c r="L72" s="38"/>
      <c r="M72" s="17"/>
    </row>
    <row r="73" spans="2:13" ht="14.45" customHeight="1" x14ac:dyDescent="0.25">
      <c r="B73" s="17"/>
      <c r="C73" s="14"/>
      <c r="D73" s="14"/>
      <c r="E73" s="18"/>
      <c r="F73" s="22"/>
      <c r="G73" s="71"/>
      <c r="H73" s="68"/>
      <c r="I73" s="68"/>
      <c r="J73" s="15"/>
      <c r="K73" s="38"/>
      <c r="L73" s="38"/>
      <c r="M73" s="17"/>
    </row>
    <row r="74" spans="2:13" ht="14.45" customHeight="1" x14ac:dyDescent="0.25">
      <c r="B74" s="17"/>
      <c r="C74" s="14"/>
      <c r="D74" s="14"/>
      <c r="E74" s="18"/>
      <c r="F74" s="22"/>
      <c r="G74" s="71"/>
      <c r="H74" s="68"/>
      <c r="I74" s="68"/>
      <c r="J74" s="15"/>
      <c r="K74" s="38"/>
      <c r="L74" s="38"/>
      <c r="M74" s="17"/>
    </row>
    <row r="75" spans="2:13" ht="14.45" customHeight="1" x14ac:dyDescent="0.25">
      <c r="B75" s="17"/>
      <c r="C75" s="14"/>
      <c r="D75" s="14"/>
      <c r="E75" s="18"/>
      <c r="F75" s="22"/>
      <c r="G75" s="71"/>
      <c r="H75" s="68"/>
      <c r="I75" s="68"/>
      <c r="J75" s="15"/>
      <c r="K75" s="38"/>
      <c r="L75" s="38"/>
      <c r="M75" s="17"/>
    </row>
    <row r="76" spans="2:13" ht="14.45" customHeight="1" x14ac:dyDescent="0.25">
      <c r="B76" s="17"/>
      <c r="C76" s="14"/>
      <c r="D76" s="14"/>
      <c r="E76" s="18"/>
      <c r="F76" s="22"/>
      <c r="G76" s="71"/>
      <c r="H76" s="68"/>
      <c r="I76" s="68"/>
      <c r="J76" s="15"/>
      <c r="K76" s="38"/>
      <c r="L76" s="38"/>
      <c r="M76" s="17"/>
    </row>
    <row r="77" spans="2:13" ht="14.45" customHeight="1" x14ac:dyDescent="0.25">
      <c r="B77" s="17"/>
      <c r="C77" s="14"/>
      <c r="D77" s="14"/>
      <c r="E77" s="18"/>
      <c r="F77" s="22"/>
      <c r="G77" s="71"/>
      <c r="H77" s="68"/>
      <c r="I77" s="68"/>
      <c r="J77" s="15"/>
      <c r="K77" s="38"/>
      <c r="L77" s="38"/>
      <c r="M77" s="17"/>
    </row>
    <row r="78" spans="2:13" ht="14.45" customHeight="1" x14ac:dyDescent="0.25">
      <c r="B78" s="17"/>
      <c r="C78" s="14"/>
      <c r="D78" s="14"/>
      <c r="E78" s="18"/>
      <c r="F78" s="22"/>
      <c r="G78" s="71"/>
      <c r="H78" s="68"/>
      <c r="I78" s="68"/>
      <c r="J78" s="15"/>
      <c r="K78" s="38"/>
      <c r="L78" s="38"/>
      <c r="M78" s="17"/>
    </row>
    <row r="79" spans="2:13" ht="14.45" customHeight="1" x14ac:dyDescent="0.25">
      <c r="B79" s="17"/>
      <c r="C79" s="14"/>
      <c r="D79" s="14"/>
      <c r="E79" s="18"/>
      <c r="F79" s="22"/>
      <c r="G79" s="71"/>
      <c r="H79" s="68"/>
      <c r="I79" s="68"/>
      <c r="J79" s="15"/>
      <c r="K79" s="38"/>
      <c r="L79" s="38"/>
      <c r="M79" s="17"/>
    </row>
    <row r="80" spans="2:13" ht="14.45" customHeight="1" x14ac:dyDescent="0.25">
      <c r="B80" s="17"/>
      <c r="C80" s="14"/>
      <c r="D80" s="14"/>
      <c r="E80" s="18"/>
      <c r="F80" s="22"/>
      <c r="G80" s="71"/>
      <c r="H80" s="68"/>
      <c r="I80" s="68"/>
      <c r="J80" s="15"/>
      <c r="K80" s="38"/>
      <c r="L80" s="38"/>
      <c r="M80" s="17"/>
    </row>
    <row r="81" spans="2:13" ht="14.45" customHeight="1" x14ac:dyDescent="0.25">
      <c r="B81" s="53"/>
      <c r="C81" s="40"/>
      <c r="D81" s="40"/>
      <c r="E81" s="41"/>
      <c r="F81" s="42"/>
      <c r="G81" s="65"/>
      <c r="H81" s="70"/>
      <c r="I81" s="70"/>
      <c r="J81" s="43"/>
      <c r="K81" s="38"/>
      <c r="L81" s="38"/>
      <c r="M81" s="17"/>
    </row>
    <row r="82" spans="2:13" ht="14.45" customHeight="1" x14ac:dyDescent="0.25">
      <c r="B82" s="53"/>
      <c r="C82" s="40"/>
      <c r="D82" s="40"/>
      <c r="E82" s="41"/>
      <c r="F82" s="42"/>
      <c r="G82" s="65"/>
      <c r="H82" s="70"/>
      <c r="I82" s="70"/>
      <c r="J82" s="43"/>
      <c r="K82" s="38"/>
      <c r="L82" s="38"/>
      <c r="M82" s="17"/>
    </row>
    <row r="83" spans="2:13" ht="14.45" customHeight="1" x14ac:dyDescent="0.25">
      <c r="B83" s="44"/>
      <c r="C83" s="45"/>
      <c r="D83" s="45"/>
      <c r="E83" s="46"/>
      <c r="F83" s="47"/>
      <c r="G83" s="66"/>
      <c r="H83" s="77"/>
      <c r="I83" s="77"/>
      <c r="J83" s="45"/>
      <c r="K83" s="38"/>
      <c r="L83" s="38"/>
      <c r="M83" s="17"/>
    </row>
    <row r="84" spans="2:13" ht="14.45" customHeight="1" x14ac:dyDescent="0.25">
      <c r="B84" s="39"/>
      <c r="C84" s="48"/>
      <c r="D84" s="48"/>
      <c r="E84" s="49"/>
      <c r="F84" s="60"/>
      <c r="G84" s="72"/>
      <c r="H84" s="67"/>
      <c r="I84" s="67"/>
      <c r="J84" s="43"/>
      <c r="K84" s="38"/>
      <c r="L84" s="38"/>
      <c r="M84" s="17"/>
    </row>
    <row r="85" spans="2:13" ht="14.45" customHeight="1" x14ac:dyDescent="0.25">
      <c r="B85" s="17"/>
      <c r="C85" s="14"/>
      <c r="D85" s="14"/>
      <c r="E85" s="18"/>
      <c r="F85" s="20"/>
      <c r="G85" s="64"/>
      <c r="H85" s="68"/>
      <c r="I85" s="68"/>
      <c r="J85" s="14"/>
      <c r="K85" s="38"/>
      <c r="L85" s="38"/>
      <c r="M85" s="17"/>
    </row>
    <row r="86" spans="2:13" ht="14.45" customHeight="1" x14ac:dyDescent="0.25">
      <c r="B86" s="39"/>
      <c r="C86" s="40"/>
      <c r="D86" s="40"/>
      <c r="E86" s="41"/>
      <c r="F86" s="42"/>
      <c r="G86" s="65"/>
      <c r="H86" s="70"/>
      <c r="I86" s="70"/>
      <c r="J86" s="40"/>
      <c r="K86" s="38"/>
      <c r="L86" s="38"/>
      <c r="M86" s="17"/>
    </row>
    <row r="87" spans="2:13" ht="14.45" customHeight="1" x14ac:dyDescent="0.25">
      <c r="B87" s="53"/>
      <c r="C87" s="40"/>
      <c r="D87" s="40"/>
      <c r="E87" s="41"/>
      <c r="F87" s="42"/>
      <c r="G87" s="65"/>
      <c r="H87" s="70"/>
      <c r="I87" s="70"/>
      <c r="J87" s="43"/>
      <c r="K87" s="38"/>
      <c r="L87" s="38"/>
      <c r="M87" s="17"/>
    </row>
    <row r="88" spans="2:13" ht="14.45" customHeight="1" x14ac:dyDescent="0.25">
      <c r="B88" s="17"/>
      <c r="C88" s="14"/>
      <c r="D88" s="14"/>
      <c r="E88" s="18"/>
      <c r="F88" s="61"/>
      <c r="G88" s="73"/>
      <c r="H88" s="79"/>
      <c r="I88" s="79"/>
      <c r="J88" s="14"/>
      <c r="K88" s="38"/>
      <c r="L88" s="38"/>
      <c r="M88" s="17"/>
    </row>
    <row r="89" spans="2:13" ht="14.45" customHeight="1" x14ac:dyDescent="0.25">
      <c r="B89" s="17"/>
      <c r="C89" s="14"/>
      <c r="D89" s="14"/>
      <c r="E89" s="18"/>
      <c r="F89" s="61"/>
      <c r="G89" s="73"/>
      <c r="H89" s="79"/>
      <c r="I89" s="79"/>
      <c r="J89" s="14"/>
      <c r="K89" s="38"/>
      <c r="L89" s="38"/>
      <c r="M89" s="17"/>
    </row>
    <row r="90" spans="2:13" ht="14.45" customHeight="1" x14ac:dyDescent="0.25">
      <c r="B90" s="17"/>
      <c r="C90" s="14"/>
      <c r="D90" s="14"/>
      <c r="E90" s="18"/>
      <c r="F90" s="61"/>
      <c r="G90" s="73"/>
      <c r="H90" s="79"/>
      <c r="I90" s="79"/>
      <c r="J90" s="14"/>
      <c r="K90" s="38"/>
      <c r="L90" s="38"/>
      <c r="M90" s="17"/>
    </row>
    <row r="91" spans="2:13" ht="14.45" customHeight="1" x14ac:dyDescent="0.25">
      <c r="B91" s="17"/>
      <c r="C91" s="14"/>
      <c r="D91" s="14"/>
      <c r="E91" s="18"/>
      <c r="F91" s="61"/>
      <c r="G91" s="73"/>
      <c r="H91" s="79"/>
      <c r="I91" s="79"/>
      <c r="J91" s="14"/>
      <c r="K91" s="38"/>
      <c r="L91" s="38"/>
      <c r="M91" s="17"/>
    </row>
    <row r="92" spans="2:13" ht="14.45" customHeight="1" x14ac:dyDescent="0.25">
      <c r="B92" s="17"/>
      <c r="C92" s="14"/>
      <c r="D92" s="14"/>
      <c r="E92" s="18"/>
      <c r="F92" s="61"/>
      <c r="G92" s="73"/>
      <c r="H92" s="79"/>
      <c r="I92" s="79"/>
      <c r="J92" s="14"/>
      <c r="K92" s="38"/>
      <c r="L92" s="38"/>
      <c r="M92" s="17"/>
    </row>
    <row r="93" spans="2:13" ht="14.45" customHeight="1" x14ac:dyDescent="0.25">
      <c r="B93" s="17"/>
      <c r="C93" s="14"/>
      <c r="D93" s="14"/>
      <c r="E93" s="18"/>
      <c r="F93" s="61"/>
      <c r="G93" s="73"/>
      <c r="H93" s="79"/>
      <c r="I93" s="79"/>
      <c r="J93" s="14"/>
      <c r="K93" s="38"/>
      <c r="L93" s="38"/>
      <c r="M93" s="17"/>
    </row>
    <row r="94" spans="2:13" ht="14.45" customHeight="1" x14ac:dyDescent="0.25">
      <c r="B94" s="17"/>
      <c r="C94" s="14"/>
      <c r="D94" s="14"/>
      <c r="E94" s="18"/>
      <c r="F94" s="61"/>
      <c r="G94" s="73"/>
      <c r="H94" s="79"/>
      <c r="I94" s="79"/>
      <c r="J94" s="14"/>
      <c r="K94" s="38"/>
      <c r="L94" s="38"/>
      <c r="M94" s="17"/>
    </row>
    <row r="95" spans="2:13" ht="14.45" customHeight="1" x14ac:dyDescent="0.25">
      <c r="B95" s="17"/>
      <c r="C95" s="14"/>
      <c r="D95" s="14"/>
      <c r="E95" s="18"/>
      <c r="F95" s="61"/>
      <c r="G95" s="73"/>
      <c r="H95" s="79"/>
      <c r="I95" s="79"/>
      <c r="J95" s="14"/>
      <c r="K95" s="38"/>
      <c r="L95" s="38"/>
      <c r="M95" s="17"/>
    </row>
    <row r="96" spans="2:13" ht="14.45" customHeight="1" x14ac:dyDescent="0.25">
      <c r="B96" s="17"/>
      <c r="C96" s="14"/>
      <c r="D96" s="14"/>
      <c r="E96" s="18"/>
      <c r="F96" s="61"/>
      <c r="G96" s="73"/>
      <c r="H96" s="79"/>
      <c r="I96" s="79"/>
      <c r="J96" s="14"/>
      <c r="K96" s="38"/>
      <c r="L96" s="38"/>
      <c r="M96" s="17"/>
    </row>
    <row r="97" spans="2:13" ht="14.45" customHeight="1" x14ac:dyDescent="0.25">
      <c r="B97" s="17"/>
      <c r="C97" s="14"/>
      <c r="D97" s="14"/>
      <c r="E97" s="18"/>
      <c r="F97" s="61"/>
      <c r="G97" s="73"/>
      <c r="H97" s="79"/>
      <c r="I97" s="79"/>
      <c r="J97" s="14"/>
      <c r="K97" s="38"/>
      <c r="L97" s="38"/>
      <c r="M97" s="17"/>
    </row>
    <row r="98" spans="2:13" ht="14.45" customHeight="1" x14ac:dyDescent="0.25">
      <c r="B98" s="17"/>
      <c r="C98" s="14"/>
      <c r="D98" s="14"/>
      <c r="E98" s="18"/>
      <c r="F98" s="61"/>
      <c r="G98" s="73"/>
      <c r="H98" s="79"/>
      <c r="I98" s="79"/>
      <c r="J98" s="14"/>
      <c r="K98" s="38"/>
      <c r="L98" s="38"/>
      <c r="M98" s="17"/>
    </row>
    <row r="99" spans="2:13" ht="14.45" customHeight="1" x14ac:dyDescent="0.25">
      <c r="B99" s="17"/>
      <c r="C99" s="14"/>
      <c r="D99" s="14"/>
      <c r="E99" s="18"/>
      <c r="F99" s="61"/>
      <c r="G99" s="73"/>
      <c r="H99" s="79"/>
      <c r="I99" s="79"/>
      <c r="J99" s="14"/>
      <c r="K99" s="38"/>
      <c r="L99" s="38"/>
      <c r="M99" s="17"/>
    </row>
    <row r="100" spans="2:13" ht="14.45" customHeight="1" x14ac:dyDescent="0.25">
      <c r="B100" s="17"/>
      <c r="C100" s="14"/>
      <c r="D100" s="14"/>
      <c r="E100" s="18"/>
      <c r="F100" s="61"/>
      <c r="G100" s="73"/>
      <c r="H100" s="79"/>
      <c r="I100" s="79"/>
      <c r="J100" s="14"/>
      <c r="K100" s="38"/>
      <c r="L100" s="38"/>
      <c r="M100" s="17"/>
    </row>
    <row r="101" spans="2:13" ht="14.45" customHeight="1" x14ac:dyDescent="0.25">
      <c r="B101" s="17"/>
      <c r="C101" s="14"/>
      <c r="D101" s="14"/>
      <c r="E101" s="18"/>
      <c r="F101" s="61"/>
      <c r="G101" s="73"/>
      <c r="H101" s="79"/>
      <c r="I101" s="79"/>
      <c r="J101" s="14"/>
      <c r="K101" s="38"/>
      <c r="L101" s="38"/>
      <c r="M101" s="17"/>
    </row>
    <row r="102" spans="2:13" ht="14.45" customHeight="1" x14ac:dyDescent="0.25">
      <c r="B102" s="17"/>
      <c r="C102" s="14"/>
      <c r="D102" s="14"/>
      <c r="E102" s="18"/>
      <c r="F102" s="61"/>
      <c r="G102" s="73"/>
      <c r="H102" s="79"/>
      <c r="I102" s="79"/>
      <c r="J102" s="14"/>
      <c r="K102" s="38"/>
      <c r="L102" s="38"/>
      <c r="M102" s="17"/>
    </row>
    <row r="103" spans="2:13" ht="14.45" customHeight="1" x14ac:dyDescent="0.25">
      <c r="B103" s="17"/>
      <c r="C103" s="14"/>
      <c r="D103" s="14"/>
      <c r="E103" s="18"/>
      <c r="F103" s="61"/>
      <c r="G103" s="73"/>
      <c r="H103" s="79"/>
      <c r="I103" s="79"/>
      <c r="J103" s="14"/>
      <c r="K103" s="38"/>
      <c r="L103" s="38"/>
      <c r="M103" s="17"/>
    </row>
    <row r="104" spans="2:13" ht="14.45" customHeight="1" x14ac:dyDescent="0.25">
      <c r="B104" s="17"/>
      <c r="C104" s="14"/>
      <c r="D104" s="14"/>
      <c r="E104" s="18"/>
      <c r="F104" s="61"/>
      <c r="G104" s="73"/>
      <c r="H104" s="79"/>
      <c r="I104" s="79"/>
      <c r="J104" s="14"/>
      <c r="K104" s="38"/>
      <c r="L104" s="38"/>
      <c r="M104" s="17"/>
    </row>
    <row r="105" spans="2:13" ht="14.45" customHeight="1" x14ac:dyDescent="0.25">
      <c r="B105" s="17"/>
      <c r="C105" s="14"/>
      <c r="D105" s="14"/>
      <c r="E105" s="18"/>
      <c r="F105" s="61"/>
      <c r="G105" s="73"/>
      <c r="H105" s="79"/>
      <c r="I105" s="79"/>
      <c r="J105" s="14"/>
      <c r="K105" s="38"/>
      <c r="L105" s="38"/>
      <c r="M105" s="17"/>
    </row>
    <row r="106" spans="2:13" ht="14.45" customHeight="1" x14ac:dyDescent="0.25">
      <c r="B106" s="17"/>
      <c r="C106" s="14"/>
      <c r="D106" s="14"/>
      <c r="E106" s="18"/>
      <c r="F106" s="61"/>
      <c r="G106" s="73"/>
      <c r="H106" s="79"/>
      <c r="I106" s="79"/>
      <c r="J106" s="14"/>
      <c r="K106" s="38"/>
      <c r="L106" s="38"/>
      <c r="M106" s="17"/>
    </row>
    <row r="107" spans="2:13" ht="14.45" customHeight="1" x14ac:dyDescent="0.25">
      <c r="B107" s="17"/>
      <c r="C107" s="14"/>
      <c r="D107" s="14"/>
      <c r="E107" s="18"/>
      <c r="F107" s="61"/>
      <c r="G107" s="73"/>
      <c r="H107" s="79"/>
      <c r="I107" s="79"/>
      <c r="J107" s="14"/>
      <c r="K107" s="38"/>
      <c r="L107" s="38"/>
      <c r="M107" s="17"/>
    </row>
    <row r="108" spans="2:13" ht="14.45" customHeight="1" x14ac:dyDescent="0.25">
      <c r="B108" s="17"/>
      <c r="C108" s="14"/>
      <c r="D108" s="14"/>
      <c r="E108" s="18"/>
      <c r="F108" s="61"/>
      <c r="G108" s="73"/>
      <c r="H108" s="79"/>
      <c r="I108" s="79"/>
      <c r="J108" s="14"/>
      <c r="K108" s="38"/>
      <c r="L108" s="38"/>
      <c r="M108" s="17"/>
    </row>
    <row r="109" spans="2:13" ht="14.45" customHeight="1" x14ac:dyDescent="0.25">
      <c r="B109" s="17"/>
      <c r="C109" s="14"/>
      <c r="D109" s="14"/>
      <c r="E109" s="18"/>
      <c r="F109" s="61"/>
      <c r="G109" s="73"/>
      <c r="H109" s="79"/>
      <c r="I109" s="79"/>
      <c r="J109" s="14"/>
      <c r="K109" s="38"/>
      <c r="L109" s="38"/>
      <c r="M109" s="17"/>
    </row>
    <row r="110" spans="2:13" ht="14.45" customHeight="1" x14ac:dyDescent="0.25">
      <c r="B110" s="17"/>
      <c r="C110" s="14"/>
      <c r="D110" s="14"/>
      <c r="E110" s="18"/>
      <c r="F110" s="61"/>
      <c r="G110" s="73"/>
      <c r="H110" s="79"/>
      <c r="I110" s="79"/>
      <c r="J110" s="14"/>
      <c r="K110" s="38"/>
      <c r="L110" s="38"/>
      <c r="M110" s="17"/>
    </row>
    <row r="111" spans="2:13" ht="14.45" customHeight="1" x14ac:dyDescent="0.25">
      <c r="B111" s="17"/>
      <c r="C111" s="14"/>
      <c r="D111" s="14"/>
      <c r="E111" s="18"/>
      <c r="F111" s="61"/>
      <c r="G111" s="73"/>
      <c r="H111" s="79"/>
      <c r="I111" s="79"/>
      <c r="J111" s="14"/>
      <c r="K111" s="38"/>
      <c r="L111" s="38"/>
      <c r="M111" s="17"/>
    </row>
    <row r="112" spans="2:13" ht="14.45" customHeight="1" x14ac:dyDescent="0.25">
      <c r="B112" s="17"/>
      <c r="C112" s="14"/>
      <c r="D112" s="14"/>
      <c r="E112" s="18"/>
      <c r="F112" s="61"/>
      <c r="G112" s="73"/>
      <c r="H112" s="79"/>
      <c r="I112" s="79"/>
      <c r="J112" s="14"/>
      <c r="K112" s="38"/>
      <c r="L112" s="38"/>
      <c r="M112" s="17"/>
    </row>
    <row r="113" spans="2:13" ht="14.45" customHeight="1" x14ac:dyDescent="0.25">
      <c r="B113" s="17"/>
      <c r="C113" s="14"/>
      <c r="D113" s="14"/>
      <c r="E113" s="18"/>
      <c r="F113" s="61"/>
      <c r="G113" s="73"/>
      <c r="H113" s="79"/>
      <c r="I113" s="79"/>
      <c r="J113" s="14"/>
      <c r="K113" s="38"/>
      <c r="L113" s="38"/>
      <c r="M113" s="17"/>
    </row>
    <row r="114" spans="2:13" ht="14.45" customHeight="1" x14ac:dyDescent="0.25">
      <c r="B114" s="17"/>
      <c r="C114" s="14"/>
      <c r="D114" s="14"/>
      <c r="E114" s="18"/>
      <c r="F114" s="61"/>
      <c r="G114" s="73"/>
      <c r="H114" s="79"/>
      <c r="I114" s="79"/>
      <c r="J114" s="14"/>
      <c r="K114" s="38"/>
      <c r="L114" s="38"/>
      <c r="M114" s="17"/>
    </row>
    <row r="115" spans="2:13" ht="14.45" customHeight="1" x14ac:dyDescent="0.25">
      <c r="B115" s="17"/>
      <c r="C115" s="14"/>
      <c r="D115" s="14"/>
      <c r="E115" s="18"/>
      <c r="F115" s="61"/>
      <c r="G115" s="73"/>
      <c r="H115" s="79"/>
      <c r="I115" s="79"/>
      <c r="J115" s="14"/>
      <c r="K115" s="38"/>
      <c r="L115" s="38"/>
      <c r="M115" s="17"/>
    </row>
    <row r="116" spans="2:13" ht="14.45" customHeight="1" x14ac:dyDescent="0.25">
      <c r="B116" s="17"/>
      <c r="C116" s="14"/>
      <c r="D116" s="14"/>
      <c r="E116" s="18"/>
      <c r="F116" s="61"/>
      <c r="G116" s="73"/>
      <c r="H116" s="79"/>
      <c r="I116" s="79"/>
      <c r="J116" s="14"/>
      <c r="K116" s="38"/>
      <c r="L116" s="38"/>
      <c r="M116" s="17"/>
    </row>
    <row r="117" spans="2:13" ht="14.45" customHeight="1" x14ac:dyDescent="0.25">
      <c r="B117" s="17"/>
      <c r="C117" s="14"/>
      <c r="D117" s="14"/>
      <c r="E117" s="18"/>
      <c r="F117" s="61"/>
      <c r="G117" s="73"/>
      <c r="H117" s="79"/>
      <c r="I117" s="79"/>
      <c r="J117" s="14"/>
      <c r="K117" s="38"/>
      <c r="L117" s="38"/>
      <c r="M117" s="17"/>
    </row>
    <row r="118" spans="2:13" ht="14.45" customHeight="1" x14ac:dyDescent="0.25">
      <c r="B118" s="17"/>
      <c r="C118" s="14"/>
      <c r="D118" s="14"/>
      <c r="E118" s="18"/>
      <c r="F118" s="61"/>
      <c r="G118" s="73"/>
      <c r="H118" s="79"/>
      <c r="I118" s="79"/>
      <c r="J118" s="14"/>
      <c r="K118" s="38"/>
      <c r="L118" s="38"/>
      <c r="M118" s="17"/>
    </row>
    <row r="119" spans="2:13" ht="14.45" customHeight="1" x14ac:dyDescent="0.25">
      <c r="B119" s="17"/>
      <c r="C119" s="14"/>
      <c r="D119" s="14"/>
      <c r="E119" s="18"/>
      <c r="F119" s="61"/>
      <c r="G119" s="73"/>
      <c r="H119" s="79"/>
      <c r="I119" s="79"/>
      <c r="J119" s="14"/>
      <c r="K119" s="38"/>
      <c r="L119" s="38"/>
      <c r="M119" s="17"/>
    </row>
    <row r="120" spans="2:13" ht="14.45" customHeight="1" x14ac:dyDescent="0.25">
      <c r="B120" s="17"/>
      <c r="C120" s="14"/>
      <c r="D120" s="14"/>
      <c r="E120" s="18"/>
      <c r="F120" s="61"/>
      <c r="G120" s="73"/>
      <c r="H120" s="79"/>
      <c r="I120" s="79"/>
      <c r="J120" s="14"/>
      <c r="K120" s="38"/>
      <c r="L120" s="38"/>
      <c r="M120" s="17"/>
    </row>
    <row r="121" spans="2:13" ht="14.45" customHeight="1" x14ac:dyDescent="0.25">
      <c r="B121" s="17"/>
      <c r="C121" s="14"/>
      <c r="D121" s="14"/>
      <c r="E121" s="18"/>
      <c r="F121" s="61"/>
      <c r="G121" s="73"/>
      <c r="H121" s="79"/>
      <c r="I121" s="79"/>
      <c r="J121" s="14"/>
      <c r="K121" s="38"/>
      <c r="L121" s="38"/>
      <c r="M121" s="17"/>
    </row>
    <row r="122" spans="2:13" ht="14.45" customHeight="1" x14ac:dyDescent="0.25">
      <c r="B122" s="17"/>
      <c r="C122" s="14"/>
      <c r="D122" s="14"/>
      <c r="E122" s="18"/>
      <c r="F122" s="61"/>
      <c r="G122" s="73"/>
      <c r="H122" s="79"/>
      <c r="I122" s="79"/>
      <c r="J122" s="14"/>
      <c r="K122" s="38"/>
      <c r="L122" s="38"/>
      <c r="M122" s="17"/>
    </row>
    <row r="123" spans="2:13" ht="14.45" customHeight="1" x14ac:dyDescent="0.25">
      <c r="B123" s="17"/>
      <c r="C123" s="14"/>
      <c r="D123" s="14"/>
      <c r="E123" s="18"/>
      <c r="F123" s="61"/>
      <c r="G123" s="73"/>
      <c r="H123" s="79"/>
      <c r="I123" s="79"/>
      <c r="J123" s="14"/>
      <c r="K123" s="38"/>
      <c r="L123" s="38"/>
      <c r="M123" s="17"/>
    </row>
    <row r="124" spans="2:13" ht="14.45" customHeight="1" x14ac:dyDescent="0.25">
      <c r="B124" s="17"/>
      <c r="C124" s="14"/>
      <c r="D124" s="14"/>
      <c r="E124" s="18"/>
      <c r="F124" s="61"/>
      <c r="G124" s="73"/>
      <c r="H124" s="79"/>
      <c r="I124" s="79"/>
      <c r="J124" s="14"/>
      <c r="K124" s="38"/>
      <c r="L124" s="38"/>
      <c r="M124" s="17"/>
    </row>
    <row r="125" spans="2:13" ht="14.45" customHeight="1" x14ac:dyDescent="0.25">
      <c r="B125" s="17"/>
      <c r="C125" s="14"/>
      <c r="D125" s="14"/>
      <c r="E125" s="18"/>
      <c r="F125" s="61"/>
      <c r="G125" s="73"/>
      <c r="H125" s="79"/>
      <c r="I125" s="79"/>
      <c r="J125" s="14"/>
      <c r="K125" s="38"/>
      <c r="L125" s="38"/>
      <c r="M125" s="17"/>
    </row>
    <row r="126" spans="2:13" ht="14.45" customHeight="1" x14ac:dyDescent="0.25">
      <c r="B126" s="17"/>
      <c r="C126" s="14"/>
      <c r="D126" s="14"/>
      <c r="E126" s="18"/>
      <c r="F126" s="61"/>
      <c r="G126" s="73"/>
      <c r="H126" s="79"/>
      <c r="I126" s="79"/>
      <c r="J126" s="14"/>
      <c r="K126" s="38"/>
      <c r="L126" s="38"/>
      <c r="M126" s="17"/>
    </row>
    <row r="127" spans="2:13" ht="14.45" customHeight="1" x14ac:dyDescent="0.25">
      <c r="B127" s="17"/>
      <c r="C127" s="14"/>
      <c r="D127" s="14"/>
      <c r="E127" s="18"/>
      <c r="F127" s="61"/>
      <c r="G127" s="73"/>
      <c r="H127" s="79"/>
      <c r="I127" s="79"/>
      <c r="J127" s="14"/>
      <c r="K127" s="38"/>
      <c r="L127" s="38"/>
      <c r="M127" s="17"/>
    </row>
    <row r="128" spans="2:13" ht="14.45" customHeight="1" x14ac:dyDescent="0.25">
      <c r="B128" s="17"/>
      <c r="C128" s="14"/>
      <c r="D128" s="14"/>
      <c r="E128" s="18"/>
      <c r="F128" s="61"/>
      <c r="G128" s="73"/>
      <c r="H128" s="79"/>
      <c r="I128" s="79"/>
      <c r="J128" s="14"/>
      <c r="K128" s="38"/>
      <c r="L128" s="38"/>
      <c r="M128" s="17"/>
    </row>
    <row r="129" spans="2:13" ht="14.45" customHeight="1" x14ac:dyDescent="0.25">
      <c r="B129" s="17"/>
      <c r="C129" s="14"/>
      <c r="D129" s="14"/>
      <c r="E129" s="18"/>
      <c r="F129" s="61"/>
      <c r="G129" s="73"/>
      <c r="H129" s="79"/>
      <c r="I129" s="79"/>
      <c r="J129" s="14"/>
      <c r="K129" s="38"/>
      <c r="L129" s="38"/>
      <c r="M129" s="17"/>
    </row>
    <row r="130" spans="2:13" ht="14.45" customHeight="1" x14ac:dyDescent="0.25">
      <c r="B130" s="17"/>
      <c r="C130" s="14"/>
      <c r="D130" s="14"/>
      <c r="E130" s="18"/>
      <c r="F130" s="61"/>
      <c r="G130" s="73"/>
      <c r="H130" s="79"/>
      <c r="I130" s="79"/>
      <c r="J130" s="14"/>
      <c r="K130" s="38"/>
      <c r="L130" s="38"/>
      <c r="M130" s="17"/>
    </row>
    <row r="131" spans="2:13" ht="14.45" customHeight="1" x14ac:dyDescent="0.25">
      <c r="B131" s="17"/>
      <c r="C131" s="14"/>
      <c r="D131" s="14"/>
      <c r="E131" s="18"/>
      <c r="F131" s="61"/>
      <c r="G131" s="73"/>
      <c r="H131" s="79"/>
      <c r="I131" s="79"/>
      <c r="J131" s="14"/>
      <c r="K131" s="38"/>
      <c r="L131" s="38"/>
      <c r="M131" s="17"/>
    </row>
    <row r="132" spans="2:13" ht="14.45" customHeight="1" x14ac:dyDescent="0.25">
      <c r="B132" s="17"/>
      <c r="C132" s="14"/>
      <c r="D132" s="14"/>
      <c r="E132" s="18"/>
      <c r="F132" s="61"/>
      <c r="G132" s="73"/>
      <c r="H132" s="79"/>
      <c r="I132" s="79"/>
      <c r="J132" s="14"/>
      <c r="K132" s="38"/>
      <c r="L132" s="38"/>
      <c r="M132" s="17"/>
    </row>
    <row r="133" spans="2:13" ht="14.45" customHeight="1" x14ac:dyDescent="0.25">
      <c r="B133" s="17"/>
      <c r="C133" s="14"/>
      <c r="D133" s="14"/>
      <c r="E133" s="18"/>
      <c r="F133" s="61"/>
      <c r="G133" s="73"/>
      <c r="H133" s="79"/>
      <c r="I133" s="79"/>
      <c r="J133" s="14"/>
      <c r="K133" s="38"/>
      <c r="L133" s="38"/>
      <c r="M133" s="17"/>
    </row>
    <row r="134" spans="2:13" ht="14.45" customHeight="1" x14ac:dyDescent="0.25">
      <c r="B134" s="17"/>
      <c r="C134" s="14"/>
      <c r="D134" s="14"/>
      <c r="E134" s="18"/>
      <c r="F134" s="61"/>
      <c r="G134" s="73"/>
      <c r="H134" s="79"/>
      <c r="I134" s="79"/>
      <c r="J134" s="14"/>
      <c r="K134" s="38"/>
      <c r="L134" s="38"/>
      <c r="M134" s="17"/>
    </row>
    <row r="135" spans="2:13" ht="14.45" customHeight="1" x14ac:dyDescent="0.25">
      <c r="B135" s="17"/>
      <c r="C135" s="14"/>
      <c r="D135" s="14"/>
      <c r="E135" s="18"/>
      <c r="F135" s="61"/>
      <c r="G135" s="73"/>
      <c r="H135" s="79"/>
      <c r="I135" s="79"/>
      <c r="J135" s="14"/>
      <c r="K135" s="38"/>
      <c r="L135" s="38"/>
      <c r="M135" s="17"/>
    </row>
    <row r="136" spans="2:13" ht="14.45" customHeight="1" x14ac:dyDescent="0.25">
      <c r="B136" s="17"/>
      <c r="C136" s="14"/>
      <c r="D136" s="14"/>
      <c r="E136" s="18"/>
      <c r="F136" s="61"/>
      <c r="G136" s="73"/>
      <c r="H136" s="79"/>
      <c r="I136" s="79"/>
      <c r="J136" s="14"/>
      <c r="K136" s="38"/>
      <c r="L136" s="38"/>
      <c r="M136" s="17"/>
    </row>
    <row r="137" spans="2:13" ht="14.45" customHeight="1" x14ac:dyDescent="0.25">
      <c r="B137" s="17"/>
      <c r="C137" s="14"/>
      <c r="D137" s="14"/>
      <c r="E137" s="18"/>
      <c r="F137" s="61"/>
      <c r="G137" s="73"/>
      <c r="H137" s="79"/>
      <c r="I137" s="79"/>
      <c r="J137" s="14"/>
      <c r="K137" s="38"/>
      <c r="L137" s="38"/>
      <c r="M137" s="17"/>
    </row>
    <row r="138" spans="2:13" ht="14.45" customHeight="1" x14ac:dyDescent="0.25">
      <c r="B138" s="17"/>
      <c r="C138" s="14"/>
      <c r="D138" s="14"/>
      <c r="E138" s="18"/>
      <c r="F138" s="61"/>
      <c r="G138" s="73"/>
      <c r="H138" s="79"/>
      <c r="I138" s="79"/>
      <c r="J138" s="14"/>
      <c r="K138" s="38"/>
      <c r="L138" s="38"/>
      <c r="M138" s="17"/>
    </row>
    <row r="139" spans="2:13" ht="14.45" customHeight="1" x14ac:dyDescent="0.25">
      <c r="B139" s="17"/>
      <c r="C139" s="14"/>
      <c r="D139" s="14"/>
      <c r="E139" s="18"/>
      <c r="F139" s="61"/>
      <c r="G139" s="73"/>
      <c r="H139" s="79"/>
      <c r="I139" s="79"/>
      <c r="J139" s="14"/>
      <c r="K139" s="38"/>
      <c r="L139" s="38"/>
      <c r="M139" s="17"/>
    </row>
    <row r="140" spans="2:13" ht="14.45" customHeight="1" x14ac:dyDescent="0.25">
      <c r="B140" s="17"/>
      <c r="C140" s="14"/>
      <c r="D140" s="14"/>
      <c r="E140" s="18"/>
      <c r="F140" s="61"/>
      <c r="G140" s="73"/>
      <c r="H140" s="79"/>
      <c r="I140" s="79"/>
      <c r="J140" s="14"/>
      <c r="K140" s="38"/>
      <c r="L140" s="38"/>
      <c r="M140" s="17"/>
    </row>
    <row r="141" spans="2:13" ht="14.45" customHeight="1" x14ac:dyDescent="0.25">
      <c r="B141" s="17"/>
      <c r="C141" s="14"/>
      <c r="D141" s="14"/>
      <c r="E141" s="18"/>
      <c r="F141" s="61"/>
      <c r="G141" s="73"/>
      <c r="H141" s="79"/>
      <c r="I141" s="79"/>
      <c r="J141" s="14"/>
      <c r="K141" s="38"/>
      <c r="L141" s="38"/>
      <c r="M141" s="17"/>
    </row>
    <row r="142" spans="2:13" ht="14.45" customHeight="1" x14ac:dyDescent="0.25">
      <c r="B142" s="17"/>
      <c r="C142" s="14"/>
      <c r="D142" s="14"/>
      <c r="E142" s="18"/>
      <c r="F142" s="61"/>
      <c r="G142" s="73"/>
      <c r="H142" s="79"/>
      <c r="I142" s="79"/>
      <c r="J142" s="14"/>
      <c r="K142" s="38"/>
      <c r="L142" s="38"/>
      <c r="M142" s="17"/>
    </row>
    <row r="143" spans="2:13" ht="14.45" customHeight="1" x14ac:dyDescent="0.25">
      <c r="B143" s="17"/>
      <c r="C143" s="14"/>
      <c r="D143" s="14"/>
      <c r="E143" s="18"/>
      <c r="F143" s="61"/>
      <c r="G143" s="73"/>
      <c r="H143" s="79"/>
      <c r="I143" s="79"/>
      <c r="J143" s="14"/>
      <c r="K143" s="38"/>
      <c r="L143" s="38"/>
      <c r="M143" s="17"/>
    </row>
    <row r="144" spans="2:13" ht="14.45" customHeight="1" x14ac:dyDescent="0.25">
      <c r="B144" s="17"/>
      <c r="C144" s="14"/>
      <c r="D144" s="14"/>
      <c r="E144" s="18"/>
      <c r="F144" s="61"/>
      <c r="G144" s="73"/>
      <c r="H144" s="79"/>
      <c r="I144" s="79"/>
      <c r="J144" s="14"/>
      <c r="K144" s="38"/>
      <c r="L144" s="38"/>
      <c r="M144" s="17"/>
    </row>
    <row r="145" spans="2:13" ht="14.45" customHeight="1" x14ac:dyDescent="0.25">
      <c r="B145" s="17"/>
      <c r="C145" s="14"/>
      <c r="D145" s="14"/>
      <c r="E145" s="18"/>
      <c r="F145" s="61"/>
      <c r="G145" s="73"/>
      <c r="H145" s="79"/>
      <c r="I145" s="79"/>
      <c r="J145" s="14"/>
      <c r="K145" s="38"/>
      <c r="L145" s="38"/>
      <c r="M145" s="17"/>
    </row>
    <row r="146" spans="2:13" ht="14.45" customHeight="1" x14ac:dyDescent="0.25">
      <c r="B146" s="17"/>
      <c r="C146" s="14"/>
      <c r="D146" s="14"/>
      <c r="E146" s="18"/>
      <c r="F146" s="61"/>
      <c r="G146" s="73"/>
      <c r="H146" s="79"/>
      <c r="I146" s="79"/>
      <c r="J146" s="14"/>
      <c r="K146" s="38"/>
      <c r="L146" s="38"/>
      <c r="M146" s="17"/>
    </row>
    <row r="147" spans="2:13" ht="14.45" customHeight="1" x14ac:dyDescent="0.25">
      <c r="B147" s="17"/>
      <c r="C147" s="14"/>
      <c r="D147" s="14"/>
      <c r="E147" s="18"/>
      <c r="F147" s="61"/>
      <c r="G147" s="73"/>
      <c r="H147" s="79"/>
      <c r="I147" s="79"/>
      <c r="J147" s="14"/>
      <c r="K147" s="38"/>
      <c r="L147" s="38"/>
      <c r="M147" s="17"/>
    </row>
    <row r="148" spans="2:13" ht="14.45" customHeight="1" x14ac:dyDescent="0.25">
      <c r="B148" s="17"/>
      <c r="C148" s="14"/>
      <c r="D148" s="14"/>
      <c r="E148" s="18"/>
      <c r="F148" s="61"/>
      <c r="G148" s="73"/>
      <c r="H148" s="79"/>
      <c r="I148" s="79"/>
      <c r="J148" s="14"/>
      <c r="K148" s="38"/>
      <c r="L148" s="38"/>
      <c r="M148" s="17"/>
    </row>
    <row r="149" spans="2:13" ht="14.45" customHeight="1" x14ac:dyDescent="0.25">
      <c r="B149" s="17"/>
      <c r="C149" s="14"/>
      <c r="D149" s="14"/>
      <c r="E149" s="18"/>
      <c r="F149" s="61"/>
      <c r="G149" s="73"/>
      <c r="H149" s="79"/>
      <c r="I149" s="79"/>
      <c r="J149" s="14"/>
      <c r="K149" s="38"/>
      <c r="L149" s="38"/>
      <c r="M149" s="17"/>
    </row>
    <row r="150" spans="2:13" ht="14.45" customHeight="1" x14ac:dyDescent="0.25">
      <c r="B150" s="17"/>
      <c r="C150" s="14"/>
      <c r="D150" s="14"/>
      <c r="E150" s="18"/>
      <c r="F150" s="61"/>
      <c r="G150" s="73"/>
      <c r="H150" s="79"/>
      <c r="I150" s="79"/>
      <c r="J150" s="14"/>
      <c r="K150" s="38"/>
      <c r="L150" s="38"/>
      <c r="M150" s="17"/>
    </row>
    <row r="151" spans="2:13" ht="14.45" customHeight="1" x14ac:dyDescent="0.25">
      <c r="B151" s="17"/>
      <c r="C151" s="14"/>
      <c r="D151" s="14"/>
      <c r="E151" s="18"/>
      <c r="F151" s="61"/>
      <c r="G151" s="73"/>
      <c r="H151" s="79"/>
      <c r="I151" s="79"/>
      <c r="J151" s="14"/>
      <c r="K151" s="38"/>
      <c r="L151" s="38"/>
      <c r="M151" s="17"/>
    </row>
    <row r="152" spans="2:13" ht="14.45" customHeight="1" x14ac:dyDescent="0.25">
      <c r="B152" s="17"/>
      <c r="C152" s="14"/>
      <c r="D152" s="14"/>
      <c r="E152" s="18"/>
      <c r="F152" s="61"/>
      <c r="G152" s="73"/>
      <c r="H152" s="79"/>
      <c r="I152" s="79"/>
      <c r="J152" s="14"/>
      <c r="K152" s="38"/>
      <c r="L152" s="38"/>
      <c r="M152" s="17"/>
    </row>
    <row r="153" spans="2:13" ht="14.45" customHeight="1" x14ac:dyDescent="0.25">
      <c r="B153" s="17"/>
      <c r="C153" s="14"/>
      <c r="D153" s="14"/>
      <c r="E153" s="18"/>
      <c r="F153" s="61"/>
      <c r="G153" s="73"/>
      <c r="H153" s="79"/>
      <c r="I153" s="79"/>
      <c r="J153" s="14"/>
      <c r="K153" s="38"/>
      <c r="L153" s="38"/>
      <c r="M153" s="17"/>
    </row>
    <row r="154" spans="2:13" ht="14.45" customHeight="1" x14ac:dyDescent="0.25">
      <c r="B154" s="17"/>
      <c r="C154" s="14"/>
      <c r="D154" s="14"/>
      <c r="E154" s="18"/>
      <c r="F154" s="61"/>
      <c r="G154" s="73"/>
      <c r="H154" s="79"/>
      <c r="I154" s="79"/>
      <c r="J154" s="14"/>
      <c r="K154" s="38"/>
      <c r="L154" s="38"/>
      <c r="M154" s="17"/>
    </row>
    <row r="155" spans="2:13" ht="14.45" customHeight="1" x14ac:dyDescent="0.25">
      <c r="B155" s="17"/>
      <c r="C155" s="14"/>
      <c r="D155" s="14"/>
      <c r="E155" s="18"/>
      <c r="F155" s="61"/>
      <c r="G155" s="73"/>
      <c r="H155" s="79"/>
      <c r="I155" s="79"/>
      <c r="J155" s="14"/>
      <c r="K155" s="38"/>
      <c r="L155" s="38"/>
      <c r="M155" s="17"/>
    </row>
    <row r="156" spans="2:13" ht="14.45" customHeight="1" x14ac:dyDescent="0.25">
      <c r="B156" s="17"/>
      <c r="C156" s="14"/>
      <c r="D156" s="14"/>
      <c r="E156" s="18"/>
      <c r="F156" s="61"/>
      <c r="G156" s="73"/>
      <c r="H156" s="79"/>
      <c r="I156" s="79"/>
      <c r="J156" s="14"/>
      <c r="K156" s="38"/>
      <c r="L156" s="38"/>
      <c r="M156" s="17"/>
    </row>
    <row r="157" spans="2:13" ht="14.45" customHeight="1" x14ac:dyDescent="0.25">
      <c r="B157" s="17"/>
      <c r="C157" s="14"/>
      <c r="D157" s="14"/>
      <c r="E157" s="18"/>
      <c r="F157" s="61"/>
      <c r="G157" s="73"/>
      <c r="H157" s="79"/>
      <c r="I157" s="79"/>
      <c r="J157" s="14"/>
      <c r="K157" s="38"/>
      <c r="L157" s="38"/>
      <c r="M157" s="17"/>
    </row>
    <row r="158" spans="2:13" ht="14.45" customHeight="1" x14ac:dyDescent="0.25">
      <c r="B158" s="17"/>
      <c r="C158" s="14"/>
      <c r="D158" s="14"/>
      <c r="E158" s="18"/>
      <c r="F158" s="61"/>
      <c r="G158" s="73"/>
      <c r="H158" s="79"/>
      <c r="I158" s="79"/>
      <c r="J158" s="14"/>
      <c r="K158" s="38"/>
      <c r="L158" s="38"/>
      <c r="M158" s="17"/>
    </row>
    <row r="159" spans="2:13" ht="14.45" customHeight="1" x14ac:dyDescent="0.25">
      <c r="B159" s="17"/>
      <c r="C159" s="14"/>
      <c r="D159" s="14"/>
      <c r="E159" s="18"/>
      <c r="F159" s="61"/>
      <c r="G159" s="73"/>
      <c r="H159" s="79"/>
      <c r="I159" s="79"/>
      <c r="J159" s="14"/>
      <c r="K159" s="38"/>
      <c r="L159" s="38"/>
      <c r="M159" s="17"/>
    </row>
    <row r="160" spans="2:13" ht="14.45" customHeight="1" x14ac:dyDescent="0.25">
      <c r="B160" s="17"/>
      <c r="C160" s="14"/>
      <c r="D160" s="14"/>
      <c r="E160" s="18"/>
      <c r="F160" s="61"/>
      <c r="G160" s="73"/>
      <c r="H160" s="79"/>
      <c r="I160" s="79"/>
      <c r="J160" s="14"/>
      <c r="K160" s="38"/>
      <c r="L160" s="38"/>
      <c r="M160" s="17"/>
    </row>
    <row r="161" spans="2:13" ht="14.45" customHeight="1" x14ac:dyDescent="0.25">
      <c r="B161" s="17"/>
      <c r="C161" s="14"/>
      <c r="D161" s="14"/>
      <c r="E161" s="18"/>
      <c r="F161" s="61"/>
      <c r="G161" s="73"/>
      <c r="H161" s="79"/>
      <c r="I161" s="79"/>
      <c r="J161" s="14"/>
      <c r="K161" s="38"/>
      <c r="L161" s="38"/>
      <c r="M161" s="17"/>
    </row>
    <row r="162" spans="2:13" ht="14.45" customHeight="1" x14ac:dyDescent="0.25">
      <c r="B162" s="17"/>
      <c r="C162" s="14"/>
      <c r="D162" s="14"/>
      <c r="E162" s="18"/>
      <c r="F162" s="61"/>
      <c r="G162" s="73"/>
      <c r="H162" s="79"/>
      <c r="I162" s="79"/>
      <c r="J162" s="14"/>
      <c r="K162" s="38"/>
      <c r="L162" s="38"/>
      <c r="M162" s="17"/>
    </row>
    <row r="163" spans="2:13" ht="14.45" customHeight="1" x14ac:dyDescent="0.25">
      <c r="B163" s="17"/>
      <c r="C163" s="14"/>
      <c r="D163" s="14"/>
      <c r="E163" s="18"/>
      <c r="F163" s="61"/>
      <c r="G163" s="73"/>
      <c r="H163" s="79"/>
      <c r="I163" s="79"/>
      <c r="J163" s="14"/>
      <c r="K163" s="38"/>
      <c r="L163" s="38"/>
      <c r="M163" s="17"/>
    </row>
    <row r="164" spans="2:13" ht="14.45" customHeight="1" x14ac:dyDescent="0.25">
      <c r="B164" s="17"/>
      <c r="C164" s="14"/>
      <c r="D164" s="14"/>
      <c r="E164" s="18"/>
      <c r="F164" s="61"/>
      <c r="G164" s="73"/>
      <c r="H164" s="79"/>
      <c r="I164" s="79"/>
      <c r="J164" s="14"/>
      <c r="K164" s="38"/>
      <c r="L164" s="38"/>
      <c r="M164" s="17"/>
    </row>
    <row r="165" spans="2:13" ht="14.45" customHeight="1" x14ac:dyDescent="0.25">
      <c r="B165" s="17"/>
      <c r="C165" s="14"/>
      <c r="D165" s="14"/>
      <c r="E165" s="18"/>
      <c r="F165" s="61"/>
      <c r="G165" s="73"/>
      <c r="H165" s="79"/>
      <c r="I165" s="79"/>
      <c r="J165" s="14"/>
      <c r="K165" s="38"/>
      <c r="L165" s="38"/>
      <c r="M165" s="17"/>
    </row>
    <row r="166" spans="2:13" ht="14.45" customHeight="1" x14ac:dyDescent="0.25">
      <c r="B166" s="17"/>
      <c r="C166" s="14"/>
      <c r="D166" s="14"/>
      <c r="E166" s="18"/>
      <c r="F166" s="61"/>
      <c r="G166" s="73"/>
      <c r="H166" s="79"/>
      <c r="I166" s="79"/>
      <c r="J166" s="14"/>
      <c r="K166" s="38"/>
      <c r="L166" s="38"/>
      <c r="M166" s="17"/>
    </row>
    <row r="167" spans="2:13" ht="14.45" customHeight="1" x14ac:dyDescent="0.25">
      <c r="B167" s="17"/>
      <c r="C167" s="14"/>
      <c r="D167" s="14"/>
      <c r="E167" s="18"/>
      <c r="F167" s="61"/>
      <c r="G167" s="73"/>
      <c r="H167" s="79"/>
      <c r="I167" s="79"/>
      <c r="J167" s="14"/>
      <c r="K167" s="38"/>
      <c r="L167" s="38"/>
      <c r="M167" s="17"/>
    </row>
    <row r="168" spans="2:13" ht="14.45" customHeight="1" x14ac:dyDescent="0.25">
      <c r="B168" s="17"/>
      <c r="C168" s="14"/>
      <c r="D168" s="14"/>
      <c r="E168" s="18"/>
      <c r="F168" s="61"/>
      <c r="G168" s="73"/>
      <c r="H168" s="79"/>
      <c r="I168" s="79"/>
      <c r="J168" s="14"/>
      <c r="K168" s="38"/>
      <c r="L168" s="38"/>
      <c r="M168" s="17"/>
    </row>
    <row r="169" spans="2:13" ht="14.45" customHeight="1" x14ac:dyDescent="0.25">
      <c r="B169" s="17"/>
      <c r="C169" s="14"/>
      <c r="D169" s="14"/>
      <c r="E169" s="18"/>
      <c r="F169" s="61"/>
      <c r="G169" s="73"/>
      <c r="H169" s="79"/>
      <c r="I169" s="79"/>
      <c r="J169" s="14"/>
      <c r="K169" s="38"/>
      <c r="L169" s="38"/>
      <c r="M169" s="17"/>
    </row>
    <row r="170" spans="2:13" ht="14.45" customHeight="1" x14ac:dyDescent="0.25">
      <c r="B170" s="17"/>
      <c r="C170" s="14"/>
      <c r="D170" s="14"/>
      <c r="E170" s="18"/>
      <c r="F170" s="61"/>
      <c r="G170" s="73"/>
      <c r="H170" s="79"/>
      <c r="I170" s="79"/>
      <c r="J170" s="14"/>
      <c r="K170" s="38"/>
      <c r="L170" s="38"/>
      <c r="M170" s="17"/>
    </row>
    <row r="171" spans="2:13" ht="14.45" customHeight="1" x14ac:dyDescent="0.25">
      <c r="B171" s="17"/>
      <c r="C171" s="14"/>
      <c r="D171" s="14"/>
      <c r="E171" s="18"/>
      <c r="F171" s="61"/>
      <c r="G171" s="73"/>
      <c r="H171" s="79"/>
      <c r="I171" s="79"/>
      <c r="J171" s="14"/>
      <c r="K171" s="38"/>
      <c r="L171" s="38"/>
      <c r="M171" s="17"/>
    </row>
    <row r="172" spans="2:13" ht="14.45" customHeight="1" x14ac:dyDescent="0.25">
      <c r="B172" s="17"/>
      <c r="C172" s="14"/>
      <c r="D172" s="14"/>
      <c r="E172" s="18"/>
      <c r="F172" s="61"/>
      <c r="G172" s="73"/>
      <c r="H172" s="79"/>
      <c r="I172" s="79"/>
      <c r="J172" s="14"/>
      <c r="K172" s="38"/>
      <c r="L172" s="38"/>
      <c r="M172" s="17"/>
    </row>
    <row r="173" spans="2:13" ht="14.45" customHeight="1" x14ac:dyDescent="0.25">
      <c r="B173" s="17"/>
      <c r="C173" s="14"/>
      <c r="D173" s="14"/>
      <c r="E173" s="18"/>
      <c r="F173" s="61"/>
      <c r="G173" s="73"/>
      <c r="H173" s="79"/>
      <c r="I173" s="79"/>
      <c r="J173" s="14"/>
      <c r="K173" s="38"/>
      <c r="L173" s="38"/>
      <c r="M173" s="17"/>
    </row>
    <row r="174" spans="2:13" ht="14.45" customHeight="1" x14ac:dyDescent="0.25">
      <c r="B174" s="17"/>
      <c r="C174" s="14"/>
      <c r="D174" s="14"/>
      <c r="E174" s="18"/>
      <c r="F174" s="61"/>
      <c r="G174" s="73"/>
      <c r="H174" s="79"/>
      <c r="I174" s="79"/>
      <c r="J174" s="14"/>
      <c r="K174" s="38"/>
      <c r="L174" s="38"/>
      <c r="M174" s="17"/>
    </row>
    <row r="175" spans="2:13" ht="14.45" customHeight="1" x14ac:dyDescent="0.25">
      <c r="B175" s="17"/>
      <c r="C175" s="14"/>
      <c r="D175" s="14"/>
      <c r="E175" s="18"/>
      <c r="F175" s="61"/>
      <c r="G175" s="73"/>
      <c r="H175" s="79"/>
      <c r="I175" s="79"/>
      <c r="J175" s="14"/>
      <c r="K175" s="38"/>
      <c r="L175" s="38"/>
      <c r="M175" s="17"/>
    </row>
    <row r="176" spans="2:13" ht="14.45" customHeight="1" x14ac:dyDescent="0.25">
      <c r="B176" s="17"/>
      <c r="C176" s="14"/>
      <c r="D176" s="14"/>
      <c r="E176" s="18"/>
      <c r="F176" s="61"/>
      <c r="G176" s="73"/>
      <c r="H176" s="79"/>
      <c r="I176" s="79"/>
      <c r="J176" s="14"/>
      <c r="K176" s="38"/>
      <c r="L176" s="38"/>
      <c r="M176" s="17"/>
    </row>
    <row r="177" spans="2:13" ht="14.45" customHeight="1" x14ac:dyDescent="0.25">
      <c r="B177" s="17"/>
      <c r="C177" s="14"/>
      <c r="D177" s="14"/>
      <c r="E177" s="18"/>
      <c r="F177" s="61"/>
      <c r="G177" s="73"/>
      <c r="H177" s="79"/>
      <c r="I177" s="79"/>
      <c r="J177" s="14"/>
      <c r="K177" s="38"/>
      <c r="L177" s="38"/>
      <c r="M177" s="17"/>
    </row>
    <row r="178" spans="2:13" ht="14.45" customHeight="1" x14ac:dyDescent="0.25">
      <c r="B178" s="17"/>
      <c r="C178" s="14"/>
      <c r="D178" s="14"/>
      <c r="E178" s="18"/>
      <c r="F178" s="61"/>
      <c r="G178" s="73"/>
      <c r="H178" s="79"/>
      <c r="I178" s="79"/>
      <c r="J178" s="14"/>
      <c r="K178" s="38"/>
      <c r="L178" s="38"/>
      <c r="M178" s="17"/>
    </row>
    <row r="179" spans="2:13" ht="14.45" customHeight="1" x14ac:dyDescent="0.25">
      <c r="B179" s="17"/>
      <c r="C179" s="14"/>
      <c r="D179" s="14"/>
      <c r="E179" s="18"/>
      <c r="F179" s="61"/>
      <c r="G179" s="73"/>
      <c r="H179" s="79"/>
      <c r="I179" s="79"/>
      <c r="J179" s="14"/>
      <c r="K179" s="38"/>
      <c r="L179" s="38"/>
      <c r="M179" s="17"/>
    </row>
    <row r="180" spans="2:13" ht="14.45" customHeight="1" x14ac:dyDescent="0.25">
      <c r="B180" s="17"/>
      <c r="C180" s="14"/>
      <c r="D180" s="14"/>
      <c r="E180" s="18"/>
      <c r="F180" s="61"/>
      <c r="G180" s="73"/>
      <c r="H180" s="79"/>
      <c r="I180" s="79"/>
      <c r="J180" s="14"/>
      <c r="K180" s="38"/>
      <c r="L180" s="38"/>
      <c r="M180" s="17"/>
    </row>
    <row r="181" spans="2:13" ht="14.45" customHeight="1" x14ac:dyDescent="0.25">
      <c r="B181" s="17"/>
      <c r="C181" s="14"/>
      <c r="D181" s="14"/>
      <c r="E181" s="18"/>
      <c r="F181" s="61"/>
      <c r="G181" s="73"/>
      <c r="H181" s="79"/>
      <c r="I181" s="79"/>
      <c r="J181" s="14"/>
      <c r="K181" s="38"/>
      <c r="L181" s="38"/>
      <c r="M181" s="17"/>
    </row>
    <row r="182" spans="2:13" ht="14.45" customHeight="1" x14ac:dyDescent="0.25">
      <c r="B182" s="17"/>
      <c r="C182" s="14"/>
      <c r="D182" s="14"/>
      <c r="E182" s="18"/>
      <c r="F182" s="61"/>
      <c r="G182" s="73"/>
      <c r="H182" s="79"/>
      <c r="I182" s="79"/>
      <c r="J182" s="14"/>
      <c r="K182" s="38"/>
      <c r="L182" s="38"/>
      <c r="M182" s="17"/>
    </row>
    <row r="183" spans="2:13" ht="14.45" customHeight="1" x14ac:dyDescent="0.25">
      <c r="B183" s="17"/>
      <c r="C183" s="14"/>
      <c r="D183" s="14"/>
      <c r="E183" s="18"/>
      <c r="F183" s="61"/>
      <c r="G183" s="73"/>
      <c r="H183" s="79"/>
      <c r="I183" s="79"/>
      <c r="J183" s="14"/>
      <c r="K183" s="38"/>
      <c r="L183" s="38"/>
      <c r="M183" s="17"/>
    </row>
    <row r="184" spans="2:13" ht="14.45" customHeight="1" x14ac:dyDescent="0.25">
      <c r="B184" s="17"/>
      <c r="C184" s="14"/>
      <c r="D184" s="14"/>
      <c r="E184" s="18"/>
      <c r="F184" s="61"/>
      <c r="G184" s="73"/>
      <c r="H184" s="79"/>
      <c r="I184" s="79"/>
      <c r="J184" s="14"/>
      <c r="K184" s="38"/>
      <c r="L184" s="38"/>
      <c r="M184" s="17"/>
    </row>
    <row r="185" spans="2:13" ht="14.45" customHeight="1" x14ac:dyDescent="0.25">
      <c r="B185" s="17"/>
      <c r="C185" s="14"/>
      <c r="D185" s="14"/>
      <c r="E185" s="18"/>
      <c r="F185" s="61"/>
      <c r="G185" s="73"/>
      <c r="H185" s="79"/>
      <c r="I185" s="79"/>
      <c r="J185" s="14"/>
      <c r="K185" s="38"/>
      <c r="L185" s="38"/>
      <c r="M185" s="17"/>
    </row>
    <row r="186" spans="2:13" ht="14.45" customHeight="1" x14ac:dyDescent="0.25">
      <c r="B186" s="17"/>
      <c r="C186" s="14"/>
      <c r="D186" s="14"/>
      <c r="E186" s="18"/>
      <c r="F186" s="61"/>
      <c r="G186" s="73"/>
      <c r="H186" s="79"/>
      <c r="I186" s="79"/>
      <c r="J186" s="14"/>
      <c r="K186" s="38"/>
      <c r="L186" s="38"/>
      <c r="M186" s="17"/>
    </row>
    <row r="187" spans="2:13" ht="14.45" customHeight="1" x14ac:dyDescent="0.25">
      <c r="B187" s="17"/>
      <c r="C187" s="14"/>
      <c r="D187" s="14"/>
      <c r="E187" s="18"/>
      <c r="F187" s="61"/>
      <c r="G187" s="73"/>
      <c r="H187" s="79"/>
      <c r="I187" s="79"/>
      <c r="J187" s="14"/>
      <c r="K187" s="38"/>
      <c r="L187" s="38"/>
      <c r="M187" s="17"/>
    </row>
    <row r="188" spans="2:13" ht="14.45" customHeight="1" x14ac:dyDescent="0.25">
      <c r="B188" s="17"/>
      <c r="C188" s="14"/>
      <c r="D188" s="14"/>
      <c r="E188" s="18"/>
      <c r="F188" s="61"/>
      <c r="G188" s="73"/>
      <c r="H188" s="79"/>
      <c r="I188" s="79"/>
      <c r="J188" s="14"/>
      <c r="K188" s="38"/>
      <c r="L188" s="38"/>
      <c r="M188" s="17"/>
    </row>
    <row r="189" spans="2:13" ht="14.45" customHeight="1" x14ac:dyDescent="0.25">
      <c r="B189" s="17"/>
      <c r="C189" s="14"/>
      <c r="D189" s="14"/>
      <c r="E189" s="18"/>
      <c r="F189" s="61"/>
      <c r="G189" s="73"/>
      <c r="H189" s="79"/>
      <c r="I189" s="79"/>
      <c r="J189" s="14"/>
      <c r="K189" s="38"/>
      <c r="L189" s="38"/>
      <c r="M189" s="17"/>
    </row>
    <row r="190" spans="2:13" ht="14.45" customHeight="1" x14ac:dyDescent="0.25">
      <c r="B190" s="17"/>
      <c r="C190" s="14"/>
      <c r="D190" s="14"/>
      <c r="E190" s="18"/>
      <c r="F190" s="61"/>
      <c r="G190" s="73"/>
      <c r="H190" s="79"/>
      <c r="I190" s="79"/>
      <c r="J190" s="14"/>
      <c r="K190" s="38"/>
      <c r="L190" s="38"/>
      <c r="M190" s="17"/>
    </row>
    <row r="191" spans="2:13" ht="14.45" customHeight="1" x14ac:dyDescent="0.25">
      <c r="B191" s="17"/>
      <c r="C191" s="14"/>
      <c r="D191" s="14"/>
      <c r="E191" s="18"/>
      <c r="F191" s="61"/>
      <c r="G191" s="73"/>
      <c r="H191" s="79"/>
      <c r="I191" s="79"/>
      <c r="J191" s="14"/>
      <c r="K191" s="38"/>
      <c r="L191" s="38"/>
      <c r="M191" s="17"/>
    </row>
    <row r="192" spans="2:13" ht="14.45" customHeight="1" x14ac:dyDescent="0.25">
      <c r="B192" s="17"/>
      <c r="C192" s="14"/>
      <c r="D192" s="14"/>
      <c r="E192" s="18"/>
      <c r="F192" s="61"/>
      <c r="G192" s="73"/>
      <c r="H192" s="79"/>
      <c r="I192" s="79"/>
      <c r="J192" s="14"/>
      <c r="K192" s="38"/>
      <c r="L192" s="38"/>
      <c r="M192" s="17"/>
    </row>
    <row r="193" spans="2:13" ht="14.45" customHeight="1" x14ac:dyDescent="0.25">
      <c r="B193" s="17"/>
      <c r="C193" s="14"/>
      <c r="D193" s="14"/>
      <c r="E193" s="18"/>
      <c r="F193" s="61"/>
      <c r="G193" s="73"/>
      <c r="H193" s="79"/>
      <c r="I193" s="79"/>
      <c r="J193" s="14"/>
      <c r="K193" s="38"/>
      <c r="L193" s="38"/>
      <c r="M193" s="17"/>
    </row>
    <row r="194" spans="2:13" ht="14.45" customHeight="1" x14ac:dyDescent="0.25">
      <c r="B194" s="17"/>
      <c r="C194" s="14"/>
      <c r="D194" s="14"/>
      <c r="E194" s="18"/>
      <c r="F194" s="61"/>
      <c r="G194" s="73"/>
      <c r="H194" s="79"/>
      <c r="I194" s="79"/>
      <c r="J194" s="14"/>
      <c r="K194" s="38"/>
      <c r="L194" s="38"/>
      <c r="M194" s="17"/>
    </row>
    <row r="195" spans="2:13" ht="14.45" customHeight="1" x14ac:dyDescent="0.25">
      <c r="B195" s="17"/>
      <c r="C195" s="14"/>
      <c r="D195" s="14"/>
      <c r="E195" s="18"/>
      <c r="F195" s="61"/>
      <c r="G195" s="73"/>
      <c r="H195" s="79"/>
      <c r="I195" s="79"/>
      <c r="J195" s="14"/>
      <c r="K195" s="38"/>
      <c r="L195" s="38"/>
      <c r="M195" s="17"/>
    </row>
    <row r="196" spans="2:13" ht="14.45" customHeight="1" x14ac:dyDescent="0.25">
      <c r="B196" s="17"/>
      <c r="C196" s="14"/>
      <c r="D196" s="14"/>
      <c r="E196" s="18"/>
      <c r="F196" s="61"/>
      <c r="G196" s="73"/>
      <c r="H196" s="79"/>
      <c r="I196" s="79"/>
      <c r="J196" s="14"/>
      <c r="K196" s="38"/>
      <c r="L196" s="38"/>
      <c r="M196" s="17"/>
    </row>
    <row r="197" spans="2:13" ht="14.45" customHeight="1" x14ac:dyDescent="0.25">
      <c r="B197" s="17"/>
      <c r="C197" s="14"/>
      <c r="D197" s="14"/>
      <c r="E197" s="18"/>
      <c r="F197" s="61"/>
      <c r="G197" s="73"/>
      <c r="H197" s="79"/>
      <c r="I197" s="79"/>
      <c r="J197" s="14"/>
      <c r="K197" s="38"/>
      <c r="L197" s="38"/>
      <c r="M197" s="17"/>
    </row>
    <row r="198" spans="2:13" ht="14.45" customHeight="1" x14ac:dyDescent="0.25">
      <c r="B198" s="17"/>
      <c r="C198" s="14"/>
      <c r="D198" s="14"/>
      <c r="E198" s="18"/>
      <c r="F198" s="61"/>
      <c r="G198" s="73"/>
      <c r="H198" s="79"/>
      <c r="I198" s="79"/>
      <c r="J198" s="14"/>
      <c r="K198" s="38"/>
      <c r="L198" s="38"/>
      <c r="M198" s="17"/>
    </row>
    <row r="199" spans="2:13" ht="14.45" customHeight="1" x14ac:dyDescent="0.25">
      <c r="B199" s="17"/>
      <c r="C199" s="14"/>
      <c r="D199" s="14"/>
      <c r="E199" s="18"/>
      <c r="F199" s="61"/>
      <c r="G199" s="73"/>
      <c r="H199" s="79"/>
      <c r="I199" s="79"/>
      <c r="J199" s="14"/>
      <c r="K199" s="38"/>
      <c r="L199" s="38"/>
      <c r="M199" s="17"/>
    </row>
    <row r="200" spans="2:13" ht="14.45" customHeight="1" x14ac:dyDescent="0.25">
      <c r="B200" s="17"/>
      <c r="C200" s="14"/>
      <c r="D200" s="14"/>
      <c r="E200" s="18"/>
      <c r="F200" s="61"/>
      <c r="G200" s="73"/>
      <c r="H200" s="79"/>
      <c r="I200" s="79"/>
      <c r="J200" s="14"/>
      <c r="K200" s="38"/>
      <c r="L200" s="38"/>
      <c r="M200" s="17"/>
    </row>
    <row r="201" spans="2:13" ht="14.45" customHeight="1" x14ac:dyDescent="0.25">
      <c r="B201" s="17"/>
      <c r="C201" s="14"/>
      <c r="D201" s="14"/>
      <c r="E201" s="18"/>
      <c r="F201" s="61"/>
      <c r="G201" s="73"/>
      <c r="H201" s="79"/>
      <c r="I201" s="79"/>
      <c r="J201" s="14"/>
      <c r="K201" s="38"/>
      <c r="L201" s="38"/>
      <c r="M201" s="17"/>
    </row>
    <row r="202" spans="2:13" ht="14.45" customHeight="1" x14ac:dyDescent="0.25">
      <c r="B202" s="17"/>
      <c r="C202" s="14"/>
      <c r="D202" s="14"/>
      <c r="E202" s="18"/>
      <c r="F202" s="61"/>
      <c r="G202" s="73"/>
      <c r="H202" s="79"/>
      <c r="I202" s="79"/>
      <c r="J202" s="14"/>
      <c r="K202" s="38"/>
      <c r="L202" s="38"/>
      <c r="M202" s="17"/>
    </row>
    <row r="203" spans="2:13" ht="14.45" customHeight="1" x14ac:dyDescent="0.25">
      <c r="B203" s="17"/>
      <c r="C203" s="14"/>
      <c r="D203" s="14"/>
      <c r="E203" s="18"/>
      <c r="F203" s="61"/>
      <c r="G203" s="73"/>
      <c r="H203" s="79"/>
      <c r="I203" s="79"/>
      <c r="J203" s="14"/>
      <c r="K203" s="38"/>
      <c r="L203" s="38"/>
      <c r="M203" s="17"/>
    </row>
    <row r="204" spans="2:13" ht="14.45" customHeight="1" x14ac:dyDescent="0.25">
      <c r="B204" s="17"/>
      <c r="C204" s="14"/>
      <c r="D204" s="14"/>
      <c r="E204" s="18"/>
      <c r="F204" s="61"/>
      <c r="G204" s="73"/>
      <c r="H204" s="79"/>
      <c r="I204" s="79"/>
      <c r="J204" s="14"/>
      <c r="K204" s="38"/>
      <c r="L204" s="38"/>
      <c r="M204" s="17"/>
    </row>
    <row r="205" spans="2:13" ht="14.45" customHeight="1" x14ac:dyDescent="0.25">
      <c r="B205" s="17"/>
      <c r="C205" s="14"/>
      <c r="D205" s="14"/>
      <c r="E205" s="18"/>
      <c r="F205" s="61"/>
      <c r="G205" s="73"/>
      <c r="H205" s="79"/>
      <c r="I205" s="79"/>
      <c r="J205" s="14"/>
      <c r="K205" s="38"/>
      <c r="L205" s="38"/>
      <c r="M205" s="17"/>
    </row>
    <row r="206" spans="2:13" ht="14.45" customHeight="1" x14ac:dyDescent="0.25">
      <c r="B206" s="17"/>
      <c r="C206" s="14"/>
      <c r="D206" s="14"/>
      <c r="E206" s="18"/>
      <c r="F206" s="61"/>
      <c r="G206" s="73"/>
      <c r="H206" s="79"/>
      <c r="I206" s="79"/>
      <c r="J206" s="14"/>
      <c r="K206" s="38"/>
      <c r="L206" s="38"/>
      <c r="M206" s="17"/>
    </row>
    <row r="207" spans="2:13" ht="14.45" customHeight="1" x14ac:dyDescent="0.25">
      <c r="B207" s="17"/>
      <c r="C207" s="14"/>
      <c r="D207" s="14"/>
      <c r="E207" s="18"/>
      <c r="F207" s="61"/>
      <c r="G207" s="73"/>
      <c r="H207" s="79"/>
      <c r="I207" s="79"/>
      <c r="J207" s="14"/>
      <c r="K207" s="38"/>
      <c r="L207" s="38"/>
      <c r="M207" s="17"/>
    </row>
    <row r="208" spans="2:13" ht="14.45" customHeight="1" x14ac:dyDescent="0.25">
      <c r="B208" s="17"/>
      <c r="C208" s="14"/>
      <c r="D208" s="14"/>
      <c r="E208" s="18"/>
      <c r="F208" s="61"/>
      <c r="G208" s="73"/>
      <c r="H208" s="79"/>
      <c r="I208" s="79"/>
      <c r="J208" s="14"/>
      <c r="K208" s="38"/>
      <c r="L208" s="38"/>
      <c r="M208" s="17"/>
    </row>
    <row r="209" spans="2:13" ht="14.45" customHeight="1" x14ac:dyDescent="0.25">
      <c r="B209" s="17"/>
      <c r="C209" s="14"/>
      <c r="D209" s="14"/>
      <c r="E209" s="18"/>
      <c r="F209" s="61"/>
      <c r="G209" s="73"/>
      <c r="H209" s="79"/>
      <c r="I209" s="79"/>
      <c r="J209" s="14"/>
      <c r="K209" s="38"/>
      <c r="L209" s="38"/>
      <c r="M209" s="17"/>
    </row>
    <row r="210" spans="2:13" ht="14.45" customHeight="1" x14ac:dyDescent="0.25">
      <c r="B210" s="17"/>
      <c r="C210" s="14"/>
      <c r="D210" s="14"/>
      <c r="E210" s="18"/>
      <c r="F210" s="61"/>
      <c r="G210" s="73"/>
      <c r="H210" s="79"/>
      <c r="I210" s="79"/>
      <c r="J210" s="14"/>
      <c r="K210" s="38"/>
      <c r="L210" s="38"/>
      <c r="M210" s="17"/>
    </row>
    <row r="211" spans="2:13" ht="14.45" customHeight="1" x14ac:dyDescent="0.25">
      <c r="B211" s="17"/>
      <c r="C211" s="14"/>
      <c r="D211" s="14"/>
      <c r="E211" s="18"/>
      <c r="F211" s="61"/>
      <c r="G211" s="73"/>
      <c r="H211" s="79"/>
      <c r="I211" s="79"/>
      <c r="J211" s="14"/>
      <c r="K211" s="38"/>
      <c r="L211" s="38"/>
      <c r="M211" s="17"/>
    </row>
    <row r="212" spans="2:13" ht="14.45" customHeight="1" x14ac:dyDescent="0.25">
      <c r="B212" s="17"/>
      <c r="C212" s="14"/>
      <c r="D212" s="14"/>
      <c r="E212" s="18"/>
      <c r="F212" s="61"/>
      <c r="G212" s="73"/>
      <c r="H212" s="79"/>
      <c r="I212" s="79"/>
      <c r="J212" s="14"/>
      <c r="K212" s="38"/>
      <c r="L212" s="38"/>
      <c r="M212" s="17"/>
    </row>
    <row r="213" spans="2:13" ht="14.45" customHeight="1" x14ac:dyDescent="0.25">
      <c r="B213" s="17"/>
      <c r="C213" s="14"/>
      <c r="D213" s="14"/>
      <c r="E213" s="18"/>
      <c r="F213" s="61"/>
      <c r="G213" s="73"/>
      <c r="H213" s="79"/>
      <c r="I213" s="79"/>
      <c r="J213" s="14"/>
      <c r="K213" s="38"/>
      <c r="L213" s="38"/>
      <c r="M213" s="17"/>
    </row>
    <row r="214" spans="2:13" ht="14.45" customHeight="1" x14ac:dyDescent="0.25">
      <c r="B214" s="17"/>
      <c r="C214" s="14"/>
      <c r="D214" s="14"/>
      <c r="E214" s="18"/>
      <c r="F214" s="61"/>
      <c r="G214" s="73"/>
      <c r="H214" s="79"/>
      <c r="I214" s="79"/>
      <c r="J214" s="14"/>
      <c r="K214" s="38"/>
      <c r="L214" s="38"/>
      <c r="M214" s="17"/>
    </row>
    <row r="215" spans="2:13" ht="14.45" customHeight="1" x14ac:dyDescent="0.25">
      <c r="B215" s="17"/>
      <c r="C215" s="14"/>
      <c r="D215" s="14"/>
      <c r="E215" s="18"/>
      <c r="F215" s="61"/>
      <c r="G215" s="73"/>
      <c r="H215" s="79"/>
      <c r="I215" s="79"/>
      <c r="J215" s="14"/>
      <c r="K215" s="38"/>
      <c r="L215" s="38"/>
      <c r="M215" s="17"/>
    </row>
    <row r="216" spans="2:13" ht="14.45" customHeight="1" x14ac:dyDescent="0.25">
      <c r="B216" s="17"/>
      <c r="C216" s="14"/>
      <c r="D216" s="14"/>
      <c r="E216" s="18"/>
      <c r="F216" s="61"/>
      <c r="G216" s="73"/>
      <c r="H216" s="79"/>
      <c r="I216" s="79"/>
      <c r="J216" s="14"/>
      <c r="K216" s="38"/>
      <c r="L216" s="38"/>
      <c r="M216" s="17"/>
    </row>
    <row r="217" spans="2:13" ht="14.45" customHeight="1" x14ac:dyDescent="0.25">
      <c r="B217" s="17"/>
      <c r="C217" s="14"/>
      <c r="D217" s="14"/>
      <c r="E217" s="18"/>
      <c r="F217" s="61"/>
      <c r="G217" s="73"/>
      <c r="H217" s="79"/>
      <c r="I217" s="79"/>
      <c r="J217" s="14"/>
      <c r="K217" s="38"/>
      <c r="L217" s="38"/>
      <c r="M217" s="17"/>
    </row>
    <row r="218" spans="2:13" ht="14.45" customHeight="1" x14ac:dyDescent="0.25">
      <c r="B218" s="17"/>
      <c r="C218" s="14"/>
      <c r="D218" s="14"/>
      <c r="E218" s="18"/>
      <c r="F218" s="61"/>
      <c r="G218" s="73"/>
      <c r="H218" s="79"/>
      <c r="I218" s="79"/>
      <c r="J218" s="14"/>
      <c r="K218" s="38"/>
      <c r="L218" s="38"/>
      <c r="M218" s="17"/>
    </row>
    <row r="219" spans="2:13" ht="14.45" customHeight="1" x14ac:dyDescent="0.25">
      <c r="B219" s="17"/>
      <c r="C219" s="14"/>
      <c r="D219" s="14"/>
      <c r="E219" s="18"/>
      <c r="F219" s="61"/>
      <c r="G219" s="73"/>
      <c r="H219" s="79"/>
      <c r="I219" s="79"/>
      <c r="J219" s="14"/>
      <c r="K219" s="38"/>
      <c r="L219" s="38"/>
      <c r="M219" s="17"/>
    </row>
    <row r="220" spans="2:13" ht="14.45" customHeight="1" x14ac:dyDescent="0.25">
      <c r="B220" s="17"/>
      <c r="C220" s="14"/>
      <c r="D220" s="14"/>
      <c r="E220" s="18"/>
      <c r="F220" s="61"/>
      <c r="G220" s="73"/>
      <c r="H220" s="79"/>
      <c r="I220" s="79"/>
      <c r="J220" s="14"/>
      <c r="K220" s="38"/>
      <c r="L220" s="38"/>
      <c r="M220" s="17"/>
    </row>
    <row r="221" spans="2:13" ht="14.45" customHeight="1" x14ac:dyDescent="0.25">
      <c r="B221" s="17"/>
      <c r="C221" s="14"/>
      <c r="D221" s="14"/>
      <c r="E221" s="18"/>
      <c r="F221" s="61"/>
      <c r="G221" s="73"/>
      <c r="H221" s="79"/>
      <c r="I221" s="79"/>
      <c r="J221" s="14"/>
      <c r="K221" s="38"/>
      <c r="L221" s="38"/>
      <c r="M221" s="17"/>
    </row>
    <row r="222" spans="2:13" ht="14.45" customHeight="1" x14ac:dyDescent="0.25">
      <c r="B222" s="17"/>
      <c r="C222" s="14"/>
      <c r="D222" s="14"/>
      <c r="E222" s="18"/>
      <c r="F222" s="61"/>
      <c r="G222" s="73"/>
      <c r="H222" s="79"/>
      <c r="I222" s="79"/>
      <c r="J222" s="14"/>
      <c r="K222" s="38"/>
      <c r="L222" s="38"/>
      <c r="M222" s="17"/>
    </row>
    <row r="223" spans="2:13" ht="14.45" customHeight="1" x14ac:dyDescent="0.25">
      <c r="B223" s="17"/>
      <c r="C223" s="14"/>
      <c r="D223" s="14"/>
      <c r="E223" s="18"/>
      <c r="F223" s="61"/>
      <c r="G223" s="73"/>
      <c r="H223" s="79"/>
      <c r="I223" s="79"/>
      <c r="J223" s="14"/>
      <c r="K223" s="38"/>
      <c r="L223" s="38"/>
      <c r="M223" s="17"/>
    </row>
    <row r="224" spans="2:13" ht="14.45" customHeight="1" x14ac:dyDescent="0.25">
      <c r="B224" s="17"/>
      <c r="C224" s="14"/>
      <c r="D224" s="14"/>
      <c r="E224" s="18"/>
      <c r="F224" s="61"/>
      <c r="G224" s="73"/>
      <c r="H224" s="79"/>
      <c r="I224" s="79"/>
      <c r="J224" s="14"/>
      <c r="K224" s="38"/>
      <c r="L224" s="38"/>
      <c r="M224" s="17"/>
    </row>
    <row r="225" spans="2:13" ht="14.45" customHeight="1" x14ac:dyDescent="0.25">
      <c r="B225" s="17"/>
      <c r="C225" s="14"/>
      <c r="D225" s="14"/>
      <c r="E225" s="18"/>
      <c r="F225" s="61"/>
      <c r="G225" s="73"/>
      <c r="H225" s="79"/>
      <c r="I225" s="79"/>
      <c r="J225" s="14"/>
      <c r="K225" s="38"/>
      <c r="L225" s="38"/>
      <c r="M225" s="17"/>
    </row>
    <row r="226" spans="2:13" ht="14.45" customHeight="1" x14ac:dyDescent="0.25">
      <c r="B226" s="17"/>
      <c r="C226" s="14"/>
      <c r="D226" s="14"/>
      <c r="E226" s="18"/>
      <c r="F226" s="61"/>
      <c r="G226" s="73"/>
      <c r="H226" s="79"/>
      <c r="I226" s="79"/>
      <c r="J226" s="14"/>
      <c r="K226" s="38"/>
      <c r="L226" s="38"/>
      <c r="M226" s="17"/>
    </row>
    <row r="227" spans="2:13" ht="14.45" customHeight="1" x14ac:dyDescent="0.25">
      <c r="B227" s="17"/>
      <c r="C227" s="14"/>
      <c r="D227" s="14"/>
      <c r="E227" s="18"/>
      <c r="F227" s="61"/>
      <c r="G227" s="73"/>
      <c r="H227" s="79"/>
      <c r="I227" s="79"/>
      <c r="J227" s="14"/>
      <c r="K227" s="38"/>
      <c r="L227" s="38"/>
      <c r="M227" s="17"/>
    </row>
    <row r="228" spans="2:13" ht="14.45" customHeight="1" x14ac:dyDescent="0.25">
      <c r="B228" s="17"/>
      <c r="C228" s="14"/>
      <c r="D228" s="14"/>
      <c r="E228" s="18"/>
      <c r="F228" s="61"/>
      <c r="G228" s="73"/>
      <c r="H228" s="79"/>
      <c r="I228" s="79"/>
      <c r="J228" s="14"/>
      <c r="K228" s="38"/>
      <c r="L228" s="38"/>
      <c r="M228" s="17"/>
    </row>
    <row r="229" spans="2:13" ht="14.45" customHeight="1" x14ac:dyDescent="0.25">
      <c r="B229" s="17"/>
      <c r="C229" s="14"/>
      <c r="D229" s="14"/>
      <c r="E229" s="18"/>
      <c r="F229" s="61"/>
      <c r="G229" s="73"/>
      <c r="H229" s="79"/>
      <c r="I229" s="79"/>
      <c r="J229" s="14"/>
      <c r="K229" s="38"/>
      <c r="L229" s="38"/>
      <c r="M229" s="17"/>
    </row>
    <row r="230" spans="2:13" ht="14.45" customHeight="1" x14ac:dyDescent="0.25">
      <c r="B230" s="17"/>
      <c r="C230" s="14"/>
      <c r="D230" s="14"/>
      <c r="E230" s="18"/>
      <c r="F230" s="61"/>
      <c r="G230" s="73"/>
      <c r="H230" s="79"/>
      <c r="I230" s="79"/>
      <c r="J230" s="14"/>
      <c r="K230" s="38"/>
      <c r="L230" s="38"/>
      <c r="M230" s="17"/>
    </row>
    <row r="231" spans="2:13" ht="14.45" customHeight="1" x14ac:dyDescent="0.25">
      <c r="B231" s="17"/>
      <c r="C231" s="14"/>
      <c r="D231" s="14"/>
      <c r="E231" s="18"/>
      <c r="F231" s="61"/>
      <c r="G231" s="73"/>
      <c r="H231" s="79"/>
      <c r="I231" s="79"/>
      <c r="J231" s="14"/>
      <c r="K231" s="38"/>
      <c r="L231" s="38"/>
      <c r="M231" s="17"/>
    </row>
    <row r="232" spans="2:13" ht="14.45" customHeight="1" x14ac:dyDescent="0.25">
      <c r="B232" s="17"/>
      <c r="C232" s="14"/>
      <c r="D232" s="14"/>
      <c r="E232" s="18"/>
      <c r="F232" s="61"/>
      <c r="G232" s="73"/>
      <c r="H232" s="79"/>
      <c r="I232" s="79"/>
      <c r="J232" s="14"/>
      <c r="K232" s="38"/>
      <c r="L232" s="38"/>
      <c r="M232" s="17"/>
    </row>
    <row r="233" spans="2:13" ht="14.45" customHeight="1" x14ac:dyDescent="0.25">
      <c r="B233" s="17"/>
      <c r="C233" s="14"/>
      <c r="D233" s="14"/>
      <c r="E233" s="18"/>
      <c r="F233" s="61"/>
      <c r="G233" s="73"/>
      <c r="H233" s="79"/>
      <c r="I233" s="79"/>
      <c r="J233" s="14"/>
      <c r="K233" s="38"/>
      <c r="L233" s="38"/>
      <c r="M233" s="17"/>
    </row>
    <row r="234" spans="2:13" ht="14.45" customHeight="1" x14ac:dyDescent="0.25">
      <c r="B234" s="17"/>
      <c r="C234" s="14"/>
      <c r="D234" s="14"/>
      <c r="E234" s="18"/>
      <c r="F234" s="61"/>
      <c r="G234" s="73"/>
      <c r="H234" s="79"/>
      <c r="I234" s="79"/>
      <c r="J234" s="14"/>
      <c r="K234" s="38"/>
      <c r="L234" s="38"/>
      <c r="M234" s="17"/>
    </row>
    <row r="235" spans="2:13" ht="14.45" customHeight="1" x14ac:dyDescent="0.25">
      <c r="B235" s="17"/>
      <c r="C235" s="14"/>
      <c r="D235" s="14"/>
      <c r="E235" s="18"/>
      <c r="F235" s="61"/>
      <c r="G235" s="73"/>
      <c r="H235" s="79"/>
      <c r="I235" s="79"/>
      <c r="J235" s="14"/>
      <c r="K235" s="38"/>
      <c r="L235" s="38"/>
      <c r="M235" s="17"/>
    </row>
    <row r="236" spans="2:13" ht="14.45" customHeight="1" x14ac:dyDescent="0.25">
      <c r="B236" s="17"/>
      <c r="C236" s="14"/>
      <c r="D236" s="14"/>
      <c r="E236" s="18"/>
      <c r="F236" s="61"/>
      <c r="G236" s="73"/>
      <c r="H236" s="79"/>
      <c r="I236" s="79"/>
      <c r="J236" s="14"/>
      <c r="K236" s="38"/>
      <c r="L236" s="38"/>
      <c r="M236" s="17"/>
    </row>
    <row r="237" spans="2:13" ht="14.45" customHeight="1" x14ac:dyDescent="0.25">
      <c r="B237" s="17"/>
      <c r="C237" s="14"/>
      <c r="D237" s="14"/>
      <c r="E237" s="18"/>
      <c r="F237" s="61"/>
      <c r="G237" s="73"/>
      <c r="H237" s="79"/>
      <c r="I237" s="79"/>
      <c r="J237" s="14"/>
      <c r="K237" s="38"/>
      <c r="L237" s="38"/>
      <c r="M237" s="17"/>
    </row>
    <row r="238" spans="2:13" ht="14.45" customHeight="1" x14ac:dyDescent="0.25">
      <c r="B238" s="17"/>
      <c r="C238" s="14"/>
      <c r="D238" s="14"/>
      <c r="E238" s="18"/>
      <c r="F238" s="61"/>
      <c r="G238" s="73"/>
      <c r="H238" s="79"/>
      <c r="I238" s="79"/>
      <c r="J238" s="14"/>
      <c r="K238" s="38"/>
      <c r="L238" s="38"/>
      <c r="M238" s="17"/>
    </row>
    <row r="239" spans="2:13" ht="14.45" customHeight="1" x14ac:dyDescent="0.25">
      <c r="B239" s="17"/>
      <c r="C239" s="14"/>
      <c r="D239" s="14"/>
      <c r="E239" s="18"/>
      <c r="F239" s="61"/>
      <c r="G239" s="73"/>
      <c r="H239" s="79"/>
      <c r="I239" s="79"/>
      <c r="J239" s="14"/>
      <c r="K239" s="38"/>
      <c r="L239" s="38"/>
      <c r="M239" s="17"/>
    </row>
    <row r="240" spans="2:13" ht="14.45" customHeight="1" x14ac:dyDescent="0.25">
      <c r="B240" s="17"/>
      <c r="C240" s="14"/>
      <c r="D240" s="14"/>
      <c r="E240" s="18"/>
      <c r="F240" s="61"/>
      <c r="G240" s="73"/>
      <c r="H240" s="79"/>
      <c r="I240" s="79"/>
      <c r="J240" s="14"/>
      <c r="K240" s="38"/>
      <c r="L240" s="38"/>
      <c r="M240" s="17"/>
    </row>
    <row r="241" spans="2:13" ht="14.45" customHeight="1" x14ac:dyDescent="0.25">
      <c r="B241" s="17"/>
      <c r="C241" s="14"/>
      <c r="D241" s="14"/>
      <c r="E241" s="18"/>
      <c r="F241" s="61"/>
      <c r="G241" s="73"/>
      <c r="H241" s="79"/>
      <c r="I241" s="79"/>
      <c r="J241" s="14"/>
      <c r="K241" s="38"/>
      <c r="L241" s="38"/>
      <c r="M241" s="17"/>
    </row>
    <row r="242" spans="2:13" ht="14.45" customHeight="1" x14ac:dyDescent="0.25">
      <c r="B242" s="17"/>
      <c r="C242" s="14"/>
      <c r="D242" s="14"/>
      <c r="E242" s="18"/>
      <c r="F242" s="61"/>
      <c r="G242" s="73"/>
      <c r="H242" s="79"/>
      <c r="I242" s="79"/>
      <c r="J242" s="14"/>
      <c r="K242" s="38"/>
      <c r="L242" s="38"/>
      <c r="M242" s="17"/>
    </row>
    <row r="243" spans="2:13" ht="14.45" customHeight="1" x14ac:dyDescent="0.25">
      <c r="B243" s="17"/>
      <c r="C243" s="14"/>
      <c r="D243" s="14"/>
      <c r="E243" s="18"/>
      <c r="F243" s="61"/>
      <c r="G243" s="73"/>
      <c r="H243" s="79"/>
      <c r="I243" s="79"/>
      <c r="J243" s="14"/>
      <c r="K243" s="38"/>
      <c r="L243" s="38"/>
      <c r="M243" s="17"/>
    </row>
    <row r="244" spans="2:13" ht="14.45" customHeight="1" x14ac:dyDescent="0.25">
      <c r="B244" s="17"/>
      <c r="C244" s="14"/>
      <c r="D244" s="14"/>
      <c r="E244" s="18"/>
      <c r="F244" s="61"/>
      <c r="G244" s="73"/>
      <c r="H244" s="79"/>
      <c r="I244" s="79"/>
      <c r="J244" s="14"/>
      <c r="K244" s="38"/>
      <c r="L244" s="38"/>
      <c r="M244" s="17"/>
    </row>
    <row r="245" spans="2:13" ht="14.45" customHeight="1" x14ac:dyDescent="0.25">
      <c r="B245" s="17"/>
      <c r="C245" s="14"/>
      <c r="D245" s="14"/>
      <c r="E245" s="18"/>
      <c r="F245" s="61"/>
      <c r="G245" s="73"/>
      <c r="H245" s="79"/>
      <c r="I245" s="79"/>
      <c r="J245" s="14"/>
      <c r="K245" s="38"/>
      <c r="L245" s="38"/>
      <c r="M245" s="17"/>
    </row>
    <row r="246" spans="2:13" ht="14.45" customHeight="1" x14ac:dyDescent="0.25">
      <c r="B246" s="17"/>
      <c r="C246" s="14"/>
      <c r="D246" s="14"/>
      <c r="E246" s="18"/>
      <c r="F246" s="61"/>
      <c r="G246" s="73"/>
      <c r="H246" s="79"/>
      <c r="I246" s="79"/>
      <c r="J246" s="14"/>
      <c r="K246" s="38"/>
      <c r="L246" s="38"/>
      <c r="M246" s="17"/>
    </row>
    <row r="247" spans="2:13" ht="14.45" customHeight="1" x14ac:dyDescent="0.25">
      <c r="B247" s="17"/>
      <c r="C247" s="14"/>
      <c r="D247" s="14"/>
      <c r="E247" s="18"/>
      <c r="F247" s="61"/>
      <c r="G247" s="73"/>
      <c r="H247" s="79"/>
      <c r="I247" s="79"/>
      <c r="J247" s="14"/>
      <c r="K247" s="38"/>
      <c r="L247" s="38"/>
      <c r="M247" s="17"/>
    </row>
    <row r="248" spans="2:13" ht="14.45" customHeight="1" x14ac:dyDescent="0.25">
      <c r="B248" s="17"/>
      <c r="C248" s="14"/>
      <c r="D248" s="14"/>
      <c r="E248" s="18"/>
      <c r="F248" s="61"/>
      <c r="G248" s="73"/>
      <c r="H248" s="79"/>
      <c r="I248" s="79"/>
      <c r="J248" s="14"/>
      <c r="K248" s="38"/>
      <c r="L248" s="38"/>
      <c r="M248" s="17"/>
    </row>
    <row r="249" spans="2:13" ht="14.45" customHeight="1" x14ac:dyDescent="0.25">
      <c r="B249" s="17"/>
      <c r="C249" s="14"/>
      <c r="D249" s="14"/>
      <c r="E249" s="18"/>
      <c r="F249" s="61"/>
      <c r="G249" s="73"/>
      <c r="H249" s="79"/>
      <c r="I249" s="79"/>
      <c r="J249" s="14"/>
      <c r="K249" s="38"/>
      <c r="L249" s="38"/>
      <c r="M249" s="17"/>
    </row>
    <row r="250" spans="2:13" ht="14.45" customHeight="1" x14ac:dyDescent="0.25">
      <c r="B250" s="17"/>
      <c r="C250" s="14"/>
      <c r="D250" s="14"/>
      <c r="E250" s="18"/>
      <c r="F250" s="61"/>
      <c r="G250" s="73"/>
      <c r="H250" s="79"/>
      <c r="I250" s="79"/>
      <c r="J250" s="14"/>
      <c r="K250" s="38"/>
      <c r="L250" s="38"/>
      <c r="M250" s="17"/>
    </row>
    <row r="251" spans="2:13" ht="14.45" customHeight="1" x14ac:dyDescent="0.25">
      <c r="B251" s="17"/>
      <c r="C251" s="14"/>
      <c r="D251" s="14"/>
      <c r="E251" s="18"/>
      <c r="F251" s="61"/>
      <c r="G251" s="73"/>
      <c r="H251" s="79"/>
      <c r="I251" s="79"/>
      <c r="J251" s="14"/>
      <c r="K251" s="38"/>
      <c r="L251" s="38"/>
      <c r="M251" s="17"/>
    </row>
    <row r="252" spans="2:13" ht="14.45" customHeight="1" x14ac:dyDescent="0.25">
      <c r="B252" s="17"/>
      <c r="C252" s="14"/>
      <c r="D252" s="14"/>
      <c r="E252" s="18"/>
      <c r="F252" s="61"/>
      <c r="G252" s="73"/>
      <c r="H252" s="79"/>
      <c r="I252" s="79"/>
      <c r="J252" s="14"/>
      <c r="K252" s="38"/>
      <c r="L252" s="38"/>
      <c r="M252" s="17"/>
    </row>
    <row r="253" spans="2:13" ht="14.45" customHeight="1" x14ac:dyDescent="0.25">
      <c r="B253" s="17"/>
      <c r="C253" s="14"/>
      <c r="D253" s="14"/>
      <c r="E253" s="18"/>
      <c r="F253" s="61"/>
      <c r="G253" s="73"/>
      <c r="H253" s="79"/>
      <c r="I253" s="79"/>
      <c r="J253" s="14"/>
      <c r="K253" s="38"/>
      <c r="L253" s="38"/>
      <c r="M253" s="17"/>
    </row>
    <row r="254" spans="2:13" ht="14.45" customHeight="1" x14ac:dyDescent="0.25">
      <c r="B254" s="17"/>
      <c r="C254" s="14"/>
      <c r="D254" s="14"/>
      <c r="E254" s="18"/>
      <c r="F254" s="61"/>
      <c r="G254" s="73"/>
      <c r="H254" s="79"/>
      <c r="I254" s="79"/>
      <c r="J254" s="14"/>
      <c r="K254" s="38"/>
      <c r="L254" s="38"/>
      <c r="M254" s="17"/>
    </row>
    <row r="255" spans="2:13" ht="14.45" customHeight="1" x14ac:dyDescent="0.25">
      <c r="B255" s="17"/>
      <c r="C255" s="14"/>
      <c r="D255" s="14"/>
      <c r="E255" s="18"/>
      <c r="F255" s="61"/>
      <c r="G255" s="73"/>
      <c r="H255" s="79"/>
      <c r="I255" s="79"/>
      <c r="J255" s="14"/>
      <c r="K255" s="38"/>
      <c r="L255" s="38"/>
      <c r="M255" s="17"/>
    </row>
    <row r="256" spans="2:13" ht="14.45" customHeight="1" x14ac:dyDescent="0.25">
      <c r="B256" s="17"/>
      <c r="C256" s="14"/>
      <c r="D256" s="14"/>
      <c r="E256" s="18"/>
      <c r="F256" s="61"/>
      <c r="G256" s="73"/>
      <c r="H256" s="79"/>
      <c r="I256" s="79"/>
      <c r="J256" s="14"/>
      <c r="K256" s="38"/>
      <c r="L256" s="38"/>
      <c r="M256" s="17"/>
    </row>
    <row r="257" spans="2:13" ht="14.45" customHeight="1" x14ac:dyDescent="0.25">
      <c r="B257" s="17"/>
      <c r="C257" s="14"/>
      <c r="D257" s="14"/>
      <c r="E257" s="18"/>
      <c r="F257" s="61"/>
      <c r="G257" s="73"/>
      <c r="H257" s="79"/>
      <c r="I257" s="79"/>
      <c r="J257" s="14"/>
      <c r="K257" s="38"/>
      <c r="L257" s="38"/>
      <c r="M257" s="17"/>
    </row>
    <row r="258" spans="2:13" ht="14.45" customHeight="1" x14ac:dyDescent="0.25">
      <c r="B258" s="17"/>
      <c r="C258" s="14"/>
      <c r="D258" s="14"/>
      <c r="E258" s="18"/>
      <c r="F258" s="61"/>
      <c r="G258" s="73"/>
      <c r="H258" s="79"/>
      <c r="I258" s="79"/>
      <c r="J258" s="14"/>
      <c r="K258" s="38"/>
      <c r="L258" s="38"/>
      <c r="M258" s="17"/>
    </row>
    <row r="259" spans="2:13" ht="14.45" customHeight="1" x14ac:dyDescent="0.25">
      <c r="B259" s="17"/>
      <c r="C259" s="14"/>
      <c r="D259" s="14"/>
      <c r="E259" s="18"/>
      <c r="F259" s="61"/>
      <c r="G259" s="73"/>
      <c r="H259" s="79"/>
      <c r="I259" s="79"/>
      <c r="J259" s="14"/>
      <c r="K259" s="38"/>
      <c r="L259" s="38"/>
      <c r="M259" s="17"/>
    </row>
    <row r="260" spans="2:13" ht="14.45" customHeight="1" x14ac:dyDescent="0.25">
      <c r="B260" s="17"/>
      <c r="C260" s="14"/>
      <c r="D260" s="14"/>
      <c r="E260" s="18"/>
      <c r="F260" s="61"/>
      <c r="G260" s="73"/>
      <c r="H260" s="79"/>
      <c r="I260" s="79"/>
      <c r="J260" s="14"/>
      <c r="K260" s="38"/>
      <c r="L260" s="38"/>
      <c r="M260" s="17"/>
    </row>
    <row r="261" spans="2:13" ht="14.45" customHeight="1" x14ac:dyDescent="0.25">
      <c r="B261" s="17"/>
      <c r="C261" s="14"/>
      <c r="D261" s="14"/>
      <c r="E261" s="18"/>
      <c r="F261" s="61"/>
      <c r="G261" s="73"/>
      <c r="H261" s="79"/>
      <c r="I261" s="79"/>
      <c r="J261" s="14"/>
      <c r="K261" s="38"/>
      <c r="L261" s="38"/>
      <c r="M261" s="17"/>
    </row>
    <row r="262" spans="2:13" ht="14.45" customHeight="1" x14ac:dyDescent="0.25">
      <c r="B262" s="17"/>
      <c r="C262" s="14"/>
      <c r="D262" s="14"/>
      <c r="E262" s="18"/>
      <c r="F262" s="61"/>
      <c r="G262" s="73"/>
      <c r="H262" s="79"/>
      <c r="I262" s="79"/>
      <c r="J262" s="14"/>
      <c r="K262" s="38"/>
      <c r="L262" s="38"/>
      <c r="M262" s="17"/>
    </row>
    <row r="263" spans="2:13" ht="14.45" customHeight="1" x14ac:dyDescent="0.25">
      <c r="B263" s="17"/>
      <c r="C263" s="14"/>
      <c r="D263" s="14"/>
      <c r="E263" s="18"/>
      <c r="F263" s="61"/>
      <c r="G263" s="73"/>
      <c r="H263" s="79"/>
      <c r="I263" s="79"/>
      <c r="J263" s="14"/>
      <c r="K263" s="38"/>
      <c r="L263" s="38"/>
      <c r="M263" s="17"/>
    </row>
    <row r="264" spans="2:13" ht="14.45" customHeight="1" x14ac:dyDescent="0.25">
      <c r="B264" s="17"/>
      <c r="C264" s="14"/>
      <c r="D264" s="14"/>
      <c r="E264" s="18"/>
      <c r="F264" s="61"/>
      <c r="G264" s="73"/>
      <c r="H264" s="79"/>
      <c r="I264" s="79"/>
      <c r="J264" s="14"/>
      <c r="K264" s="38"/>
      <c r="L264" s="38"/>
      <c r="M264" s="17"/>
    </row>
    <row r="265" spans="2:13" ht="14.45" customHeight="1" x14ac:dyDescent="0.25">
      <c r="B265" s="17"/>
      <c r="C265" s="14"/>
      <c r="D265" s="14"/>
      <c r="E265" s="18"/>
      <c r="F265" s="61"/>
      <c r="G265" s="73"/>
      <c r="H265" s="79"/>
      <c r="I265" s="79"/>
      <c r="J265" s="14"/>
      <c r="K265" s="38"/>
      <c r="L265" s="38"/>
      <c r="M265" s="17"/>
    </row>
    <row r="266" spans="2:13" ht="14.45" customHeight="1" x14ac:dyDescent="0.25">
      <c r="B266" s="17"/>
      <c r="C266" s="14"/>
      <c r="D266" s="14"/>
      <c r="E266" s="18"/>
      <c r="F266" s="61"/>
      <c r="G266" s="73"/>
      <c r="H266" s="79"/>
      <c r="I266" s="79"/>
      <c r="J266" s="14"/>
      <c r="K266" s="38"/>
      <c r="L266" s="38"/>
      <c r="M266" s="17"/>
    </row>
    <row r="267" spans="2:13" ht="14.45" customHeight="1" x14ac:dyDescent="0.25">
      <c r="B267" s="17"/>
      <c r="C267" s="14"/>
      <c r="D267" s="14"/>
      <c r="E267" s="18"/>
      <c r="F267" s="61"/>
      <c r="G267" s="73"/>
      <c r="H267" s="79"/>
      <c r="I267" s="79"/>
      <c r="J267" s="14"/>
      <c r="K267" s="38"/>
      <c r="L267" s="38"/>
      <c r="M267" s="17"/>
    </row>
    <row r="268" spans="2:13" ht="14.45" customHeight="1" x14ac:dyDescent="0.25">
      <c r="B268" s="17"/>
      <c r="C268" s="14"/>
      <c r="D268" s="14"/>
      <c r="E268" s="18"/>
      <c r="F268" s="61"/>
      <c r="G268" s="73"/>
      <c r="H268" s="79"/>
      <c r="I268" s="79"/>
      <c r="J268" s="14"/>
      <c r="K268" s="38"/>
      <c r="L268" s="38"/>
      <c r="M268" s="17"/>
    </row>
    <row r="269" spans="2:13" ht="14.45" customHeight="1" x14ac:dyDescent="0.25">
      <c r="B269" s="17"/>
      <c r="C269" s="14"/>
      <c r="D269" s="14"/>
      <c r="E269" s="18"/>
      <c r="F269" s="61"/>
      <c r="G269" s="73"/>
      <c r="H269" s="79"/>
      <c r="I269" s="79"/>
      <c r="J269" s="14"/>
      <c r="K269" s="38"/>
      <c r="L269" s="38"/>
      <c r="M269" s="17"/>
    </row>
    <row r="270" spans="2:13" ht="14.45" customHeight="1" x14ac:dyDescent="0.25">
      <c r="B270" s="17"/>
      <c r="C270" s="14"/>
      <c r="D270" s="14"/>
      <c r="E270" s="18"/>
      <c r="F270" s="61"/>
      <c r="G270" s="73"/>
      <c r="H270" s="79"/>
      <c r="I270" s="79"/>
      <c r="J270" s="14"/>
      <c r="K270" s="38"/>
      <c r="L270" s="38"/>
      <c r="M270" s="17"/>
    </row>
    <row r="271" spans="2:13" ht="14.45" customHeight="1" x14ac:dyDescent="0.25">
      <c r="B271" s="17"/>
      <c r="C271" s="14"/>
      <c r="D271" s="14"/>
      <c r="E271" s="18"/>
      <c r="F271" s="61"/>
      <c r="G271" s="73"/>
      <c r="H271" s="79"/>
      <c r="I271" s="79"/>
      <c r="J271" s="14"/>
      <c r="K271" s="38"/>
      <c r="L271" s="38"/>
      <c r="M271" s="17"/>
    </row>
    <row r="272" spans="2:13" ht="14.45" customHeight="1" x14ac:dyDescent="0.25">
      <c r="B272" s="17"/>
      <c r="C272" s="14"/>
      <c r="D272" s="14"/>
      <c r="E272" s="18"/>
      <c r="F272" s="61"/>
      <c r="G272" s="73"/>
      <c r="H272" s="79"/>
      <c r="I272" s="79"/>
      <c r="J272" s="14"/>
      <c r="K272" s="38"/>
      <c r="L272" s="38"/>
      <c r="M272" s="17"/>
    </row>
    <row r="273" spans="2:13" ht="14.45" customHeight="1" x14ac:dyDescent="0.25">
      <c r="B273" s="17"/>
      <c r="C273" s="14"/>
      <c r="D273" s="14"/>
      <c r="E273" s="18"/>
      <c r="F273" s="61"/>
      <c r="G273" s="73"/>
      <c r="H273" s="79"/>
      <c r="I273" s="79"/>
      <c r="J273" s="14"/>
      <c r="K273" s="38"/>
      <c r="L273" s="38"/>
      <c r="M273" s="17"/>
    </row>
    <row r="274" spans="2:13" ht="14.45" customHeight="1" x14ac:dyDescent="0.25">
      <c r="B274" s="17"/>
      <c r="C274" s="14"/>
      <c r="D274" s="14"/>
      <c r="E274" s="18"/>
      <c r="F274" s="61"/>
      <c r="G274" s="73"/>
      <c r="H274" s="79"/>
      <c r="I274" s="79"/>
      <c r="J274" s="14"/>
      <c r="K274" s="38"/>
      <c r="L274" s="38"/>
      <c r="M274" s="17"/>
    </row>
    <row r="275" spans="2:13" ht="14.45" customHeight="1" x14ac:dyDescent="0.25">
      <c r="B275" s="17"/>
      <c r="C275" s="14"/>
      <c r="D275" s="14"/>
      <c r="E275" s="18"/>
      <c r="F275" s="61"/>
      <c r="G275" s="73"/>
      <c r="H275" s="79"/>
      <c r="I275" s="79"/>
      <c r="J275" s="14"/>
      <c r="K275" s="38"/>
      <c r="L275" s="38"/>
      <c r="M275" s="17"/>
    </row>
    <row r="276" spans="2:13" ht="14.45" customHeight="1" x14ac:dyDescent="0.25">
      <c r="B276" s="17"/>
      <c r="C276" s="14"/>
      <c r="D276" s="14"/>
      <c r="E276" s="18"/>
      <c r="F276" s="61"/>
      <c r="G276" s="73"/>
      <c r="H276" s="79"/>
      <c r="I276" s="79"/>
      <c r="J276" s="14"/>
      <c r="K276" s="38"/>
      <c r="L276" s="38"/>
      <c r="M276" s="17"/>
    </row>
    <row r="277" spans="2:13" ht="14.45" customHeight="1" x14ac:dyDescent="0.25">
      <c r="B277" s="17"/>
      <c r="C277" s="14"/>
      <c r="D277" s="14"/>
      <c r="E277" s="18"/>
      <c r="F277" s="61"/>
      <c r="G277" s="73"/>
      <c r="H277" s="79"/>
      <c r="I277" s="79"/>
      <c r="J277" s="14"/>
      <c r="K277" s="38"/>
      <c r="L277" s="38"/>
      <c r="M277" s="17"/>
    </row>
    <row r="278" spans="2:13" ht="14.45" customHeight="1" x14ac:dyDescent="0.25">
      <c r="B278" s="17"/>
      <c r="C278" s="14"/>
      <c r="D278" s="14"/>
      <c r="E278" s="18"/>
      <c r="F278" s="61"/>
      <c r="G278" s="73"/>
      <c r="H278" s="79"/>
      <c r="I278" s="79"/>
      <c r="J278" s="14"/>
      <c r="K278" s="38"/>
      <c r="L278" s="38"/>
      <c r="M278" s="17"/>
    </row>
    <row r="279" spans="2:13" ht="14.45" customHeight="1" x14ac:dyDescent="0.25">
      <c r="B279" s="17"/>
      <c r="C279" s="14"/>
      <c r="D279" s="14"/>
      <c r="E279" s="18"/>
      <c r="F279" s="61"/>
      <c r="G279" s="73"/>
      <c r="H279" s="79"/>
      <c r="I279" s="79"/>
      <c r="J279" s="14"/>
      <c r="K279" s="38"/>
      <c r="L279" s="38"/>
      <c r="M279" s="17"/>
    </row>
    <row r="280" spans="2:13" ht="14.45" customHeight="1" x14ac:dyDescent="0.25">
      <c r="B280" s="17"/>
      <c r="C280" s="14"/>
      <c r="D280" s="14"/>
      <c r="E280" s="18"/>
      <c r="F280" s="61"/>
      <c r="G280" s="73"/>
      <c r="H280" s="79"/>
      <c r="I280" s="79"/>
      <c r="J280" s="14"/>
      <c r="K280" s="38"/>
      <c r="L280" s="38"/>
      <c r="M280" s="17"/>
    </row>
    <row r="281" spans="2:13" ht="14.45" customHeight="1" x14ac:dyDescent="0.25">
      <c r="B281" s="17"/>
      <c r="C281" s="14"/>
      <c r="D281" s="14"/>
      <c r="E281" s="18"/>
      <c r="F281" s="61"/>
      <c r="G281" s="73"/>
      <c r="H281" s="79"/>
      <c r="I281" s="79"/>
      <c r="J281" s="14"/>
      <c r="K281" s="38"/>
      <c r="L281" s="38"/>
      <c r="M281" s="17"/>
    </row>
    <row r="282" spans="2:13" ht="14.45" customHeight="1" x14ac:dyDescent="0.25">
      <c r="B282" s="17"/>
      <c r="C282" s="14"/>
      <c r="D282" s="14"/>
      <c r="E282" s="18"/>
      <c r="F282" s="61"/>
      <c r="G282" s="73"/>
      <c r="H282" s="79"/>
      <c r="I282" s="79"/>
      <c r="J282" s="14"/>
      <c r="K282" s="38"/>
      <c r="L282" s="38"/>
      <c r="M282" s="17"/>
    </row>
    <row r="283" spans="2:13" ht="14.45" customHeight="1" x14ac:dyDescent="0.25">
      <c r="B283" s="17"/>
      <c r="C283" s="14"/>
      <c r="D283" s="14"/>
      <c r="E283" s="18"/>
      <c r="F283" s="61"/>
      <c r="G283" s="73"/>
      <c r="H283" s="79"/>
      <c r="I283" s="79"/>
      <c r="J283" s="14"/>
      <c r="K283" s="38"/>
      <c r="L283" s="38"/>
      <c r="M283" s="17"/>
    </row>
    <row r="284" spans="2:13" ht="14.45" customHeight="1" x14ac:dyDescent="0.25">
      <c r="B284" s="17"/>
      <c r="C284" s="14"/>
      <c r="D284" s="14"/>
      <c r="E284" s="18"/>
      <c r="F284" s="61"/>
      <c r="G284" s="73"/>
      <c r="H284" s="79"/>
      <c r="I284" s="79"/>
      <c r="J284" s="14"/>
      <c r="K284" s="38"/>
      <c r="L284" s="38"/>
      <c r="M284" s="17"/>
    </row>
    <row r="285" spans="2:13" ht="14.45" customHeight="1" x14ac:dyDescent="0.25">
      <c r="B285" s="17"/>
      <c r="C285" s="14"/>
      <c r="D285" s="14"/>
      <c r="E285" s="18"/>
      <c r="F285" s="61"/>
      <c r="G285" s="73"/>
      <c r="H285" s="79"/>
      <c r="I285" s="79"/>
      <c r="J285" s="14"/>
      <c r="K285" s="38"/>
      <c r="L285" s="38"/>
      <c r="M285" s="17"/>
    </row>
    <row r="286" spans="2:13" ht="14.45" customHeight="1" x14ac:dyDescent="0.25">
      <c r="B286" s="17"/>
      <c r="C286" s="14"/>
      <c r="D286" s="14"/>
      <c r="E286" s="18"/>
      <c r="F286" s="61"/>
      <c r="G286" s="73"/>
      <c r="H286" s="79"/>
      <c r="I286" s="79"/>
      <c r="J286" s="14"/>
      <c r="K286" s="38"/>
      <c r="L286" s="38"/>
      <c r="M286" s="17"/>
    </row>
    <row r="287" spans="2:13" ht="14.45" customHeight="1" x14ac:dyDescent="0.25">
      <c r="B287" s="17"/>
      <c r="C287" s="14"/>
      <c r="D287" s="14"/>
      <c r="E287" s="18"/>
      <c r="F287" s="61"/>
      <c r="G287" s="73"/>
      <c r="H287" s="79"/>
      <c r="I287" s="79"/>
      <c r="J287" s="14"/>
      <c r="K287" s="38"/>
      <c r="L287" s="38"/>
      <c r="M287" s="17"/>
    </row>
    <row r="288" spans="2:13" ht="14.45" customHeight="1" x14ac:dyDescent="0.25">
      <c r="B288" s="17"/>
      <c r="C288" s="14"/>
      <c r="D288" s="14"/>
      <c r="E288" s="18"/>
      <c r="F288" s="61"/>
      <c r="G288" s="73"/>
      <c r="H288" s="79"/>
      <c r="I288" s="79"/>
      <c r="J288" s="14"/>
      <c r="K288" s="38"/>
      <c r="L288" s="38"/>
      <c r="M288" s="17"/>
    </row>
    <row r="289" spans="2:13" ht="14.45" customHeight="1" x14ac:dyDescent="0.25">
      <c r="B289" s="17"/>
      <c r="C289" s="14"/>
      <c r="D289" s="14"/>
      <c r="E289" s="18"/>
      <c r="F289" s="61"/>
      <c r="G289" s="73"/>
      <c r="H289" s="79"/>
      <c r="I289" s="79"/>
      <c r="J289" s="14"/>
      <c r="K289" s="38"/>
      <c r="L289" s="38"/>
      <c r="M289" s="17"/>
    </row>
    <row r="290" spans="2:13" ht="14.45" customHeight="1" x14ac:dyDescent="0.25">
      <c r="B290" s="17"/>
      <c r="C290" s="14"/>
      <c r="D290" s="14"/>
      <c r="E290" s="18"/>
      <c r="F290" s="61"/>
      <c r="G290" s="73"/>
      <c r="H290" s="79"/>
      <c r="I290" s="79"/>
      <c r="J290" s="14"/>
      <c r="K290" s="38"/>
      <c r="L290" s="38"/>
      <c r="M290" s="17"/>
    </row>
    <row r="291" spans="2:13" ht="14.45" customHeight="1" x14ac:dyDescent="0.25">
      <c r="B291" s="17"/>
      <c r="C291" s="14"/>
      <c r="D291" s="14"/>
      <c r="E291" s="18"/>
      <c r="F291" s="61"/>
      <c r="G291" s="73"/>
      <c r="H291" s="79"/>
      <c r="I291" s="79"/>
      <c r="J291" s="14"/>
      <c r="K291" s="38"/>
      <c r="L291" s="38"/>
      <c r="M291" s="17"/>
    </row>
    <row r="292" spans="2:13" ht="14.45" customHeight="1" x14ac:dyDescent="0.25">
      <c r="B292" s="17"/>
      <c r="C292" s="14"/>
      <c r="D292" s="14"/>
      <c r="E292" s="18"/>
      <c r="F292" s="61"/>
      <c r="G292" s="73"/>
      <c r="H292" s="79"/>
      <c r="I292" s="79"/>
      <c r="J292" s="14"/>
      <c r="K292" s="38"/>
      <c r="L292" s="38"/>
      <c r="M292" s="17"/>
    </row>
    <row r="293" spans="2:13" ht="14.45" customHeight="1" x14ac:dyDescent="0.25">
      <c r="B293" s="17"/>
      <c r="C293" s="14"/>
      <c r="D293" s="14"/>
      <c r="E293" s="18"/>
      <c r="F293" s="61"/>
      <c r="G293" s="73"/>
      <c r="H293" s="79"/>
      <c r="I293" s="79"/>
      <c r="J293" s="14"/>
      <c r="K293" s="38"/>
      <c r="L293" s="38"/>
      <c r="M293" s="17"/>
    </row>
    <row r="294" spans="2:13" ht="14.45" customHeight="1" x14ac:dyDescent="0.25">
      <c r="B294" s="17"/>
      <c r="C294" s="14"/>
      <c r="D294" s="14"/>
      <c r="E294" s="18"/>
      <c r="F294" s="61"/>
      <c r="G294" s="73"/>
      <c r="H294" s="79"/>
      <c r="I294" s="79"/>
      <c r="J294" s="14"/>
      <c r="K294" s="38"/>
      <c r="L294" s="38"/>
      <c r="M294" s="17"/>
    </row>
    <row r="295" spans="2:13" ht="14.45" customHeight="1" x14ac:dyDescent="0.25">
      <c r="B295" s="17"/>
      <c r="C295" s="14"/>
      <c r="D295" s="14"/>
      <c r="E295" s="18"/>
      <c r="F295" s="61"/>
      <c r="G295" s="73"/>
      <c r="H295" s="79"/>
      <c r="I295" s="79"/>
      <c r="J295" s="14"/>
      <c r="K295" s="38"/>
      <c r="L295" s="38"/>
      <c r="M295" s="17"/>
    </row>
    <row r="296" spans="2:13" ht="14.45" customHeight="1" x14ac:dyDescent="0.25">
      <c r="B296" s="17"/>
      <c r="C296" s="14"/>
      <c r="D296" s="14"/>
      <c r="E296" s="18"/>
      <c r="F296" s="61"/>
      <c r="G296" s="73"/>
      <c r="H296" s="79"/>
      <c r="I296" s="79"/>
      <c r="J296" s="14"/>
      <c r="K296" s="38"/>
      <c r="L296" s="38"/>
      <c r="M296" s="17"/>
    </row>
    <row r="297" spans="2:13" ht="14.45" customHeight="1" x14ac:dyDescent="0.25">
      <c r="B297" s="17"/>
      <c r="C297" s="14"/>
      <c r="D297" s="14"/>
      <c r="E297" s="18"/>
      <c r="F297" s="61"/>
      <c r="G297" s="73"/>
      <c r="H297" s="79"/>
      <c r="I297" s="79"/>
      <c r="J297" s="14"/>
      <c r="K297" s="38"/>
      <c r="L297" s="38"/>
      <c r="M297" s="17"/>
    </row>
    <row r="298" spans="2:13" ht="14.45" customHeight="1" x14ac:dyDescent="0.25">
      <c r="B298" s="17"/>
      <c r="C298" s="14"/>
      <c r="D298" s="14"/>
      <c r="E298" s="18"/>
      <c r="F298" s="61"/>
      <c r="G298" s="73"/>
      <c r="H298" s="79"/>
      <c r="I298" s="79"/>
      <c r="J298" s="14"/>
      <c r="K298" s="38"/>
      <c r="L298" s="38"/>
      <c r="M298" s="17"/>
    </row>
    <row r="299" spans="2:13" ht="14.45" customHeight="1" x14ac:dyDescent="0.25">
      <c r="B299" s="17"/>
      <c r="C299" s="14"/>
      <c r="D299" s="14"/>
      <c r="E299" s="18"/>
      <c r="F299" s="61"/>
      <c r="G299" s="73"/>
      <c r="H299" s="79"/>
      <c r="I299" s="79"/>
      <c r="J299" s="14"/>
      <c r="K299" s="38"/>
      <c r="L299" s="38"/>
      <c r="M299" s="17"/>
    </row>
    <row r="300" spans="2:13" ht="14.45" customHeight="1" x14ac:dyDescent="0.25">
      <c r="B300" s="17"/>
      <c r="C300" s="14"/>
      <c r="D300" s="14"/>
      <c r="E300" s="18"/>
      <c r="F300" s="61"/>
      <c r="G300" s="73"/>
      <c r="H300" s="79"/>
      <c r="I300" s="79"/>
      <c r="J300" s="14"/>
      <c r="K300" s="38"/>
      <c r="L300" s="38"/>
      <c r="M300" s="17"/>
    </row>
    <row r="301" spans="2:13" ht="14.45" customHeight="1" x14ac:dyDescent="0.25">
      <c r="B301" s="17"/>
      <c r="C301" s="14"/>
      <c r="D301" s="14"/>
      <c r="E301" s="18"/>
      <c r="F301" s="61"/>
      <c r="G301" s="73"/>
      <c r="H301" s="79"/>
      <c r="I301" s="79"/>
      <c r="J301" s="14"/>
      <c r="K301" s="38"/>
      <c r="L301" s="38"/>
      <c r="M301" s="17"/>
    </row>
    <row r="302" spans="2:13" ht="14.45" customHeight="1" x14ac:dyDescent="0.25">
      <c r="B302" s="17"/>
      <c r="C302" s="14"/>
      <c r="D302" s="14"/>
      <c r="E302" s="18"/>
      <c r="F302" s="61"/>
      <c r="G302" s="73"/>
      <c r="H302" s="79"/>
      <c r="I302" s="79"/>
      <c r="J302" s="14"/>
      <c r="K302" s="38"/>
      <c r="L302" s="38"/>
      <c r="M302" s="17"/>
    </row>
    <row r="303" spans="2:13" ht="14.45" customHeight="1" x14ac:dyDescent="0.25">
      <c r="B303" s="17"/>
      <c r="C303" s="14"/>
      <c r="D303" s="14"/>
      <c r="E303" s="18"/>
      <c r="F303" s="61"/>
      <c r="G303" s="73"/>
      <c r="H303" s="79"/>
      <c r="I303" s="79"/>
      <c r="J303" s="14"/>
      <c r="K303" s="38"/>
      <c r="L303" s="38"/>
      <c r="M303" s="17"/>
    </row>
    <row r="304" spans="2:13" ht="14.45" customHeight="1" x14ac:dyDescent="0.25">
      <c r="B304" s="17"/>
      <c r="C304" s="14"/>
      <c r="D304" s="14"/>
      <c r="E304" s="18"/>
      <c r="F304" s="61"/>
      <c r="G304" s="73"/>
      <c r="H304" s="79"/>
      <c r="I304" s="79"/>
      <c r="J304" s="14"/>
      <c r="K304" s="38"/>
      <c r="L304" s="38"/>
      <c r="M304" s="17"/>
    </row>
    <row r="305" spans="2:13" ht="14.45" customHeight="1" x14ac:dyDescent="0.25">
      <c r="B305" s="17"/>
      <c r="C305" s="14"/>
      <c r="D305" s="14"/>
      <c r="E305" s="18"/>
      <c r="F305" s="61"/>
      <c r="G305" s="73"/>
      <c r="H305" s="79"/>
      <c r="I305" s="79"/>
      <c r="J305" s="14"/>
      <c r="K305" s="38"/>
      <c r="L305" s="38"/>
      <c r="M305" s="17"/>
    </row>
    <row r="306" spans="2:13" ht="14.45" customHeight="1" x14ac:dyDescent="0.25">
      <c r="B306" s="17"/>
      <c r="C306" s="14"/>
      <c r="D306" s="14"/>
      <c r="E306" s="18"/>
      <c r="F306" s="61"/>
      <c r="G306" s="73"/>
      <c r="H306" s="79"/>
      <c r="I306" s="79"/>
      <c r="J306" s="14"/>
      <c r="K306" s="38"/>
      <c r="L306" s="38"/>
      <c r="M306" s="17"/>
    </row>
    <row r="307" spans="2:13" ht="14.45" customHeight="1" x14ac:dyDescent="0.25">
      <c r="B307" s="17"/>
      <c r="C307" s="14"/>
      <c r="D307" s="14"/>
      <c r="E307" s="18"/>
      <c r="F307" s="61"/>
      <c r="G307" s="73"/>
      <c r="H307" s="79"/>
      <c r="I307" s="79"/>
      <c r="J307" s="14"/>
      <c r="K307" s="38"/>
      <c r="L307" s="38"/>
      <c r="M307" s="17"/>
    </row>
    <row r="308" spans="2:13" ht="14.45" customHeight="1" x14ac:dyDescent="0.25">
      <c r="B308" s="17"/>
      <c r="C308" s="14"/>
      <c r="D308" s="14"/>
      <c r="E308" s="18"/>
      <c r="F308" s="61"/>
      <c r="G308" s="73"/>
      <c r="H308" s="79"/>
      <c r="I308" s="79"/>
      <c r="J308" s="14"/>
      <c r="K308" s="38"/>
      <c r="L308" s="38"/>
      <c r="M308" s="17"/>
    </row>
    <row r="309" spans="2:13" ht="14.45" customHeight="1" x14ac:dyDescent="0.25">
      <c r="B309" s="17"/>
      <c r="C309" s="14"/>
      <c r="D309" s="14"/>
      <c r="E309" s="18"/>
      <c r="F309" s="61"/>
      <c r="G309" s="73"/>
      <c r="H309" s="79"/>
      <c r="I309" s="79"/>
      <c r="J309" s="14"/>
      <c r="K309" s="38"/>
      <c r="L309" s="38"/>
      <c r="M309" s="17"/>
    </row>
    <row r="310" spans="2:13" ht="14.45" customHeight="1" x14ac:dyDescent="0.25">
      <c r="B310" s="17"/>
      <c r="C310" s="14"/>
      <c r="D310" s="14"/>
      <c r="E310" s="18"/>
      <c r="F310" s="61"/>
      <c r="G310" s="73"/>
      <c r="H310" s="79"/>
      <c r="I310" s="79"/>
      <c r="J310" s="14"/>
      <c r="K310" s="38"/>
      <c r="L310" s="38"/>
      <c r="M310" s="17"/>
    </row>
    <row r="311" spans="2:13" ht="14.45" customHeight="1" x14ac:dyDescent="0.25">
      <c r="B311" s="17"/>
      <c r="C311" s="14"/>
      <c r="D311" s="14"/>
      <c r="E311" s="18"/>
      <c r="F311" s="61"/>
      <c r="G311" s="73"/>
      <c r="H311" s="79"/>
      <c r="I311" s="79"/>
      <c r="J311" s="14"/>
      <c r="K311" s="38"/>
      <c r="L311" s="38"/>
      <c r="M311" s="17"/>
    </row>
    <row r="312" spans="2:13" ht="14.45" customHeight="1" x14ac:dyDescent="0.25">
      <c r="B312" s="17"/>
      <c r="C312" s="14"/>
      <c r="D312" s="14"/>
      <c r="E312" s="18"/>
      <c r="F312" s="61"/>
      <c r="G312" s="73"/>
      <c r="H312" s="79"/>
      <c r="I312" s="79"/>
      <c r="J312" s="14"/>
      <c r="K312" s="38"/>
      <c r="L312" s="38"/>
      <c r="M312" s="17"/>
    </row>
    <row r="313" spans="2:13" ht="14.45" customHeight="1" x14ac:dyDescent="0.25">
      <c r="B313" s="17"/>
      <c r="C313" s="14"/>
      <c r="D313" s="14"/>
      <c r="E313" s="18"/>
      <c r="F313" s="61"/>
      <c r="G313" s="73"/>
      <c r="H313" s="79"/>
      <c r="I313" s="79"/>
      <c r="J313" s="14"/>
      <c r="K313" s="38"/>
      <c r="L313" s="38"/>
      <c r="M313" s="17"/>
    </row>
    <row r="314" spans="2:13" ht="14.45" customHeight="1" x14ac:dyDescent="0.25">
      <c r="B314" s="17"/>
      <c r="C314" s="14"/>
      <c r="D314" s="14"/>
      <c r="E314" s="18"/>
      <c r="F314" s="61"/>
      <c r="G314" s="73"/>
      <c r="H314" s="79"/>
      <c r="I314" s="79"/>
      <c r="J314" s="14"/>
      <c r="K314" s="38"/>
      <c r="L314" s="38"/>
      <c r="M314" s="17"/>
    </row>
    <row r="315" spans="2:13" ht="14.45" customHeight="1" x14ac:dyDescent="0.25">
      <c r="B315" s="17"/>
      <c r="C315" s="14"/>
      <c r="D315" s="14"/>
      <c r="E315" s="18"/>
      <c r="F315" s="61"/>
      <c r="G315" s="73"/>
      <c r="H315" s="79"/>
      <c r="I315" s="79"/>
      <c r="J315" s="14"/>
      <c r="K315" s="38"/>
      <c r="L315" s="38"/>
      <c r="M315" s="17"/>
    </row>
    <row r="316" spans="2:13" ht="14.45" customHeight="1" x14ac:dyDescent="0.25">
      <c r="B316" s="17"/>
      <c r="C316" s="14"/>
      <c r="D316" s="14"/>
      <c r="E316" s="18"/>
      <c r="F316" s="61"/>
      <c r="G316" s="73"/>
      <c r="H316" s="79"/>
      <c r="I316" s="79"/>
      <c r="J316" s="14"/>
      <c r="K316" s="38"/>
      <c r="L316" s="38"/>
      <c r="M316" s="17"/>
    </row>
    <row r="317" spans="2:13" ht="14.45" customHeight="1" x14ac:dyDescent="0.25">
      <c r="B317" s="17"/>
      <c r="C317" s="14"/>
      <c r="D317" s="14"/>
      <c r="E317" s="18"/>
      <c r="F317" s="61"/>
      <c r="G317" s="73"/>
      <c r="H317" s="79"/>
      <c r="I317" s="79"/>
      <c r="J317" s="14"/>
      <c r="K317" s="38"/>
      <c r="L317" s="38"/>
      <c r="M317" s="17"/>
    </row>
    <row r="318" spans="2:13" ht="14.45" customHeight="1" x14ac:dyDescent="0.25">
      <c r="B318" s="17"/>
      <c r="C318" s="14"/>
      <c r="D318" s="14"/>
      <c r="E318" s="18"/>
      <c r="F318" s="61"/>
      <c r="G318" s="73"/>
      <c r="H318" s="79"/>
      <c r="I318" s="79"/>
      <c r="J318" s="14"/>
      <c r="K318" s="38"/>
      <c r="L318" s="38"/>
      <c r="M318" s="17"/>
    </row>
    <row r="319" spans="2:13" ht="14.45" customHeight="1" x14ac:dyDescent="0.25">
      <c r="B319" s="17"/>
      <c r="C319" s="14"/>
      <c r="D319" s="14"/>
      <c r="E319" s="18"/>
      <c r="F319" s="61"/>
      <c r="G319" s="73"/>
      <c r="H319" s="79"/>
      <c r="I319" s="79"/>
      <c r="J319" s="14"/>
      <c r="K319" s="38"/>
      <c r="L319" s="38"/>
      <c r="M319" s="17"/>
    </row>
    <row r="320" spans="2:13" ht="14.45" customHeight="1" x14ac:dyDescent="0.25">
      <c r="B320" s="17"/>
      <c r="C320" s="14"/>
      <c r="D320" s="14"/>
      <c r="E320" s="18"/>
      <c r="F320" s="61"/>
      <c r="G320" s="73"/>
      <c r="H320" s="79"/>
      <c r="I320" s="79"/>
      <c r="J320" s="14"/>
      <c r="K320" s="38"/>
      <c r="L320" s="38"/>
      <c r="M320" s="17"/>
    </row>
    <row r="321" spans="2:13" ht="14.45" customHeight="1" x14ac:dyDescent="0.25">
      <c r="B321" s="17"/>
      <c r="C321" s="14"/>
      <c r="D321" s="14"/>
      <c r="E321" s="18"/>
      <c r="F321" s="61"/>
      <c r="G321" s="73"/>
      <c r="H321" s="79"/>
      <c r="I321" s="79"/>
      <c r="J321" s="14"/>
      <c r="K321" s="38"/>
      <c r="L321" s="38"/>
      <c r="M321" s="17"/>
    </row>
    <row r="322" spans="2:13" ht="14.45" customHeight="1" x14ac:dyDescent="0.25">
      <c r="B322" s="17"/>
      <c r="C322" s="14"/>
      <c r="D322" s="14"/>
      <c r="E322" s="18"/>
      <c r="F322" s="61"/>
      <c r="G322" s="73"/>
      <c r="H322" s="79"/>
      <c r="I322" s="79"/>
      <c r="J322" s="14"/>
      <c r="K322" s="38"/>
      <c r="L322" s="38"/>
      <c r="M322" s="17"/>
    </row>
    <row r="323" spans="2:13" ht="14.45" customHeight="1" x14ac:dyDescent="0.25">
      <c r="B323" s="17"/>
      <c r="C323" s="14"/>
      <c r="D323" s="14"/>
      <c r="E323" s="18"/>
      <c r="F323" s="61"/>
      <c r="G323" s="73"/>
      <c r="H323" s="79"/>
      <c r="I323" s="79"/>
      <c r="J323" s="14"/>
      <c r="K323" s="38"/>
      <c r="L323" s="38"/>
      <c r="M323" s="17"/>
    </row>
    <row r="324" spans="2:13" ht="14.45" customHeight="1" x14ac:dyDescent="0.25">
      <c r="B324" s="17"/>
      <c r="C324" s="14"/>
      <c r="D324" s="14"/>
      <c r="E324" s="18"/>
      <c r="F324" s="61"/>
      <c r="G324" s="73"/>
      <c r="H324" s="79"/>
      <c r="I324" s="79"/>
      <c r="J324" s="14"/>
      <c r="K324" s="38"/>
      <c r="L324" s="38"/>
      <c r="M324" s="17"/>
    </row>
    <row r="325" spans="2:13" ht="14.45" customHeight="1" x14ac:dyDescent="0.25">
      <c r="B325" s="17"/>
      <c r="C325" s="14"/>
      <c r="D325" s="14"/>
      <c r="E325" s="18"/>
      <c r="F325" s="61"/>
      <c r="G325" s="73"/>
      <c r="H325" s="79"/>
      <c r="I325" s="79"/>
      <c r="J325" s="14"/>
      <c r="K325" s="38"/>
      <c r="L325" s="38"/>
      <c r="M325" s="17"/>
    </row>
    <row r="326" spans="2:13" ht="14.45" customHeight="1" x14ac:dyDescent="0.25">
      <c r="B326" s="17"/>
      <c r="C326" s="14"/>
      <c r="D326" s="14"/>
      <c r="E326" s="18"/>
      <c r="F326" s="61"/>
      <c r="G326" s="73"/>
      <c r="H326" s="79"/>
      <c r="I326" s="79"/>
      <c r="J326" s="14"/>
      <c r="K326" s="38"/>
      <c r="L326" s="38"/>
      <c r="M326" s="17"/>
    </row>
    <row r="327" spans="2:13" ht="14.45" customHeight="1" x14ac:dyDescent="0.25">
      <c r="B327" s="17"/>
      <c r="C327" s="14"/>
      <c r="D327" s="14"/>
      <c r="E327" s="18"/>
      <c r="F327" s="61"/>
      <c r="G327" s="73"/>
      <c r="H327" s="79"/>
      <c r="I327" s="79"/>
      <c r="J327" s="14"/>
      <c r="K327" s="38"/>
      <c r="L327" s="38"/>
      <c r="M327" s="17"/>
    </row>
    <row r="328" spans="2:13" ht="14.45" customHeight="1" x14ac:dyDescent="0.25">
      <c r="B328" s="17"/>
      <c r="C328" s="14"/>
      <c r="D328" s="14"/>
      <c r="E328" s="18"/>
      <c r="F328" s="61"/>
      <c r="G328" s="73"/>
      <c r="H328" s="79"/>
      <c r="I328" s="79"/>
      <c r="J328" s="14"/>
      <c r="K328" s="38"/>
      <c r="L328" s="38"/>
      <c r="M328" s="17"/>
    </row>
    <row r="329" spans="2:13" ht="14.45" customHeight="1" x14ac:dyDescent="0.25">
      <c r="B329" s="17"/>
      <c r="C329" s="14"/>
      <c r="D329" s="14"/>
      <c r="E329" s="18"/>
      <c r="F329" s="61"/>
      <c r="G329" s="73"/>
      <c r="H329" s="79"/>
      <c r="I329" s="79"/>
      <c r="J329" s="14"/>
      <c r="K329" s="38"/>
      <c r="L329" s="38"/>
      <c r="M329" s="17"/>
    </row>
    <row r="330" spans="2:13" ht="14.45" customHeight="1" x14ac:dyDescent="0.25">
      <c r="B330" s="17"/>
      <c r="C330" s="14"/>
      <c r="D330" s="14"/>
      <c r="E330" s="18"/>
      <c r="F330" s="61"/>
      <c r="G330" s="73"/>
      <c r="H330" s="79"/>
      <c r="I330" s="79"/>
      <c r="J330" s="14"/>
      <c r="K330" s="38"/>
      <c r="L330" s="38"/>
      <c r="M330" s="17"/>
    </row>
    <row r="331" spans="2:13" ht="14.45" customHeight="1" x14ac:dyDescent="0.25">
      <c r="B331" s="17"/>
      <c r="C331" s="14"/>
      <c r="D331" s="14"/>
      <c r="E331" s="18"/>
      <c r="F331" s="61"/>
      <c r="G331" s="73"/>
      <c r="H331" s="79"/>
      <c r="I331" s="79"/>
      <c r="J331" s="14"/>
      <c r="K331" s="38"/>
      <c r="L331" s="38"/>
      <c r="M331" s="17"/>
    </row>
    <row r="332" spans="2:13" ht="14.45" customHeight="1" x14ac:dyDescent="0.25">
      <c r="B332" s="17"/>
      <c r="C332" s="14"/>
      <c r="D332" s="14"/>
      <c r="E332" s="18"/>
      <c r="F332" s="61"/>
      <c r="G332" s="73"/>
      <c r="H332" s="79"/>
      <c r="I332" s="79"/>
      <c r="J332" s="14"/>
      <c r="K332" s="38"/>
      <c r="L332" s="38"/>
      <c r="M332" s="17"/>
    </row>
    <row r="333" spans="2:13" ht="14.45" customHeight="1" x14ac:dyDescent="0.25">
      <c r="B333" s="17"/>
      <c r="C333" s="14"/>
      <c r="D333" s="14"/>
      <c r="E333" s="18"/>
      <c r="F333" s="61"/>
      <c r="G333" s="73"/>
      <c r="H333" s="79"/>
      <c r="I333" s="79"/>
      <c r="J333" s="14"/>
      <c r="K333" s="38"/>
      <c r="L333" s="38"/>
      <c r="M333" s="17"/>
    </row>
    <row r="334" spans="2:13" ht="14.45" customHeight="1" x14ac:dyDescent="0.25">
      <c r="B334" s="17"/>
      <c r="C334" s="14"/>
      <c r="D334" s="14"/>
      <c r="E334" s="18"/>
      <c r="F334" s="61"/>
      <c r="G334" s="73"/>
      <c r="H334" s="79"/>
      <c r="I334" s="79"/>
      <c r="J334" s="14"/>
      <c r="K334" s="38"/>
      <c r="L334" s="38"/>
      <c r="M334" s="17"/>
    </row>
    <row r="335" spans="2:13" ht="14.45" customHeight="1" x14ac:dyDescent="0.25">
      <c r="B335" s="17"/>
      <c r="C335" s="14"/>
      <c r="D335" s="14"/>
      <c r="E335" s="18"/>
      <c r="F335" s="61"/>
      <c r="G335" s="73"/>
      <c r="H335" s="79"/>
      <c r="I335" s="79"/>
      <c r="J335" s="14"/>
      <c r="K335" s="38"/>
      <c r="L335" s="38"/>
      <c r="M335" s="17"/>
    </row>
    <row r="336" spans="2:13" ht="14.45" customHeight="1" x14ac:dyDescent="0.25">
      <c r="B336" s="17"/>
      <c r="C336" s="14"/>
      <c r="D336" s="14"/>
      <c r="E336" s="18"/>
      <c r="F336" s="61"/>
      <c r="G336" s="73"/>
      <c r="H336" s="79"/>
      <c r="I336" s="79"/>
      <c r="J336" s="14"/>
      <c r="K336" s="38"/>
      <c r="L336" s="38"/>
      <c r="M336" s="17"/>
    </row>
    <row r="337" spans="2:13" ht="14.45" customHeight="1" x14ac:dyDescent="0.25">
      <c r="B337" s="17"/>
      <c r="C337" s="14"/>
      <c r="D337" s="14"/>
      <c r="E337" s="18"/>
      <c r="F337" s="61"/>
      <c r="G337" s="73"/>
      <c r="H337" s="79"/>
      <c r="I337" s="79"/>
      <c r="J337" s="14"/>
      <c r="K337" s="38"/>
      <c r="L337" s="38"/>
      <c r="M337" s="17"/>
    </row>
    <row r="338" spans="2:13" ht="14.45" customHeight="1" x14ac:dyDescent="0.25">
      <c r="B338" s="17"/>
      <c r="C338" s="14"/>
      <c r="D338" s="14"/>
      <c r="E338" s="18"/>
      <c r="F338" s="61"/>
      <c r="G338" s="73"/>
      <c r="H338" s="79"/>
      <c r="I338" s="79"/>
      <c r="J338" s="14"/>
      <c r="K338" s="38"/>
      <c r="L338" s="38"/>
      <c r="M338" s="17"/>
    </row>
    <row r="339" spans="2:13" ht="14.45" customHeight="1" x14ac:dyDescent="0.25">
      <c r="B339" s="17"/>
      <c r="C339" s="14"/>
      <c r="D339" s="14"/>
      <c r="E339" s="18"/>
      <c r="F339" s="61"/>
      <c r="G339" s="73"/>
      <c r="H339" s="79"/>
      <c r="I339" s="79"/>
      <c r="J339" s="14"/>
      <c r="K339" s="38"/>
      <c r="L339" s="38"/>
      <c r="M339" s="17"/>
    </row>
    <row r="340" spans="2:13" ht="14.45" customHeight="1" x14ac:dyDescent="0.25">
      <c r="B340" s="17"/>
      <c r="C340" s="14"/>
      <c r="D340" s="14"/>
      <c r="E340" s="18"/>
      <c r="F340" s="61"/>
      <c r="G340" s="73"/>
      <c r="H340" s="79"/>
      <c r="I340" s="79"/>
      <c r="J340" s="14"/>
      <c r="K340" s="38"/>
      <c r="L340" s="38"/>
      <c r="M340" s="17"/>
    </row>
    <row r="341" spans="2:13" ht="14.45" customHeight="1" x14ac:dyDescent="0.25">
      <c r="B341" s="17"/>
      <c r="C341" s="14"/>
      <c r="D341" s="14"/>
      <c r="E341" s="18"/>
      <c r="F341" s="61"/>
      <c r="G341" s="73"/>
      <c r="H341" s="79"/>
      <c r="I341" s="79"/>
      <c r="J341" s="14"/>
      <c r="K341" s="38"/>
      <c r="L341" s="38"/>
      <c r="M341" s="17"/>
    </row>
    <row r="342" spans="2:13" ht="14.45" customHeight="1" x14ac:dyDescent="0.25">
      <c r="B342" s="17"/>
      <c r="C342" s="14"/>
      <c r="D342" s="14"/>
      <c r="E342" s="18"/>
      <c r="F342" s="61"/>
      <c r="G342" s="73"/>
      <c r="H342" s="79"/>
      <c r="I342" s="79"/>
      <c r="J342" s="14"/>
      <c r="K342" s="38"/>
      <c r="L342" s="38"/>
      <c r="M342" s="17"/>
    </row>
    <row r="343" spans="2:13" ht="14.45" customHeight="1" x14ac:dyDescent="0.25">
      <c r="B343" s="17"/>
      <c r="C343" s="14"/>
      <c r="D343" s="14"/>
      <c r="E343" s="18"/>
      <c r="F343" s="61"/>
      <c r="G343" s="73"/>
      <c r="H343" s="79"/>
      <c r="I343" s="79"/>
      <c r="J343" s="14"/>
      <c r="K343" s="38"/>
      <c r="L343" s="38"/>
      <c r="M343" s="17"/>
    </row>
    <row r="344" spans="2:13" ht="14.45" customHeight="1" x14ac:dyDescent="0.25">
      <c r="B344" s="17"/>
      <c r="C344" s="14"/>
      <c r="D344" s="14"/>
      <c r="E344" s="18"/>
      <c r="F344" s="61"/>
      <c r="G344" s="73"/>
      <c r="H344" s="79"/>
      <c r="I344" s="79"/>
      <c r="J344" s="14"/>
      <c r="K344" s="38"/>
      <c r="L344" s="38"/>
      <c r="M344" s="17"/>
    </row>
    <row r="345" spans="2:13" ht="14.45" customHeight="1" x14ac:dyDescent="0.25">
      <c r="B345" s="17"/>
      <c r="C345" s="14"/>
      <c r="D345" s="14"/>
      <c r="E345" s="18"/>
      <c r="F345" s="61"/>
      <c r="G345" s="73"/>
      <c r="H345" s="79"/>
      <c r="I345" s="79"/>
      <c r="J345" s="14"/>
      <c r="K345" s="38"/>
      <c r="L345" s="38"/>
      <c r="M345" s="17"/>
    </row>
    <row r="346" spans="2:13" ht="14.45" customHeight="1" x14ac:dyDescent="0.25">
      <c r="B346" s="17"/>
      <c r="C346" s="14"/>
      <c r="D346" s="14"/>
      <c r="E346" s="18"/>
      <c r="F346" s="61"/>
      <c r="G346" s="73"/>
      <c r="H346" s="79"/>
      <c r="I346" s="79"/>
      <c r="J346" s="14"/>
      <c r="K346" s="38"/>
      <c r="L346" s="38"/>
      <c r="M346" s="17"/>
    </row>
    <row r="347" spans="2:13" ht="14.45" customHeight="1" x14ac:dyDescent="0.25">
      <c r="B347" s="17"/>
      <c r="C347" s="14"/>
      <c r="D347" s="14"/>
      <c r="E347" s="18"/>
      <c r="F347" s="61"/>
      <c r="G347" s="73"/>
      <c r="H347" s="79"/>
      <c r="I347" s="79"/>
      <c r="J347" s="14"/>
      <c r="K347" s="38"/>
      <c r="L347" s="38"/>
      <c r="M347" s="17"/>
    </row>
    <row r="348" spans="2:13" ht="14.45" customHeight="1" x14ac:dyDescent="0.25">
      <c r="B348" s="17"/>
      <c r="C348" s="14"/>
      <c r="D348" s="14"/>
      <c r="E348" s="18"/>
      <c r="F348" s="61"/>
      <c r="G348" s="73"/>
      <c r="H348" s="79"/>
      <c r="I348" s="79"/>
      <c r="J348" s="14"/>
      <c r="K348" s="38"/>
      <c r="L348" s="38"/>
      <c r="M348" s="17"/>
    </row>
    <row r="349" spans="2:13" ht="14.45" customHeight="1" x14ac:dyDescent="0.25">
      <c r="B349" s="17"/>
      <c r="C349" s="14"/>
      <c r="D349" s="14"/>
      <c r="E349" s="18"/>
      <c r="F349" s="61"/>
      <c r="G349" s="73"/>
      <c r="H349" s="79"/>
      <c r="I349" s="79"/>
      <c r="J349" s="14"/>
      <c r="K349" s="38"/>
      <c r="L349" s="38"/>
      <c r="M349" s="17"/>
    </row>
    <row r="350" spans="2:13" ht="14.45" customHeight="1" x14ac:dyDescent="0.25">
      <c r="B350" s="17"/>
      <c r="C350" s="14"/>
      <c r="D350" s="14"/>
      <c r="E350" s="18"/>
      <c r="F350" s="61"/>
      <c r="G350" s="73"/>
      <c r="H350" s="79"/>
      <c r="I350" s="79"/>
      <c r="J350" s="14"/>
      <c r="K350" s="38"/>
      <c r="L350" s="38"/>
      <c r="M350" s="17"/>
    </row>
    <row r="351" spans="2:13" ht="14.45" customHeight="1" x14ac:dyDescent="0.25">
      <c r="B351" s="17"/>
      <c r="C351" s="14"/>
      <c r="D351" s="14"/>
      <c r="E351" s="18"/>
      <c r="F351" s="61"/>
      <c r="G351" s="73"/>
      <c r="H351" s="79"/>
      <c r="I351" s="79"/>
      <c r="J351" s="14"/>
      <c r="K351" s="38"/>
      <c r="L351" s="38"/>
      <c r="M351" s="17"/>
    </row>
    <row r="352" spans="2:13" ht="14.45" customHeight="1" x14ac:dyDescent="0.25">
      <c r="B352" s="17"/>
      <c r="C352" s="14"/>
      <c r="D352" s="14"/>
      <c r="E352" s="18"/>
      <c r="F352" s="61"/>
      <c r="G352" s="73"/>
      <c r="H352" s="79"/>
      <c r="I352" s="79"/>
      <c r="J352" s="14"/>
      <c r="K352" s="38"/>
      <c r="L352" s="38"/>
      <c r="M352" s="17"/>
    </row>
    <row r="353" spans="2:13" ht="14.45" customHeight="1" x14ac:dyDescent="0.25">
      <c r="B353" s="17"/>
      <c r="C353" s="14"/>
      <c r="D353" s="14"/>
      <c r="E353" s="18"/>
      <c r="F353" s="61"/>
      <c r="G353" s="73"/>
      <c r="H353" s="79"/>
      <c r="I353" s="79"/>
      <c r="J353" s="14"/>
      <c r="K353" s="38"/>
      <c r="L353" s="38"/>
      <c r="M353" s="17"/>
    </row>
    <row r="354" spans="2:13" ht="14.45" customHeight="1" x14ac:dyDescent="0.25">
      <c r="B354" s="17"/>
      <c r="C354" s="14"/>
      <c r="D354" s="14"/>
      <c r="E354" s="18"/>
      <c r="F354" s="61"/>
      <c r="G354" s="73"/>
      <c r="H354" s="79"/>
      <c r="I354" s="79"/>
      <c r="J354" s="14"/>
      <c r="K354" s="38"/>
      <c r="L354" s="38"/>
      <c r="M354" s="17"/>
    </row>
    <row r="355" spans="2:13" ht="14.45" customHeight="1" x14ac:dyDescent="0.25">
      <c r="B355" s="17"/>
      <c r="C355" s="14"/>
      <c r="D355" s="14"/>
      <c r="E355" s="18"/>
      <c r="F355" s="61"/>
      <c r="G355" s="73"/>
      <c r="H355" s="79"/>
      <c r="I355" s="79"/>
      <c r="J355" s="14"/>
      <c r="K355" s="38"/>
      <c r="L355" s="38"/>
      <c r="M355" s="17"/>
    </row>
    <row r="356" spans="2:13" ht="14.45" customHeight="1" x14ac:dyDescent="0.25">
      <c r="B356" s="17"/>
      <c r="C356" s="14"/>
      <c r="D356" s="14"/>
      <c r="E356" s="18"/>
      <c r="F356" s="61"/>
      <c r="G356" s="73"/>
      <c r="H356" s="79"/>
      <c r="I356" s="79"/>
      <c r="J356" s="14"/>
      <c r="K356" s="38"/>
      <c r="L356" s="38"/>
      <c r="M356" s="17"/>
    </row>
    <row r="357" spans="2:13" ht="14.45" customHeight="1" x14ac:dyDescent="0.25">
      <c r="B357" s="17"/>
      <c r="C357" s="14"/>
      <c r="D357" s="14"/>
      <c r="E357" s="18"/>
      <c r="F357" s="61"/>
      <c r="G357" s="73"/>
      <c r="H357" s="79"/>
      <c r="I357" s="79"/>
      <c r="J357" s="14"/>
      <c r="K357" s="38"/>
      <c r="L357" s="38"/>
      <c r="M357" s="17"/>
    </row>
    <row r="358" spans="2:13" ht="14.45" customHeight="1" x14ac:dyDescent="0.25">
      <c r="B358" s="17"/>
      <c r="C358" s="14"/>
      <c r="D358" s="14"/>
      <c r="E358" s="18"/>
      <c r="F358" s="61"/>
      <c r="G358" s="73"/>
      <c r="H358" s="79"/>
      <c r="I358" s="79"/>
      <c r="J358" s="14"/>
      <c r="K358" s="38"/>
      <c r="L358" s="38"/>
      <c r="M358" s="17"/>
    </row>
    <row r="359" spans="2:13" ht="14.45" customHeight="1" x14ac:dyDescent="0.25">
      <c r="B359" s="17"/>
      <c r="C359" s="14"/>
      <c r="D359" s="14"/>
      <c r="E359" s="18"/>
      <c r="F359" s="61"/>
      <c r="G359" s="73"/>
      <c r="H359" s="79"/>
      <c r="I359" s="79"/>
      <c r="J359" s="14"/>
      <c r="K359" s="38"/>
      <c r="L359" s="38"/>
      <c r="M359" s="17"/>
    </row>
    <row r="360" spans="2:13" ht="14.45" customHeight="1" x14ac:dyDescent="0.25">
      <c r="B360" s="17"/>
      <c r="C360" s="14"/>
      <c r="D360" s="14"/>
      <c r="E360" s="18"/>
      <c r="F360" s="61"/>
      <c r="G360" s="73"/>
      <c r="H360" s="79"/>
      <c r="I360" s="79"/>
      <c r="J360" s="14"/>
      <c r="K360" s="38"/>
      <c r="L360" s="38"/>
      <c r="M360" s="17"/>
    </row>
    <row r="361" spans="2:13" ht="14.45" customHeight="1" x14ac:dyDescent="0.25">
      <c r="B361" s="17"/>
      <c r="C361" s="14"/>
      <c r="D361" s="14"/>
      <c r="E361" s="18"/>
      <c r="F361" s="61"/>
      <c r="G361" s="73"/>
      <c r="H361" s="79"/>
      <c r="I361" s="79"/>
      <c r="J361" s="14"/>
      <c r="K361" s="38"/>
      <c r="L361" s="38"/>
      <c r="M361" s="17"/>
    </row>
    <row r="362" spans="2:13" ht="14.45" customHeight="1" x14ac:dyDescent="0.25">
      <c r="B362" s="17"/>
      <c r="C362" s="14"/>
      <c r="D362" s="14"/>
      <c r="E362" s="18"/>
      <c r="F362" s="61"/>
      <c r="G362" s="73"/>
      <c r="H362" s="79"/>
      <c r="I362" s="79"/>
      <c r="J362" s="14"/>
      <c r="K362" s="38"/>
      <c r="L362" s="38"/>
      <c r="M362" s="17"/>
    </row>
    <row r="363" spans="2:13" ht="14.45" customHeight="1" x14ac:dyDescent="0.25">
      <c r="B363" s="17"/>
      <c r="C363" s="14"/>
      <c r="D363" s="14"/>
      <c r="E363" s="18"/>
      <c r="F363" s="61"/>
      <c r="G363" s="73"/>
      <c r="H363" s="79"/>
      <c r="I363" s="79"/>
      <c r="J363" s="14"/>
      <c r="K363" s="38"/>
      <c r="L363" s="38"/>
      <c r="M363" s="17"/>
    </row>
    <row r="364" spans="2:13" ht="14.45" customHeight="1" x14ac:dyDescent="0.25">
      <c r="B364" s="17"/>
      <c r="C364" s="14"/>
      <c r="D364" s="14"/>
      <c r="E364" s="18"/>
      <c r="F364" s="61"/>
      <c r="G364" s="73"/>
      <c r="H364" s="79"/>
      <c r="I364" s="79"/>
      <c r="J364" s="14"/>
      <c r="K364" s="38"/>
      <c r="L364" s="38"/>
      <c r="M364" s="17"/>
    </row>
    <row r="365" spans="2:13" ht="14.45" customHeight="1" x14ac:dyDescent="0.25">
      <c r="B365" s="17"/>
      <c r="C365" s="14"/>
      <c r="D365" s="14"/>
      <c r="E365" s="18"/>
      <c r="F365" s="61"/>
      <c r="G365" s="73"/>
      <c r="H365" s="79"/>
      <c r="I365" s="79"/>
      <c r="J365" s="14"/>
      <c r="K365" s="38"/>
      <c r="L365" s="38"/>
      <c r="M365" s="17"/>
    </row>
    <row r="366" spans="2:13" ht="14.45" customHeight="1" x14ac:dyDescent="0.25">
      <c r="B366" s="17"/>
      <c r="C366" s="14"/>
      <c r="D366" s="14"/>
      <c r="E366" s="18"/>
      <c r="F366" s="61"/>
      <c r="G366" s="73"/>
      <c r="H366" s="79"/>
      <c r="I366" s="79"/>
      <c r="J366" s="14"/>
      <c r="K366" s="38"/>
      <c r="L366" s="38"/>
      <c r="M366" s="17"/>
    </row>
    <row r="367" spans="2:13" ht="14.45" customHeight="1" x14ac:dyDescent="0.25">
      <c r="B367" s="17"/>
      <c r="C367" s="14"/>
      <c r="D367" s="14"/>
      <c r="E367" s="18"/>
      <c r="F367" s="61"/>
      <c r="G367" s="73"/>
      <c r="H367" s="79"/>
      <c r="I367" s="79"/>
      <c r="J367" s="14"/>
      <c r="K367" s="38"/>
      <c r="L367" s="38"/>
      <c r="M367" s="17"/>
    </row>
    <row r="368" spans="2:13" ht="14.45" customHeight="1" x14ac:dyDescent="0.25">
      <c r="B368" s="17"/>
      <c r="C368" s="14"/>
      <c r="D368" s="14"/>
      <c r="E368" s="18"/>
      <c r="F368" s="61"/>
      <c r="G368" s="73"/>
      <c r="H368" s="79"/>
      <c r="I368" s="79"/>
      <c r="J368" s="14"/>
      <c r="K368" s="38"/>
      <c r="L368" s="38"/>
      <c r="M368" s="17"/>
    </row>
    <row r="369" spans="2:13" ht="14.45" customHeight="1" x14ac:dyDescent="0.25">
      <c r="B369" s="17"/>
      <c r="C369" s="14"/>
      <c r="D369" s="14"/>
      <c r="E369" s="18"/>
      <c r="F369" s="61"/>
      <c r="G369" s="73"/>
      <c r="H369" s="79"/>
      <c r="I369" s="79"/>
      <c r="J369" s="14"/>
      <c r="K369" s="38"/>
      <c r="L369" s="38"/>
      <c r="M369" s="17"/>
    </row>
    <row r="370" spans="2:13" ht="14.45" customHeight="1" x14ac:dyDescent="0.25">
      <c r="B370" s="17"/>
      <c r="C370" s="14"/>
      <c r="D370" s="14"/>
      <c r="E370" s="18"/>
      <c r="F370" s="61"/>
      <c r="G370" s="73"/>
      <c r="H370" s="79"/>
      <c r="I370" s="79"/>
      <c r="J370" s="14"/>
      <c r="K370" s="38"/>
      <c r="L370" s="38"/>
      <c r="M370" s="17"/>
    </row>
    <row r="371" spans="2:13" ht="14.45" customHeight="1" x14ac:dyDescent="0.25">
      <c r="B371" s="17"/>
      <c r="C371" s="14"/>
      <c r="D371" s="14"/>
      <c r="E371" s="18"/>
      <c r="F371" s="61"/>
      <c r="G371" s="73"/>
      <c r="H371" s="79"/>
      <c r="I371" s="79"/>
      <c r="J371" s="14"/>
      <c r="K371" s="38"/>
      <c r="L371" s="38"/>
      <c r="M371" s="17"/>
    </row>
    <row r="372" spans="2:13" ht="14.45" customHeight="1" x14ac:dyDescent="0.25">
      <c r="B372" s="17"/>
      <c r="C372" s="14"/>
      <c r="D372" s="14"/>
      <c r="E372" s="18"/>
      <c r="F372" s="61"/>
      <c r="G372" s="73"/>
      <c r="H372" s="79"/>
      <c r="I372" s="79"/>
      <c r="J372" s="14"/>
      <c r="K372" s="38"/>
      <c r="L372" s="38"/>
      <c r="M372" s="17"/>
    </row>
    <row r="373" spans="2:13" ht="14.45" customHeight="1" x14ac:dyDescent="0.25">
      <c r="B373" s="17"/>
      <c r="C373" s="14"/>
      <c r="D373" s="14"/>
      <c r="E373" s="18"/>
      <c r="F373" s="61"/>
      <c r="G373" s="73"/>
      <c r="H373" s="79"/>
      <c r="I373" s="79"/>
      <c r="J373" s="14"/>
      <c r="K373" s="38"/>
      <c r="L373" s="38"/>
      <c r="M373" s="17"/>
    </row>
    <row r="374" spans="2:13" ht="14.45" customHeight="1" x14ac:dyDescent="0.25">
      <c r="B374" s="17"/>
      <c r="C374" s="14"/>
      <c r="D374" s="14"/>
      <c r="E374" s="18"/>
      <c r="F374" s="61"/>
      <c r="G374" s="73"/>
      <c r="H374" s="79"/>
      <c r="I374" s="79"/>
      <c r="J374" s="14"/>
      <c r="K374" s="38"/>
      <c r="L374" s="38"/>
      <c r="M374" s="17"/>
    </row>
    <row r="375" spans="2:13" ht="14.45" customHeight="1" x14ac:dyDescent="0.25">
      <c r="B375" s="17"/>
      <c r="C375" s="14"/>
      <c r="D375" s="14"/>
      <c r="E375" s="18"/>
      <c r="F375" s="61"/>
      <c r="G375" s="73"/>
      <c r="H375" s="79"/>
      <c r="I375" s="79"/>
      <c r="J375" s="14"/>
      <c r="K375" s="38"/>
      <c r="L375" s="38"/>
      <c r="M375" s="17"/>
    </row>
    <row r="376" spans="2:13" ht="14.45" customHeight="1" x14ac:dyDescent="0.25">
      <c r="B376" s="17"/>
      <c r="C376" s="14"/>
      <c r="D376" s="14"/>
      <c r="E376" s="18"/>
      <c r="F376" s="61"/>
      <c r="G376" s="73"/>
      <c r="H376" s="79"/>
      <c r="I376" s="79"/>
      <c r="J376" s="14"/>
      <c r="K376" s="38"/>
      <c r="L376" s="38"/>
      <c r="M376" s="17"/>
    </row>
    <row r="377" spans="2:13" ht="14.45" customHeight="1" x14ac:dyDescent="0.25">
      <c r="B377" s="17"/>
      <c r="C377" s="14"/>
      <c r="D377" s="14"/>
      <c r="E377" s="18"/>
      <c r="F377" s="61"/>
      <c r="G377" s="73"/>
      <c r="H377" s="79"/>
      <c r="I377" s="79"/>
      <c r="J377" s="14"/>
      <c r="K377" s="38"/>
      <c r="L377" s="38"/>
      <c r="M377" s="17"/>
    </row>
    <row r="378" spans="2:13" ht="14.45" customHeight="1" x14ac:dyDescent="0.25">
      <c r="B378" s="17"/>
      <c r="C378" s="14"/>
      <c r="D378" s="14"/>
      <c r="E378" s="18"/>
      <c r="F378" s="61"/>
      <c r="G378" s="73"/>
      <c r="H378" s="79"/>
      <c r="I378" s="79"/>
      <c r="J378" s="14"/>
      <c r="K378" s="38"/>
      <c r="L378" s="38"/>
      <c r="M378" s="17"/>
    </row>
    <row r="379" spans="2:13" ht="14.45" customHeight="1" x14ac:dyDescent="0.25">
      <c r="B379" s="17"/>
      <c r="C379" s="14"/>
      <c r="D379" s="14"/>
      <c r="E379" s="18"/>
      <c r="F379" s="61"/>
      <c r="G379" s="73"/>
      <c r="H379" s="79"/>
      <c r="I379" s="79"/>
      <c r="J379" s="14"/>
      <c r="K379" s="38"/>
      <c r="L379" s="38"/>
      <c r="M379" s="17"/>
    </row>
    <row r="380" spans="2:13" ht="14.45" customHeight="1" x14ac:dyDescent="0.25">
      <c r="B380" s="17"/>
      <c r="C380" s="14"/>
      <c r="D380" s="14"/>
      <c r="E380" s="18"/>
      <c r="F380" s="61"/>
      <c r="G380" s="73"/>
      <c r="H380" s="79"/>
      <c r="I380" s="79"/>
      <c r="J380" s="14"/>
      <c r="K380" s="38"/>
      <c r="L380" s="38"/>
      <c r="M380" s="17"/>
    </row>
    <row r="381" spans="2:13" ht="14.45" customHeight="1" x14ac:dyDescent="0.25">
      <c r="B381" s="17"/>
      <c r="C381" s="14"/>
      <c r="D381" s="14"/>
      <c r="E381" s="18"/>
      <c r="F381" s="61"/>
      <c r="G381" s="73"/>
      <c r="H381" s="79"/>
      <c r="I381" s="79"/>
      <c r="J381" s="14"/>
      <c r="K381" s="38"/>
      <c r="L381" s="38"/>
      <c r="M381" s="17"/>
    </row>
    <row r="382" spans="2:13" ht="14.45" customHeight="1" x14ac:dyDescent="0.25">
      <c r="B382" s="17"/>
      <c r="C382" s="14"/>
      <c r="D382" s="14"/>
      <c r="E382" s="18"/>
      <c r="F382" s="61"/>
      <c r="G382" s="73"/>
      <c r="H382" s="79"/>
      <c r="I382" s="79"/>
      <c r="J382" s="14"/>
      <c r="K382" s="38"/>
      <c r="L382" s="38"/>
      <c r="M382" s="17"/>
    </row>
    <row r="383" spans="2:13" ht="14.45" customHeight="1" x14ac:dyDescent="0.25">
      <c r="B383" s="17"/>
      <c r="C383" s="14"/>
      <c r="D383" s="14"/>
      <c r="E383" s="18"/>
      <c r="F383" s="61"/>
      <c r="G383" s="73"/>
      <c r="H383" s="79"/>
      <c r="I383" s="79"/>
      <c r="J383" s="14"/>
      <c r="K383" s="38"/>
      <c r="L383" s="38"/>
      <c r="M383" s="17"/>
    </row>
    <row r="384" spans="2:13" ht="14.45" customHeight="1" x14ac:dyDescent="0.25">
      <c r="B384" s="17"/>
      <c r="C384" s="14"/>
      <c r="D384" s="14"/>
      <c r="E384" s="18"/>
      <c r="F384" s="61"/>
      <c r="G384" s="73"/>
      <c r="H384" s="79"/>
      <c r="I384" s="79"/>
      <c r="J384" s="14"/>
      <c r="K384" s="38"/>
      <c r="L384" s="38"/>
      <c r="M384" s="17"/>
    </row>
    <row r="385" spans="2:13" ht="14.45" customHeight="1" x14ac:dyDescent="0.25">
      <c r="B385" s="17"/>
      <c r="C385" s="14"/>
      <c r="D385" s="14"/>
      <c r="E385" s="18"/>
      <c r="F385" s="61"/>
      <c r="G385" s="73"/>
      <c r="H385" s="79"/>
      <c r="I385" s="79"/>
      <c r="J385" s="14"/>
      <c r="K385" s="38"/>
      <c r="L385" s="38"/>
      <c r="M385" s="17"/>
    </row>
    <row r="386" spans="2:13" ht="14.45" customHeight="1" x14ac:dyDescent="0.25">
      <c r="B386" s="17"/>
      <c r="C386" s="14"/>
      <c r="D386" s="14"/>
      <c r="E386" s="18"/>
      <c r="F386" s="61"/>
      <c r="G386" s="73"/>
      <c r="H386" s="79"/>
      <c r="I386" s="79"/>
      <c r="J386" s="14"/>
      <c r="K386" s="38"/>
      <c r="L386" s="38"/>
      <c r="M386" s="17"/>
    </row>
    <row r="387" spans="2:13" ht="14.45" customHeight="1" x14ac:dyDescent="0.25">
      <c r="B387" s="17"/>
      <c r="C387" s="14"/>
      <c r="D387" s="14"/>
      <c r="E387" s="18"/>
      <c r="F387" s="61"/>
      <c r="G387" s="73"/>
      <c r="H387" s="79"/>
      <c r="I387" s="79"/>
      <c r="J387" s="14"/>
      <c r="K387" s="38"/>
      <c r="L387" s="38"/>
      <c r="M387" s="17"/>
    </row>
    <row r="388" spans="2:13" ht="14.45" customHeight="1" x14ac:dyDescent="0.25">
      <c r="B388" s="17"/>
      <c r="C388" s="14"/>
      <c r="D388" s="14"/>
      <c r="E388" s="18"/>
      <c r="F388" s="61"/>
      <c r="G388" s="73"/>
      <c r="H388" s="79"/>
      <c r="I388" s="79"/>
      <c r="J388" s="14"/>
      <c r="K388" s="38"/>
      <c r="L388" s="38"/>
      <c r="M388" s="17"/>
    </row>
    <row r="389" spans="2:13" ht="14.45" customHeight="1" x14ac:dyDescent="0.25">
      <c r="B389" s="17"/>
      <c r="C389" s="14"/>
      <c r="D389" s="14"/>
      <c r="E389" s="18"/>
      <c r="F389" s="61"/>
      <c r="G389" s="73"/>
      <c r="H389" s="79"/>
      <c r="I389" s="79"/>
      <c r="J389" s="14"/>
      <c r="K389" s="38"/>
      <c r="L389" s="38"/>
      <c r="M389" s="17"/>
    </row>
    <row r="390" spans="2:13" ht="14.45" customHeight="1" x14ac:dyDescent="0.25">
      <c r="B390" s="17"/>
      <c r="C390" s="14"/>
      <c r="D390" s="14"/>
      <c r="E390" s="18"/>
      <c r="F390" s="61"/>
      <c r="G390" s="73"/>
      <c r="H390" s="79"/>
      <c r="I390" s="79"/>
      <c r="J390" s="14"/>
      <c r="K390" s="38"/>
      <c r="L390" s="38"/>
      <c r="M390" s="17"/>
    </row>
    <row r="391" spans="2:13" ht="14.45" customHeight="1" x14ac:dyDescent="0.25">
      <c r="B391" s="17"/>
      <c r="C391" s="14"/>
      <c r="D391" s="14"/>
      <c r="E391" s="18"/>
      <c r="F391" s="61"/>
      <c r="G391" s="73"/>
      <c r="H391" s="79"/>
      <c r="I391" s="79"/>
      <c r="J391" s="14"/>
      <c r="K391" s="38"/>
      <c r="L391" s="38"/>
      <c r="M391" s="17"/>
    </row>
    <row r="392" spans="2:13" ht="14.45" customHeight="1" x14ac:dyDescent="0.25">
      <c r="B392" s="17"/>
      <c r="C392" s="14"/>
      <c r="D392" s="14"/>
      <c r="E392" s="18"/>
      <c r="F392" s="61"/>
      <c r="G392" s="73"/>
      <c r="H392" s="79"/>
      <c r="I392" s="79"/>
      <c r="J392" s="14"/>
      <c r="K392" s="38"/>
      <c r="L392" s="38"/>
      <c r="M392" s="17"/>
    </row>
    <row r="393" spans="2:13" ht="14.45" customHeight="1" x14ac:dyDescent="0.25">
      <c r="B393" s="17"/>
      <c r="C393" s="14"/>
      <c r="D393" s="14"/>
      <c r="E393" s="18"/>
      <c r="F393" s="61"/>
      <c r="G393" s="73"/>
      <c r="H393" s="79"/>
      <c r="I393" s="79"/>
      <c r="J393" s="14"/>
      <c r="K393" s="38"/>
      <c r="L393" s="38"/>
      <c r="M393" s="17"/>
    </row>
    <row r="394" spans="2:13" ht="14.45" customHeight="1" x14ac:dyDescent="0.25">
      <c r="B394" s="17"/>
      <c r="C394" s="14"/>
      <c r="D394" s="14"/>
      <c r="E394" s="18"/>
      <c r="F394" s="61"/>
      <c r="G394" s="73"/>
      <c r="H394" s="79"/>
      <c r="I394" s="79"/>
      <c r="J394" s="14"/>
      <c r="K394" s="38"/>
      <c r="L394" s="38"/>
      <c r="M394" s="17"/>
    </row>
    <row r="395" spans="2:13" ht="14.45" customHeight="1" x14ac:dyDescent="0.25">
      <c r="B395" s="17"/>
      <c r="C395" s="14"/>
      <c r="D395" s="14"/>
      <c r="E395" s="18"/>
      <c r="F395" s="61"/>
      <c r="G395" s="73"/>
      <c r="H395" s="79"/>
      <c r="I395" s="79"/>
      <c r="J395" s="14"/>
      <c r="K395" s="38"/>
      <c r="L395" s="38"/>
      <c r="M395" s="17"/>
    </row>
    <row r="396" spans="2:13" ht="14.45" customHeight="1" x14ac:dyDescent="0.25">
      <c r="B396" s="17"/>
      <c r="C396" s="14"/>
      <c r="D396" s="14"/>
      <c r="E396" s="18"/>
      <c r="F396" s="61"/>
      <c r="G396" s="73"/>
      <c r="H396" s="79"/>
      <c r="I396" s="79"/>
      <c r="J396" s="14"/>
      <c r="K396" s="38"/>
      <c r="L396" s="38"/>
      <c r="M396" s="17"/>
    </row>
    <row r="397" spans="2:13" ht="14.45" customHeight="1" x14ac:dyDescent="0.25">
      <c r="B397" s="17"/>
      <c r="C397" s="14"/>
      <c r="D397" s="14"/>
      <c r="E397" s="18"/>
      <c r="F397" s="61"/>
      <c r="G397" s="73"/>
      <c r="H397" s="79"/>
      <c r="I397" s="79"/>
      <c r="J397" s="14"/>
      <c r="K397" s="38"/>
      <c r="L397" s="38"/>
      <c r="M397" s="17"/>
    </row>
    <row r="398" spans="2:13" ht="14.45" customHeight="1" x14ac:dyDescent="0.25">
      <c r="B398" s="17"/>
      <c r="C398" s="14"/>
      <c r="D398" s="14"/>
      <c r="E398" s="18"/>
      <c r="F398" s="61"/>
      <c r="G398" s="73"/>
      <c r="H398" s="79"/>
      <c r="I398" s="79"/>
      <c r="J398" s="14"/>
      <c r="K398" s="38"/>
      <c r="L398" s="38"/>
      <c r="M398" s="17"/>
    </row>
    <row r="399" spans="2:13" ht="14.45" customHeight="1" x14ac:dyDescent="0.25">
      <c r="B399" s="17"/>
      <c r="C399" s="14"/>
      <c r="D399" s="14"/>
      <c r="E399" s="18"/>
      <c r="F399" s="61"/>
      <c r="G399" s="73"/>
      <c r="H399" s="79"/>
      <c r="I399" s="79"/>
      <c r="J399" s="14"/>
      <c r="K399" s="38"/>
      <c r="L399" s="38"/>
      <c r="M399" s="17"/>
    </row>
    <row r="400" spans="2:13" ht="14.45" customHeight="1" x14ac:dyDescent="0.25">
      <c r="B400" s="17"/>
      <c r="C400" s="14"/>
      <c r="D400" s="14"/>
      <c r="E400" s="18"/>
      <c r="F400" s="61"/>
      <c r="G400" s="73"/>
      <c r="H400" s="79"/>
      <c r="I400" s="79"/>
      <c r="J400" s="14"/>
      <c r="K400" s="38"/>
      <c r="L400" s="38"/>
      <c r="M400" s="17"/>
    </row>
    <row r="401" spans="2:13" ht="14.45" customHeight="1" x14ac:dyDescent="0.25">
      <c r="B401" s="17"/>
      <c r="C401" s="14"/>
      <c r="D401" s="14"/>
      <c r="E401" s="18"/>
      <c r="F401" s="61"/>
      <c r="G401" s="73"/>
      <c r="H401" s="79"/>
      <c r="I401" s="79"/>
      <c r="J401" s="14"/>
      <c r="K401" s="38"/>
      <c r="L401" s="38"/>
      <c r="M401" s="17"/>
    </row>
    <row r="402" spans="2:13" ht="14.45" customHeight="1" x14ac:dyDescent="0.25">
      <c r="B402" s="17"/>
      <c r="C402" s="14"/>
      <c r="D402" s="14"/>
      <c r="E402" s="18"/>
      <c r="F402" s="61"/>
      <c r="G402" s="73"/>
      <c r="H402" s="79"/>
      <c r="I402" s="79"/>
      <c r="J402" s="14"/>
      <c r="K402" s="38"/>
      <c r="L402" s="38"/>
      <c r="M402" s="17"/>
    </row>
    <row r="403" spans="2:13" ht="14.45" customHeight="1" x14ac:dyDescent="0.25">
      <c r="B403" s="17"/>
      <c r="C403" s="14"/>
      <c r="D403" s="14"/>
      <c r="E403" s="18"/>
      <c r="F403" s="61"/>
      <c r="G403" s="73"/>
      <c r="H403" s="79"/>
      <c r="I403" s="79"/>
      <c r="J403" s="14"/>
      <c r="K403" s="38"/>
      <c r="L403" s="38"/>
      <c r="M403" s="17"/>
    </row>
    <row r="404" spans="2:13" ht="14.45" customHeight="1" x14ac:dyDescent="0.25">
      <c r="B404" s="17"/>
      <c r="C404" s="14"/>
      <c r="D404" s="14"/>
      <c r="E404" s="18"/>
      <c r="F404" s="61"/>
      <c r="G404" s="73"/>
      <c r="H404" s="79"/>
      <c r="I404" s="79"/>
      <c r="J404" s="14"/>
      <c r="K404" s="38"/>
      <c r="L404" s="38"/>
      <c r="M404" s="17"/>
    </row>
    <row r="405" spans="2:13" ht="14.45" customHeight="1" x14ac:dyDescent="0.25">
      <c r="B405" s="17"/>
      <c r="C405" s="14"/>
      <c r="D405" s="14"/>
      <c r="E405" s="18"/>
      <c r="F405" s="61"/>
      <c r="G405" s="73"/>
      <c r="H405" s="79"/>
      <c r="I405" s="79"/>
      <c r="J405" s="14"/>
      <c r="K405" s="38"/>
      <c r="L405" s="38"/>
      <c r="M405" s="17"/>
    </row>
    <row r="406" spans="2:13" ht="14.45" customHeight="1" x14ac:dyDescent="0.25">
      <c r="B406" s="17"/>
      <c r="C406" s="14"/>
      <c r="D406" s="14"/>
      <c r="E406" s="18"/>
      <c r="F406" s="61"/>
      <c r="G406" s="73"/>
      <c r="H406" s="79"/>
      <c r="I406" s="79"/>
      <c r="J406" s="14"/>
      <c r="K406" s="38"/>
      <c r="L406" s="38"/>
      <c r="M406" s="17"/>
    </row>
    <row r="407" spans="2:13" ht="14.45" customHeight="1" x14ac:dyDescent="0.25">
      <c r="B407" s="17"/>
      <c r="C407" s="14"/>
      <c r="D407" s="14"/>
      <c r="E407" s="18"/>
      <c r="F407" s="61"/>
      <c r="G407" s="73"/>
      <c r="H407" s="79"/>
      <c r="I407" s="79"/>
      <c r="J407" s="14"/>
      <c r="K407" s="38"/>
      <c r="L407" s="38"/>
      <c r="M407" s="17"/>
    </row>
    <row r="408" spans="2:13" ht="14.45" customHeight="1" x14ac:dyDescent="0.25">
      <c r="B408" s="17"/>
      <c r="C408" s="14"/>
      <c r="D408" s="14"/>
      <c r="E408" s="18"/>
      <c r="F408" s="61"/>
      <c r="G408" s="73"/>
      <c r="H408" s="79"/>
      <c r="I408" s="79"/>
      <c r="J408" s="14"/>
      <c r="K408" s="38"/>
      <c r="L408" s="38"/>
      <c r="M408" s="17"/>
    </row>
    <row r="409" spans="2:13" ht="14.45" customHeight="1" x14ac:dyDescent="0.25">
      <c r="B409" s="17"/>
      <c r="C409" s="14"/>
      <c r="D409" s="14"/>
      <c r="E409" s="18"/>
      <c r="F409" s="61"/>
      <c r="G409" s="73"/>
      <c r="H409" s="79"/>
      <c r="I409" s="79"/>
      <c r="J409" s="14"/>
      <c r="K409" s="38"/>
      <c r="L409" s="38"/>
      <c r="M409" s="17"/>
    </row>
    <row r="410" spans="2:13" ht="14.45" customHeight="1" x14ac:dyDescent="0.25">
      <c r="B410" s="17"/>
      <c r="C410" s="14"/>
      <c r="D410" s="14"/>
      <c r="E410" s="18"/>
      <c r="F410" s="61"/>
      <c r="G410" s="73"/>
      <c r="H410" s="79"/>
      <c r="I410" s="79"/>
      <c r="J410" s="14"/>
      <c r="K410" s="38"/>
      <c r="L410" s="38"/>
      <c r="M410" s="17"/>
    </row>
    <row r="411" spans="2:13" ht="14.45" customHeight="1" x14ac:dyDescent="0.25">
      <c r="B411" s="17"/>
      <c r="C411" s="14"/>
      <c r="D411" s="14"/>
      <c r="E411" s="18"/>
      <c r="F411" s="61"/>
      <c r="G411" s="73"/>
      <c r="H411" s="79"/>
      <c r="I411" s="79"/>
      <c r="J411" s="14"/>
      <c r="K411" s="38"/>
      <c r="L411" s="38"/>
      <c r="M411" s="17"/>
    </row>
    <row r="412" spans="2:13" ht="14.45" customHeight="1" x14ac:dyDescent="0.25">
      <c r="B412" s="17"/>
      <c r="C412" s="14"/>
      <c r="D412" s="14"/>
      <c r="E412" s="18"/>
      <c r="F412" s="61"/>
      <c r="G412" s="73"/>
      <c r="H412" s="79"/>
      <c r="I412" s="79"/>
      <c r="J412" s="14"/>
      <c r="K412" s="38"/>
      <c r="L412" s="38"/>
      <c r="M412" s="17"/>
    </row>
    <row r="413" spans="2:13" ht="14.45" customHeight="1" x14ac:dyDescent="0.25">
      <c r="B413" s="17"/>
      <c r="C413" s="14"/>
      <c r="D413" s="14"/>
      <c r="E413" s="18"/>
      <c r="F413" s="61"/>
      <c r="G413" s="73"/>
      <c r="H413" s="79"/>
      <c r="I413" s="79"/>
      <c r="J413" s="14"/>
      <c r="K413" s="38"/>
      <c r="L413" s="38"/>
      <c r="M413" s="17"/>
    </row>
    <row r="414" spans="2:13" ht="14.45" customHeight="1" x14ac:dyDescent="0.25">
      <c r="B414" s="17"/>
      <c r="C414" s="14"/>
      <c r="D414" s="14"/>
      <c r="E414" s="18"/>
      <c r="F414" s="61"/>
      <c r="G414" s="73"/>
      <c r="H414" s="79"/>
      <c r="I414" s="79"/>
      <c r="J414" s="14"/>
      <c r="K414" s="38"/>
      <c r="L414" s="38"/>
      <c r="M414" s="17"/>
    </row>
    <row r="415" spans="2:13" ht="14.45" customHeight="1" x14ac:dyDescent="0.25">
      <c r="B415" s="17"/>
      <c r="C415" s="14"/>
      <c r="D415" s="14"/>
      <c r="E415" s="18"/>
      <c r="F415" s="61"/>
      <c r="G415" s="73"/>
      <c r="H415" s="79"/>
      <c r="I415" s="79"/>
      <c r="J415" s="14"/>
      <c r="K415" s="38"/>
      <c r="L415" s="38"/>
      <c r="M415" s="17"/>
    </row>
    <row r="416" spans="2:13" ht="14.45" customHeight="1" x14ac:dyDescent="0.25">
      <c r="B416" s="17"/>
      <c r="C416" s="14"/>
      <c r="D416" s="14"/>
      <c r="E416" s="18"/>
      <c r="F416" s="61"/>
      <c r="G416" s="73"/>
      <c r="H416" s="79"/>
      <c r="I416" s="79"/>
      <c r="J416" s="14"/>
      <c r="K416" s="38"/>
      <c r="L416" s="38"/>
      <c r="M416" s="17"/>
    </row>
    <row r="417" spans="2:13" ht="14.45" customHeight="1" x14ac:dyDescent="0.25">
      <c r="B417" s="17"/>
      <c r="C417" s="14"/>
      <c r="D417" s="14"/>
      <c r="E417" s="18"/>
      <c r="F417" s="61"/>
      <c r="G417" s="73"/>
      <c r="H417" s="79"/>
      <c r="I417" s="79"/>
      <c r="J417" s="14"/>
      <c r="K417" s="38"/>
      <c r="L417" s="38"/>
      <c r="M417" s="17"/>
    </row>
    <row r="418" spans="2:13" ht="14.45" customHeight="1" x14ac:dyDescent="0.25">
      <c r="B418" s="17"/>
      <c r="C418" s="14"/>
      <c r="D418" s="14"/>
      <c r="E418" s="18"/>
      <c r="F418" s="61"/>
      <c r="G418" s="73"/>
      <c r="H418" s="79"/>
      <c r="I418" s="79"/>
      <c r="J418" s="14"/>
      <c r="K418" s="38"/>
      <c r="L418" s="38"/>
      <c r="M418" s="17"/>
    </row>
    <row r="419" spans="2:13" ht="14.45" customHeight="1" x14ac:dyDescent="0.25">
      <c r="B419" s="17"/>
      <c r="C419" s="14"/>
      <c r="D419" s="14"/>
      <c r="E419" s="18"/>
      <c r="F419" s="61"/>
      <c r="G419" s="73"/>
      <c r="H419" s="79"/>
      <c r="I419" s="79"/>
      <c r="J419" s="14"/>
      <c r="K419" s="38"/>
      <c r="L419" s="38"/>
      <c r="M419" s="17"/>
    </row>
    <row r="420" spans="2:13" ht="14.45" customHeight="1" x14ac:dyDescent="0.25">
      <c r="B420" s="17"/>
      <c r="C420" s="14"/>
      <c r="D420" s="14"/>
      <c r="E420" s="18"/>
      <c r="F420" s="61"/>
      <c r="G420" s="73"/>
      <c r="H420" s="79"/>
      <c r="I420" s="79"/>
      <c r="J420" s="14"/>
      <c r="K420" s="38"/>
      <c r="L420" s="38"/>
      <c r="M420" s="17"/>
    </row>
    <row r="421" spans="2:13" ht="14.45" customHeight="1" x14ac:dyDescent="0.25">
      <c r="B421" s="17"/>
      <c r="C421" s="14"/>
      <c r="D421" s="14"/>
      <c r="E421" s="18"/>
      <c r="F421" s="61"/>
      <c r="G421" s="73"/>
      <c r="H421" s="79"/>
      <c r="I421" s="79"/>
      <c r="J421" s="14"/>
      <c r="K421" s="38"/>
      <c r="L421" s="38"/>
      <c r="M421" s="17"/>
    </row>
    <row r="422" spans="2:13" ht="14.45" customHeight="1" x14ac:dyDescent="0.25">
      <c r="B422" s="17"/>
      <c r="C422" s="14"/>
      <c r="D422" s="14"/>
      <c r="E422" s="18"/>
      <c r="F422" s="61"/>
      <c r="G422" s="73"/>
      <c r="H422" s="79"/>
      <c r="I422" s="79"/>
      <c r="J422" s="14"/>
      <c r="K422" s="38"/>
      <c r="L422" s="38"/>
      <c r="M422" s="17"/>
    </row>
    <row r="423" spans="2:13" ht="14.45" customHeight="1" x14ac:dyDescent="0.25">
      <c r="B423" s="17"/>
      <c r="C423" s="14"/>
      <c r="D423" s="14"/>
      <c r="E423" s="18"/>
      <c r="F423" s="61"/>
      <c r="G423" s="73"/>
      <c r="H423" s="79"/>
      <c r="I423" s="79"/>
      <c r="J423" s="14"/>
      <c r="K423" s="38"/>
      <c r="L423" s="38"/>
      <c r="M423" s="17"/>
    </row>
    <row r="424" spans="2:13" ht="14.45" customHeight="1" x14ac:dyDescent="0.25">
      <c r="B424" s="17"/>
      <c r="C424" s="14"/>
      <c r="D424" s="14"/>
      <c r="E424" s="18"/>
      <c r="F424" s="61"/>
      <c r="G424" s="73"/>
      <c r="H424" s="79"/>
      <c r="I424" s="79"/>
      <c r="J424" s="14"/>
      <c r="K424" s="38"/>
      <c r="L424" s="38"/>
      <c r="M424" s="17"/>
    </row>
    <row r="425" spans="2:13" ht="14.45" customHeight="1" x14ac:dyDescent="0.25">
      <c r="B425" s="17"/>
      <c r="C425" s="14"/>
      <c r="D425" s="14"/>
      <c r="E425" s="18"/>
      <c r="F425" s="61"/>
      <c r="G425" s="73"/>
      <c r="H425" s="79"/>
      <c r="I425" s="79"/>
      <c r="J425" s="14"/>
      <c r="K425" s="38"/>
      <c r="L425" s="38"/>
      <c r="M425" s="17"/>
    </row>
    <row r="426" spans="2:13" ht="14.45" customHeight="1" x14ac:dyDescent="0.25">
      <c r="B426" s="17"/>
      <c r="C426" s="14"/>
      <c r="D426" s="14"/>
      <c r="E426" s="18"/>
      <c r="F426" s="61"/>
      <c r="G426" s="73"/>
      <c r="H426" s="79"/>
      <c r="I426" s="79"/>
      <c r="J426" s="14"/>
      <c r="K426" s="38"/>
      <c r="L426" s="38"/>
      <c r="M426" s="17"/>
    </row>
    <row r="427" spans="2:13" ht="14.45" customHeight="1" x14ac:dyDescent="0.25">
      <c r="B427" s="17"/>
      <c r="C427" s="14"/>
      <c r="D427" s="14"/>
      <c r="E427" s="18"/>
      <c r="F427" s="61"/>
      <c r="G427" s="73"/>
      <c r="H427" s="79"/>
      <c r="I427" s="79"/>
      <c r="J427" s="14"/>
      <c r="K427" s="38"/>
      <c r="L427" s="38"/>
      <c r="M427" s="17"/>
    </row>
    <row r="428" spans="2:13" ht="14.45" customHeight="1" x14ac:dyDescent="0.25">
      <c r="B428" s="17"/>
      <c r="C428" s="14"/>
      <c r="D428" s="14"/>
      <c r="E428" s="18"/>
      <c r="F428" s="61"/>
      <c r="G428" s="73"/>
      <c r="H428" s="79"/>
      <c r="I428" s="79"/>
      <c r="J428" s="14"/>
      <c r="K428" s="38"/>
      <c r="L428" s="38"/>
      <c r="M428" s="17"/>
    </row>
    <row r="429" spans="2:13" ht="14.45" customHeight="1" x14ac:dyDescent="0.25">
      <c r="B429" s="17"/>
      <c r="C429" s="14"/>
      <c r="D429" s="14"/>
      <c r="E429" s="18"/>
      <c r="F429" s="61"/>
      <c r="G429" s="73"/>
      <c r="H429" s="79"/>
      <c r="I429" s="79"/>
      <c r="J429" s="14"/>
      <c r="K429" s="38"/>
      <c r="L429" s="38"/>
      <c r="M429" s="17"/>
    </row>
    <row r="430" spans="2:13" ht="14.45" customHeight="1" x14ac:dyDescent="0.25">
      <c r="B430" s="17"/>
      <c r="C430" s="14"/>
      <c r="D430" s="14"/>
      <c r="E430" s="18"/>
      <c r="F430" s="61"/>
      <c r="G430" s="73"/>
      <c r="H430" s="79"/>
      <c r="I430" s="79"/>
      <c r="J430" s="14"/>
      <c r="K430" s="38"/>
      <c r="L430" s="38"/>
      <c r="M430" s="17"/>
    </row>
    <row r="431" spans="2:13" ht="14.45" customHeight="1" x14ac:dyDescent="0.25">
      <c r="B431" s="17"/>
      <c r="C431" s="14"/>
      <c r="D431" s="14"/>
      <c r="E431" s="18"/>
      <c r="F431" s="61"/>
      <c r="G431" s="73"/>
      <c r="H431" s="79"/>
      <c r="I431" s="79"/>
      <c r="J431" s="14"/>
      <c r="K431" s="38"/>
      <c r="L431" s="38"/>
      <c r="M431" s="17"/>
    </row>
    <row r="432" spans="2:13" ht="14.45" customHeight="1" x14ac:dyDescent="0.25">
      <c r="B432" s="17"/>
      <c r="C432" s="14"/>
      <c r="D432" s="14"/>
      <c r="E432" s="18"/>
      <c r="F432" s="61"/>
      <c r="G432" s="73"/>
      <c r="H432" s="79"/>
      <c r="I432" s="79"/>
      <c r="J432" s="14"/>
      <c r="K432" s="38"/>
      <c r="L432" s="38"/>
      <c r="M432" s="17"/>
    </row>
    <row r="433" spans="2:13" ht="14.45" customHeight="1" x14ac:dyDescent="0.25">
      <c r="B433" s="17"/>
      <c r="C433" s="14"/>
      <c r="D433" s="14"/>
      <c r="E433" s="18"/>
      <c r="F433" s="61"/>
      <c r="G433" s="73"/>
      <c r="H433" s="79"/>
      <c r="I433" s="79"/>
      <c r="J433" s="14"/>
      <c r="K433" s="38"/>
      <c r="L433" s="38"/>
      <c r="M433" s="17"/>
    </row>
    <row r="434" spans="2:13" ht="14.45" customHeight="1" x14ac:dyDescent="0.25">
      <c r="B434" s="17"/>
      <c r="C434" s="14"/>
      <c r="D434" s="14"/>
      <c r="E434" s="18"/>
      <c r="F434" s="61"/>
      <c r="G434" s="73"/>
      <c r="H434" s="79"/>
      <c r="I434" s="79"/>
      <c r="J434" s="14"/>
      <c r="K434" s="38"/>
      <c r="L434" s="38"/>
      <c r="M434" s="17"/>
    </row>
    <row r="435" spans="2:13" ht="14.45" customHeight="1" x14ac:dyDescent="0.25">
      <c r="B435" s="17"/>
      <c r="C435" s="14"/>
      <c r="D435" s="14"/>
      <c r="E435" s="18"/>
      <c r="F435" s="61"/>
      <c r="G435" s="73"/>
      <c r="H435" s="79"/>
      <c r="I435" s="79"/>
      <c r="J435" s="14"/>
      <c r="K435" s="38"/>
      <c r="L435" s="38"/>
      <c r="M435" s="17"/>
    </row>
    <row r="436" spans="2:13" ht="14.45" customHeight="1" x14ac:dyDescent="0.25">
      <c r="B436" s="17"/>
      <c r="C436" s="14"/>
      <c r="D436" s="14"/>
      <c r="E436" s="18"/>
      <c r="F436" s="61"/>
      <c r="G436" s="73"/>
      <c r="H436" s="79"/>
      <c r="I436" s="79"/>
      <c r="J436" s="14"/>
      <c r="K436" s="38"/>
      <c r="L436" s="38"/>
      <c r="M436" s="17"/>
    </row>
    <row r="437" spans="2:13" ht="14.45" customHeight="1" x14ac:dyDescent="0.25">
      <c r="B437" s="17"/>
      <c r="C437" s="14"/>
      <c r="D437" s="14"/>
      <c r="E437" s="18"/>
      <c r="F437" s="61"/>
      <c r="G437" s="73"/>
      <c r="H437" s="79"/>
      <c r="I437" s="79"/>
      <c r="J437" s="14"/>
      <c r="K437" s="38"/>
      <c r="L437" s="38"/>
      <c r="M437" s="17"/>
    </row>
    <row r="438" spans="2:13" ht="14.45" customHeight="1" x14ac:dyDescent="0.25">
      <c r="B438" s="17"/>
      <c r="C438" s="14"/>
      <c r="D438" s="14"/>
      <c r="E438" s="18"/>
      <c r="F438" s="61"/>
      <c r="G438" s="73"/>
      <c r="H438" s="79"/>
      <c r="I438" s="79"/>
      <c r="J438" s="14"/>
      <c r="K438" s="38"/>
      <c r="L438" s="38"/>
      <c r="M438" s="17"/>
    </row>
    <row r="439" spans="2:13" ht="14.45" customHeight="1" x14ac:dyDescent="0.25">
      <c r="B439" s="17"/>
      <c r="C439" s="14"/>
      <c r="D439" s="14"/>
      <c r="E439" s="18"/>
      <c r="F439" s="61"/>
      <c r="G439" s="73"/>
      <c r="H439" s="79"/>
      <c r="I439" s="79"/>
      <c r="J439" s="14"/>
      <c r="K439" s="38"/>
      <c r="L439" s="38"/>
      <c r="M439" s="17"/>
    </row>
    <row r="440" spans="2:13" ht="14.45" customHeight="1" x14ac:dyDescent="0.25">
      <c r="B440" s="17"/>
      <c r="C440" s="14"/>
      <c r="D440" s="14"/>
      <c r="E440" s="18"/>
      <c r="F440" s="61"/>
      <c r="G440" s="73"/>
      <c r="H440" s="79"/>
      <c r="I440" s="79"/>
      <c r="J440" s="14"/>
      <c r="K440" s="38"/>
      <c r="L440" s="38"/>
      <c r="M440" s="17"/>
    </row>
    <row r="441" spans="2:13" ht="14.45" customHeight="1" x14ac:dyDescent="0.25">
      <c r="B441" s="17"/>
      <c r="C441" s="14"/>
      <c r="D441" s="14"/>
      <c r="E441" s="18"/>
      <c r="F441" s="61"/>
      <c r="G441" s="73"/>
      <c r="H441" s="79"/>
      <c r="I441" s="79"/>
      <c r="J441" s="14"/>
      <c r="K441" s="38"/>
      <c r="L441" s="38"/>
      <c r="M441" s="17"/>
    </row>
    <row r="442" spans="2:13" ht="14.45" customHeight="1" x14ac:dyDescent="0.25">
      <c r="B442" s="17"/>
      <c r="C442" s="14"/>
      <c r="D442" s="14"/>
      <c r="E442" s="18"/>
      <c r="F442" s="61"/>
      <c r="G442" s="73"/>
      <c r="H442" s="79"/>
      <c r="I442" s="79"/>
      <c r="J442" s="14"/>
      <c r="K442" s="38"/>
      <c r="L442" s="38"/>
      <c r="M442" s="17"/>
    </row>
    <row r="443" spans="2:13" ht="14.45" customHeight="1" x14ac:dyDescent="0.25">
      <c r="B443" s="17"/>
      <c r="C443" s="14"/>
      <c r="D443" s="14"/>
      <c r="E443" s="18"/>
      <c r="F443" s="61"/>
      <c r="G443" s="73"/>
      <c r="H443" s="79"/>
      <c r="I443" s="79"/>
      <c r="J443" s="14"/>
      <c r="K443" s="38"/>
      <c r="L443" s="38"/>
      <c r="M443" s="17"/>
    </row>
    <row r="444" spans="2:13" ht="14.45" customHeight="1" x14ac:dyDescent="0.25">
      <c r="B444" s="17"/>
      <c r="C444" s="14"/>
      <c r="D444" s="14"/>
      <c r="E444" s="18"/>
      <c r="F444" s="61"/>
      <c r="G444" s="73"/>
      <c r="H444" s="79"/>
      <c r="I444" s="79"/>
      <c r="J444" s="14"/>
      <c r="K444" s="38"/>
      <c r="L444" s="38"/>
      <c r="M444" s="17"/>
    </row>
    <row r="445" spans="2:13" ht="14.45" customHeight="1" x14ac:dyDescent="0.25">
      <c r="B445" s="17"/>
      <c r="C445" s="14"/>
      <c r="D445" s="14"/>
      <c r="E445" s="18"/>
      <c r="F445" s="61"/>
      <c r="G445" s="73"/>
      <c r="H445" s="79"/>
      <c r="I445" s="79"/>
      <c r="J445" s="14"/>
      <c r="K445" s="38"/>
      <c r="L445" s="38"/>
      <c r="M445" s="17"/>
    </row>
    <row r="446" spans="2:13" ht="14.45" customHeight="1" x14ac:dyDescent="0.25">
      <c r="B446" s="17"/>
      <c r="C446" s="14"/>
      <c r="D446" s="14"/>
      <c r="E446" s="18"/>
      <c r="F446" s="61"/>
      <c r="G446" s="73"/>
      <c r="H446" s="79"/>
      <c r="I446" s="79"/>
      <c r="J446" s="14"/>
      <c r="K446" s="38"/>
      <c r="L446" s="38"/>
      <c r="M446" s="17"/>
    </row>
    <row r="447" spans="2:13" ht="14.45" customHeight="1" x14ac:dyDescent="0.25">
      <c r="B447" s="17"/>
      <c r="C447" s="14"/>
      <c r="D447" s="14"/>
      <c r="E447" s="18"/>
      <c r="F447" s="61"/>
      <c r="G447" s="73"/>
      <c r="H447" s="79"/>
      <c r="I447" s="79"/>
      <c r="J447" s="14"/>
      <c r="K447" s="38"/>
      <c r="L447" s="38"/>
      <c r="M447" s="17"/>
    </row>
    <row r="448" spans="2:13" ht="14.45" customHeight="1" x14ac:dyDescent="0.25">
      <c r="B448" s="17"/>
      <c r="C448" s="14"/>
      <c r="D448" s="14"/>
      <c r="E448" s="18"/>
      <c r="F448" s="61"/>
      <c r="G448" s="73"/>
      <c r="H448" s="79"/>
      <c r="I448" s="79"/>
      <c r="J448" s="14"/>
      <c r="K448" s="38"/>
      <c r="L448" s="38"/>
      <c r="M448" s="17"/>
    </row>
    <row r="449" spans="2:13" ht="14.45" customHeight="1" x14ac:dyDescent="0.25">
      <c r="B449" s="17"/>
      <c r="C449" s="14"/>
      <c r="D449" s="14"/>
      <c r="E449" s="18"/>
      <c r="F449" s="61"/>
      <c r="G449" s="73"/>
      <c r="H449" s="79"/>
      <c r="I449" s="79"/>
      <c r="J449" s="14"/>
      <c r="K449" s="38"/>
      <c r="L449" s="38"/>
      <c r="M449" s="17"/>
    </row>
    <row r="450" spans="2:13" ht="14.45" customHeight="1" x14ac:dyDescent="0.25">
      <c r="B450" s="17"/>
      <c r="C450" s="14"/>
      <c r="D450" s="14"/>
      <c r="E450" s="18"/>
      <c r="F450" s="61"/>
      <c r="G450" s="73"/>
      <c r="H450" s="79"/>
      <c r="I450" s="79"/>
      <c r="J450" s="14"/>
      <c r="K450" s="38"/>
      <c r="L450" s="38"/>
      <c r="M450" s="17"/>
    </row>
    <row r="451" spans="2:13" ht="14.45" customHeight="1" x14ac:dyDescent="0.25">
      <c r="B451" s="17"/>
      <c r="C451" s="14"/>
      <c r="D451" s="14"/>
      <c r="E451" s="18"/>
      <c r="F451" s="61"/>
      <c r="G451" s="73"/>
      <c r="H451" s="79"/>
      <c r="I451" s="79"/>
      <c r="J451" s="14"/>
      <c r="K451" s="38"/>
      <c r="L451" s="38"/>
      <c r="M451" s="17"/>
    </row>
    <row r="452" spans="2:13" ht="14.45" customHeight="1" x14ac:dyDescent="0.25">
      <c r="B452" s="17"/>
      <c r="C452" s="14"/>
      <c r="D452" s="14"/>
      <c r="E452" s="18"/>
      <c r="F452" s="61"/>
      <c r="G452" s="73"/>
      <c r="H452" s="79"/>
      <c r="I452" s="79"/>
      <c r="J452" s="14"/>
      <c r="K452" s="38"/>
      <c r="L452" s="38"/>
      <c r="M452" s="17"/>
    </row>
    <row r="453" spans="2:13" ht="14.45" customHeight="1" x14ac:dyDescent="0.25">
      <c r="B453" s="17"/>
      <c r="C453" s="14"/>
      <c r="D453" s="14"/>
      <c r="E453" s="18"/>
      <c r="F453" s="61"/>
      <c r="G453" s="73"/>
      <c r="H453" s="79"/>
      <c r="I453" s="79"/>
      <c r="J453" s="14"/>
      <c r="K453" s="38"/>
      <c r="L453" s="38"/>
      <c r="M453" s="17"/>
    </row>
    <row r="454" spans="2:13" ht="14.45" customHeight="1" x14ac:dyDescent="0.25">
      <c r="B454" s="17"/>
      <c r="C454" s="14"/>
      <c r="D454" s="14"/>
      <c r="E454" s="18"/>
      <c r="F454" s="61"/>
      <c r="G454" s="73"/>
      <c r="H454" s="79"/>
      <c r="I454" s="79"/>
      <c r="J454" s="14"/>
      <c r="K454" s="38"/>
      <c r="L454" s="38"/>
      <c r="M454" s="17"/>
    </row>
    <row r="455" spans="2:13" ht="14.45" customHeight="1" x14ac:dyDescent="0.25">
      <c r="B455" s="17"/>
      <c r="C455" s="14"/>
      <c r="D455" s="14"/>
      <c r="E455" s="18"/>
      <c r="F455" s="61"/>
      <c r="G455" s="73"/>
      <c r="H455" s="79"/>
      <c r="I455" s="79"/>
      <c r="J455" s="14"/>
      <c r="K455" s="38"/>
      <c r="L455" s="38"/>
      <c r="M455" s="17"/>
    </row>
    <row r="456" spans="2:13" ht="14.45" customHeight="1" x14ac:dyDescent="0.25">
      <c r="B456" s="17"/>
      <c r="C456" s="14"/>
      <c r="D456" s="14"/>
      <c r="E456" s="18"/>
      <c r="F456" s="61"/>
      <c r="G456" s="73"/>
      <c r="H456" s="79"/>
      <c r="I456" s="79"/>
      <c r="J456" s="14"/>
      <c r="K456" s="38"/>
      <c r="L456" s="38"/>
      <c r="M456" s="17"/>
    </row>
    <row r="457" spans="2:13" ht="14.45" customHeight="1" x14ac:dyDescent="0.25">
      <c r="B457" s="17"/>
      <c r="C457" s="14"/>
      <c r="D457" s="14"/>
      <c r="E457" s="18"/>
      <c r="F457" s="61"/>
      <c r="G457" s="73"/>
      <c r="H457" s="79"/>
      <c r="I457" s="79"/>
      <c r="J457" s="14"/>
      <c r="K457" s="38"/>
      <c r="L457" s="38"/>
      <c r="M457" s="17"/>
    </row>
    <row r="458" spans="2:13" ht="14.45" customHeight="1" x14ac:dyDescent="0.25">
      <c r="B458" s="17"/>
      <c r="C458" s="14"/>
      <c r="D458" s="14"/>
      <c r="E458" s="18"/>
      <c r="F458" s="61"/>
      <c r="G458" s="73"/>
      <c r="H458" s="79"/>
      <c r="I458" s="79"/>
      <c r="J458" s="14"/>
      <c r="K458" s="38"/>
      <c r="L458" s="38"/>
      <c r="M458" s="17"/>
    </row>
    <row r="459" spans="2:13" ht="14.45" customHeight="1" x14ac:dyDescent="0.25">
      <c r="B459" s="17"/>
      <c r="C459" s="14"/>
      <c r="D459" s="14"/>
      <c r="E459" s="18"/>
      <c r="F459" s="61"/>
      <c r="G459" s="73"/>
      <c r="H459" s="79"/>
      <c r="I459" s="79"/>
      <c r="J459" s="14"/>
      <c r="K459" s="38"/>
      <c r="L459" s="38"/>
      <c r="M459" s="17"/>
    </row>
    <row r="460" spans="2:13" ht="14.45" customHeight="1" x14ac:dyDescent="0.25">
      <c r="B460" s="17"/>
      <c r="C460" s="14"/>
      <c r="D460" s="14"/>
      <c r="E460" s="18"/>
      <c r="F460" s="61"/>
      <c r="G460" s="73"/>
      <c r="H460" s="79"/>
      <c r="I460" s="79"/>
      <c r="J460" s="14"/>
      <c r="K460" s="38"/>
      <c r="L460" s="38"/>
      <c r="M460" s="17"/>
    </row>
    <row r="461" spans="2:13" ht="14.45" customHeight="1" x14ac:dyDescent="0.25">
      <c r="B461" s="17"/>
      <c r="C461" s="14"/>
      <c r="D461" s="14"/>
      <c r="E461" s="18"/>
      <c r="F461" s="61"/>
      <c r="G461" s="73"/>
      <c r="H461" s="79"/>
      <c r="I461" s="79"/>
      <c r="J461" s="14"/>
      <c r="K461" s="38"/>
      <c r="L461" s="38"/>
      <c r="M461" s="17"/>
    </row>
    <row r="462" spans="2:13" ht="14.45" customHeight="1" x14ac:dyDescent="0.25">
      <c r="B462" s="17"/>
      <c r="C462" s="14"/>
      <c r="D462" s="14"/>
      <c r="E462" s="18"/>
      <c r="F462" s="61"/>
      <c r="G462" s="73"/>
      <c r="H462" s="79"/>
      <c r="I462" s="79"/>
      <c r="J462" s="14"/>
      <c r="K462" s="38"/>
      <c r="L462" s="38"/>
      <c r="M462" s="17"/>
    </row>
    <row r="463" spans="2:13" ht="14.45" customHeight="1" x14ac:dyDescent="0.25">
      <c r="B463" s="17"/>
      <c r="C463" s="14"/>
      <c r="D463" s="14"/>
      <c r="E463" s="18"/>
      <c r="F463" s="61"/>
      <c r="G463" s="73"/>
      <c r="H463" s="79"/>
      <c r="I463" s="79"/>
      <c r="J463" s="14"/>
      <c r="K463" s="38"/>
      <c r="L463" s="38"/>
      <c r="M463" s="17"/>
    </row>
    <row r="464" spans="2:13" ht="14.45" customHeight="1" x14ac:dyDescent="0.25">
      <c r="B464" s="17"/>
      <c r="C464" s="14"/>
      <c r="D464" s="14"/>
      <c r="E464" s="18"/>
      <c r="F464" s="61"/>
      <c r="G464" s="73"/>
      <c r="H464" s="79"/>
      <c r="I464" s="79"/>
      <c r="J464" s="14"/>
      <c r="K464" s="38"/>
      <c r="L464" s="38"/>
      <c r="M464" s="17"/>
    </row>
    <row r="465" spans="2:13" ht="14.45" customHeight="1" x14ac:dyDescent="0.25">
      <c r="B465" s="17"/>
      <c r="C465" s="14"/>
      <c r="D465" s="14"/>
      <c r="E465" s="18"/>
      <c r="F465" s="61"/>
      <c r="G465" s="73"/>
      <c r="H465" s="79"/>
      <c r="I465" s="79"/>
      <c r="J465" s="14"/>
      <c r="K465" s="38"/>
      <c r="L465" s="38"/>
      <c r="M465" s="17"/>
    </row>
    <row r="466" spans="2:13" ht="14.45" customHeight="1" x14ac:dyDescent="0.25">
      <c r="B466" s="17"/>
      <c r="C466" s="14"/>
      <c r="D466" s="14"/>
      <c r="E466" s="18"/>
      <c r="F466" s="61"/>
      <c r="G466" s="73"/>
      <c r="H466" s="79"/>
      <c r="I466" s="79"/>
      <c r="J466" s="14"/>
      <c r="K466" s="38"/>
      <c r="L466" s="38"/>
      <c r="M466" s="17"/>
    </row>
    <row r="467" spans="2:13" ht="14.45" customHeight="1" x14ac:dyDescent="0.25">
      <c r="B467" s="17"/>
      <c r="C467" s="14"/>
      <c r="D467" s="14"/>
      <c r="E467" s="18"/>
      <c r="F467" s="61"/>
      <c r="G467" s="73"/>
      <c r="H467" s="79"/>
      <c r="I467" s="79"/>
      <c r="J467" s="14"/>
      <c r="K467" s="38"/>
      <c r="L467" s="38"/>
      <c r="M467" s="17"/>
    </row>
    <row r="468" spans="2:13" ht="14.45" customHeight="1" x14ac:dyDescent="0.25">
      <c r="B468" s="17"/>
      <c r="C468" s="14"/>
      <c r="D468" s="14"/>
      <c r="E468" s="18"/>
      <c r="F468" s="61"/>
      <c r="G468" s="73"/>
      <c r="H468" s="79"/>
      <c r="I468" s="79"/>
      <c r="J468" s="14"/>
      <c r="K468" s="38"/>
      <c r="L468" s="38"/>
      <c r="M468" s="17"/>
    </row>
    <row r="469" spans="2:13" ht="14.45" customHeight="1" x14ac:dyDescent="0.25">
      <c r="B469" s="17"/>
      <c r="C469" s="14"/>
      <c r="D469" s="14"/>
      <c r="E469" s="18"/>
      <c r="F469" s="61"/>
      <c r="G469" s="73"/>
      <c r="H469" s="79"/>
      <c r="I469" s="79"/>
      <c r="J469" s="14"/>
      <c r="K469" s="38"/>
      <c r="L469" s="38"/>
      <c r="M469" s="17"/>
    </row>
    <row r="470" spans="2:13" ht="14.45" customHeight="1" x14ac:dyDescent="0.25">
      <c r="B470" s="17"/>
      <c r="C470" s="14"/>
      <c r="D470" s="14"/>
      <c r="E470" s="18"/>
      <c r="F470" s="61"/>
      <c r="G470" s="73"/>
      <c r="H470" s="79"/>
      <c r="I470" s="79"/>
      <c r="J470" s="14"/>
      <c r="K470" s="38"/>
      <c r="L470" s="38"/>
      <c r="M470" s="17"/>
    </row>
    <row r="471" spans="2:13" ht="14.45" customHeight="1" x14ac:dyDescent="0.25">
      <c r="B471" s="17"/>
      <c r="C471" s="14"/>
      <c r="D471" s="14"/>
      <c r="E471" s="18"/>
      <c r="F471" s="61"/>
      <c r="G471" s="73"/>
      <c r="H471" s="79"/>
      <c r="I471" s="79"/>
      <c r="J471" s="14"/>
      <c r="K471" s="38"/>
      <c r="L471" s="38"/>
      <c r="M471" s="17"/>
    </row>
    <row r="472" spans="2:13" ht="14.45" customHeight="1" x14ac:dyDescent="0.25">
      <c r="B472" s="17"/>
      <c r="C472" s="14"/>
      <c r="D472" s="14"/>
      <c r="E472" s="18"/>
      <c r="F472" s="61"/>
      <c r="G472" s="73"/>
      <c r="H472" s="79"/>
      <c r="I472" s="79"/>
      <c r="J472" s="14"/>
      <c r="K472" s="38"/>
      <c r="L472" s="38"/>
      <c r="M472" s="17"/>
    </row>
    <row r="473" spans="2:13" ht="14.45" customHeight="1" x14ac:dyDescent="0.25">
      <c r="B473" s="17"/>
      <c r="C473" s="14"/>
      <c r="D473" s="14"/>
      <c r="E473" s="18"/>
      <c r="F473" s="61"/>
      <c r="G473" s="73"/>
      <c r="H473" s="79"/>
      <c r="I473" s="79"/>
      <c r="J473" s="14"/>
      <c r="K473" s="38"/>
      <c r="L473" s="38"/>
      <c r="M473" s="17"/>
    </row>
    <row r="474" spans="2:13" ht="14.45" customHeight="1" x14ac:dyDescent="0.25">
      <c r="B474" s="17"/>
      <c r="C474" s="14"/>
      <c r="D474" s="14"/>
      <c r="E474" s="18"/>
      <c r="F474" s="61"/>
      <c r="G474" s="73"/>
      <c r="H474" s="79"/>
      <c r="I474" s="79"/>
      <c r="J474" s="14"/>
      <c r="K474" s="38"/>
      <c r="L474" s="38"/>
      <c r="M474" s="17"/>
    </row>
    <row r="475" spans="2:13" ht="14.45" customHeight="1" x14ac:dyDescent="0.25">
      <c r="B475" s="17"/>
      <c r="C475" s="14"/>
      <c r="D475" s="14"/>
      <c r="E475" s="18"/>
      <c r="F475" s="61"/>
      <c r="G475" s="73"/>
      <c r="H475" s="79"/>
      <c r="I475" s="79"/>
      <c r="J475" s="14"/>
      <c r="K475" s="38"/>
      <c r="L475" s="38"/>
      <c r="M475" s="17"/>
    </row>
    <row r="476" spans="2:13" ht="14.45" customHeight="1" x14ac:dyDescent="0.25">
      <c r="B476" s="17"/>
      <c r="C476" s="14"/>
      <c r="D476" s="14"/>
      <c r="E476" s="18"/>
      <c r="F476" s="61"/>
      <c r="G476" s="73"/>
      <c r="H476" s="79"/>
      <c r="I476" s="79"/>
      <c r="J476" s="14"/>
      <c r="K476" s="38"/>
      <c r="L476" s="38"/>
      <c r="M476" s="17"/>
    </row>
    <row r="477" spans="2:13" ht="14.45" customHeight="1" x14ac:dyDescent="0.25">
      <c r="B477" s="17"/>
      <c r="C477" s="14"/>
      <c r="D477" s="14"/>
      <c r="E477" s="18"/>
      <c r="F477" s="61"/>
      <c r="G477" s="73"/>
      <c r="H477" s="79"/>
      <c r="I477" s="79"/>
      <c r="J477" s="14"/>
      <c r="K477" s="38"/>
      <c r="L477" s="38"/>
      <c r="M477" s="17"/>
    </row>
    <row r="478" spans="2:13" ht="14.45" customHeight="1" x14ac:dyDescent="0.25">
      <c r="B478" s="17"/>
      <c r="C478" s="14"/>
      <c r="D478" s="14"/>
      <c r="E478" s="18"/>
      <c r="F478" s="61"/>
      <c r="G478" s="73"/>
      <c r="H478" s="79"/>
      <c r="I478" s="79"/>
      <c r="J478" s="14"/>
      <c r="K478" s="38"/>
      <c r="L478" s="38"/>
      <c r="M478" s="17"/>
    </row>
    <row r="479" spans="2:13" ht="14.45" customHeight="1" x14ac:dyDescent="0.25">
      <c r="B479" s="17"/>
      <c r="C479" s="14"/>
      <c r="D479" s="14"/>
      <c r="E479" s="18"/>
      <c r="F479" s="61"/>
      <c r="G479" s="73"/>
      <c r="H479" s="79"/>
      <c r="I479" s="79"/>
      <c r="J479" s="14"/>
      <c r="K479" s="38"/>
      <c r="L479" s="38"/>
      <c r="M479" s="17"/>
    </row>
    <row r="480" spans="2:13" ht="14.45" customHeight="1" x14ac:dyDescent="0.25">
      <c r="B480" s="17"/>
      <c r="C480" s="14"/>
      <c r="D480" s="14"/>
      <c r="E480" s="18"/>
      <c r="F480" s="61"/>
      <c r="G480" s="73"/>
      <c r="H480" s="79"/>
      <c r="I480" s="79"/>
      <c r="J480" s="14"/>
      <c r="K480" s="38"/>
      <c r="L480" s="38"/>
      <c r="M480" s="17"/>
    </row>
    <row r="481" spans="2:13" ht="14.45" customHeight="1" x14ac:dyDescent="0.25">
      <c r="B481" s="17"/>
      <c r="C481" s="14"/>
      <c r="D481" s="14"/>
      <c r="E481" s="18"/>
      <c r="F481" s="61"/>
      <c r="G481" s="73"/>
      <c r="H481" s="79"/>
      <c r="I481" s="79"/>
      <c r="J481" s="14"/>
      <c r="K481" s="38"/>
      <c r="L481" s="38"/>
      <c r="M481" s="17"/>
    </row>
    <row r="482" spans="2:13" ht="14.45" customHeight="1" x14ac:dyDescent="0.25">
      <c r="B482" s="17"/>
      <c r="C482" s="14"/>
      <c r="D482" s="14"/>
      <c r="E482" s="18"/>
      <c r="F482" s="61"/>
      <c r="G482" s="73"/>
      <c r="H482" s="79"/>
      <c r="I482" s="79"/>
      <c r="J482" s="14"/>
      <c r="K482" s="38"/>
      <c r="L482" s="38"/>
      <c r="M482" s="17"/>
    </row>
    <row r="483" spans="2:13" ht="14.45" customHeight="1" x14ac:dyDescent="0.25">
      <c r="B483" s="17"/>
      <c r="C483" s="14"/>
      <c r="D483" s="14"/>
      <c r="E483" s="18"/>
      <c r="F483" s="61"/>
      <c r="G483" s="73"/>
      <c r="H483" s="79"/>
      <c r="I483" s="79"/>
      <c r="J483" s="14"/>
      <c r="K483" s="38"/>
      <c r="L483" s="38"/>
      <c r="M483" s="17"/>
    </row>
    <row r="484" spans="2:13" ht="14.45" customHeight="1" x14ac:dyDescent="0.25">
      <c r="B484" s="17"/>
      <c r="C484" s="14"/>
      <c r="D484" s="14"/>
      <c r="E484" s="18"/>
      <c r="F484" s="61"/>
      <c r="G484" s="73"/>
      <c r="H484" s="79"/>
      <c r="I484" s="79"/>
      <c r="J484" s="14"/>
      <c r="K484" s="38"/>
      <c r="L484" s="38"/>
      <c r="M484" s="17"/>
    </row>
    <row r="485" spans="2:13" ht="14.45" customHeight="1" x14ac:dyDescent="0.25">
      <c r="B485" s="17"/>
      <c r="C485" s="14"/>
      <c r="D485" s="14"/>
      <c r="E485" s="18"/>
      <c r="F485" s="61"/>
      <c r="G485" s="73"/>
      <c r="H485" s="79"/>
      <c r="I485" s="79"/>
      <c r="J485" s="14"/>
      <c r="K485" s="38"/>
      <c r="L485" s="38"/>
      <c r="M485" s="17"/>
    </row>
    <row r="486" spans="2:13" ht="14.45" customHeight="1" x14ac:dyDescent="0.25">
      <c r="B486" s="17"/>
      <c r="C486" s="14"/>
      <c r="D486" s="14"/>
      <c r="E486" s="18"/>
      <c r="F486" s="61"/>
      <c r="G486" s="73"/>
      <c r="H486" s="79"/>
      <c r="I486" s="79"/>
      <c r="J486" s="14"/>
      <c r="K486" s="38"/>
      <c r="L486" s="38"/>
      <c r="M486" s="17"/>
    </row>
    <row r="487" spans="2:13" ht="14.45" customHeight="1" x14ac:dyDescent="0.25">
      <c r="B487" s="17"/>
      <c r="C487" s="14"/>
      <c r="D487" s="14"/>
      <c r="E487" s="18"/>
      <c r="F487" s="61"/>
      <c r="G487" s="73"/>
      <c r="H487" s="79"/>
      <c r="I487" s="79"/>
      <c r="J487" s="14"/>
      <c r="K487" s="38"/>
      <c r="L487" s="38"/>
      <c r="M487" s="17"/>
    </row>
    <row r="488" spans="2:13" ht="14.45" customHeight="1" x14ac:dyDescent="0.25">
      <c r="B488" s="17"/>
      <c r="C488" s="14"/>
      <c r="D488" s="14"/>
      <c r="E488" s="18"/>
      <c r="F488" s="61"/>
      <c r="G488" s="73"/>
      <c r="H488" s="79"/>
      <c r="I488" s="79"/>
      <c r="J488" s="14"/>
      <c r="K488" s="38"/>
      <c r="L488" s="38"/>
      <c r="M488" s="17"/>
    </row>
    <row r="489" spans="2:13" ht="14.45" customHeight="1" x14ac:dyDescent="0.25">
      <c r="B489" s="17"/>
      <c r="C489" s="14"/>
      <c r="D489" s="14"/>
      <c r="E489" s="18"/>
      <c r="F489" s="61"/>
      <c r="G489" s="73"/>
      <c r="H489" s="79"/>
      <c r="I489" s="79"/>
      <c r="J489" s="14"/>
      <c r="K489" s="38"/>
      <c r="L489" s="38"/>
      <c r="M489" s="17"/>
    </row>
    <row r="490" spans="2:13" ht="14.45" customHeight="1" x14ac:dyDescent="0.25">
      <c r="B490" s="17"/>
      <c r="C490" s="14"/>
      <c r="D490" s="14"/>
      <c r="E490" s="18"/>
      <c r="F490" s="61"/>
      <c r="G490" s="73"/>
      <c r="H490" s="79"/>
      <c r="I490" s="79"/>
      <c r="J490" s="14"/>
      <c r="K490" s="38"/>
      <c r="L490" s="38"/>
      <c r="M490" s="17"/>
    </row>
    <row r="491" spans="2:13" ht="14.45" customHeight="1" x14ac:dyDescent="0.25">
      <c r="B491" s="17"/>
      <c r="C491" s="14"/>
      <c r="D491" s="14"/>
      <c r="E491" s="18"/>
      <c r="F491" s="61"/>
      <c r="G491" s="73"/>
      <c r="H491" s="79"/>
      <c r="I491" s="79"/>
      <c r="J491" s="14"/>
      <c r="K491" s="38"/>
      <c r="L491" s="38"/>
      <c r="M491" s="17"/>
    </row>
    <row r="492" spans="2:13" ht="14.45" customHeight="1" x14ac:dyDescent="0.25">
      <c r="B492" s="17"/>
      <c r="C492" s="14"/>
      <c r="D492" s="14"/>
      <c r="E492" s="18"/>
      <c r="F492" s="61"/>
      <c r="G492" s="73"/>
      <c r="H492" s="79"/>
      <c r="I492" s="79"/>
      <c r="J492" s="14"/>
      <c r="K492" s="38"/>
      <c r="L492" s="38"/>
      <c r="M492" s="17"/>
    </row>
    <row r="493" spans="2:13" ht="14.45" customHeight="1" x14ac:dyDescent="0.25">
      <c r="B493" s="17"/>
      <c r="C493" s="14"/>
      <c r="D493" s="14"/>
      <c r="E493" s="18"/>
      <c r="F493" s="61"/>
      <c r="G493" s="73"/>
      <c r="H493" s="79"/>
      <c r="I493" s="79"/>
      <c r="J493" s="14"/>
      <c r="K493" s="38"/>
      <c r="L493" s="38"/>
      <c r="M493" s="17"/>
    </row>
    <row r="494" spans="2:13" ht="14.45" customHeight="1" x14ac:dyDescent="0.25">
      <c r="B494" s="17"/>
      <c r="C494" s="14"/>
      <c r="D494" s="14"/>
      <c r="E494" s="18"/>
      <c r="F494" s="61"/>
      <c r="G494" s="73"/>
      <c r="H494" s="79"/>
      <c r="I494" s="79"/>
      <c r="J494" s="14"/>
      <c r="K494" s="38"/>
      <c r="L494" s="38"/>
      <c r="M494" s="17"/>
    </row>
    <row r="495" spans="2:13" ht="14.45" customHeight="1" x14ac:dyDescent="0.25">
      <c r="B495" s="17"/>
      <c r="C495" s="14"/>
      <c r="D495" s="14"/>
      <c r="E495" s="18"/>
      <c r="F495" s="61"/>
      <c r="G495" s="73"/>
      <c r="H495" s="79"/>
      <c r="I495" s="79"/>
      <c r="J495" s="14"/>
      <c r="K495" s="38"/>
      <c r="L495" s="38"/>
      <c r="M495" s="17"/>
    </row>
    <row r="496" spans="2:13" ht="14.45" customHeight="1" x14ac:dyDescent="0.25">
      <c r="B496" s="17"/>
      <c r="C496" s="14"/>
      <c r="D496" s="14"/>
      <c r="E496" s="18"/>
      <c r="F496" s="61"/>
      <c r="G496" s="73"/>
      <c r="H496" s="79"/>
      <c r="I496" s="79"/>
      <c r="J496" s="14"/>
      <c r="K496" s="38"/>
      <c r="L496" s="38"/>
      <c r="M496" s="17"/>
    </row>
    <row r="497" spans="2:13" ht="14.45" customHeight="1" x14ac:dyDescent="0.25">
      <c r="B497" s="17"/>
      <c r="C497" s="14"/>
      <c r="D497" s="14"/>
      <c r="E497" s="18"/>
      <c r="F497" s="61"/>
      <c r="G497" s="73"/>
      <c r="H497" s="79"/>
      <c r="I497" s="79"/>
      <c r="J497" s="14"/>
      <c r="K497" s="38"/>
      <c r="L497" s="38"/>
      <c r="M497" s="17"/>
    </row>
    <row r="498" spans="2:13" ht="14.45" customHeight="1" x14ac:dyDescent="0.25">
      <c r="B498" s="17"/>
      <c r="C498" s="14"/>
      <c r="D498" s="14"/>
      <c r="E498" s="18"/>
      <c r="F498" s="61"/>
      <c r="G498" s="73"/>
      <c r="H498" s="79"/>
      <c r="I498" s="79"/>
      <c r="J498" s="14"/>
      <c r="K498" s="38"/>
      <c r="L498" s="38"/>
      <c r="M498" s="17"/>
    </row>
    <row r="499" spans="2:13" ht="14.45" customHeight="1" x14ac:dyDescent="0.25">
      <c r="B499" s="17"/>
      <c r="C499" s="14"/>
      <c r="D499" s="14"/>
      <c r="E499" s="18"/>
      <c r="F499" s="61"/>
      <c r="G499" s="73"/>
      <c r="H499" s="79"/>
      <c r="I499" s="79"/>
      <c r="J499" s="14"/>
      <c r="K499" s="38"/>
      <c r="L499" s="38"/>
      <c r="M499" s="17"/>
    </row>
    <row r="500" spans="2:13" ht="14.45" customHeight="1" x14ac:dyDescent="0.25">
      <c r="B500" s="17"/>
      <c r="C500" s="14"/>
      <c r="D500" s="14"/>
      <c r="E500" s="18"/>
      <c r="F500" s="61"/>
      <c r="G500" s="73"/>
      <c r="H500" s="79"/>
      <c r="I500" s="79"/>
      <c r="J500" s="14"/>
      <c r="K500" s="38"/>
      <c r="L500" s="38"/>
      <c r="M500" s="17"/>
    </row>
    <row r="501" spans="2:13" ht="14.45" customHeight="1" x14ac:dyDescent="0.25">
      <c r="B501" s="17"/>
      <c r="C501" s="14"/>
      <c r="D501" s="14"/>
      <c r="E501" s="18"/>
      <c r="F501" s="61"/>
      <c r="G501" s="73"/>
      <c r="H501" s="79"/>
      <c r="I501" s="79"/>
      <c r="J501" s="14"/>
      <c r="K501" s="38"/>
      <c r="L501" s="38"/>
      <c r="M501" s="17"/>
    </row>
    <row r="502" spans="2:13" ht="14.45" customHeight="1" x14ac:dyDescent="0.25">
      <c r="B502" s="17"/>
      <c r="C502" s="14"/>
      <c r="D502" s="14"/>
      <c r="E502" s="18"/>
      <c r="F502" s="61"/>
      <c r="G502" s="73"/>
      <c r="H502" s="79"/>
      <c r="I502" s="79"/>
      <c r="J502" s="14"/>
      <c r="K502" s="38"/>
      <c r="L502" s="38"/>
      <c r="M502" s="17"/>
    </row>
    <row r="503" spans="2:13" ht="14.45" customHeight="1" x14ac:dyDescent="0.25">
      <c r="B503" s="17"/>
      <c r="C503" s="14"/>
      <c r="D503" s="14"/>
      <c r="E503" s="18"/>
      <c r="F503" s="61"/>
      <c r="G503" s="73"/>
      <c r="H503" s="79"/>
      <c r="I503" s="79"/>
      <c r="J503" s="14"/>
      <c r="K503" s="38"/>
      <c r="L503" s="38"/>
      <c r="M503" s="17"/>
    </row>
    <row r="504" spans="2:13" ht="14.45" customHeight="1" x14ac:dyDescent="0.25">
      <c r="B504" s="17"/>
      <c r="C504" s="14"/>
      <c r="D504" s="14"/>
      <c r="E504" s="18"/>
      <c r="F504" s="61"/>
      <c r="G504" s="73"/>
      <c r="H504" s="79"/>
      <c r="I504" s="79"/>
      <c r="J504" s="14"/>
      <c r="K504" s="38"/>
      <c r="L504" s="38"/>
      <c r="M504" s="17"/>
    </row>
    <row r="505" spans="2:13" ht="14.45" customHeight="1" x14ac:dyDescent="0.25">
      <c r="B505" s="17"/>
      <c r="C505" s="14"/>
      <c r="D505" s="14"/>
      <c r="E505" s="18"/>
      <c r="F505" s="61"/>
      <c r="G505" s="73"/>
      <c r="H505" s="79"/>
      <c r="I505" s="79"/>
      <c r="J505" s="14"/>
      <c r="K505" s="38"/>
      <c r="L505" s="38"/>
      <c r="M505" s="17"/>
    </row>
    <row r="506" spans="2:13" ht="14.45" customHeight="1" x14ac:dyDescent="0.25">
      <c r="B506" s="17"/>
      <c r="C506" s="14"/>
      <c r="D506" s="14"/>
      <c r="E506" s="18"/>
      <c r="F506" s="61"/>
      <c r="G506" s="73"/>
      <c r="H506" s="79"/>
      <c r="I506" s="79"/>
      <c r="J506" s="14"/>
      <c r="K506" s="38"/>
      <c r="L506" s="38"/>
      <c r="M506" s="17"/>
    </row>
    <row r="507" spans="2:13" ht="14.45" customHeight="1" x14ac:dyDescent="0.25">
      <c r="B507" s="17"/>
      <c r="C507" s="14"/>
      <c r="D507" s="14"/>
      <c r="E507" s="18"/>
      <c r="F507" s="61"/>
      <c r="G507" s="73"/>
      <c r="H507" s="79"/>
      <c r="I507" s="79"/>
      <c r="J507" s="14"/>
      <c r="K507" s="38"/>
      <c r="L507" s="38"/>
      <c r="M507" s="17"/>
    </row>
    <row r="508" spans="2:13" ht="14.45" customHeight="1" x14ac:dyDescent="0.25">
      <c r="B508" s="17"/>
      <c r="C508" s="14"/>
      <c r="D508" s="14"/>
      <c r="E508" s="18"/>
      <c r="F508" s="61"/>
      <c r="G508" s="73"/>
      <c r="H508" s="79"/>
      <c r="I508" s="79"/>
      <c r="J508" s="14"/>
      <c r="K508" s="38"/>
      <c r="L508" s="38"/>
      <c r="M508" s="17"/>
    </row>
    <row r="509" spans="2:13" ht="14.45" customHeight="1" x14ac:dyDescent="0.25">
      <c r="B509" s="17"/>
      <c r="C509" s="14"/>
      <c r="D509" s="14"/>
      <c r="E509" s="18"/>
      <c r="F509" s="61"/>
      <c r="G509" s="73"/>
      <c r="H509" s="79"/>
      <c r="I509" s="79"/>
      <c r="J509" s="14"/>
      <c r="K509" s="38"/>
      <c r="L509" s="38"/>
      <c r="M509" s="17"/>
    </row>
    <row r="510" spans="2:13" ht="14.45" customHeight="1" x14ac:dyDescent="0.25">
      <c r="B510" s="17"/>
      <c r="C510" s="14"/>
      <c r="D510" s="14"/>
      <c r="E510" s="18"/>
      <c r="F510" s="61"/>
      <c r="G510" s="73"/>
      <c r="H510" s="79"/>
      <c r="I510" s="79"/>
      <c r="J510" s="14"/>
      <c r="K510" s="38"/>
      <c r="L510" s="38"/>
      <c r="M510" s="17"/>
    </row>
    <row r="511" spans="2:13" ht="14.45" customHeight="1" x14ac:dyDescent="0.25">
      <c r="B511" s="17"/>
      <c r="C511" s="14"/>
      <c r="D511" s="14"/>
      <c r="E511" s="18"/>
      <c r="F511" s="61"/>
      <c r="G511" s="73"/>
      <c r="H511" s="79"/>
      <c r="I511" s="79"/>
      <c r="J511" s="14"/>
      <c r="K511" s="38"/>
      <c r="L511" s="38"/>
      <c r="M511" s="17"/>
    </row>
    <row r="512" spans="2:13" ht="14.45" customHeight="1" x14ac:dyDescent="0.25">
      <c r="B512" s="17"/>
      <c r="C512" s="14"/>
      <c r="D512" s="14"/>
      <c r="E512" s="18"/>
      <c r="F512" s="61"/>
      <c r="G512" s="73"/>
      <c r="H512" s="79"/>
      <c r="I512" s="79"/>
      <c r="J512" s="14"/>
      <c r="K512" s="38"/>
      <c r="L512" s="38"/>
      <c r="M512" s="17"/>
    </row>
    <row r="513" spans="2:13" ht="14.45" customHeight="1" x14ac:dyDescent="0.25">
      <c r="B513" s="17"/>
      <c r="C513" s="14"/>
      <c r="D513" s="14"/>
      <c r="E513" s="18"/>
      <c r="F513" s="61"/>
      <c r="G513" s="73"/>
      <c r="H513" s="79"/>
      <c r="I513" s="79"/>
      <c r="J513" s="14"/>
      <c r="K513" s="38"/>
      <c r="L513" s="38"/>
      <c r="M513" s="17"/>
    </row>
    <row r="514" spans="2:13" ht="14.45" customHeight="1" x14ac:dyDescent="0.25">
      <c r="B514" s="17"/>
      <c r="C514" s="14"/>
      <c r="D514" s="14"/>
      <c r="E514" s="18"/>
      <c r="F514" s="61"/>
      <c r="G514" s="73"/>
      <c r="H514" s="79"/>
      <c r="I514" s="79"/>
      <c r="J514" s="14"/>
      <c r="K514" s="38"/>
      <c r="L514" s="38"/>
      <c r="M514" s="17"/>
    </row>
    <row r="515" spans="2:13" ht="14.45" customHeight="1" x14ac:dyDescent="0.25">
      <c r="B515" s="17"/>
      <c r="C515" s="14"/>
      <c r="D515" s="14"/>
      <c r="E515" s="18"/>
      <c r="F515" s="61"/>
      <c r="G515" s="73"/>
      <c r="H515" s="79"/>
      <c r="I515" s="79"/>
      <c r="J515" s="14"/>
      <c r="K515" s="38"/>
      <c r="L515" s="38"/>
      <c r="M515" s="17"/>
    </row>
    <row r="516" spans="2:13" ht="14.45" customHeight="1" x14ac:dyDescent="0.25">
      <c r="B516" s="17"/>
      <c r="C516" s="14"/>
      <c r="D516" s="14"/>
      <c r="E516" s="18"/>
      <c r="F516" s="61"/>
      <c r="G516" s="73"/>
      <c r="H516" s="79"/>
      <c r="I516" s="79"/>
      <c r="J516" s="14"/>
      <c r="K516" s="38"/>
      <c r="L516" s="38"/>
      <c r="M516" s="17"/>
    </row>
    <row r="517" spans="2:13" ht="14.45" customHeight="1" x14ac:dyDescent="0.25">
      <c r="B517" s="17"/>
      <c r="C517" s="14"/>
      <c r="D517" s="14"/>
      <c r="E517" s="18"/>
      <c r="F517" s="61"/>
      <c r="G517" s="73"/>
      <c r="H517" s="79"/>
      <c r="I517" s="79"/>
      <c r="J517" s="14"/>
      <c r="K517" s="38"/>
      <c r="L517" s="38"/>
      <c r="M517" s="17"/>
    </row>
    <row r="518" spans="2:13" ht="14.45" customHeight="1" x14ac:dyDescent="0.25">
      <c r="B518" s="17"/>
      <c r="C518" s="14"/>
      <c r="D518" s="14"/>
      <c r="E518" s="18"/>
      <c r="F518" s="61"/>
      <c r="G518" s="73"/>
      <c r="H518" s="79"/>
      <c r="I518" s="79"/>
      <c r="J518" s="14"/>
      <c r="K518" s="38"/>
      <c r="L518" s="38"/>
      <c r="M518" s="17"/>
    </row>
    <row r="519" spans="2:13" ht="14.45" customHeight="1" x14ac:dyDescent="0.25">
      <c r="B519" s="17"/>
      <c r="C519" s="14"/>
      <c r="D519" s="14"/>
      <c r="E519" s="18"/>
      <c r="F519" s="61"/>
      <c r="G519" s="73"/>
      <c r="H519" s="79"/>
      <c r="I519" s="79"/>
      <c r="J519" s="14"/>
      <c r="K519" s="38"/>
      <c r="L519" s="38"/>
      <c r="M519" s="17"/>
    </row>
    <row r="520" spans="2:13" ht="14.45" customHeight="1" x14ac:dyDescent="0.25">
      <c r="B520" s="17"/>
      <c r="C520" s="14"/>
      <c r="D520" s="14"/>
      <c r="E520" s="18"/>
      <c r="F520" s="61"/>
      <c r="G520" s="73"/>
      <c r="H520" s="79"/>
      <c r="I520" s="79"/>
      <c r="J520" s="14"/>
      <c r="K520" s="38"/>
      <c r="L520" s="38"/>
      <c r="M520" s="17"/>
    </row>
    <row r="521" spans="2:13" ht="14.45" customHeight="1" x14ac:dyDescent="0.25">
      <c r="B521" s="17"/>
      <c r="C521" s="14"/>
      <c r="D521" s="14"/>
      <c r="E521" s="18"/>
      <c r="F521" s="61"/>
      <c r="G521" s="73"/>
      <c r="H521" s="79"/>
      <c r="I521" s="79"/>
      <c r="J521" s="14"/>
      <c r="K521" s="38"/>
      <c r="L521" s="38"/>
      <c r="M521" s="17"/>
    </row>
    <row r="522" spans="2:13" ht="14.45" customHeight="1" x14ac:dyDescent="0.25">
      <c r="B522" s="17"/>
      <c r="C522" s="14"/>
      <c r="D522" s="14"/>
      <c r="E522" s="18"/>
      <c r="F522" s="61"/>
      <c r="G522" s="73"/>
      <c r="H522" s="79"/>
      <c r="I522" s="79"/>
      <c r="J522" s="14"/>
      <c r="K522" s="38"/>
      <c r="L522" s="38"/>
      <c r="M522" s="17"/>
    </row>
    <row r="523" spans="2:13" ht="14.45" customHeight="1" x14ac:dyDescent="0.25">
      <c r="B523" s="17"/>
      <c r="C523" s="14"/>
      <c r="D523" s="14"/>
      <c r="E523" s="18"/>
      <c r="F523" s="61"/>
      <c r="G523" s="73"/>
      <c r="H523" s="79"/>
      <c r="I523" s="79"/>
      <c r="J523" s="14"/>
      <c r="K523" s="38"/>
      <c r="L523" s="38"/>
      <c r="M523" s="17"/>
    </row>
    <row r="524" spans="2:13" ht="14.45" customHeight="1" x14ac:dyDescent="0.25">
      <c r="B524" s="17"/>
      <c r="C524" s="14"/>
      <c r="D524" s="14"/>
      <c r="E524" s="18"/>
      <c r="F524" s="61"/>
      <c r="G524" s="73"/>
      <c r="H524" s="79"/>
      <c r="I524" s="79"/>
      <c r="J524" s="14"/>
      <c r="K524" s="38"/>
      <c r="L524" s="38"/>
      <c r="M524" s="17"/>
    </row>
    <row r="525" spans="2:13" ht="14.45" customHeight="1" x14ac:dyDescent="0.25">
      <c r="B525" s="17"/>
      <c r="C525" s="14"/>
      <c r="D525" s="14"/>
      <c r="E525" s="18"/>
      <c r="F525" s="61"/>
      <c r="G525" s="73"/>
      <c r="H525" s="79"/>
      <c r="I525" s="79"/>
      <c r="J525" s="14"/>
      <c r="K525" s="38"/>
      <c r="L525" s="38"/>
      <c r="M525" s="17"/>
    </row>
    <row r="526" spans="2:13" ht="14.45" customHeight="1" x14ac:dyDescent="0.25">
      <c r="B526" s="17"/>
      <c r="C526" s="14"/>
      <c r="D526" s="14"/>
      <c r="E526" s="18"/>
      <c r="F526" s="61"/>
      <c r="G526" s="73"/>
      <c r="H526" s="79"/>
      <c r="I526" s="79"/>
      <c r="J526" s="14"/>
      <c r="K526" s="38"/>
      <c r="L526" s="38"/>
      <c r="M526" s="17"/>
    </row>
    <row r="527" spans="2:13" ht="14.45" customHeight="1" x14ac:dyDescent="0.25">
      <c r="B527" s="17"/>
      <c r="C527" s="14"/>
      <c r="D527" s="14"/>
      <c r="E527" s="18"/>
      <c r="F527" s="61"/>
      <c r="G527" s="73"/>
      <c r="H527" s="79"/>
      <c r="I527" s="79"/>
      <c r="J527" s="14"/>
      <c r="K527" s="38"/>
      <c r="L527" s="38"/>
      <c r="M527" s="17"/>
    </row>
    <row r="528" spans="2:13" ht="14.45" customHeight="1" x14ac:dyDescent="0.25">
      <c r="B528" s="17"/>
      <c r="C528" s="14"/>
      <c r="D528" s="14"/>
      <c r="E528" s="18"/>
      <c r="F528" s="61"/>
      <c r="G528" s="73"/>
      <c r="H528" s="79"/>
      <c r="I528" s="79"/>
      <c r="J528" s="14"/>
      <c r="K528" s="38"/>
      <c r="L528" s="38"/>
      <c r="M528" s="17"/>
    </row>
    <row r="529" spans="2:13" ht="14.45" customHeight="1" x14ac:dyDescent="0.25">
      <c r="B529" s="17"/>
      <c r="C529" s="14"/>
      <c r="D529" s="14"/>
      <c r="E529" s="18"/>
      <c r="F529" s="61"/>
      <c r="G529" s="73"/>
      <c r="H529" s="79"/>
      <c r="I529" s="79"/>
      <c r="J529" s="14"/>
      <c r="K529" s="38"/>
      <c r="L529" s="38"/>
      <c r="M529" s="17"/>
    </row>
    <row r="530" spans="2:13" ht="14.45" customHeight="1" x14ac:dyDescent="0.25">
      <c r="B530" s="17"/>
      <c r="C530" s="14"/>
      <c r="D530" s="14"/>
      <c r="E530" s="18"/>
      <c r="F530" s="61"/>
      <c r="G530" s="73"/>
      <c r="H530" s="79"/>
      <c r="I530" s="79"/>
      <c r="J530" s="14"/>
      <c r="K530" s="38"/>
      <c r="L530" s="38"/>
      <c r="M530" s="17"/>
    </row>
    <row r="531" spans="2:13" ht="14.45" customHeight="1" x14ac:dyDescent="0.25">
      <c r="B531" s="17"/>
      <c r="C531" s="14"/>
      <c r="D531" s="14"/>
      <c r="E531" s="18"/>
      <c r="F531" s="61"/>
      <c r="G531" s="73"/>
      <c r="H531" s="79"/>
      <c r="I531" s="79"/>
      <c r="J531" s="14"/>
      <c r="K531" s="38"/>
      <c r="L531" s="38"/>
      <c r="M531" s="17"/>
    </row>
    <row r="532" spans="2:13" ht="14.45" customHeight="1" x14ac:dyDescent="0.25">
      <c r="B532" s="17"/>
      <c r="C532" s="14"/>
      <c r="D532" s="14"/>
      <c r="E532" s="18"/>
      <c r="F532" s="61"/>
      <c r="G532" s="73"/>
      <c r="H532" s="79"/>
      <c r="I532" s="79"/>
      <c r="J532" s="14"/>
      <c r="K532" s="38"/>
      <c r="L532" s="38"/>
      <c r="M532" s="17"/>
    </row>
    <row r="533" spans="2:13" ht="14.45" customHeight="1" x14ac:dyDescent="0.25">
      <c r="B533" s="17"/>
      <c r="C533" s="14"/>
      <c r="D533" s="14"/>
      <c r="E533" s="18"/>
      <c r="F533" s="61"/>
      <c r="G533" s="73"/>
      <c r="H533" s="79"/>
      <c r="I533" s="79"/>
      <c r="J533" s="14"/>
      <c r="K533" s="38"/>
      <c r="L533" s="38"/>
      <c r="M533" s="17"/>
    </row>
    <row r="534" spans="2:13" ht="14.45" customHeight="1" x14ac:dyDescent="0.25">
      <c r="B534" s="17"/>
      <c r="C534" s="14"/>
      <c r="D534" s="14"/>
      <c r="E534" s="18"/>
      <c r="F534" s="61"/>
      <c r="G534" s="73"/>
      <c r="H534" s="79"/>
      <c r="I534" s="79"/>
      <c r="J534" s="14"/>
      <c r="K534" s="38"/>
      <c r="L534" s="38"/>
      <c r="M534" s="17"/>
    </row>
    <row r="535" spans="2:13" ht="14.45" customHeight="1" x14ac:dyDescent="0.25">
      <c r="B535" s="17"/>
      <c r="C535" s="14"/>
      <c r="D535" s="14"/>
      <c r="E535" s="18"/>
      <c r="F535" s="61"/>
      <c r="G535" s="73"/>
      <c r="H535" s="79"/>
      <c r="I535" s="79"/>
      <c r="J535" s="14"/>
      <c r="K535" s="38"/>
      <c r="L535" s="38"/>
      <c r="M535" s="17"/>
    </row>
    <row r="536" spans="2:13" ht="14.45" customHeight="1" x14ac:dyDescent="0.25">
      <c r="B536" s="17"/>
      <c r="C536" s="14"/>
      <c r="D536" s="14"/>
      <c r="E536" s="18"/>
      <c r="F536" s="61"/>
      <c r="G536" s="73"/>
      <c r="H536" s="79"/>
      <c r="I536" s="79"/>
      <c r="J536" s="14"/>
      <c r="K536" s="38"/>
      <c r="L536" s="38"/>
      <c r="M536" s="17"/>
    </row>
    <row r="537" spans="2:13" ht="14.45" customHeight="1" x14ac:dyDescent="0.25">
      <c r="B537" s="17"/>
      <c r="C537" s="14"/>
      <c r="D537" s="14"/>
      <c r="E537" s="18"/>
      <c r="F537" s="61"/>
      <c r="G537" s="73"/>
      <c r="H537" s="79"/>
      <c r="I537" s="79"/>
      <c r="J537" s="14"/>
      <c r="K537" s="38"/>
      <c r="L537" s="38"/>
      <c r="M537" s="17"/>
    </row>
    <row r="538" spans="2:13" ht="14.45" customHeight="1" x14ac:dyDescent="0.25">
      <c r="B538" s="17"/>
      <c r="C538" s="14"/>
      <c r="D538" s="14"/>
      <c r="E538" s="18"/>
      <c r="F538" s="61"/>
      <c r="G538" s="73"/>
      <c r="H538" s="79"/>
      <c r="I538" s="79"/>
      <c r="J538" s="14"/>
      <c r="K538" s="38"/>
      <c r="L538" s="38"/>
      <c r="M538" s="17"/>
    </row>
    <row r="539" spans="2:13" ht="14.45" customHeight="1" x14ac:dyDescent="0.25">
      <c r="B539" s="17"/>
      <c r="C539" s="14"/>
      <c r="D539" s="14"/>
      <c r="E539" s="18"/>
      <c r="F539" s="61"/>
      <c r="G539" s="73"/>
      <c r="H539" s="79"/>
      <c r="I539" s="79"/>
      <c r="J539" s="14"/>
      <c r="K539" s="38"/>
      <c r="L539" s="38"/>
      <c r="M539" s="17"/>
    </row>
    <row r="540" spans="2:13" ht="14.45" customHeight="1" x14ac:dyDescent="0.25">
      <c r="B540" s="17"/>
      <c r="C540" s="14"/>
      <c r="D540" s="14"/>
      <c r="E540" s="18"/>
      <c r="F540" s="61"/>
      <c r="G540" s="73"/>
      <c r="H540" s="79"/>
      <c r="I540" s="79"/>
      <c r="J540" s="14"/>
      <c r="K540" s="38"/>
      <c r="L540" s="38"/>
      <c r="M540" s="17"/>
    </row>
    <row r="541" spans="2:13" ht="14.45" customHeight="1" x14ac:dyDescent="0.25">
      <c r="B541" s="17"/>
      <c r="C541" s="14"/>
      <c r="D541" s="14"/>
      <c r="E541" s="18"/>
      <c r="F541" s="61"/>
      <c r="G541" s="73"/>
      <c r="H541" s="79"/>
      <c r="I541" s="79"/>
      <c r="J541" s="14"/>
      <c r="K541" s="38"/>
      <c r="L541" s="38"/>
      <c r="M541" s="17"/>
    </row>
    <row r="542" spans="2:13" ht="14.45" customHeight="1" x14ac:dyDescent="0.25">
      <c r="B542" s="17"/>
      <c r="C542" s="14"/>
      <c r="D542" s="14"/>
      <c r="E542" s="18"/>
      <c r="F542" s="61"/>
      <c r="G542" s="73"/>
      <c r="H542" s="79"/>
      <c r="I542" s="79"/>
      <c r="J542" s="14"/>
      <c r="K542" s="38"/>
      <c r="L542" s="38"/>
      <c r="M542" s="17"/>
    </row>
    <row r="543" spans="2:13" ht="14.45" customHeight="1" x14ac:dyDescent="0.25">
      <c r="B543" s="17"/>
      <c r="C543" s="14"/>
      <c r="D543" s="14"/>
      <c r="E543" s="18"/>
      <c r="F543" s="61"/>
      <c r="G543" s="73"/>
      <c r="H543" s="79"/>
      <c r="I543" s="79"/>
      <c r="J543" s="14"/>
      <c r="K543" s="38"/>
      <c r="L543" s="38"/>
      <c r="M543" s="17"/>
    </row>
    <row r="544" spans="2:13" ht="14.45" customHeight="1" x14ac:dyDescent="0.25">
      <c r="B544" s="17"/>
      <c r="C544" s="14"/>
      <c r="D544" s="14"/>
      <c r="E544" s="18"/>
      <c r="F544" s="61"/>
      <c r="G544" s="73"/>
      <c r="H544" s="79"/>
      <c r="I544" s="79"/>
      <c r="J544" s="14"/>
      <c r="K544" s="38"/>
      <c r="L544" s="38"/>
      <c r="M544" s="17"/>
    </row>
    <row r="545" spans="2:13" ht="14.45" customHeight="1" x14ac:dyDescent="0.25">
      <c r="B545" s="17"/>
      <c r="C545" s="14"/>
      <c r="D545" s="14"/>
      <c r="E545" s="18"/>
      <c r="F545" s="61"/>
      <c r="G545" s="73"/>
      <c r="H545" s="79"/>
      <c r="I545" s="79"/>
      <c r="J545" s="14"/>
      <c r="K545" s="38"/>
      <c r="L545" s="38"/>
      <c r="M545" s="17"/>
    </row>
    <row r="546" spans="2:13" ht="14.45" customHeight="1" x14ac:dyDescent="0.25">
      <c r="B546" s="17"/>
      <c r="C546" s="14"/>
      <c r="D546" s="14"/>
      <c r="E546" s="18"/>
      <c r="F546" s="61"/>
      <c r="G546" s="73"/>
      <c r="H546" s="79"/>
      <c r="I546" s="79"/>
      <c r="J546" s="14"/>
      <c r="K546" s="38"/>
      <c r="L546" s="38"/>
      <c r="M546" s="17"/>
    </row>
    <row r="547" spans="2:13" ht="14.45" customHeight="1" x14ac:dyDescent="0.25">
      <c r="B547" s="17"/>
      <c r="C547" s="14"/>
      <c r="D547" s="14"/>
      <c r="E547" s="18"/>
      <c r="F547" s="61"/>
      <c r="G547" s="73"/>
      <c r="H547" s="79"/>
      <c r="I547" s="79"/>
      <c r="J547" s="14"/>
      <c r="K547" s="38"/>
      <c r="L547" s="38"/>
      <c r="M547" s="17"/>
    </row>
    <row r="548" spans="2:13" ht="14.45" customHeight="1" x14ac:dyDescent="0.25">
      <c r="B548" s="17"/>
      <c r="C548" s="14"/>
      <c r="D548" s="14"/>
      <c r="E548" s="18"/>
      <c r="F548" s="61"/>
      <c r="G548" s="73"/>
      <c r="H548" s="79"/>
      <c r="I548" s="79"/>
      <c r="J548" s="14"/>
      <c r="K548" s="38"/>
      <c r="L548" s="38"/>
      <c r="M548" s="17"/>
    </row>
    <row r="549" spans="2:13" ht="14.45" customHeight="1" x14ac:dyDescent="0.25">
      <c r="B549" s="17"/>
      <c r="C549" s="14"/>
      <c r="D549" s="14"/>
      <c r="E549" s="18"/>
      <c r="F549" s="61"/>
      <c r="G549" s="73"/>
      <c r="H549" s="79"/>
      <c r="I549" s="79"/>
      <c r="J549" s="14"/>
      <c r="K549" s="38"/>
      <c r="L549" s="38"/>
      <c r="M549" s="17"/>
    </row>
    <row r="550" spans="2:13" ht="14.45" customHeight="1" x14ac:dyDescent="0.25">
      <c r="B550" s="17"/>
      <c r="C550" s="14"/>
      <c r="D550" s="14"/>
      <c r="E550" s="18"/>
      <c r="F550" s="61"/>
      <c r="G550" s="73"/>
      <c r="H550" s="79"/>
      <c r="I550" s="79"/>
      <c r="J550" s="14"/>
      <c r="K550" s="38"/>
      <c r="L550" s="38"/>
      <c r="M550" s="17"/>
    </row>
    <row r="551" spans="2:13" ht="14.45" customHeight="1" x14ac:dyDescent="0.25">
      <c r="B551" s="17"/>
      <c r="C551" s="14"/>
      <c r="D551" s="14"/>
      <c r="E551" s="18"/>
      <c r="F551" s="61"/>
      <c r="G551" s="73"/>
      <c r="H551" s="79"/>
      <c r="I551" s="79"/>
      <c r="J551" s="14"/>
      <c r="K551" s="38"/>
      <c r="L551" s="38"/>
      <c r="M551" s="17"/>
    </row>
    <row r="552" spans="2:13" ht="14.45" customHeight="1" x14ac:dyDescent="0.25">
      <c r="B552" s="17"/>
      <c r="C552" s="14"/>
      <c r="D552" s="14"/>
      <c r="E552" s="18"/>
      <c r="F552" s="61"/>
      <c r="G552" s="73"/>
      <c r="H552" s="79"/>
      <c r="I552" s="79"/>
      <c r="J552" s="14"/>
      <c r="K552" s="38"/>
      <c r="L552" s="38"/>
      <c r="M552" s="17"/>
    </row>
    <row r="553" spans="2:13" ht="14.45" customHeight="1" x14ac:dyDescent="0.25">
      <c r="B553" s="17"/>
      <c r="C553" s="14"/>
      <c r="D553" s="14"/>
      <c r="E553" s="18"/>
      <c r="F553" s="61"/>
      <c r="G553" s="73"/>
      <c r="H553" s="79"/>
      <c r="I553" s="79"/>
      <c r="J553" s="14"/>
      <c r="K553" s="38"/>
      <c r="L553" s="38"/>
      <c r="M553" s="17"/>
    </row>
    <row r="554" spans="2:13" ht="14.45" customHeight="1" x14ac:dyDescent="0.25">
      <c r="B554" s="17"/>
      <c r="C554" s="14"/>
      <c r="D554" s="14"/>
      <c r="E554" s="18"/>
      <c r="F554" s="61"/>
      <c r="G554" s="73"/>
      <c r="H554" s="79"/>
      <c r="I554" s="79"/>
      <c r="J554" s="14"/>
      <c r="K554" s="38"/>
      <c r="L554" s="38"/>
      <c r="M554" s="17"/>
    </row>
    <row r="555" spans="2:13" ht="14.45" customHeight="1" x14ac:dyDescent="0.25">
      <c r="B555" s="17"/>
      <c r="C555" s="14"/>
      <c r="D555" s="14"/>
      <c r="E555" s="18"/>
      <c r="F555" s="61"/>
      <c r="G555" s="73"/>
      <c r="H555" s="79"/>
      <c r="I555" s="79"/>
      <c r="J555" s="14"/>
      <c r="K555" s="38"/>
      <c r="L555" s="38"/>
      <c r="M555" s="17"/>
    </row>
    <row r="556" spans="2:13" ht="14.45" customHeight="1" x14ac:dyDescent="0.25">
      <c r="B556" s="17"/>
      <c r="C556" s="14"/>
      <c r="D556" s="14"/>
      <c r="E556" s="18"/>
      <c r="F556" s="61"/>
      <c r="G556" s="73"/>
      <c r="H556" s="79"/>
      <c r="I556" s="79"/>
      <c r="J556" s="14"/>
      <c r="K556" s="38"/>
      <c r="L556" s="38"/>
      <c r="M556" s="17"/>
    </row>
    <row r="557" spans="2:13" ht="14.45" customHeight="1" x14ac:dyDescent="0.25">
      <c r="B557" s="17"/>
      <c r="C557" s="14"/>
      <c r="D557" s="14"/>
      <c r="E557" s="18"/>
      <c r="F557" s="61"/>
      <c r="G557" s="73"/>
      <c r="H557" s="79"/>
      <c r="I557" s="79"/>
      <c r="J557" s="14"/>
      <c r="K557" s="38"/>
      <c r="L557" s="38"/>
      <c r="M557" s="17"/>
    </row>
    <row r="558" spans="2:13" ht="14.45" customHeight="1" x14ac:dyDescent="0.25">
      <c r="B558" s="17"/>
      <c r="C558" s="14"/>
      <c r="D558" s="14"/>
      <c r="E558" s="18"/>
      <c r="F558" s="61"/>
      <c r="G558" s="73"/>
      <c r="H558" s="79"/>
      <c r="I558" s="79"/>
      <c r="J558" s="14"/>
      <c r="K558" s="38"/>
      <c r="L558" s="38"/>
      <c r="M558" s="17"/>
    </row>
    <row r="559" spans="2:13" ht="14.45" customHeight="1" x14ac:dyDescent="0.25">
      <c r="B559" s="17"/>
      <c r="C559" s="14"/>
      <c r="D559" s="14"/>
      <c r="E559" s="18"/>
      <c r="F559" s="61"/>
      <c r="G559" s="73"/>
      <c r="H559" s="79"/>
      <c r="I559" s="79"/>
      <c r="J559" s="14"/>
      <c r="K559" s="38"/>
      <c r="L559" s="38"/>
      <c r="M559" s="17"/>
    </row>
    <row r="560" spans="2:13" ht="14.45" customHeight="1" x14ac:dyDescent="0.25">
      <c r="B560" s="17"/>
      <c r="C560" s="14"/>
      <c r="D560" s="14"/>
      <c r="E560" s="18"/>
      <c r="F560" s="61"/>
      <c r="G560" s="73"/>
      <c r="H560" s="79"/>
      <c r="I560" s="79"/>
      <c r="J560" s="14"/>
      <c r="K560" s="38"/>
      <c r="L560" s="38"/>
      <c r="M560" s="17"/>
    </row>
    <row r="561" spans="2:13" ht="14.45" customHeight="1" x14ac:dyDescent="0.25">
      <c r="B561" s="17"/>
      <c r="C561" s="14"/>
      <c r="D561" s="14"/>
      <c r="E561" s="18"/>
      <c r="F561" s="61"/>
      <c r="G561" s="73"/>
      <c r="H561" s="79"/>
      <c r="I561" s="79"/>
      <c r="J561" s="14"/>
      <c r="K561" s="38"/>
      <c r="L561" s="38"/>
      <c r="M561" s="17"/>
    </row>
    <row r="562" spans="2:13" ht="14.45" customHeight="1" x14ac:dyDescent="0.25">
      <c r="B562" s="17"/>
      <c r="C562" s="14"/>
      <c r="D562" s="14"/>
      <c r="E562" s="18"/>
      <c r="F562" s="61"/>
      <c r="G562" s="73"/>
      <c r="H562" s="79"/>
      <c r="I562" s="79"/>
      <c r="J562" s="14"/>
      <c r="K562" s="38"/>
      <c r="L562" s="38"/>
      <c r="M562" s="17"/>
    </row>
    <row r="563" spans="2:13" ht="14.45" customHeight="1" x14ac:dyDescent="0.25">
      <c r="B563" s="17"/>
      <c r="C563" s="14"/>
      <c r="D563" s="14"/>
      <c r="E563" s="18"/>
      <c r="F563" s="61"/>
      <c r="G563" s="73"/>
      <c r="H563" s="79"/>
      <c r="I563" s="79"/>
      <c r="J563" s="14"/>
      <c r="K563" s="38"/>
      <c r="L563" s="38"/>
      <c r="M563" s="17"/>
    </row>
    <row r="564" spans="2:13" ht="14.45" customHeight="1" x14ac:dyDescent="0.25">
      <c r="B564" s="17"/>
      <c r="C564" s="14"/>
      <c r="D564" s="14"/>
      <c r="E564" s="18"/>
      <c r="F564" s="61"/>
      <c r="G564" s="73"/>
      <c r="H564" s="79"/>
      <c r="I564" s="79"/>
      <c r="J564" s="14"/>
      <c r="K564" s="38"/>
      <c r="L564" s="38"/>
      <c r="M564" s="17"/>
    </row>
    <row r="565" spans="2:13" ht="14.45" customHeight="1" x14ac:dyDescent="0.25">
      <c r="B565" s="17"/>
      <c r="C565" s="14"/>
      <c r="D565" s="14"/>
      <c r="E565" s="18"/>
      <c r="F565" s="61"/>
      <c r="G565" s="73"/>
      <c r="H565" s="79"/>
      <c r="I565" s="79"/>
      <c r="J565" s="14"/>
      <c r="K565" s="38"/>
      <c r="L565" s="38"/>
      <c r="M565" s="17"/>
    </row>
    <row r="566" spans="2:13" ht="14.45" customHeight="1" x14ac:dyDescent="0.25">
      <c r="B566" s="17"/>
      <c r="C566" s="14"/>
      <c r="D566" s="14"/>
      <c r="E566" s="18"/>
      <c r="F566" s="61"/>
      <c r="G566" s="73"/>
      <c r="H566" s="79"/>
      <c r="I566" s="79"/>
      <c r="J566" s="14"/>
      <c r="K566" s="38"/>
      <c r="L566" s="38"/>
      <c r="M566" s="17"/>
    </row>
    <row r="567" spans="2:13" ht="14.45" customHeight="1" x14ac:dyDescent="0.25">
      <c r="B567" s="17"/>
      <c r="C567" s="14"/>
      <c r="D567" s="14"/>
      <c r="E567" s="18"/>
      <c r="F567" s="61"/>
      <c r="G567" s="73"/>
      <c r="H567" s="79"/>
      <c r="I567" s="79"/>
      <c r="J567" s="14"/>
      <c r="K567" s="38"/>
      <c r="L567" s="38"/>
      <c r="M567" s="17"/>
    </row>
    <row r="568" spans="2:13" ht="14.45" customHeight="1" x14ac:dyDescent="0.25">
      <c r="B568" s="17"/>
      <c r="C568" s="14"/>
      <c r="D568" s="14"/>
      <c r="E568" s="18"/>
      <c r="F568" s="61"/>
      <c r="G568" s="73"/>
      <c r="H568" s="79"/>
      <c r="I568" s="79"/>
      <c r="J568" s="14"/>
      <c r="K568" s="38"/>
      <c r="L568" s="38"/>
      <c r="M568" s="17"/>
    </row>
    <row r="569" spans="2:13" ht="14.45" customHeight="1" x14ac:dyDescent="0.25">
      <c r="B569" s="17"/>
      <c r="C569" s="14"/>
      <c r="D569" s="14"/>
      <c r="E569" s="18"/>
      <c r="F569" s="61"/>
      <c r="G569" s="73"/>
      <c r="H569" s="79"/>
      <c r="I569" s="79"/>
      <c r="J569" s="14"/>
      <c r="K569" s="38"/>
      <c r="L569" s="38"/>
      <c r="M569" s="17"/>
    </row>
    <row r="570" spans="2:13" ht="14.45" customHeight="1" x14ac:dyDescent="0.25">
      <c r="B570" s="17"/>
      <c r="C570" s="14"/>
      <c r="D570" s="14"/>
      <c r="E570" s="18"/>
      <c r="F570" s="61"/>
      <c r="G570" s="73"/>
      <c r="H570" s="79"/>
      <c r="I570" s="79"/>
      <c r="J570" s="14"/>
      <c r="K570" s="38"/>
      <c r="L570" s="38"/>
      <c r="M570" s="17"/>
    </row>
    <row r="571" spans="2:13" ht="14.45" customHeight="1" x14ac:dyDescent="0.25">
      <c r="B571" s="17"/>
      <c r="C571" s="14"/>
      <c r="D571" s="14"/>
      <c r="E571" s="18"/>
      <c r="F571" s="61"/>
      <c r="G571" s="73"/>
      <c r="H571" s="79"/>
      <c r="I571" s="79"/>
      <c r="J571" s="14"/>
      <c r="K571" s="38"/>
      <c r="L571" s="38"/>
      <c r="M571" s="17"/>
    </row>
    <row r="572" spans="2:13" ht="14.45" customHeight="1" x14ac:dyDescent="0.25">
      <c r="B572" s="17"/>
      <c r="C572" s="14"/>
      <c r="D572" s="14"/>
      <c r="E572" s="18"/>
      <c r="F572" s="61"/>
      <c r="G572" s="73"/>
      <c r="H572" s="79"/>
      <c r="I572" s="79"/>
      <c r="J572" s="14"/>
      <c r="K572" s="38"/>
      <c r="L572" s="38"/>
      <c r="M572" s="17"/>
    </row>
    <row r="573" spans="2:13" ht="14.45" customHeight="1" x14ac:dyDescent="0.25">
      <c r="B573" s="17"/>
      <c r="C573" s="14"/>
      <c r="D573" s="14"/>
      <c r="E573" s="18"/>
      <c r="F573" s="61"/>
      <c r="G573" s="73"/>
      <c r="H573" s="79"/>
      <c r="I573" s="79"/>
      <c r="J573" s="14"/>
      <c r="K573" s="38"/>
      <c r="L573" s="38"/>
      <c r="M573" s="17"/>
    </row>
    <row r="574" spans="2:13" ht="14.45" customHeight="1" x14ac:dyDescent="0.25">
      <c r="B574" s="17"/>
      <c r="C574" s="14"/>
      <c r="D574" s="14"/>
      <c r="E574" s="18"/>
      <c r="F574" s="61"/>
      <c r="G574" s="73"/>
      <c r="H574" s="79"/>
      <c r="I574" s="79"/>
      <c r="J574" s="14"/>
      <c r="K574" s="38"/>
      <c r="L574" s="38"/>
      <c r="M574" s="17"/>
    </row>
    <row r="575" spans="2:13" ht="14.45" customHeight="1" x14ac:dyDescent="0.25">
      <c r="B575" s="17"/>
      <c r="C575" s="14"/>
      <c r="D575" s="14"/>
      <c r="E575" s="18"/>
      <c r="F575" s="61"/>
      <c r="G575" s="73"/>
      <c r="H575" s="79"/>
      <c r="I575" s="79"/>
      <c r="J575" s="14"/>
      <c r="K575" s="38"/>
      <c r="L575" s="38"/>
      <c r="M575" s="17"/>
    </row>
    <row r="576" spans="2:13" ht="14.45" customHeight="1" x14ac:dyDescent="0.25">
      <c r="B576" s="17"/>
      <c r="C576" s="14"/>
      <c r="D576" s="14"/>
      <c r="E576" s="18"/>
      <c r="F576" s="61"/>
      <c r="G576" s="73"/>
      <c r="H576" s="79"/>
      <c r="I576" s="79"/>
      <c r="J576" s="14"/>
      <c r="K576" s="38"/>
      <c r="L576" s="38"/>
      <c r="M576" s="17"/>
    </row>
    <row r="577" spans="2:13" ht="14.45" customHeight="1" x14ac:dyDescent="0.25">
      <c r="B577" s="17"/>
      <c r="C577" s="14"/>
      <c r="D577" s="14"/>
      <c r="E577" s="18"/>
      <c r="F577" s="61"/>
      <c r="G577" s="73"/>
      <c r="H577" s="79"/>
      <c r="I577" s="79"/>
      <c r="J577" s="14"/>
      <c r="K577" s="38"/>
      <c r="L577" s="38"/>
      <c r="M577" s="17"/>
    </row>
    <row r="578" spans="2:13" ht="14.45" customHeight="1" x14ac:dyDescent="0.25">
      <c r="B578" s="17"/>
      <c r="C578" s="14"/>
      <c r="D578" s="14"/>
      <c r="E578" s="18"/>
      <c r="F578" s="61"/>
      <c r="G578" s="73"/>
      <c r="H578" s="79"/>
      <c r="I578" s="79"/>
      <c r="J578" s="14"/>
      <c r="K578" s="38"/>
      <c r="L578" s="38"/>
      <c r="M578" s="17"/>
    </row>
    <row r="579" spans="2:13" ht="14.45" customHeight="1" x14ac:dyDescent="0.25">
      <c r="B579" s="17"/>
      <c r="C579" s="14"/>
      <c r="D579" s="14"/>
      <c r="E579" s="18"/>
      <c r="F579" s="61"/>
      <c r="G579" s="73"/>
      <c r="H579" s="79"/>
      <c r="I579" s="79"/>
      <c r="J579" s="14"/>
      <c r="K579" s="38"/>
      <c r="L579" s="38"/>
      <c r="M579" s="17"/>
    </row>
    <row r="580" spans="2:13" ht="14.45" customHeight="1" x14ac:dyDescent="0.25">
      <c r="B580" s="17"/>
      <c r="C580" s="14"/>
      <c r="D580" s="14"/>
      <c r="E580" s="18"/>
      <c r="F580" s="61"/>
      <c r="G580" s="73"/>
      <c r="H580" s="79"/>
      <c r="I580" s="79"/>
      <c r="J580" s="14"/>
      <c r="K580" s="38"/>
      <c r="L580" s="38"/>
      <c r="M580" s="17"/>
    </row>
    <row r="581" spans="2:13" ht="14.45" customHeight="1" x14ac:dyDescent="0.25">
      <c r="B581" s="17"/>
      <c r="C581" s="14"/>
      <c r="D581" s="14"/>
      <c r="E581" s="18"/>
      <c r="F581" s="61"/>
      <c r="G581" s="73"/>
      <c r="H581" s="79"/>
      <c r="I581" s="79"/>
      <c r="J581" s="14"/>
      <c r="K581" s="38"/>
      <c r="L581" s="38"/>
      <c r="M581" s="17"/>
    </row>
    <row r="582" spans="2:13" ht="14.45" customHeight="1" x14ac:dyDescent="0.25">
      <c r="B582" s="17"/>
      <c r="C582" s="14"/>
      <c r="D582" s="14"/>
      <c r="E582" s="18"/>
      <c r="F582" s="61"/>
      <c r="G582" s="73"/>
      <c r="H582" s="79"/>
      <c r="I582" s="79"/>
      <c r="J582" s="14"/>
      <c r="K582" s="38"/>
      <c r="L582" s="38"/>
      <c r="M582" s="17"/>
    </row>
    <row r="583" spans="2:13" ht="14.45" customHeight="1" x14ac:dyDescent="0.25">
      <c r="B583" s="17"/>
      <c r="C583" s="14"/>
      <c r="D583" s="14"/>
      <c r="E583" s="18"/>
      <c r="F583" s="61"/>
      <c r="G583" s="73"/>
      <c r="H583" s="79"/>
      <c r="I583" s="79"/>
      <c r="J583" s="14"/>
      <c r="K583" s="38"/>
      <c r="L583" s="38"/>
      <c r="M583" s="17"/>
    </row>
    <row r="584" spans="2:13" ht="14.45" customHeight="1" x14ac:dyDescent="0.25">
      <c r="B584" s="17"/>
      <c r="C584" s="14"/>
      <c r="D584" s="14"/>
      <c r="E584" s="18"/>
      <c r="F584" s="61"/>
      <c r="G584" s="73"/>
      <c r="H584" s="79"/>
      <c r="I584" s="79"/>
      <c r="J584" s="14"/>
      <c r="K584" s="38"/>
      <c r="L584" s="38"/>
      <c r="M584" s="17"/>
    </row>
    <row r="585" spans="2:13" ht="14.45" customHeight="1" x14ac:dyDescent="0.25">
      <c r="B585" s="17"/>
      <c r="C585" s="14"/>
      <c r="D585" s="14"/>
      <c r="E585" s="18"/>
      <c r="F585" s="61"/>
      <c r="G585" s="73"/>
      <c r="H585" s="79"/>
      <c r="I585" s="79"/>
      <c r="J585" s="14"/>
      <c r="K585" s="38"/>
      <c r="L585" s="38"/>
      <c r="M585" s="17"/>
    </row>
    <row r="586" spans="2:13" ht="14.45" customHeight="1" x14ac:dyDescent="0.25">
      <c r="B586" s="17"/>
      <c r="C586" s="14"/>
      <c r="D586" s="14"/>
      <c r="E586" s="18"/>
      <c r="F586" s="61"/>
      <c r="G586" s="73"/>
      <c r="H586" s="79"/>
      <c r="I586" s="79"/>
      <c r="J586" s="14"/>
      <c r="K586" s="38"/>
      <c r="L586" s="38"/>
      <c r="M586" s="17"/>
    </row>
    <row r="587" spans="2:13" ht="14.45" customHeight="1" x14ac:dyDescent="0.25">
      <c r="B587" s="17"/>
      <c r="C587" s="14"/>
      <c r="D587" s="14"/>
      <c r="E587" s="18"/>
      <c r="F587" s="61"/>
      <c r="G587" s="73"/>
      <c r="H587" s="79"/>
      <c r="I587" s="79"/>
      <c r="J587" s="14"/>
      <c r="K587" s="38"/>
      <c r="L587" s="38"/>
      <c r="M587" s="17"/>
    </row>
    <row r="588" spans="2:13" ht="14.45" customHeight="1" x14ac:dyDescent="0.25">
      <c r="B588" s="17"/>
      <c r="C588" s="14"/>
      <c r="D588" s="14"/>
      <c r="E588" s="18"/>
      <c r="F588" s="61"/>
      <c r="G588" s="73"/>
      <c r="H588" s="79"/>
      <c r="I588" s="79"/>
      <c r="J588" s="14"/>
      <c r="K588" s="38"/>
      <c r="L588" s="38"/>
      <c r="M588" s="17"/>
    </row>
    <row r="589" spans="2:13" ht="14.45" customHeight="1" x14ac:dyDescent="0.25">
      <c r="B589" s="17"/>
      <c r="C589" s="14"/>
      <c r="D589" s="14"/>
      <c r="E589" s="18"/>
      <c r="F589" s="61"/>
      <c r="G589" s="73"/>
      <c r="H589" s="79"/>
      <c r="I589" s="79"/>
      <c r="J589" s="14"/>
      <c r="K589" s="38"/>
      <c r="L589" s="38"/>
      <c r="M589" s="17"/>
    </row>
    <row r="590" spans="2:13" ht="14.45" customHeight="1" x14ac:dyDescent="0.25">
      <c r="B590" s="17"/>
      <c r="C590" s="14"/>
      <c r="D590" s="14"/>
      <c r="E590" s="18"/>
      <c r="F590" s="61"/>
      <c r="G590" s="73"/>
      <c r="H590" s="79"/>
      <c r="I590" s="79"/>
      <c r="J590" s="14"/>
      <c r="K590" s="38"/>
      <c r="L590" s="38"/>
      <c r="M590" s="17"/>
    </row>
    <row r="591" spans="2:13" ht="14.45" customHeight="1" x14ac:dyDescent="0.25">
      <c r="B591" s="17"/>
      <c r="C591" s="14"/>
      <c r="D591" s="14"/>
      <c r="E591" s="18"/>
      <c r="F591" s="61"/>
      <c r="G591" s="73"/>
      <c r="H591" s="79"/>
      <c r="I591" s="79"/>
      <c r="J591" s="14"/>
      <c r="K591" s="38"/>
      <c r="L591" s="38"/>
      <c r="M591" s="17"/>
    </row>
    <row r="592" spans="2:13" ht="14.45" customHeight="1" x14ac:dyDescent="0.25">
      <c r="B592" s="17"/>
      <c r="C592" s="14"/>
      <c r="D592" s="14"/>
      <c r="E592" s="18"/>
      <c r="F592" s="61"/>
      <c r="G592" s="73"/>
      <c r="H592" s="79"/>
      <c r="I592" s="79"/>
      <c r="J592" s="14"/>
      <c r="K592" s="38"/>
      <c r="L592" s="38"/>
      <c r="M592" s="17"/>
    </row>
    <row r="593" spans="2:13" ht="14.45" customHeight="1" x14ac:dyDescent="0.25">
      <c r="B593" s="17"/>
      <c r="C593" s="14"/>
      <c r="D593" s="14"/>
      <c r="E593" s="18"/>
      <c r="F593" s="61"/>
      <c r="G593" s="73"/>
      <c r="H593" s="79"/>
      <c r="I593" s="79"/>
      <c r="J593" s="14"/>
      <c r="K593" s="38"/>
      <c r="L593" s="38"/>
      <c r="M593" s="17"/>
    </row>
    <row r="594" spans="2:13" ht="14.45" customHeight="1" x14ac:dyDescent="0.25">
      <c r="B594" s="17"/>
      <c r="C594" s="14"/>
      <c r="D594" s="14"/>
      <c r="E594" s="18"/>
      <c r="F594" s="61"/>
      <c r="G594" s="73"/>
      <c r="H594" s="79"/>
      <c r="I594" s="79"/>
      <c r="J594" s="14"/>
      <c r="K594" s="38"/>
      <c r="L594" s="38"/>
      <c r="M594" s="17"/>
    </row>
    <row r="595" spans="2:13" ht="14.45" customHeight="1" x14ac:dyDescent="0.25">
      <c r="B595" s="17"/>
      <c r="C595" s="14"/>
      <c r="D595" s="14"/>
      <c r="E595" s="18"/>
      <c r="F595" s="61"/>
      <c r="G595" s="73"/>
      <c r="H595" s="79"/>
      <c r="I595" s="79"/>
      <c r="J595" s="14"/>
      <c r="K595" s="38"/>
      <c r="L595" s="38"/>
      <c r="M595" s="17"/>
    </row>
    <row r="596" spans="2:13" ht="14.45" customHeight="1" x14ac:dyDescent="0.25">
      <c r="B596" s="17"/>
      <c r="C596" s="14"/>
      <c r="D596" s="14"/>
      <c r="E596" s="18"/>
      <c r="F596" s="61"/>
      <c r="G596" s="73"/>
      <c r="H596" s="79"/>
      <c r="I596" s="79"/>
      <c r="J596" s="14"/>
      <c r="K596" s="38"/>
      <c r="L596" s="38"/>
      <c r="M596" s="17"/>
    </row>
    <row r="597" spans="2:13" ht="14.45" customHeight="1" x14ac:dyDescent="0.25">
      <c r="B597" s="17"/>
      <c r="C597" s="14"/>
      <c r="D597" s="14"/>
      <c r="E597" s="18"/>
      <c r="F597" s="61"/>
      <c r="G597" s="73"/>
      <c r="H597" s="79"/>
      <c r="I597" s="79"/>
      <c r="J597" s="14"/>
      <c r="K597" s="38"/>
      <c r="L597" s="38"/>
      <c r="M597" s="17"/>
    </row>
    <row r="598" spans="2:13" ht="14.45" customHeight="1" x14ac:dyDescent="0.25">
      <c r="B598" s="17"/>
      <c r="C598" s="14"/>
      <c r="D598" s="14"/>
      <c r="E598" s="18"/>
      <c r="F598" s="61"/>
      <c r="G598" s="73"/>
      <c r="H598" s="79"/>
      <c r="I598" s="79"/>
      <c r="J598" s="14"/>
      <c r="K598" s="38"/>
      <c r="L598" s="38"/>
      <c r="M598" s="17"/>
    </row>
    <row r="599" spans="2:13" ht="14.45" customHeight="1" x14ac:dyDescent="0.25">
      <c r="B599" s="17"/>
      <c r="C599" s="14"/>
      <c r="D599" s="14"/>
      <c r="E599" s="18"/>
      <c r="F599" s="61"/>
      <c r="G599" s="73"/>
      <c r="H599" s="79"/>
      <c r="I599" s="79"/>
      <c r="J599" s="14"/>
      <c r="K599" s="38"/>
      <c r="L599" s="38"/>
      <c r="M599" s="17"/>
    </row>
    <row r="600" spans="2:13" ht="14.45" customHeight="1" x14ac:dyDescent="0.25">
      <c r="B600" s="17"/>
      <c r="C600" s="14"/>
      <c r="D600" s="14"/>
      <c r="E600" s="18"/>
      <c r="F600" s="61"/>
      <c r="G600" s="73"/>
      <c r="H600" s="79"/>
      <c r="I600" s="79"/>
      <c r="J600" s="14"/>
      <c r="K600" s="38"/>
      <c r="L600" s="38"/>
      <c r="M600" s="17"/>
    </row>
    <row r="601" spans="2:13" ht="14.45" customHeight="1" x14ac:dyDescent="0.25">
      <c r="B601" s="17"/>
      <c r="C601" s="14"/>
      <c r="D601" s="14"/>
      <c r="E601" s="18"/>
      <c r="F601" s="61"/>
      <c r="G601" s="73"/>
      <c r="H601" s="79"/>
      <c r="I601" s="79"/>
      <c r="J601" s="14"/>
      <c r="K601" s="38"/>
      <c r="L601" s="38"/>
      <c r="M601" s="17"/>
    </row>
    <row r="602" spans="2:13" ht="14.45" customHeight="1" x14ac:dyDescent="0.25">
      <c r="B602" s="17"/>
      <c r="C602" s="14"/>
      <c r="D602" s="14"/>
      <c r="E602" s="18"/>
      <c r="F602" s="61"/>
      <c r="G602" s="73"/>
      <c r="H602" s="79"/>
      <c r="I602" s="79"/>
      <c r="J602" s="14"/>
      <c r="K602" s="38"/>
      <c r="L602" s="38"/>
      <c r="M602" s="17"/>
    </row>
    <row r="603" spans="2:13" ht="14.45" customHeight="1" x14ac:dyDescent="0.25">
      <c r="B603" s="17"/>
      <c r="C603" s="14"/>
      <c r="D603" s="14"/>
      <c r="E603" s="18"/>
      <c r="F603" s="61"/>
      <c r="G603" s="73"/>
      <c r="H603" s="79"/>
      <c r="I603" s="79"/>
      <c r="J603" s="14"/>
      <c r="K603" s="38"/>
      <c r="L603" s="38"/>
      <c r="M603" s="17"/>
    </row>
    <row r="604" spans="2:13" ht="14.45" customHeight="1" x14ac:dyDescent="0.25">
      <c r="B604" s="17"/>
      <c r="C604" s="14"/>
      <c r="D604" s="14"/>
      <c r="E604" s="18"/>
      <c r="F604" s="61"/>
      <c r="G604" s="73"/>
      <c r="H604" s="79"/>
      <c r="I604" s="79"/>
      <c r="J604" s="14"/>
      <c r="K604" s="38"/>
      <c r="L604" s="38"/>
      <c r="M604" s="17"/>
    </row>
    <row r="605" spans="2:13" ht="14.45" customHeight="1" x14ac:dyDescent="0.25">
      <c r="B605" s="17"/>
      <c r="C605" s="14"/>
      <c r="D605" s="14"/>
      <c r="E605" s="18"/>
      <c r="F605" s="61"/>
      <c r="G605" s="73"/>
      <c r="H605" s="79"/>
      <c r="I605" s="79"/>
      <c r="J605" s="14"/>
      <c r="K605" s="38"/>
      <c r="L605" s="38"/>
      <c r="M605" s="17"/>
    </row>
    <row r="606" spans="2:13" ht="14.45" customHeight="1" x14ac:dyDescent="0.25">
      <c r="B606" s="17"/>
      <c r="C606" s="14"/>
      <c r="D606" s="14"/>
      <c r="E606" s="18"/>
      <c r="F606" s="61"/>
      <c r="G606" s="73"/>
      <c r="H606" s="79"/>
      <c r="I606" s="79"/>
      <c r="J606" s="14"/>
      <c r="K606" s="38"/>
      <c r="L606" s="38"/>
      <c r="M606" s="17"/>
    </row>
    <row r="607" spans="2:13" ht="14.45" customHeight="1" x14ac:dyDescent="0.25">
      <c r="B607" s="17"/>
      <c r="C607" s="14"/>
      <c r="D607" s="14"/>
      <c r="E607" s="18"/>
      <c r="F607" s="61"/>
      <c r="G607" s="73"/>
      <c r="H607" s="79"/>
      <c r="I607" s="79"/>
      <c r="J607" s="14"/>
      <c r="K607" s="38"/>
      <c r="L607" s="38"/>
      <c r="M607" s="17"/>
    </row>
    <row r="608" spans="2:13" ht="14.45" customHeight="1" x14ac:dyDescent="0.25">
      <c r="B608" s="17"/>
      <c r="C608" s="14"/>
      <c r="D608" s="14"/>
      <c r="E608" s="18"/>
      <c r="F608" s="61"/>
      <c r="G608" s="73"/>
      <c r="H608" s="79"/>
      <c r="I608" s="79"/>
      <c r="J608" s="14"/>
      <c r="K608" s="38"/>
      <c r="L608" s="38"/>
      <c r="M608" s="17"/>
    </row>
    <row r="609" spans="2:13" ht="14.45" customHeight="1" x14ac:dyDescent="0.25">
      <c r="B609" s="17"/>
      <c r="C609" s="14"/>
      <c r="D609" s="14"/>
      <c r="E609" s="18"/>
      <c r="F609" s="61"/>
      <c r="G609" s="73"/>
      <c r="H609" s="79"/>
      <c r="I609" s="79"/>
      <c r="J609" s="14"/>
      <c r="K609" s="38"/>
      <c r="L609" s="38"/>
      <c r="M609" s="17"/>
    </row>
    <row r="610" spans="2:13" ht="14.45" customHeight="1" x14ac:dyDescent="0.25">
      <c r="B610" s="17"/>
      <c r="C610" s="14"/>
      <c r="D610" s="14"/>
      <c r="E610" s="18"/>
      <c r="F610" s="61"/>
      <c r="G610" s="73"/>
      <c r="H610" s="79"/>
      <c r="I610" s="79"/>
      <c r="J610" s="14"/>
      <c r="K610" s="38"/>
      <c r="L610" s="38"/>
      <c r="M610" s="17"/>
    </row>
    <row r="611" spans="2:13" ht="14.45" customHeight="1" x14ac:dyDescent="0.25">
      <c r="B611" s="17"/>
      <c r="C611" s="14"/>
      <c r="D611" s="14"/>
      <c r="E611" s="18"/>
      <c r="F611" s="61"/>
      <c r="G611" s="73"/>
      <c r="H611" s="79"/>
      <c r="I611" s="79"/>
      <c r="J611" s="14"/>
      <c r="K611" s="38"/>
      <c r="L611" s="38"/>
      <c r="M611" s="17"/>
    </row>
    <row r="612" spans="2:13" ht="14.45" customHeight="1" x14ac:dyDescent="0.25">
      <c r="B612" s="17"/>
      <c r="C612" s="14"/>
      <c r="D612" s="14"/>
      <c r="E612" s="18"/>
      <c r="F612" s="61"/>
      <c r="G612" s="73"/>
      <c r="H612" s="79"/>
      <c r="I612" s="79"/>
      <c r="J612" s="14"/>
      <c r="K612" s="38"/>
      <c r="L612" s="38"/>
      <c r="M612" s="17"/>
    </row>
    <row r="613" spans="2:13" ht="14.45" customHeight="1" x14ac:dyDescent="0.25">
      <c r="B613" s="17"/>
      <c r="C613" s="14"/>
      <c r="D613" s="14"/>
      <c r="E613" s="18"/>
      <c r="F613" s="61"/>
      <c r="G613" s="73"/>
      <c r="H613" s="79"/>
      <c r="I613" s="79"/>
      <c r="J613" s="14"/>
      <c r="K613" s="38"/>
      <c r="L613" s="38"/>
      <c r="M613" s="17"/>
    </row>
    <row r="614" spans="2:13" ht="14.45" customHeight="1" x14ac:dyDescent="0.25">
      <c r="B614" s="17"/>
      <c r="C614" s="14"/>
      <c r="D614" s="14"/>
      <c r="E614" s="18"/>
      <c r="F614" s="61"/>
      <c r="G614" s="73"/>
      <c r="H614" s="79"/>
      <c r="I614" s="79"/>
      <c r="J614" s="14"/>
      <c r="K614" s="38"/>
      <c r="L614" s="38"/>
      <c r="M614" s="17"/>
    </row>
    <row r="615" spans="2:13" ht="14.45" customHeight="1" x14ac:dyDescent="0.25">
      <c r="B615" s="17"/>
      <c r="C615" s="14"/>
      <c r="D615" s="14"/>
      <c r="E615" s="18"/>
      <c r="F615" s="61"/>
      <c r="G615" s="73"/>
      <c r="H615" s="79"/>
      <c r="I615" s="79"/>
      <c r="J615" s="14"/>
      <c r="K615" s="38"/>
      <c r="L615" s="38"/>
      <c r="M615" s="17"/>
    </row>
    <row r="616" spans="2:13" ht="14.45" customHeight="1" x14ac:dyDescent="0.25">
      <c r="B616" s="17"/>
      <c r="C616" s="14"/>
      <c r="D616" s="14"/>
      <c r="E616" s="18"/>
      <c r="F616" s="61"/>
      <c r="G616" s="73"/>
      <c r="H616" s="79"/>
      <c r="I616" s="79"/>
      <c r="J616" s="14"/>
      <c r="K616" s="38"/>
      <c r="L616" s="38"/>
      <c r="M616" s="17"/>
    </row>
    <row r="617" spans="2:13" ht="14.45" customHeight="1" x14ac:dyDescent="0.25">
      <c r="B617" s="17"/>
      <c r="C617" s="14"/>
      <c r="D617" s="14"/>
      <c r="E617" s="18"/>
      <c r="F617" s="61"/>
      <c r="G617" s="73"/>
      <c r="H617" s="79"/>
      <c r="I617" s="79"/>
      <c r="J617" s="14"/>
      <c r="K617" s="38"/>
      <c r="L617" s="38"/>
      <c r="M617" s="17"/>
    </row>
    <row r="618" spans="2:13" ht="14.45" customHeight="1" x14ac:dyDescent="0.25">
      <c r="B618" s="17"/>
      <c r="C618" s="14"/>
      <c r="D618" s="14"/>
      <c r="E618" s="18"/>
      <c r="F618" s="61"/>
      <c r="G618" s="73"/>
      <c r="H618" s="79"/>
      <c r="I618" s="79"/>
      <c r="J618" s="14"/>
      <c r="K618" s="38"/>
      <c r="L618" s="38"/>
      <c r="M618" s="17"/>
    </row>
    <row r="619" spans="2:13" ht="14.45" customHeight="1" x14ac:dyDescent="0.25">
      <c r="B619" s="17"/>
      <c r="C619" s="14"/>
      <c r="D619" s="14"/>
      <c r="E619" s="18"/>
      <c r="F619" s="61"/>
      <c r="G619" s="73"/>
      <c r="H619" s="79"/>
      <c r="I619" s="79"/>
      <c r="J619" s="14"/>
      <c r="K619" s="38"/>
      <c r="L619" s="38"/>
      <c r="M619" s="17"/>
    </row>
    <row r="620" spans="2:13" ht="14.45" customHeight="1" x14ac:dyDescent="0.25">
      <c r="B620" s="17"/>
      <c r="C620" s="14"/>
      <c r="D620" s="14"/>
      <c r="E620" s="18"/>
      <c r="F620" s="61"/>
      <c r="G620" s="73"/>
      <c r="H620" s="79"/>
      <c r="I620" s="79"/>
      <c r="J620" s="14"/>
      <c r="K620" s="38"/>
      <c r="L620" s="38"/>
      <c r="M620" s="17"/>
    </row>
    <row r="621" spans="2:13" ht="14.45" customHeight="1" x14ac:dyDescent="0.25">
      <c r="B621" s="17"/>
      <c r="C621" s="14"/>
      <c r="D621" s="14"/>
      <c r="E621" s="18"/>
      <c r="F621" s="61"/>
      <c r="G621" s="73"/>
      <c r="H621" s="79"/>
      <c r="I621" s="79"/>
      <c r="J621" s="14"/>
      <c r="K621" s="38"/>
      <c r="L621" s="38"/>
      <c r="M621" s="17"/>
    </row>
    <row r="622" spans="2:13" ht="14.45" customHeight="1" x14ac:dyDescent="0.25">
      <c r="B622" s="17"/>
      <c r="C622" s="14"/>
      <c r="D622" s="14"/>
      <c r="E622" s="18"/>
      <c r="F622" s="61"/>
      <c r="G622" s="73"/>
      <c r="H622" s="79"/>
      <c r="I622" s="79"/>
      <c r="J622" s="14"/>
      <c r="K622" s="38"/>
      <c r="L622" s="38"/>
      <c r="M622" s="17"/>
    </row>
    <row r="623" spans="2:13" ht="14.45" customHeight="1" x14ac:dyDescent="0.25">
      <c r="B623" s="17"/>
      <c r="C623" s="14"/>
      <c r="D623" s="14"/>
      <c r="E623" s="18"/>
      <c r="F623" s="61"/>
      <c r="G623" s="73"/>
      <c r="H623" s="79"/>
      <c r="I623" s="79"/>
      <c r="J623" s="14"/>
      <c r="K623" s="38"/>
      <c r="L623" s="38"/>
      <c r="M623" s="17"/>
    </row>
    <row r="624" spans="2:13" ht="14.45" customHeight="1" x14ac:dyDescent="0.25">
      <c r="B624" s="17"/>
      <c r="C624" s="14"/>
      <c r="D624" s="14"/>
      <c r="E624" s="18"/>
      <c r="F624" s="61"/>
      <c r="G624" s="73"/>
      <c r="H624" s="79"/>
      <c r="I624" s="79"/>
      <c r="J624" s="14"/>
      <c r="K624" s="38"/>
      <c r="L624" s="38"/>
      <c r="M624" s="17"/>
    </row>
    <row r="625" spans="2:13" ht="14.45" customHeight="1" x14ac:dyDescent="0.25">
      <c r="B625" s="17"/>
      <c r="C625" s="14"/>
      <c r="D625" s="14"/>
      <c r="E625" s="18"/>
      <c r="F625" s="61"/>
      <c r="G625" s="73"/>
      <c r="H625" s="79"/>
      <c r="I625" s="79"/>
      <c r="J625" s="14"/>
      <c r="K625" s="38"/>
      <c r="L625" s="38"/>
      <c r="M625" s="17"/>
    </row>
    <row r="626" spans="2:13" ht="14.45" customHeight="1" x14ac:dyDescent="0.25">
      <c r="B626" s="17"/>
      <c r="C626" s="14"/>
      <c r="D626" s="14"/>
      <c r="E626" s="18"/>
      <c r="F626" s="61"/>
      <c r="G626" s="73"/>
      <c r="H626" s="79"/>
      <c r="I626" s="79"/>
      <c r="J626" s="14"/>
      <c r="K626" s="38"/>
      <c r="L626" s="38"/>
      <c r="M626" s="17"/>
    </row>
    <row r="627" spans="2:13" ht="14.45" customHeight="1" x14ac:dyDescent="0.25">
      <c r="B627" s="17"/>
      <c r="C627" s="14"/>
      <c r="D627" s="14"/>
      <c r="E627" s="18"/>
      <c r="F627" s="61"/>
      <c r="G627" s="73"/>
      <c r="H627" s="79"/>
      <c r="I627" s="79"/>
      <c r="J627" s="14"/>
      <c r="K627" s="38"/>
      <c r="L627" s="38"/>
      <c r="M627" s="17"/>
    </row>
    <row r="628" spans="2:13" ht="14.45" customHeight="1" x14ac:dyDescent="0.25">
      <c r="B628" s="17"/>
      <c r="C628" s="14"/>
      <c r="D628" s="14"/>
      <c r="E628" s="18"/>
      <c r="F628" s="61"/>
      <c r="G628" s="73"/>
      <c r="H628" s="79"/>
      <c r="I628" s="79"/>
      <c r="J628" s="14"/>
      <c r="K628" s="38"/>
      <c r="L628" s="38"/>
      <c r="M628" s="17"/>
    </row>
    <row r="629" spans="2:13" ht="14.45" customHeight="1" x14ac:dyDescent="0.25">
      <c r="B629" s="17"/>
      <c r="C629" s="14"/>
      <c r="D629" s="14"/>
      <c r="E629" s="18"/>
      <c r="F629" s="61"/>
      <c r="G629" s="73"/>
      <c r="H629" s="79"/>
      <c r="I629" s="79"/>
      <c r="J629" s="14"/>
      <c r="K629" s="38"/>
      <c r="L629" s="38"/>
      <c r="M629" s="17"/>
    </row>
    <row r="630" spans="2:13" ht="14.45" customHeight="1" x14ac:dyDescent="0.25">
      <c r="B630" s="17"/>
      <c r="C630" s="14"/>
      <c r="D630" s="14"/>
      <c r="E630" s="18"/>
      <c r="F630" s="61"/>
      <c r="G630" s="73"/>
      <c r="H630" s="79"/>
      <c r="I630" s="79"/>
      <c r="J630" s="14"/>
      <c r="K630" s="38"/>
      <c r="L630" s="38"/>
      <c r="M630" s="17"/>
    </row>
    <row r="631" spans="2:13" ht="14.45" customHeight="1" x14ac:dyDescent="0.25">
      <c r="B631" s="17"/>
      <c r="C631" s="14"/>
      <c r="D631" s="14"/>
      <c r="E631" s="18"/>
      <c r="F631" s="61"/>
      <c r="G631" s="73"/>
      <c r="H631" s="79"/>
      <c r="I631" s="79"/>
      <c r="J631" s="14"/>
      <c r="K631" s="38"/>
      <c r="L631" s="38"/>
      <c r="M631" s="17"/>
    </row>
    <row r="632" spans="2:13" ht="14.45" customHeight="1" x14ac:dyDescent="0.25">
      <c r="B632" s="17"/>
      <c r="C632" s="14"/>
      <c r="D632" s="14"/>
      <c r="E632" s="18"/>
      <c r="F632" s="61"/>
      <c r="G632" s="73"/>
      <c r="H632" s="79"/>
      <c r="I632" s="79"/>
      <c r="J632" s="14"/>
      <c r="K632" s="38"/>
      <c r="L632" s="38"/>
      <c r="M632" s="17"/>
    </row>
    <row r="633" spans="2:13" ht="14.45" customHeight="1" x14ac:dyDescent="0.25">
      <c r="B633" s="17"/>
      <c r="C633" s="14"/>
      <c r="D633" s="14"/>
      <c r="E633" s="18"/>
      <c r="F633" s="61"/>
      <c r="G633" s="73"/>
      <c r="H633" s="79"/>
      <c r="I633" s="79"/>
      <c r="J633" s="14"/>
      <c r="K633" s="38"/>
      <c r="L633" s="38"/>
      <c r="M633" s="17"/>
    </row>
    <row r="634" spans="2:13" ht="14.45" customHeight="1" x14ac:dyDescent="0.25">
      <c r="B634" s="17"/>
      <c r="C634" s="14"/>
      <c r="D634" s="14"/>
      <c r="E634" s="18"/>
      <c r="F634" s="61"/>
      <c r="G634" s="73"/>
      <c r="H634" s="79"/>
      <c r="I634" s="79"/>
      <c r="J634" s="14"/>
      <c r="K634" s="38"/>
      <c r="L634" s="38"/>
      <c r="M634" s="17"/>
    </row>
    <row r="635" spans="2:13" ht="14.45" customHeight="1" x14ac:dyDescent="0.25">
      <c r="B635" s="17"/>
      <c r="C635" s="14"/>
      <c r="D635" s="14"/>
      <c r="E635" s="18"/>
      <c r="F635" s="61"/>
      <c r="G635" s="73"/>
      <c r="H635" s="79"/>
      <c r="I635" s="79"/>
      <c r="J635" s="14"/>
      <c r="K635" s="38"/>
      <c r="L635" s="38"/>
      <c r="M635" s="17"/>
    </row>
    <row r="636" spans="2:13" ht="14.45" customHeight="1" x14ac:dyDescent="0.25">
      <c r="B636" s="17"/>
      <c r="C636" s="14"/>
      <c r="D636" s="14"/>
      <c r="E636" s="18"/>
      <c r="F636" s="61"/>
      <c r="G636" s="73"/>
      <c r="H636" s="79"/>
      <c r="I636" s="79"/>
      <c r="J636" s="14"/>
      <c r="K636" s="38"/>
      <c r="L636" s="38"/>
      <c r="M636" s="17"/>
    </row>
    <row r="637" spans="2:13" ht="14.45" customHeight="1" x14ac:dyDescent="0.25">
      <c r="B637" s="17"/>
      <c r="C637" s="14"/>
      <c r="D637" s="14"/>
      <c r="E637" s="18"/>
      <c r="F637" s="61"/>
      <c r="G637" s="73"/>
      <c r="H637" s="79"/>
      <c r="I637" s="79"/>
      <c r="J637" s="14"/>
      <c r="K637" s="38"/>
      <c r="L637" s="38"/>
      <c r="M637" s="17"/>
    </row>
    <row r="638" spans="2:13" ht="14.45" customHeight="1" x14ac:dyDescent="0.25">
      <c r="B638" s="17"/>
      <c r="C638" s="14"/>
      <c r="D638" s="14"/>
      <c r="E638" s="18"/>
      <c r="F638" s="61"/>
      <c r="G638" s="73"/>
      <c r="H638" s="79"/>
      <c r="I638" s="79"/>
      <c r="J638" s="14"/>
      <c r="K638" s="38"/>
      <c r="L638" s="38"/>
      <c r="M638" s="17"/>
    </row>
    <row r="639" spans="2:13" ht="14.45" customHeight="1" x14ac:dyDescent="0.25">
      <c r="B639" s="17"/>
      <c r="C639" s="14"/>
      <c r="D639" s="14"/>
      <c r="E639" s="18"/>
      <c r="F639" s="61"/>
      <c r="G639" s="73"/>
      <c r="H639" s="79"/>
      <c r="I639" s="79"/>
      <c r="J639" s="14"/>
      <c r="K639" s="38"/>
      <c r="L639" s="38"/>
      <c r="M639" s="17"/>
    </row>
    <row r="640" spans="2:13" ht="14.45" customHeight="1" x14ac:dyDescent="0.25">
      <c r="B640" s="17"/>
      <c r="C640" s="14"/>
      <c r="D640" s="14"/>
      <c r="E640" s="18"/>
      <c r="F640" s="61"/>
      <c r="G640" s="73"/>
      <c r="H640" s="79"/>
      <c r="I640" s="79"/>
      <c r="J640" s="14"/>
      <c r="K640" s="38"/>
      <c r="L640" s="38"/>
      <c r="M640" s="17"/>
    </row>
    <row r="641" spans="2:13" ht="14.45" customHeight="1" x14ac:dyDescent="0.25">
      <c r="B641" s="17"/>
      <c r="C641" s="14"/>
      <c r="D641" s="14"/>
      <c r="E641" s="18"/>
      <c r="F641" s="61"/>
      <c r="G641" s="73"/>
      <c r="H641" s="79"/>
      <c r="I641" s="79"/>
      <c r="J641" s="14"/>
      <c r="K641" s="38"/>
      <c r="L641" s="38"/>
      <c r="M641" s="17"/>
    </row>
    <row r="642" spans="2:13" ht="14.45" customHeight="1" x14ac:dyDescent="0.25">
      <c r="B642" s="17"/>
      <c r="C642" s="14"/>
      <c r="D642" s="14"/>
      <c r="E642" s="18"/>
      <c r="F642" s="61"/>
      <c r="G642" s="73"/>
      <c r="H642" s="79"/>
      <c r="I642" s="79"/>
      <c r="J642" s="14"/>
      <c r="K642" s="38"/>
      <c r="L642" s="38"/>
      <c r="M642" s="17"/>
    </row>
    <row r="643" spans="2:13" ht="14.45" customHeight="1" x14ac:dyDescent="0.25">
      <c r="B643" s="17"/>
      <c r="C643" s="14"/>
      <c r="D643" s="14"/>
      <c r="E643" s="18"/>
      <c r="F643" s="61"/>
      <c r="G643" s="73"/>
      <c r="H643" s="79"/>
      <c r="I643" s="79"/>
      <c r="J643" s="14"/>
      <c r="K643" s="38"/>
      <c r="L643" s="38"/>
      <c r="M643" s="17"/>
    </row>
    <row r="644" spans="2:13" ht="14.45" customHeight="1" x14ac:dyDescent="0.25">
      <c r="B644" s="17"/>
      <c r="C644" s="14"/>
      <c r="D644" s="14"/>
      <c r="E644" s="18"/>
      <c r="F644" s="61"/>
      <c r="G644" s="73"/>
      <c r="H644" s="79"/>
      <c r="I644" s="79"/>
      <c r="J644" s="14"/>
      <c r="K644" s="38"/>
      <c r="L644" s="38"/>
      <c r="M644" s="17"/>
    </row>
    <row r="645" spans="2:13" ht="14.45" customHeight="1" x14ac:dyDescent="0.25">
      <c r="B645" s="17"/>
      <c r="C645" s="14"/>
      <c r="D645" s="14"/>
      <c r="E645" s="18"/>
      <c r="F645" s="61"/>
      <c r="G645" s="73"/>
      <c r="H645" s="79"/>
      <c r="I645" s="79"/>
      <c r="J645" s="14"/>
      <c r="K645" s="38"/>
      <c r="L645" s="38"/>
      <c r="M645" s="17"/>
    </row>
    <row r="646" spans="2:13" ht="14.45" customHeight="1" x14ac:dyDescent="0.25">
      <c r="B646" s="17"/>
      <c r="C646" s="14"/>
      <c r="D646" s="14"/>
      <c r="E646" s="18"/>
      <c r="F646" s="61"/>
      <c r="G646" s="73"/>
      <c r="H646" s="79"/>
      <c r="I646" s="79"/>
      <c r="J646" s="14"/>
      <c r="K646" s="38"/>
      <c r="L646" s="38"/>
      <c r="M646" s="17"/>
    </row>
    <row r="647" spans="2:13" ht="14.45" customHeight="1" x14ac:dyDescent="0.25">
      <c r="B647" s="17"/>
      <c r="C647" s="14"/>
      <c r="D647" s="14"/>
      <c r="E647" s="18"/>
      <c r="F647" s="61"/>
      <c r="G647" s="73"/>
      <c r="H647" s="79"/>
      <c r="I647" s="79"/>
      <c r="J647" s="14"/>
      <c r="K647" s="38"/>
      <c r="L647" s="38"/>
      <c r="M647" s="17"/>
    </row>
    <row r="648" spans="2:13" ht="14.45" customHeight="1" x14ac:dyDescent="0.25">
      <c r="B648" s="17"/>
      <c r="C648" s="14"/>
      <c r="D648" s="14"/>
      <c r="E648" s="18"/>
      <c r="F648" s="61"/>
      <c r="G648" s="73"/>
      <c r="H648" s="79"/>
      <c r="I648" s="79"/>
      <c r="J648" s="14"/>
      <c r="K648" s="38"/>
      <c r="L648" s="38"/>
      <c r="M648" s="17"/>
    </row>
    <row r="649" spans="2:13" ht="14.45" customHeight="1" x14ac:dyDescent="0.25">
      <c r="B649" s="17"/>
      <c r="C649" s="14"/>
      <c r="D649" s="14"/>
      <c r="E649" s="18"/>
      <c r="F649" s="61"/>
      <c r="G649" s="73"/>
      <c r="H649" s="79"/>
      <c r="I649" s="79"/>
      <c r="J649" s="14"/>
      <c r="K649" s="38"/>
      <c r="L649" s="38"/>
      <c r="M649" s="17"/>
    </row>
    <row r="650" spans="2:13" ht="14.45" customHeight="1" x14ac:dyDescent="0.25">
      <c r="B650" s="17"/>
      <c r="C650" s="14"/>
      <c r="D650" s="14"/>
      <c r="E650" s="18"/>
      <c r="F650" s="61"/>
      <c r="G650" s="73"/>
      <c r="H650" s="79"/>
      <c r="I650" s="79"/>
      <c r="J650" s="14"/>
      <c r="K650" s="38"/>
      <c r="L650" s="38"/>
      <c r="M650" s="17"/>
    </row>
    <row r="651" spans="2:13" ht="14.45" customHeight="1" x14ac:dyDescent="0.25">
      <c r="B651" s="17"/>
      <c r="C651" s="14"/>
      <c r="D651" s="14"/>
      <c r="E651" s="18"/>
      <c r="F651" s="61"/>
      <c r="G651" s="73"/>
      <c r="H651" s="79"/>
      <c r="I651" s="79"/>
      <c r="J651" s="14"/>
      <c r="K651" s="38"/>
      <c r="L651" s="38"/>
      <c r="M651" s="17"/>
    </row>
    <row r="652" spans="2:13" ht="14.45" customHeight="1" x14ac:dyDescent="0.25">
      <c r="B652" s="17"/>
      <c r="C652" s="14"/>
      <c r="D652" s="14"/>
      <c r="E652" s="18"/>
      <c r="F652" s="61"/>
      <c r="G652" s="73"/>
      <c r="H652" s="79"/>
      <c r="I652" s="79"/>
      <c r="J652" s="14"/>
      <c r="K652" s="38"/>
      <c r="L652" s="38"/>
      <c r="M652" s="17"/>
    </row>
    <row r="653" spans="2:13" ht="14.45" customHeight="1" x14ac:dyDescent="0.25">
      <c r="B653" s="17"/>
      <c r="C653" s="14"/>
      <c r="D653" s="14"/>
      <c r="E653" s="18"/>
      <c r="F653" s="61"/>
      <c r="G653" s="73"/>
      <c r="H653" s="79"/>
      <c r="I653" s="79"/>
      <c r="J653" s="14"/>
      <c r="K653" s="38"/>
      <c r="L653" s="38"/>
      <c r="M653" s="17"/>
    </row>
    <row r="654" spans="2:13" ht="14.45" customHeight="1" x14ac:dyDescent="0.25">
      <c r="B654" s="17"/>
      <c r="C654" s="14"/>
      <c r="D654" s="14"/>
      <c r="E654" s="18"/>
      <c r="F654" s="61"/>
      <c r="G654" s="73"/>
      <c r="H654" s="79"/>
      <c r="I654" s="79"/>
      <c r="J654" s="14"/>
      <c r="K654" s="38"/>
      <c r="L654" s="38"/>
      <c r="M654" s="17"/>
    </row>
    <row r="655" spans="2:13" ht="14.45" customHeight="1" x14ac:dyDescent="0.25">
      <c r="B655" s="17"/>
      <c r="C655" s="14"/>
      <c r="D655" s="14"/>
      <c r="E655" s="18"/>
      <c r="F655" s="61"/>
      <c r="G655" s="73"/>
      <c r="H655" s="79"/>
      <c r="I655" s="79"/>
      <c r="J655" s="14"/>
      <c r="K655" s="38"/>
      <c r="L655" s="38"/>
      <c r="M655" s="17"/>
    </row>
    <row r="656" spans="2:13" ht="14.45" customHeight="1" x14ac:dyDescent="0.25">
      <c r="B656" s="17"/>
      <c r="C656" s="14"/>
      <c r="D656" s="14"/>
      <c r="E656" s="18"/>
      <c r="F656" s="61"/>
      <c r="G656" s="73"/>
      <c r="H656" s="79"/>
      <c r="I656" s="79"/>
      <c r="J656" s="14"/>
      <c r="K656" s="38"/>
      <c r="L656" s="38"/>
      <c r="M656" s="17"/>
    </row>
    <row r="657" spans="2:13" ht="14.45" customHeight="1" x14ac:dyDescent="0.25">
      <c r="B657" s="17"/>
      <c r="C657" s="14"/>
      <c r="D657" s="14"/>
      <c r="E657" s="18"/>
      <c r="F657" s="61"/>
      <c r="G657" s="73"/>
      <c r="H657" s="79"/>
      <c r="I657" s="79"/>
      <c r="J657" s="14"/>
      <c r="K657" s="38"/>
      <c r="L657" s="38"/>
      <c r="M657" s="17"/>
    </row>
    <row r="658" spans="2:13" ht="14.45" customHeight="1" x14ac:dyDescent="0.25">
      <c r="B658" s="17"/>
      <c r="C658" s="14"/>
      <c r="D658" s="14"/>
      <c r="E658" s="18"/>
      <c r="F658" s="61"/>
      <c r="G658" s="73"/>
      <c r="H658" s="79"/>
      <c r="I658" s="79"/>
      <c r="J658" s="14"/>
      <c r="K658" s="38"/>
      <c r="L658" s="38"/>
      <c r="M658" s="17"/>
    </row>
    <row r="659" spans="2:13" ht="14.45" customHeight="1" x14ac:dyDescent="0.25">
      <c r="B659" s="17"/>
      <c r="C659" s="14"/>
      <c r="D659" s="14"/>
      <c r="E659" s="18"/>
      <c r="F659" s="61"/>
      <c r="G659" s="73"/>
      <c r="H659" s="79"/>
      <c r="I659" s="79"/>
      <c r="J659" s="14"/>
      <c r="K659" s="38"/>
      <c r="L659" s="38"/>
      <c r="M659" s="17"/>
    </row>
    <row r="660" spans="2:13" ht="14.45" customHeight="1" x14ac:dyDescent="0.25">
      <c r="B660" s="17"/>
      <c r="C660" s="14"/>
      <c r="D660" s="14"/>
      <c r="E660" s="18"/>
      <c r="F660" s="61"/>
      <c r="G660" s="73"/>
      <c r="H660" s="79"/>
      <c r="I660" s="79"/>
      <c r="J660" s="14"/>
      <c r="K660" s="38"/>
      <c r="L660" s="38"/>
      <c r="M660" s="17"/>
    </row>
    <row r="661" spans="2:13" ht="14.45" customHeight="1" x14ac:dyDescent="0.25">
      <c r="B661" s="17"/>
      <c r="C661" s="14"/>
      <c r="D661" s="14"/>
      <c r="E661" s="18"/>
      <c r="F661" s="61"/>
      <c r="G661" s="73"/>
      <c r="H661" s="79"/>
      <c r="I661" s="79"/>
      <c r="J661" s="14"/>
      <c r="K661" s="38"/>
      <c r="L661" s="38"/>
      <c r="M661" s="17"/>
    </row>
    <row r="662" spans="2:13" ht="14.45" customHeight="1" x14ac:dyDescent="0.25">
      <c r="B662" s="17"/>
      <c r="C662" s="14"/>
      <c r="D662" s="14"/>
      <c r="E662" s="18"/>
      <c r="F662" s="61"/>
      <c r="G662" s="73"/>
      <c r="H662" s="79"/>
      <c r="I662" s="79"/>
      <c r="J662" s="14"/>
      <c r="K662" s="38"/>
      <c r="L662" s="38"/>
      <c r="M662" s="17"/>
    </row>
    <row r="663" spans="2:13" ht="14.45" customHeight="1" x14ac:dyDescent="0.25">
      <c r="B663" s="17"/>
      <c r="C663" s="14"/>
      <c r="D663" s="14"/>
      <c r="E663" s="18"/>
      <c r="F663" s="61"/>
      <c r="G663" s="73"/>
      <c r="H663" s="79"/>
      <c r="I663" s="79"/>
      <c r="J663" s="14"/>
      <c r="K663" s="38"/>
      <c r="L663" s="38"/>
      <c r="M663" s="17"/>
    </row>
    <row r="664" spans="2:13" ht="14.45" customHeight="1" x14ac:dyDescent="0.25">
      <c r="B664" s="17"/>
      <c r="C664" s="14"/>
      <c r="D664" s="14"/>
      <c r="E664" s="18"/>
      <c r="F664" s="61"/>
      <c r="G664" s="73"/>
      <c r="H664" s="79"/>
      <c r="I664" s="79"/>
      <c r="J664" s="14"/>
      <c r="K664" s="38"/>
      <c r="L664" s="38"/>
      <c r="M664" s="17"/>
    </row>
    <row r="665" spans="2:13" ht="14.45" customHeight="1" x14ac:dyDescent="0.25">
      <c r="B665" s="17"/>
      <c r="C665" s="14"/>
      <c r="D665" s="14"/>
      <c r="E665" s="18"/>
      <c r="F665" s="61"/>
      <c r="G665" s="73"/>
      <c r="H665" s="79"/>
      <c r="I665" s="79"/>
      <c r="J665" s="14"/>
      <c r="K665" s="38"/>
      <c r="L665" s="38"/>
      <c r="M665" s="17"/>
    </row>
    <row r="666" spans="2:13" ht="14.45" customHeight="1" x14ac:dyDescent="0.25">
      <c r="B666" s="17"/>
      <c r="C666" s="14"/>
      <c r="D666" s="14"/>
      <c r="E666" s="18"/>
      <c r="F666" s="61"/>
      <c r="G666" s="73"/>
      <c r="H666" s="79"/>
      <c r="I666" s="79"/>
      <c r="J666" s="14"/>
      <c r="K666" s="38"/>
      <c r="L666" s="38"/>
      <c r="M666" s="17"/>
    </row>
    <row r="667" spans="2:13" ht="14.45" customHeight="1" x14ac:dyDescent="0.25">
      <c r="B667" s="17"/>
      <c r="C667" s="14"/>
      <c r="D667" s="14"/>
      <c r="E667" s="18"/>
      <c r="F667" s="61"/>
      <c r="G667" s="73"/>
      <c r="H667" s="79"/>
      <c r="I667" s="79"/>
      <c r="J667" s="14"/>
      <c r="K667" s="38"/>
      <c r="L667" s="38"/>
      <c r="M667" s="17"/>
    </row>
    <row r="668" spans="2:13" ht="14.45" customHeight="1" x14ac:dyDescent="0.25">
      <c r="B668" s="17"/>
      <c r="C668" s="14"/>
      <c r="D668" s="14"/>
      <c r="E668" s="18"/>
      <c r="F668" s="61"/>
      <c r="G668" s="73"/>
      <c r="H668" s="79"/>
      <c r="I668" s="79"/>
      <c r="J668" s="14"/>
      <c r="K668" s="38"/>
      <c r="L668" s="38"/>
      <c r="M668" s="17"/>
    </row>
    <row r="669" spans="2:13" ht="14.45" customHeight="1" x14ac:dyDescent="0.25">
      <c r="B669" s="17"/>
      <c r="C669" s="14"/>
      <c r="D669" s="14"/>
      <c r="E669" s="18"/>
      <c r="F669" s="61"/>
      <c r="G669" s="73"/>
      <c r="H669" s="79"/>
      <c r="I669" s="79"/>
      <c r="J669" s="14"/>
      <c r="K669" s="38"/>
      <c r="L669" s="38"/>
      <c r="M669" s="17"/>
    </row>
    <row r="670" spans="2:13" ht="14.45" customHeight="1" x14ac:dyDescent="0.25">
      <c r="B670" s="17"/>
      <c r="C670" s="14"/>
      <c r="D670" s="14"/>
      <c r="E670" s="18"/>
      <c r="F670" s="61"/>
      <c r="G670" s="73"/>
      <c r="H670" s="79"/>
      <c r="I670" s="79"/>
      <c r="J670" s="14"/>
      <c r="K670" s="38"/>
      <c r="L670" s="38"/>
      <c r="M670" s="17"/>
    </row>
    <row r="671" spans="2:13" ht="14.45" customHeight="1" x14ac:dyDescent="0.25">
      <c r="B671" s="17"/>
      <c r="C671" s="14"/>
      <c r="D671" s="14"/>
      <c r="E671" s="18"/>
      <c r="F671" s="61"/>
      <c r="G671" s="73"/>
      <c r="H671" s="79"/>
      <c r="I671" s="79"/>
      <c r="J671" s="14"/>
      <c r="K671" s="38"/>
      <c r="L671" s="38"/>
      <c r="M671" s="17"/>
    </row>
    <row r="672" spans="2:13" ht="14.45" customHeight="1" x14ac:dyDescent="0.25">
      <c r="B672" s="17"/>
      <c r="C672" s="14"/>
      <c r="D672" s="14"/>
      <c r="E672" s="18"/>
      <c r="F672" s="61"/>
      <c r="G672" s="73"/>
      <c r="H672" s="79"/>
      <c r="I672" s="79"/>
      <c r="J672" s="14"/>
      <c r="K672" s="38"/>
      <c r="L672" s="38"/>
      <c r="M672" s="17"/>
    </row>
    <row r="673" spans="2:13" ht="14.45" customHeight="1" x14ac:dyDescent="0.25">
      <c r="B673" s="17"/>
      <c r="C673" s="14"/>
      <c r="D673" s="14"/>
      <c r="E673" s="18"/>
      <c r="F673" s="61"/>
      <c r="G673" s="73"/>
      <c r="H673" s="79"/>
      <c r="I673" s="79"/>
      <c r="J673" s="14"/>
      <c r="K673" s="38"/>
      <c r="L673" s="38"/>
      <c r="M673" s="17"/>
    </row>
    <row r="674" spans="2:13" ht="14.45" customHeight="1" x14ac:dyDescent="0.25">
      <c r="B674" s="17"/>
      <c r="C674" s="14"/>
      <c r="D674" s="14"/>
      <c r="E674" s="18"/>
      <c r="F674" s="61"/>
      <c r="G674" s="73"/>
      <c r="H674" s="79"/>
      <c r="I674" s="79"/>
      <c r="J674" s="14"/>
      <c r="K674" s="38"/>
      <c r="L674" s="38"/>
      <c r="M674" s="17"/>
    </row>
    <row r="675" spans="2:13" ht="14.45" customHeight="1" x14ac:dyDescent="0.25">
      <c r="B675" s="17"/>
      <c r="C675" s="14"/>
      <c r="D675" s="14"/>
      <c r="E675" s="18"/>
      <c r="F675" s="61"/>
      <c r="G675" s="73"/>
      <c r="H675" s="79"/>
      <c r="I675" s="79"/>
      <c r="J675" s="14"/>
      <c r="K675" s="38"/>
      <c r="L675" s="38"/>
      <c r="M675" s="17"/>
    </row>
    <row r="676" spans="2:13" ht="14.45" customHeight="1" x14ac:dyDescent="0.25">
      <c r="B676" s="17"/>
      <c r="C676" s="14"/>
      <c r="D676" s="14"/>
      <c r="E676" s="18"/>
      <c r="F676" s="61"/>
      <c r="G676" s="73"/>
      <c r="H676" s="79"/>
      <c r="I676" s="79"/>
      <c r="J676" s="14"/>
      <c r="K676" s="38"/>
      <c r="L676" s="38"/>
      <c r="M676" s="17"/>
    </row>
    <row r="677" spans="2:13" ht="14.45" customHeight="1" x14ac:dyDescent="0.25">
      <c r="B677" s="17"/>
      <c r="C677" s="14"/>
      <c r="D677" s="14"/>
      <c r="E677" s="18"/>
      <c r="F677" s="61"/>
      <c r="G677" s="73"/>
      <c r="H677" s="79"/>
      <c r="I677" s="79"/>
      <c r="J677" s="14"/>
      <c r="K677" s="38"/>
      <c r="L677" s="38"/>
      <c r="M677" s="17"/>
    </row>
    <row r="678" spans="2:13" ht="14.45" customHeight="1" x14ac:dyDescent="0.25">
      <c r="B678" s="17"/>
      <c r="C678" s="14"/>
      <c r="D678" s="14"/>
      <c r="E678" s="18"/>
      <c r="F678" s="61"/>
      <c r="G678" s="73"/>
      <c r="H678" s="79"/>
      <c r="I678" s="79"/>
      <c r="J678" s="14"/>
      <c r="K678" s="38"/>
      <c r="L678" s="38"/>
      <c r="M678" s="17"/>
    </row>
    <row r="679" spans="2:13" ht="14.45" customHeight="1" x14ac:dyDescent="0.25">
      <c r="B679" s="17"/>
      <c r="C679" s="14"/>
      <c r="D679" s="14"/>
      <c r="E679" s="18"/>
      <c r="F679" s="61"/>
      <c r="G679" s="73"/>
      <c r="H679" s="79"/>
      <c r="I679" s="79"/>
      <c r="J679" s="14"/>
      <c r="K679" s="38"/>
      <c r="L679" s="38"/>
      <c r="M679" s="17"/>
    </row>
    <row r="680" spans="2:13" ht="14.45" customHeight="1" x14ac:dyDescent="0.25">
      <c r="B680" s="17"/>
      <c r="C680" s="14"/>
      <c r="D680" s="14"/>
      <c r="E680" s="18"/>
      <c r="F680" s="61"/>
      <c r="G680" s="73"/>
      <c r="H680" s="79"/>
      <c r="I680" s="79"/>
      <c r="J680" s="14"/>
      <c r="K680" s="38"/>
      <c r="L680" s="38"/>
      <c r="M680" s="17"/>
    </row>
    <row r="681" spans="2:13" ht="14.45" customHeight="1" x14ac:dyDescent="0.25">
      <c r="B681" s="17"/>
      <c r="C681" s="14"/>
      <c r="D681" s="14"/>
      <c r="E681" s="18"/>
      <c r="F681" s="61"/>
      <c r="G681" s="73"/>
      <c r="H681" s="79"/>
      <c r="I681" s="79"/>
      <c r="J681" s="14"/>
      <c r="K681" s="38"/>
      <c r="L681" s="38"/>
      <c r="M681" s="17"/>
    </row>
    <row r="682" spans="2:13" ht="14.45" customHeight="1" x14ac:dyDescent="0.25">
      <c r="B682" s="17"/>
      <c r="C682" s="14"/>
      <c r="D682" s="14"/>
      <c r="E682" s="18"/>
      <c r="F682" s="61"/>
      <c r="G682" s="73"/>
      <c r="H682" s="79"/>
      <c r="I682" s="79"/>
      <c r="J682" s="14"/>
      <c r="K682" s="38"/>
      <c r="L682" s="38"/>
      <c r="M682" s="17"/>
    </row>
    <row r="683" spans="2:13" ht="14.45" customHeight="1" x14ac:dyDescent="0.25">
      <c r="B683" s="17"/>
      <c r="C683" s="14"/>
      <c r="D683" s="14"/>
      <c r="E683" s="18"/>
      <c r="F683" s="61"/>
      <c r="G683" s="73"/>
      <c r="H683" s="79"/>
      <c r="I683" s="79"/>
      <c r="J683" s="14"/>
      <c r="K683" s="38"/>
      <c r="L683" s="38"/>
      <c r="M683" s="17"/>
    </row>
    <row r="684" spans="2:13" ht="14.45" customHeight="1" x14ac:dyDescent="0.25">
      <c r="B684" s="17"/>
      <c r="C684" s="14"/>
      <c r="D684" s="14"/>
      <c r="E684" s="18"/>
      <c r="F684" s="61"/>
      <c r="G684" s="73"/>
      <c r="H684" s="79"/>
      <c r="I684" s="79"/>
      <c r="J684" s="14"/>
      <c r="K684" s="38"/>
      <c r="L684" s="38"/>
      <c r="M684" s="17"/>
    </row>
    <row r="685" spans="2:13" ht="14.45" customHeight="1" x14ac:dyDescent="0.25">
      <c r="B685" s="17"/>
      <c r="C685" s="14"/>
      <c r="D685" s="14"/>
      <c r="E685" s="18"/>
      <c r="F685" s="61"/>
      <c r="G685" s="73"/>
      <c r="H685" s="79"/>
      <c r="I685" s="79"/>
      <c r="J685" s="14"/>
      <c r="K685" s="38"/>
      <c r="L685" s="38"/>
      <c r="M685" s="17"/>
    </row>
    <row r="686" spans="2:13" ht="14.45" customHeight="1" x14ac:dyDescent="0.25">
      <c r="B686" s="17"/>
      <c r="C686" s="14"/>
      <c r="D686" s="14"/>
      <c r="E686" s="18"/>
      <c r="F686" s="61"/>
      <c r="G686" s="73"/>
      <c r="H686" s="79"/>
      <c r="I686" s="79"/>
      <c r="J686" s="14"/>
      <c r="K686" s="38"/>
      <c r="L686" s="38"/>
      <c r="M686" s="17"/>
    </row>
    <row r="687" spans="2:13" ht="14.45" customHeight="1" x14ac:dyDescent="0.25">
      <c r="B687" s="17"/>
      <c r="C687" s="14"/>
      <c r="D687" s="14"/>
      <c r="E687" s="18"/>
      <c r="F687" s="61"/>
      <c r="G687" s="73"/>
      <c r="H687" s="79"/>
      <c r="I687" s="79"/>
      <c r="J687" s="14"/>
      <c r="K687" s="38"/>
      <c r="L687" s="38"/>
      <c r="M687" s="17"/>
    </row>
    <row r="688" spans="2:13" ht="14.45" customHeight="1" x14ac:dyDescent="0.25">
      <c r="B688" s="17"/>
      <c r="C688" s="14"/>
      <c r="D688" s="14"/>
      <c r="E688" s="18"/>
      <c r="F688" s="61"/>
      <c r="G688" s="73"/>
      <c r="H688" s="79"/>
      <c r="I688" s="79"/>
      <c r="J688" s="14"/>
      <c r="K688" s="38"/>
      <c r="L688" s="38"/>
      <c r="M688" s="17"/>
    </row>
    <row r="689" spans="2:13" ht="14.45" customHeight="1" x14ac:dyDescent="0.25">
      <c r="B689" s="17"/>
      <c r="C689" s="14"/>
      <c r="D689" s="14"/>
      <c r="E689" s="18"/>
      <c r="F689" s="61"/>
      <c r="G689" s="73"/>
      <c r="H689" s="79"/>
      <c r="I689" s="79"/>
      <c r="J689" s="14"/>
      <c r="K689" s="38"/>
      <c r="L689" s="38"/>
      <c r="M689" s="17"/>
    </row>
    <row r="690" spans="2:13" ht="14.45" customHeight="1" x14ac:dyDescent="0.25">
      <c r="B690" s="17"/>
      <c r="C690" s="14"/>
      <c r="D690" s="14"/>
      <c r="E690" s="18"/>
      <c r="F690" s="61"/>
      <c r="G690" s="73"/>
      <c r="H690" s="79"/>
      <c r="I690" s="79"/>
      <c r="J690" s="14"/>
      <c r="K690" s="38"/>
      <c r="L690" s="38"/>
      <c r="M690" s="17"/>
    </row>
    <row r="691" spans="2:13" ht="14.45" customHeight="1" x14ac:dyDescent="0.25">
      <c r="B691" s="17"/>
      <c r="C691" s="14"/>
      <c r="D691" s="14"/>
      <c r="E691" s="18"/>
      <c r="F691" s="61"/>
      <c r="G691" s="73"/>
      <c r="H691" s="79"/>
      <c r="I691" s="79"/>
      <c r="J691" s="14"/>
      <c r="K691" s="38"/>
      <c r="L691" s="38"/>
      <c r="M691" s="17"/>
    </row>
    <row r="692" spans="2:13" ht="14.45" customHeight="1" x14ac:dyDescent="0.25">
      <c r="B692" s="17"/>
      <c r="C692" s="14"/>
      <c r="D692" s="14"/>
      <c r="E692" s="18"/>
      <c r="F692" s="61"/>
      <c r="G692" s="73"/>
      <c r="H692" s="79"/>
      <c r="I692" s="79"/>
      <c r="J692" s="14"/>
      <c r="K692" s="38"/>
      <c r="L692" s="38"/>
      <c r="M692" s="17"/>
    </row>
    <row r="693" spans="2:13" ht="14.45" customHeight="1" x14ac:dyDescent="0.25">
      <c r="B693" s="17"/>
      <c r="C693" s="14"/>
      <c r="D693" s="14"/>
      <c r="E693" s="18"/>
      <c r="F693" s="61"/>
      <c r="G693" s="73"/>
      <c r="H693" s="79"/>
      <c r="I693" s="79"/>
      <c r="J693" s="14"/>
      <c r="K693" s="38"/>
      <c r="L693" s="38"/>
      <c r="M693" s="17"/>
    </row>
    <row r="694" spans="2:13" ht="14.45" customHeight="1" x14ac:dyDescent="0.25">
      <c r="B694" s="17"/>
      <c r="C694" s="14"/>
      <c r="D694" s="14"/>
      <c r="E694" s="18"/>
      <c r="F694" s="61"/>
      <c r="G694" s="73"/>
      <c r="H694" s="79"/>
      <c r="I694" s="79"/>
      <c r="J694" s="14"/>
      <c r="K694" s="38"/>
      <c r="L694" s="38"/>
      <c r="M694" s="17"/>
    </row>
    <row r="695" spans="2:13" ht="14.45" customHeight="1" x14ac:dyDescent="0.25">
      <c r="B695" s="17"/>
      <c r="C695" s="14"/>
      <c r="D695" s="14"/>
      <c r="E695" s="18"/>
      <c r="F695" s="61"/>
      <c r="G695" s="73"/>
      <c r="H695" s="79"/>
      <c r="I695" s="79"/>
      <c r="J695" s="14"/>
      <c r="K695" s="38"/>
      <c r="L695" s="38"/>
      <c r="M695" s="17"/>
    </row>
    <row r="696" spans="2:13" ht="14.45" customHeight="1" x14ac:dyDescent="0.25">
      <c r="B696" s="17"/>
      <c r="C696" s="14"/>
      <c r="D696" s="14"/>
      <c r="E696" s="18"/>
      <c r="F696" s="61"/>
      <c r="G696" s="73"/>
      <c r="H696" s="79"/>
      <c r="I696" s="79"/>
      <c r="J696" s="14"/>
      <c r="K696" s="38"/>
      <c r="L696" s="38"/>
      <c r="M696" s="17"/>
    </row>
    <row r="697" spans="2:13" ht="14.45" customHeight="1" x14ac:dyDescent="0.25">
      <c r="B697" s="17"/>
      <c r="C697" s="14"/>
      <c r="D697" s="14"/>
      <c r="E697" s="18"/>
      <c r="F697" s="61"/>
      <c r="G697" s="73"/>
      <c r="H697" s="79"/>
      <c r="I697" s="79"/>
      <c r="J697" s="14"/>
      <c r="K697" s="38"/>
      <c r="L697" s="38"/>
      <c r="M697" s="17"/>
    </row>
    <row r="698" spans="2:13" ht="14.45" customHeight="1" x14ac:dyDescent="0.25">
      <c r="B698" s="17"/>
      <c r="C698" s="14"/>
      <c r="D698" s="14"/>
      <c r="E698" s="18"/>
      <c r="F698" s="61"/>
      <c r="G698" s="73"/>
      <c r="H698" s="79"/>
      <c r="I698" s="79"/>
      <c r="J698" s="14"/>
      <c r="K698" s="38"/>
      <c r="L698" s="38"/>
      <c r="M698" s="17"/>
    </row>
    <row r="699" spans="2:13" ht="14.45" customHeight="1" x14ac:dyDescent="0.25">
      <c r="B699" s="17"/>
      <c r="C699" s="14"/>
      <c r="D699" s="14"/>
      <c r="E699" s="18"/>
      <c r="F699" s="61"/>
      <c r="G699" s="73"/>
      <c r="H699" s="79"/>
      <c r="I699" s="79"/>
      <c r="J699" s="14"/>
      <c r="K699" s="38"/>
      <c r="L699" s="38"/>
      <c r="M699" s="17"/>
    </row>
    <row r="700" spans="2:13" ht="14.45" customHeight="1" x14ac:dyDescent="0.25">
      <c r="B700" s="17"/>
      <c r="C700" s="14"/>
      <c r="D700" s="14"/>
      <c r="E700" s="18"/>
      <c r="F700" s="61"/>
      <c r="G700" s="73"/>
      <c r="H700" s="79"/>
      <c r="I700" s="79"/>
      <c r="J700" s="14"/>
      <c r="K700" s="38"/>
      <c r="L700" s="38"/>
      <c r="M700" s="17"/>
    </row>
    <row r="701" spans="2:13" ht="14.45" customHeight="1" x14ac:dyDescent="0.25">
      <c r="B701" s="17"/>
      <c r="C701" s="14"/>
      <c r="D701" s="14"/>
      <c r="E701" s="18"/>
      <c r="F701" s="61"/>
      <c r="G701" s="73"/>
      <c r="H701" s="79"/>
      <c r="I701" s="79"/>
      <c r="J701" s="14"/>
      <c r="K701" s="38"/>
      <c r="L701" s="38"/>
      <c r="M701" s="17"/>
    </row>
    <row r="702" spans="2:13" ht="14.45" customHeight="1" x14ac:dyDescent="0.25">
      <c r="B702" s="17"/>
      <c r="C702" s="14"/>
      <c r="D702" s="14"/>
      <c r="E702" s="18"/>
      <c r="F702" s="61"/>
      <c r="G702" s="73"/>
      <c r="H702" s="79"/>
      <c r="I702" s="79"/>
      <c r="J702" s="14"/>
      <c r="K702" s="38"/>
      <c r="L702" s="38"/>
      <c r="M702" s="17"/>
    </row>
    <row r="703" spans="2:13" ht="14.45" customHeight="1" x14ac:dyDescent="0.25">
      <c r="B703" s="17"/>
      <c r="C703" s="14"/>
      <c r="D703" s="14"/>
      <c r="E703" s="18"/>
      <c r="F703" s="61"/>
      <c r="G703" s="73"/>
      <c r="H703" s="79"/>
      <c r="I703" s="79"/>
      <c r="J703" s="14"/>
      <c r="K703" s="38"/>
      <c r="L703" s="38"/>
      <c r="M703" s="17"/>
    </row>
    <row r="704" spans="2:13" ht="14.45" customHeight="1" x14ac:dyDescent="0.25">
      <c r="B704" s="17"/>
      <c r="C704" s="14"/>
      <c r="D704" s="14"/>
      <c r="E704" s="18"/>
      <c r="F704" s="61"/>
      <c r="G704" s="73"/>
      <c r="H704" s="79"/>
      <c r="I704" s="79"/>
      <c r="J704" s="14"/>
      <c r="K704" s="38"/>
      <c r="L704" s="38"/>
      <c r="M704" s="17"/>
    </row>
    <row r="705" spans="2:13" ht="14.45" customHeight="1" x14ac:dyDescent="0.25">
      <c r="B705" s="17"/>
      <c r="C705" s="14"/>
      <c r="D705" s="14"/>
      <c r="E705" s="18"/>
      <c r="F705" s="61"/>
      <c r="G705" s="73"/>
      <c r="H705" s="79"/>
      <c r="I705" s="79"/>
      <c r="J705" s="14"/>
      <c r="K705" s="38"/>
      <c r="L705" s="38"/>
      <c r="M705" s="17"/>
    </row>
    <row r="706" spans="2:13" ht="14.45" customHeight="1" x14ac:dyDescent="0.25">
      <c r="B706" s="17"/>
      <c r="C706" s="14"/>
      <c r="D706" s="14"/>
      <c r="E706" s="18"/>
      <c r="F706" s="61"/>
      <c r="G706" s="73"/>
      <c r="H706" s="79"/>
      <c r="I706" s="79"/>
      <c r="J706" s="14"/>
      <c r="K706" s="38"/>
      <c r="L706" s="38"/>
      <c r="M706" s="17"/>
    </row>
    <row r="707" spans="2:13" ht="14.45" customHeight="1" x14ac:dyDescent="0.25">
      <c r="B707" s="17"/>
      <c r="C707" s="14"/>
      <c r="D707" s="14"/>
      <c r="E707" s="18"/>
      <c r="F707" s="61"/>
      <c r="G707" s="73"/>
      <c r="H707" s="79"/>
      <c r="I707" s="79"/>
      <c r="J707" s="14"/>
      <c r="K707" s="38"/>
      <c r="L707" s="38"/>
      <c r="M707" s="17"/>
    </row>
    <row r="708" spans="2:13" ht="14.45" customHeight="1" x14ac:dyDescent="0.25">
      <c r="B708" s="17"/>
      <c r="C708" s="14"/>
      <c r="D708" s="14"/>
      <c r="E708" s="18"/>
      <c r="F708" s="61"/>
      <c r="G708" s="73"/>
      <c r="H708" s="79"/>
      <c r="I708" s="79"/>
      <c r="J708" s="14"/>
      <c r="K708" s="38"/>
      <c r="L708" s="38"/>
      <c r="M708" s="17"/>
    </row>
    <row r="709" spans="2:13" ht="14.45" customHeight="1" x14ac:dyDescent="0.25">
      <c r="B709" s="17"/>
      <c r="C709" s="14"/>
      <c r="D709" s="14"/>
      <c r="E709" s="18"/>
      <c r="F709" s="61"/>
      <c r="G709" s="73"/>
      <c r="H709" s="79"/>
      <c r="I709" s="79"/>
      <c r="J709" s="14"/>
      <c r="K709" s="38"/>
      <c r="L709" s="38"/>
      <c r="M709" s="17"/>
    </row>
    <row r="710" spans="2:13" ht="14.45" customHeight="1" x14ac:dyDescent="0.25">
      <c r="B710" s="17"/>
      <c r="C710" s="14"/>
      <c r="D710" s="14"/>
      <c r="E710" s="18"/>
      <c r="F710" s="61"/>
      <c r="G710" s="73"/>
      <c r="H710" s="79"/>
      <c r="I710" s="79"/>
      <c r="J710" s="14"/>
      <c r="K710" s="38"/>
      <c r="L710" s="38"/>
      <c r="M710" s="17"/>
    </row>
    <row r="711" spans="2:13" ht="14.45" customHeight="1" x14ac:dyDescent="0.25">
      <c r="B711" s="17"/>
      <c r="C711" s="14"/>
      <c r="D711" s="14"/>
      <c r="E711" s="18"/>
      <c r="F711" s="61"/>
      <c r="G711" s="73"/>
      <c r="H711" s="79"/>
      <c r="I711" s="79"/>
      <c r="J711" s="14"/>
      <c r="K711" s="38"/>
      <c r="L711" s="38"/>
      <c r="M711" s="17"/>
    </row>
    <row r="712" spans="2:13" ht="14.45" customHeight="1" x14ac:dyDescent="0.25">
      <c r="B712" s="17"/>
      <c r="C712" s="14"/>
      <c r="D712" s="14"/>
      <c r="E712" s="18"/>
      <c r="F712" s="61"/>
      <c r="G712" s="73"/>
      <c r="H712" s="79"/>
      <c r="I712" s="79"/>
      <c r="J712" s="14"/>
      <c r="K712" s="38"/>
      <c r="L712" s="38"/>
      <c r="M712" s="17"/>
    </row>
    <row r="713" spans="2:13" ht="14.45" customHeight="1" x14ac:dyDescent="0.25">
      <c r="B713" s="17"/>
      <c r="C713" s="14"/>
      <c r="D713" s="14"/>
      <c r="E713" s="18"/>
      <c r="F713" s="61"/>
      <c r="G713" s="73"/>
      <c r="H713" s="79"/>
      <c r="I713" s="79"/>
      <c r="J713" s="14"/>
      <c r="K713" s="38"/>
      <c r="L713" s="38"/>
      <c r="M713" s="17"/>
    </row>
    <row r="714" spans="2:13" ht="14.45" customHeight="1" x14ac:dyDescent="0.25">
      <c r="B714" s="17"/>
      <c r="C714" s="14"/>
      <c r="D714" s="14"/>
      <c r="E714" s="18"/>
      <c r="F714" s="61"/>
      <c r="G714" s="73"/>
      <c r="H714" s="79"/>
      <c r="I714" s="79"/>
      <c r="J714" s="14"/>
      <c r="K714" s="38"/>
      <c r="L714" s="38"/>
      <c r="M714" s="17"/>
    </row>
    <row r="715" spans="2:13" ht="14.45" customHeight="1" x14ac:dyDescent="0.25">
      <c r="B715" s="17"/>
      <c r="C715" s="14"/>
      <c r="D715" s="14"/>
      <c r="E715" s="18"/>
      <c r="F715" s="61"/>
      <c r="G715" s="73"/>
      <c r="H715" s="79"/>
      <c r="I715" s="79"/>
      <c r="J715" s="14"/>
      <c r="K715" s="38"/>
      <c r="L715" s="38"/>
      <c r="M715" s="17"/>
    </row>
    <row r="716" spans="2:13" ht="14.45" customHeight="1" x14ac:dyDescent="0.25">
      <c r="B716" s="17"/>
      <c r="C716" s="14"/>
      <c r="D716" s="14"/>
      <c r="E716" s="18"/>
      <c r="F716" s="61"/>
      <c r="G716" s="73"/>
      <c r="H716" s="79"/>
      <c r="I716" s="79"/>
      <c r="J716" s="14"/>
      <c r="K716" s="38"/>
      <c r="L716" s="38"/>
      <c r="M716" s="17"/>
    </row>
    <row r="717" spans="2:13" ht="14.45" customHeight="1" x14ac:dyDescent="0.25">
      <c r="B717" s="17"/>
      <c r="C717" s="14"/>
      <c r="D717" s="14"/>
      <c r="E717" s="18"/>
      <c r="F717" s="61"/>
      <c r="G717" s="73"/>
      <c r="H717" s="79"/>
      <c r="I717" s="79"/>
      <c r="J717" s="14"/>
      <c r="K717" s="38"/>
      <c r="L717" s="38"/>
      <c r="M717" s="17"/>
    </row>
    <row r="718" spans="2:13" ht="14.45" customHeight="1" x14ac:dyDescent="0.25">
      <c r="B718" s="17"/>
      <c r="C718" s="14"/>
      <c r="D718" s="14"/>
      <c r="E718" s="18"/>
      <c r="F718" s="61"/>
      <c r="G718" s="73"/>
      <c r="H718" s="79"/>
      <c r="I718" s="79"/>
      <c r="J718" s="14"/>
      <c r="K718" s="38"/>
      <c r="L718" s="38"/>
      <c r="M718" s="17"/>
    </row>
    <row r="719" spans="2:13" ht="14.45" customHeight="1" x14ac:dyDescent="0.25">
      <c r="B719" s="17"/>
      <c r="C719" s="14"/>
      <c r="D719" s="14"/>
      <c r="E719" s="18"/>
      <c r="F719" s="61"/>
      <c r="G719" s="73"/>
      <c r="H719" s="79"/>
      <c r="I719" s="79"/>
      <c r="J719" s="14"/>
      <c r="K719" s="38"/>
      <c r="L719" s="38"/>
      <c r="M719" s="17"/>
    </row>
    <row r="720" spans="2:13" ht="14.45" customHeight="1" x14ac:dyDescent="0.25">
      <c r="B720" s="17"/>
      <c r="C720" s="14"/>
      <c r="D720" s="14"/>
      <c r="E720" s="18"/>
      <c r="F720" s="61"/>
      <c r="G720" s="73"/>
      <c r="H720" s="79"/>
      <c r="I720" s="79"/>
      <c r="J720" s="14"/>
      <c r="K720" s="38"/>
      <c r="L720" s="38"/>
      <c r="M720" s="17"/>
    </row>
    <row r="721" spans="2:13" ht="14.45" customHeight="1" x14ac:dyDescent="0.25">
      <c r="B721" s="17"/>
      <c r="C721" s="14"/>
      <c r="D721" s="14"/>
      <c r="E721" s="18"/>
      <c r="F721" s="61"/>
      <c r="G721" s="73"/>
      <c r="H721" s="79"/>
      <c r="I721" s="79"/>
      <c r="J721" s="14"/>
      <c r="K721" s="38"/>
      <c r="L721" s="38"/>
      <c r="M721" s="17"/>
    </row>
    <row r="722" spans="2:13" ht="14.45" customHeight="1" x14ac:dyDescent="0.25">
      <c r="B722" s="17"/>
      <c r="C722" s="14"/>
      <c r="D722" s="14"/>
      <c r="E722" s="18"/>
      <c r="F722" s="61"/>
      <c r="G722" s="73"/>
      <c r="H722" s="79"/>
      <c r="I722" s="79"/>
      <c r="J722" s="14"/>
      <c r="K722" s="38"/>
      <c r="L722" s="38"/>
      <c r="M722" s="17"/>
    </row>
    <row r="723" spans="2:13" ht="14.45" customHeight="1" x14ac:dyDescent="0.25">
      <c r="B723" s="17"/>
      <c r="C723" s="14"/>
      <c r="D723" s="14"/>
      <c r="E723" s="18"/>
      <c r="F723" s="61"/>
      <c r="G723" s="73"/>
      <c r="H723" s="79"/>
      <c r="I723" s="79"/>
      <c r="J723" s="14"/>
      <c r="K723" s="38"/>
      <c r="L723" s="38"/>
      <c r="M723" s="17"/>
    </row>
    <row r="724" spans="2:13" ht="14.45" customHeight="1" x14ac:dyDescent="0.25">
      <c r="B724" s="17"/>
      <c r="C724" s="14"/>
      <c r="D724" s="14"/>
      <c r="E724" s="18"/>
      <c r="F724" s="61"/>
      <c r="G724" s="73"/>
      <c r="H724" s="79"/>
      <c r="I724" s="79"/>
      <c r="J724" s="14"/>
      <c r="K724" s="38"/>
      <c r="L724" s="38"/>
      <c r="M724" s="17"/>
    </row>
    <row r="725" spans="2:13" ht="14.45" customHeight="1" x14ac:dyDescent="0.25">
      <c r="B725" s="17"/>
      <c r="C725" s="14"/>
      <c r="D725" s="14"/>
      <c r="E725" s="18"/>
      <c r="F725" s="61"/>
      <c r="G725" s="73"/>
      <c r="H725" s="79"/>
      <c r="I725" s="79"/>
      <c r="J725" s="14"/>
      <c r="K725" s="38"/>
      <c r="L725" s="38"/>
      <c r="M725" s="17"/>
    </row>
    <row r="726" spans="2:13" ht="14.45" customHeight="1" x14ac:dyDescent="0.25">
      <c r="B726" s="17"/>
      <c r="C726" s="14"/>
      <c r="D726" s="14"/>
      <c r="E726" s="18"/>
      <c r="F726" s="61"/>
      <c r="G726" s="73"/>
      <c r="H726" s="79"/>
      <c r="I726" s="79"/>
      <c r="J726" s="14"/>
      <c r="K726" s="38"/>
      <c r="L726" s="38"/>
      <c r="M726" s="17"/>
    </row>
    <row r="727" spans="2:13" ht="14.45" customHeight="1" x14ac:dyDescent="0.25">
      <c r="B727" s="17"/>
      <c r="C727" s="14"/>
      <c r="D727" s="14"/>
      <c r="E727" s="18"/>
      <c r="F727" s="61"/>
      <c r="G727" s="73"/>
      <c r="H727" s="79"/>
      <c r="I727" s="79"/>
      <c r="J727" s="14"/>
      <c r="K727" s="38"/>
      <c r="L727" s="38"/>
      <c r="M727" s="17"/>
    </row>
    <row r="728" spans="2:13" ht="14.45" customHeight="1" x14ac:dyDescent="0.25">
      <c r="B728" s="17"/>
      <c r="C728" s="14"/>
      <c r="D728" s="14"/>
      <c r="E728" s="18"/>
      <c r="F728" s="61"/>
      <c r="G728" s="73"/>
      <c r="H728" s="79"/>
      <c r="I728" s="79"/>
      <c r="J728" s="14"/>
      <c r="K728" s="38"/>
      <c r="L728" s="38"/>
      <c r="M728" s="17"/>
    </row>
    <row r="729" spans="2:13" ht="14.45" customHeight="1" x14ac:dyDescent="0.25">
      <c r="B729" s="17"/>
      <c r="C729" s="14"/>
      <c r="D729" s="14"/>
      <c r="E729" s="18"/>
      <c r="F729" s="61"/>
      <c r="G729" s="73"/>
      <c r="H729" s="79"/>
      <c r="I729" s="79"/>
      <c r="J729" s="14"/>
      <c r="K729" s="38"/>
      <c r="L729" s="38"/>
      <c r="M729" s="17"/>
    </row>
    <row r="730" spans="2:13" ht="14.45" customHeight="1" x14ac:dyDescent="0.25">
      <c r="B730" s="17"/>
      <c r="C730" s="14"/>
      <c r="D730" s="14"/>
      <c r="E730" s="18"/>
      <c r="F730" s="61"/>
      <c r="G730" s="73"/>
      <c r="H730" s="79"/>
      <c r="I730" s="79"/>
      <c r="J730" s="14"/>
      <c r="K730" s="38"/>
      <c r="L730" s="38"/>
      <c r="M730" s="17"/>
    </row>
    <row r="731" spans="2:13" ht="14.45" customHeight="1" x14ac:dyDescent="0.25">
      <c r="B731" s="17"/>
      <c r="C731" s="14"/>
      <c r="D731" s="14"/>
      <c r="E731" s="18"/>
      <c r="F731" s="61"/>
      <c r="G731" s="73"/>
      <c r="H731" s="79"/>
      <c r="I731" s="79"/>
      <c r="J731" s="14"/>
      <c r="K731" s="38"/>
      <c r="L731" s="38"/>
      <c r="M731" s="17"/>
    </row>
    <row r="732" spans="2:13" ht="14.45" customHeight="1" x14ac:dyDescent="0.25">
      <c r="B732" s="17"/>
      <c r="C732" s="14"/>
      <c r="D732" s="14"/>
      <c r="E732" s="18"/>
      <c r="F732" s="61"/>
      <c r="G732" s="73"/>
      <c r="H732" s="79"/>
      <c r="I732" s="79"/>
      <c r="J732" s="14"/>
      <c r="K732" s="38"/>
      <c r="L732" s="38"/>
      <c r="M732" s="17"/>
    </row>
    <row r="733" spans="2:13" ht="14.45" customHeight="1" x14ac:dyDescent="0.25">
      <c r="B733" s="17"/>
      <c r="C733" s="14"/>
      <c r="D733" s="14"/>
      <c r="E733" s="18"/>
      <c r="F733" s="61"/>
      <c r="G733" s="73"/>
      <c r="H733" s="79"/>
      <c r="I733" s="79"/>
      <c r="J733" s="14"/>
      <c r="K733" s="38"/>
      <c r="L733" s="38"/>
      <c r="M733" s="17"/>
    </row>
    <row r="734" spans="2:13" ht="14.45" customHeight="1" x14ac:dyDescent="0.25">
      <c r="B734" s="17"/>
      <c r="C734" s="14"/>
      <c r="D734" s="14"/>
      <c r="E734" s="18"/>
      <c r="F734" s="61"/>
      <c r="G734" s="73"/>
      <c r="H734" s="79"/>
      <c r="I734" s="79"/>
      <c r="J734" s="14"/>
      <c r="K734" s="38"/>
      <c r="L734" s="38"/>
      <c r="M734" s="17"/>
    </row>
    <row r="735" spans="2:13" ht="14.45" customHeight="1" x14ac:dyDescent="0.25">
      <c r="B735" s="17"/>
      <c r="C735" s="14"/>
      <c r="D735" s="14"/>
      <c r="E735" s="18"/>
      <c r="F735" s="61"/>
      <c r="G735" s="73"/>
      <c r="H735" s="79"/>
      <c r="I735" s="79"/>
      <c r="J735" s="14"/>
      <c r="K735" s="38"/>
      <c r="L735" s="38"/>
      <c r="M735" s="17"/>
    </row>
    <row r="736" spans="2:13" ht="14.45" customHeight="1" x14ac:dyDescent="0.25">
      <c r="B736" s="17"/>
      <c r="C736" s="14"/>
      <c r="D736" s="14"/>
      <c r="E736" s="18"/>
      <c r="F736" s="61"/>
      <c r="G736" s="73"/>
      <c r="H736" s="79"/>
      <c r="I736" s="79"/>
      <c r="J736" s="14"/>
      <c r="K736" s="38"/>
      <c r="L736" s="38"/>
      <c r="M736" s="17"/>
    </row>
    <row r="737" spans="2:13" ht="14.45" customHeight="1" x14ac:dyDescent="0.25">
      <c r="B737" s="17"/>
      <c r="C737" s="14"/>
      <c r="D737" s="14"/>
      <c r="E737" s="18"/>
      <c r="F737" s="61"/>
      <c r="G737" s="73"/>
      <c r="H737" s="79"/>
      <c r="I737" s="79"/>
      <c r="J737" s="14"/>
      <c r="K737" s="38"/>
      <c r="L737" s="38"/>
      <c r="M737" s="17"/>
    </row>
    <row r="738" spans="2:13" ht="14.45" customHeight="1" x14ac:dyDescent="0.25">
      <c r="B738" s="17"/>
      <c r="C738" s="14"/>
      <c r="D738" s="14"/>
      <c r="E738" s="18"/>
      <c r="F738" s="61"/>
      <c r="G738" s="73"/>
      <c r="H738" s="79"/>
      <c r="I738" s="79"/>
      <c r="J738" s="14"/>
      <c r="K738" s="38"/>
      <c r="L738" s="38"/>
      <c r="M738" s="17"/>
    </row>
    <row r="739" spans="2:13" ht="14.45" customHeight="1" x14ac:dyDescent="0.25">
      <c r="B739" s="17"/>
      <c r="C739" s="14"/>
      <c r="D739" s="14"/>
      <c r="E739" s="18"/>
      <c r="F739" s="61"/>
      <c r="G739" s="73"/>
      <c r="H739" s="79"/>
      <c r="I739" s="79"/>
      <c r="J739" s="14"/>
      <c r="K739" s="38"/>
      <c r="L739" s="38"/>
      <c r="M739" s="17"/>
    </row>
    <row r="740" spans="2:13" ht="14.45" customHeight="1" x14ac:dyDescent="0.25">
      <c r="B740" s="17"/>
      <c r="C740" s="14"/>
      <c r="D740" s="14"/>
      <c r="E740" s="18"/>
      <c r="F740" s="61"/>
      <c r="G740" s="73"/>
      <c r="H740" s="79"/>
      <c r="I740" s="79"/>
      <c r="J740" s="14"/>
      <c r="K740" s="38"/>
      <c r="L740" s="38"/>
      <c r="M740" s="17"/>
    </row>
    <row r="741" spans="2:13" ht="14.45" customHeight="1" x14ac:dyDescent="0.25">
      <c r="B741" s="17"/>
      <c r="C741" s="14"/>
      <c r="D741" s="14"/>
      <c r="E741" s="18"/>
      <c r="F741" s="61"/>
      <c r="G741" s="73"/>
      <c r="H741" s="79"/>
      <c r="I741" s="79"/>
      <c r="J741" s="14"/>
      <c r="K741" s="38"/>
      <c r="L741" s="38"/>
      <c r="M741" s="17"/>
    </row>
    <row r="742" spans="2:13" ht="14.45" customHeight="1" x14ac:dyDescent="0.25">
      <c r="B742" s="17"/>
      <c r="C742" s="14"/>
      <c r="D742" s="14"/>
      <c r="E742" s="18"/>
      <c r="F742" s="61"/>
      <c r="G742" s="73"/>
      <c r="H742" s="79"/>
      <c r="I742" s="79"/>
      <c r="J742" s="14"/>
      <c r="K742" s="38"/>
      <c r="L742" s="38"/>
      <c r="M742" s="17"/>
    </row>
    <row r="743" spans="2:13" ht="14.45" customHeight="1" x14ac:dyDescent="0.25">
      <c r="B743" s="17"/>
      <c r="C743" s="14"/>
      <c r="D743" s="14"/>
      <c r="E743" s="18"/>
      <c r="F743" s="61"/>
      <c r="G743" s="73"/>
      <c r="H743" s="79"/>
      <c r="I743" s="79"/>
      <c r="J743" s="14"/>
      <c r="K743" s="38"/>
      <c r="L743" s="38"/>
      <c r="M743" s="17"/>
    </row>
    <row r="744" spans="2:13" ht="14.45" customHeight="1" x14ac:dyDescent="0.25">
      <c r="B744" s="17"/>
      <c r="C744" s="14"/>
      <c r="D744" s="14"/>
      <c r="E744" s="18"/>
      <c r="F744" s="61"/>
      <c r="G744" s="73"/>
      <c r="H744" s="79"/>
      <c r="I744" s="79"/>
      <c r="J744" s="14"/>
      <c r="K744" s="38"/>
      <c r="L744" s="38"/>
      <c r="M744" s="17"/>
    </row>
    <row r="745" spans="2:13" ht="14.45" customHeight="1" x14ac:dyDescent="0.25">
      <c r="B745" s="17"/>
      <c r="C745" s="14"/>
      <c r="D745" s="14"/>
      <c r="E745" s="18"/>
      <c r="F745" s="61"/>
      <c r="G745" s="73"/>
      <c r="H745" s="79"/>
      <c r="I745" s="79"/>
      <c r="J745" s="14"/>
      <c r="K745" s="38"/>
      <c r="L745" s="38"/>
      <c r="M745" s="17"/>
    </row>
    <row r="746" spans="2:13" ht="14.45" customHeight="1" x14ac:dyDescent="0.25">
      <c r="B746" s="17"/>
      <c r="C746" s="14"/>
      <c r="D746" s="14"/>
      <c r="E746" s="18"/>
      <c r="F746" s="61"/>
      <c r="G746" s="73"/>
      <c r="H746" s="79"/>
      <c r="I746" s="79"/>
      <c r="J746" s="14"/>
      <c r="K746" s="38"/>
      <c r="L746" s="38"/>
      <c r="M746" s="17"/>
    </row>
    <row r="747" spans="2:13" ht="14.45" customHeight="1" x14ac:dyDescent="0.25">
      <c r="B747" s="17"/>
      <c r="C747" s="14"/>
      <c r="D747" s="14"/>
      <c r="E747" s="18"/>
      <c r="F747" s="61"/>
      <c r="G747" s="73"/>
      <c r="H747" s="79"/>
      <c r="I747" s="79"/>
      <c r="J747" s="14"/>
      <c r="K747" s="38"/>
      <c r="L747" s="38"/>
      <c r="M747" s="17"/>
    </row>
    <row r="748" spans="2:13" ht="14.45" customHeight="1" x14ac:dyDescent="0.25">
      <c r="B748" s="17"/>
      <c r="C748" s="14"/>
      <c r="D748" s="14"/>
      <c r="E748" s="18"/>
      <c r="F748" s="61"/>
      <c r="G748" s="73"/>
      <c r="H748" s="79"/>
      <c r="I748" s="79"/>
      <c r="J748" s="14"/>
      <c r="K748" s="38"/>
      <c r="L748" s="38"/>
      <c r="M748" s="17"/>
    </row>
    <row r="749" spans="2:13" ht="14.45" customHeight="1" x14ac:dyDescent="0.25">
      <c r="B749" s="17"/>
      <c r="C749" s="14"/>
      <c r="D749" s="14"/>
      <c r="E749" s="18"/>
      <c r="F749" s="61"/>
      <c r="G749" s="73"/>
      <c r="H749" s="79"/>
      <c r="I749" s="79"/>
      <c r="J749" s="14"/>
      <c r="K749" s="38"/>
      <c r="L749" s="38"/>
      <c r="M749" s="17"/>
    </row>
    <row r="750" spans="2:13" ht="14.45" customHeight="1" x14ac:dyDescent="0.25">
      <c r="B750" s="17"/>
      <c r="C750" s="14"/>
      <c r="D750" s="14"/>
      <c r="E750" s="18"/>
      <c r="F750" s="61"/>
      <c r="G750" s="73"/>
      <c r="H750" s="79"/>
      <c r="I750" s="79"/>
      <c r="J750" s="14"/>
      <c r="K750" s="38"/>
      <c r="L750" s="38"/>
      <c r="M750" s="17"/>
    </row>
    <row r="751" spans="2:13" ht="14.45" customHeight="1" x14ac:dyDescent="0.25">
      <c r="B751" s="17"/>
      <c r="C751" s="14"/>
      <c r="D751" s="14"/>
      <c r="E751" s="18"/>
      <c r="F751" s="61"/>
      <c r="G751" s="73"/>
      <c r="H751" s="79"/>
      <c r="I751" s="79"/>
      <c r="J751" s="14"/>
      <c r="K751" s="38"/>
      <c r="L751" s="38"/>
      <c r="M751" s="17"/>
    </row>
    <row r="752" spans="2:13" ht="14.45" customHeight="1" x14ac:dyDescent="0.25">
      <c r="B752" s="17"/>
      <c r="C752" s="14"/>
      <c r="D752" s="14"/>
      <c r="E752" s="18"/>
      <c r="F752" s="61"/>
      <c r="G752" s="73"/>
      <c r="H752" s="79"/>
      <c r="I752" s="79"/>
      <c r="J752" s="14"/>
      <c r="K752" s="38"/>
      <c r="L752" s="38"/>
      <c r="M752" s="17"/>
    </row>
    <row r="753" spans="2:13" ht="14.45" customHeight="1" x14ac:dyDescent="0.25">
      <c r="B753" s="17"/>
      <c r="C753" s="14"/>
      <c r="D753" s="14"/>
      <c r="E753" s="18"/>
      <c r="F753" s="61"/>
      <c r="G753" s="73"/>
      <c r="H753" s="79"/>
      <c r="I753" s="79"/>
      <c r="J753" s="14"/>
      <c r="K753" s="38"/>
      <c r="L753" s="38"/>
      <c r="M753" s="17"/>
    </row>
    <row r="754" spans="2:13" ht="14.45" customHeight="1" x14ac:dyDescent="0.25">
      <c r="B754" s="17"/>
      <c r="C754" s="14"/>
      <c r="D754" s="14"/>
      <c r="E754" s="18"/>
      <c r="F754" s="61"/>
      <c r="G754" s="73"/>
      <c r="H754" s="79"/>
      <c r="I754" s="79"/>
      <c r="J754" s="14"/>
      <c r="K754" s="38"/>
      <c r="L754" s="38"/>
      <c r="M754" s="17"/>
    </row>
    <row r="755" spans="2:13" ht="14.45" customHeight="1" x14ac:dyDescent="0.25">
      <c r="B755" s="17"/>
      <c r="C755" s="14"/>
      <c r="D755" s="14"/>
      <c r="E755" s="18"/>
      <c r="F755" s="61"/>
      <c r="G755" s="73"/>
      <c r="H755" s="79"/>
      <c r="I755" s="79"/>
      <c r="J755" s="14"/>
      <c r="K755" s="38"/>
      <c r="L755" s="38"/>
      <c r="M755" s="17"/>
    </row>
    <row r="756" spans="2:13" ht="14.45" customHeight="1" x14ac:dyDescent="0.25">
      <c r="B756" s="17"/>
      <c r="C756" s="14"/>
      <c r="D756" s="14"/>
      <c r="E756" s="18"/>
      <c r="F756" s="61"/>
      <c r="G756" s="73"/>
      <c r="H756" s="79"/>
      <c r="I756" s="79"/>
      <c r="J756" s="14"/>
      <c r="K756" s="38"/>
      <c r="L756" s="38"/>
      <c r="M756" s="17"/>
    </row>
    <row r="757" spans="2:13" ht="14.45" customHeight="1" x14ac:dyDescent="0.25">
      <c r="B757" s="17"/>
      <c r="C757" s="14"/>
      <c r="D757" s="14"/>
      <c r="E757" s="18"/>
      <c r="F757" s="61"/>
      <c r="G757" s="73"/>
      <c r="H757" s="79"/>
      <c r="I757" s="79"/>
      <c r="J757" s="14"/>
      <c r="K757" s="38"/>
      <c r="L757" s="38"/>
      <c r="M757" s="17"/>
    </row>
    <row r="758" spans="2:13" ht="14.45" customHeight="1" x14ac:dyDescent="0.25">
      <c r="B758" s="17"/>
      <c r="C758" s="14"/>
      <c r="D758" s="14"/>
      <c r="E758" s="18"/>
      <c r="F758" s="61"/>
      <c r="G758" s="73"/>
      <c r="H758" s="79"/>
      <c r="I758" s="79"/>
      <c r="J758" s="14"/>
      <c r="K758" s="38"/>
      <c r="L758" s="38"/>
      <c r="M758" s="17"/>
    </row>
    <row r="759" spans="2:13" ht="14.45" customHeight="1" x14ac:dyDescent="0.25">
      <c r="B759" s="17"/>
      <c r="C759" s="14"/>
      <c r="D759" s="14"/>
      <c r="E759" s="18"/>
      <c r="F759" s="61"/>
      <c r="G759" s="73"/>
      <c r="H759" s="79"/>
      <c r="I759" s="79"/>
      <c r="J759" s="14"/>
      <c r="K759" s="38"/>
      <c r="L759" s="38"/>
      <c r="M759" s="17"/>
    </row>
    <row r="760" spans="2:13" ht="14.45" customHeight="1" x14ac:dyDescent="0.25">
      <c r="B760" s="17"/>
      <c r="C760" s="14"/>
      <c r="D760" s="14"/>
      <c r="E760" s="18"/>
      <c r="F760" s="61"/>
      <c r="G760" s="73"/>
      <c r="H760" s="79"/>
      <c r="I760" s="79"/>
      <c r="J760" s="14"/>
      <c r="K760" s="38"/>
      <c r="L760" s="38"/>
      <c r="M760" s="17"/>
    </row>
    <row r="761" spans="2:13" ht="14.45" customHeight="1" x14ac:dyDescent="0.25">
      <c r="B761" s="17"/>
      <c r="C761" s="14"/>
      <c r="D761" s="14"/>
      <c r="E761" s="18"/>
      <c r="F761" s="61"/>
      <c r="G761" s="73"/>
      <c r="H761" s="79"/>
      <c r="I761" s="79"/>
      <c r="J761" s="14"/>
      <c r="K761" s="38"/>
      <c r="L761" s="38"/>
      <c r="M761" s="17"/>
    </row>
    <row r="762" spans="2:13" ht="14.45" customHeight="1" x14ac:dyDescent="0.25">
      <c r="B762" s="17"/>
      <c r="C762" s="14"/>
      <c r="D762" s="14"/>
      <c r="E762" s="18"/>
      <c r="F762" s="61"/>
      <c r="G762" s="73"/>
      <c r="H762" s="79"/>
      <c r="I762" s="79"/>
      <c r="J762" s="14"/>
      <c r="K762" s="38"/>
      <c r="L762" s="38"/>
      <c r="M762" s="17"/>
    </row>
    <row r="763" spans="2:13" ht="14.45" customHeight="1" x14ac:dyDescent="0.25">
      <c r="B763" s="17"/>
      <c r="C763" s="14"/>
      <c r="D763" s="14"/>
      <c r="E763" s="18"/>
      <c r="F763" s="61"/>
      <c r="G763" s="73"/>
      <c r="H763" s="79"/>
      <c r="I763" s="79"/>
      <c r="J763" s="14"/>
      <c r="K763" s="38"/>
      <c r="L763" s="38"/>
      <c r="M763" s="17"/>
    </row>
    <row r="764" spans="2:13" ht="14.45" customHeight="1" x14ac:dyDescent="0.25">
      <c r="B764" s="17"/>
      <c r="C764" s="14"/>
      <c r="D764" s="14"/>
      <c r="E764" s="18"/>
      <c r="F764" s="61"/>
      <c r="G764" s="73"/>
      <c r="H764" s="79"/>
      <c r="I764" s="79"/>
      <c r="J764" s="14"/>
      <c r="K764" s="38"/>
      <c r="L764" s="38"/>
      <c r="M764" s="17"/>
    </row>
    <row r="765" spans="2:13" ht="14.45" customHeight="1" x14ac:dyDescent="0.25">
      <c r="B765" s="17"/>
      <c r="C765" s="14"/>
      <c r="D765" s="14"/>
      <c r="E765" s="18"/>
      <c r="F765" s="61"/>
      <c r="G765" s="73"/>
      <c r="H765" s="79"/>
      <c r="I765" s="79"/>
      <c r="J765" s="14"/>
      <c r="K765" s="38"/>
      <c r="L765" s="38"/>
      <c r="M765" s="17"/>
    </row>
    <row r="766" spans="2:13" ht="14.45" customHeight="1" x14ac:dyDescent="0.25">
      <c r="B766" s="17"/>
      <c r="C766" s="14"/>
      <c r="D766" s="14"/>
      <c r="E766" s="18"/>
      <c r="F766" s="61"/>
      <c r="G766" s="73"/>
      <c r="H766" s="79"/>
      <c r="I766" s="79"/>
      <c r="J766" s="14"/>
      <c r="K766" s="38"/>
      <c r="L766" s="38"/>
      <c r="M766" s="17"/>
    </row>
    <row r="767" spans="2:13" ht="14.45" customHeight="1" x14ac:dyDescent="0.25">
      <c r="B767" s="17"/>
      <c r="C767" s="14"/>
      <c r="D767" s="14"/>
      <c r="E767" s="18"/>
      <c r="F767" s="61"/>
      <c r="G767" s="73"/>
      <c r="H767" s="79"/>
      <c r="I767" s="79"/>
      <c r="J767" s="14"/>
      <c r="K767" s="38"/>
      <c r="L767" s="38"/>
      <c r="M767" s="17"/>
    </row>
    <row r="768" spans="2:13" ht="14.45" customHeight="1" x14ac:dyDescent="0.25">
      <c r="B768" s="17"/>
      <c r="C768" s="14"/>
      <c r="D768" s="14"/>
      <c r="E768" s="18"/>
      <c r="F768" s="61"/>
      <c r="G768" s="73"/>
      <c r="H768" s="79"/>
      <c r="I768" s="79"/>
      <c r="J768" s="14"/>
      <c r="K768" s="38"/>
      <c r="L768" s="38"/>
      <c r="M768" s="17"/>
    </row>
    <row r="769" spans="2:13" ht="14.45" customHeight="1" x14ac:dyDescent="0.25">
      <c r="B769" s="17"/>
      <c r="C769" s="14"/>
      <c r="D769" s="14"/>
      <c r="E769" s="18"/>
      <c r="F769" s="61"/>
      <c r="G769" s="73"/>
      <c r="H769" s="79"/>
      <c r="I769" s="79"/>
      <c r="J769" s="14"/>
      <c r="K769" s="38"/>
      <c r="L769" s="38"/>
      <c r="M769" s="17"/>
    </row>
    <row r="770" spans="2:13" ht="14.45" customHeight="1" x14ac:dyDescent="0.25">
      <c r="B770" s="17"/>
      <c r="C770" s="14"/>
      <c r="D770" s="14"/>
      <c r="E770" s="18"/>
      <c r="F770" s="61"/>
      <c r="G770" s="73"/>
      <c r="H770" s="79"/>
      <c r="I770" s="79"/>
      <c r="J770" s="14"/>
      <c r="K770" s="38"/>
      <c r="L770" s="38"/>
      <c r="M770" s="17"/>
    </row>
    <row r="771" spans="2:13" ht="14.45" customHeight="1" x14ac:dyDescent="0.25">
      <c r="B771" s="17"/>
      <c r="C771" s="14"/>
      <c r="D771" s="14"/>
      <c r="E771" s="18"/>
      <c r="F771" s="61"/>
      <c r="G771" s="73"/>
      <c r="H771" s="79"/>
      <c r="I771" s="79"/>
      <c r="J771" s="14"/>
      <c r="K771" s="38"/>
      <c r="L771" s="38"/>
      <c r="M771" s="17"/>
    </row>
    <row r="772" spans="2:13" ht="14.45" customHeight="1" x14ac:dyDescent="0.25">
      <c r="B772" s="17"/>
      <c r="C772" s="14"/>
      <c r="D772" s="14"/>
      <c r="E772" s="18"/>
      <c r="F772" s="61"/>
      <c r="G772" s="73"/>
      <c r="H772" s="79"/>
      <c r="I772" s="79"/>
      <c r="J772" s="14"/>
      <c r="K772" s="38"/>
      <c r="L772" s="38"/>
      <c r="M772" s="17"/>
    </row>
    <row r="773" spans="2:13" ht="14.45" customHeight="1" x14ac:dyDescent="0.25">
      <c r="B773" s="17"/>
      <c r="C773" s="14"/>
      <c r="D773" s="14"/>
      <c r="E773" s="18"/>
      <c r="F773" s="61"/>
      <c r="G773" s="73"/>
      <c r="H773" s="79"/>
      <c r="I773" s="79"/>
      <c r="J773" s="14"/>
      <c r="K773" s="38"/>
      <c r="L773" s="38"/>
      <c r="M773" s="17"/>
    </row>
    <row r="774" spans="2:13" ht="14.45" customHeight="1" x14ac:dyDescent="0.25">
      <c r="B774" s="17"/>
      <c r="C774" s="14"/>
      <c r="D774" s="14"/>
      <c r="E774" s="18"/>
      <c r="F774" s="61"/>
      <c r="G774" s="73"/>
      <c r="H774" s="79"/>
      <c r="I774" s="79"/>
      <c r="J774" s="14"/>
      <c r="K774" s="38"/>
      <c r="L774" s="38"/>
      <c r="M774" s="17"/>
    </row>
    <row r="775" spans="2:13" ht="14.45" customHeight="1" x14ac:dyDescent="0.25">
      <c r="B775" s="17"/>
      <c r="C775" s="14"/>
      <c r="D775" s="14"/>
      <c r="E775" s="18"/>
      <c r="F775" s="61"/>
      <c r="G775" s="73"/>
      <c r="H775" s="79"/>
      <c r="I775" s="79"/>
      <c r="J775" s="14"/>
      <c r="K775" s="38"/>
      <c r="L775" s="38"/>
      <c r="M775" s="17"/>
    </row>
    <row r="776" spans="2:13" ht="14.45" customHeight="1" x14ac:dyDescent="0.25">
      <c r="B776" s="17"/>
      <c r="C776" s="14"/>
      <c r="D776" s="14"/>
      <c r="E776" s="18"/>
      <c r="F776" s="61"/>
      <c r="G776" s="73"/>
      <c r="H776" s="79"/>
      <c r="I776" s="79"/>
      <c r="J776" s="14"/>
      <c r="K776" s="38"/>
      <c r="L776" s="38"/>
      <c r="M776" s="17"/>
    </row>
    <row r="777" spans="2:13" ht="14.45" customHeight="1" x14ac:dyDescent="0.25">
      <c r="B777" s="17"/>
      <c r="C777" s="14"/>
      <c r="D777" s="14"/>
      <c r="E777" s="18"/>
      <c r="F777" s="61"/>
      <c r="G777" s="73"/>
      <c r="H777" s="79"/>
      <c r="I777" s="79"/>
      <c r="J777" s="14"/>
      <c r="K777" s="38"/>
      <c r="L777" s="38"/>
      <c r="M777" s="17"/>
    </row>
    <row r="778" spans="2:13" ht="14.45" customHeight="1" x14ac:dyDescent="0.25">
      <c r="B778" s="17"/>
      <c r="C778" s="14"/>
      <c r="D778" s="14"/>
      <c r="E778" s="18"/>
      <c r="F778" s="61"/>
      <c r="G778" s="73"/>
      <c r="H778" s="79"/>
      <c r="I778" s="79"/>
      <c r="J778" s="14"/>
      <c r="K778" s="38"/>
      <c r="L778" s="38"/>
      <c r="M778" s="17"/>
    </row>
    <row r="779" spans="2:13" ht="14.45" customHeight="1" x14ac:dyDescent="0.25">
      <c r="B779" s="17"/>
      <c r="C779" s="14"/>
      <c r="D779" s="14"/>
      <c r="E779" s="18"/>
      <c r="F779" s="61"/>
      <c r="G779" s="73"/>
      <c r="H779" s="79"/>
      <c r="I779" s="79"/>
      <c r="J779" s="14"/>
      <c r="K779" s="38"/>
      <c r="L779" s="38"/>
      <c r="M779" s="17"/>
    </row>
    <row r="780" spans="2:13" ht="14.45" customHeight="1" x14ac:dyDescent="0.25">
      <c r="B780" s="17"/>
      <c r="C780" s="14"/>
      <c r="D780" s="14"/>
      <c r="E780" s="18"/>
      <c r="F780" s="61"/>
      <c r="G780" s="73"/>
      <c r="H780" s="79"/>
      <c r="I780" s="79"/>
      <c r="J780" s="14"/>
      <c r="K780" s="38"/>
      <c r="L780" s="38"/>
      <c r="M780" s="17"/>
    </row>
    <row r="781" spans="2:13" ht="14.45" customHeight="1" x14ac:dyDescent="0.25">
      <c r="B781" s="17"/>
      <c r="C781" s="14"/>
      <c r="D781" s="14"/>
      <c r="E781" s="18"/>
      <c r="F781" s="61"/>
      <c r="G781" s="73"/>
      <c r="H781" s="79"/>
      <c r="I781" s="79"/>
      <c r="J781" s="14"/>
      <c r="K781" s="38"/>
      <c r="L781" s="38"/>
      <c r="M781" s="17"/>
    </row>
    <row r="782" spans="2:13" ht="14.45" customHeight="1" x14ac:dyDescent="0.25">
      <c r="B782" s="17"/>
      <c r="C782" s="14"/>
      <c r="D782" s="14"/>
      <c r="E782" s="18"/>
      <c r="F782" s="61"/>
      <c r="G782" s="73"/>
      <c r="H782" s="79"/>
      <c r="I782" s="79"/>
      <c r="J782" s="14"/>
      <c r="K782" s="38"/>
      <c r="L782" s="38"/>
      <c r="M782" s="17"/>
    </row>
    <row r="783" spans="2:13" ht="14.45" customHeight="1" x14ac:dyDescent="0.25">
      <c r="B783" s="17"/>
      <c r="C783" s="14"/>
      <c r="D783" s="14"/>
      <c r="E783" s="18"/>
      <c r="F783" s="61"/>
      <c r="G783" s="73"/>
      <c r="H783" s="79"/>
      <c r="I783" s="79"/>
      <c r="J783" s="14"/>
      <c r="K783" s="38"/>
      <c r="L783" s="38"/>
      <c r="M783" s="17"/>
    </row>
    <row r="784" spans="2:13" ht="14.45" customHeight="1" x14ac:dyDescent="0.25">
      <c r="B784" s="17"/>
      <c r="C784" s="14"/>
      <c r="D784" s="14"/>
      <c r="E784" s="18"/>
      <c r="F784" s="61"/>
      <c r="G784" s="73"/>
      <c r="H784" s="79"/>
      <c r="I784" s="79"/>
      <c r="J784" s="14"/>
      <c r="K784" s="38"/>
      <c r="L784" s="38"/>
      <c r="M784" s="17"/>
    </row>
    <row r="785" spans="2:13" ht="14.45" customHeight="1" x14ac:dyDescent="0.25">
      <c r="B785" s="17"/>
      <c r="C785" s="14"/>
      <c r="D785" s="14"/>
      <c r="E785" s="18"/>
      <c r="F785" s="61"/>
      <c r="G785" s="73"/>
      <c r="H785" s="79"/>
      <c r="I785" s="79"/>
      <c r="J785" s="14"/>
      <c r="K785" s="38"/>
      <c r="L785" s="38"/>
      <c r="M785" s="17"/>
    </row>
    <row r="786" spans="2:13" ht="14.45" customHeight="1" x14ac:dyDescent="0.25">
      <c r="B786" s="17"/>
      <c r="C786" s="14"/>
      <c r="D786" s="14"/>
      <c r="E786" s="18"/>
      <c r="F786" s="61"/>
      <c r="G786" s="73"/>
      <c r="H786" s="79"/>
      <c r="I786" s="79"/>
      <c r="J786" s="14"/>
      <c r="K786" s="38"/>
      <c r="L786" s="38"/>
      <c r="M786" s="17"/>
    </row>
    <row r="787" spans="2:13" ht="14.45" customHeight="1" x14ac:dyDescent="0.25">
      <c r="B787" s="17"/>
      <c r="C787" s="14"/>
      <c r="D787" s="14"/>
      <c r="E787" s="18"/>
      <c r="F787" s="61"/>
      <c r="G787" s="73"/>
      <c r="H787" s="79"/>
      <c r="I787" s="79"/>
      <c r="J787" s="14"/>
      <c r="K787" s="38"/>
      <c r="L787" s="38"/>
      <c r="M787" s="17"/>
    </row>
    <row r="788" spans="2:13" ht="14.45" customHeight="1" x14ac:dyDescent="0.25">
      <c r="B788" s="17"/>
      <c r="C788" s="14"/>
      <c r="D788" s="14"/>
      <c r="E788" s="18"/>
      <c r="F788" s="61"/>
      <c r="G788" s="73"/>
      <c r="H788" s="79"/>
      <c r="I788" s="79"/>
      <c r="J788" s="14"/>
      <c r="K788" s="38"/>
      <c r="L788" s="38"/>
      <c r="M788" s="17"/>
    </row>
    <row r="789" spans="2:13" ht="14.45" customHeight="1" x14ac:dyDescent="0.25">
      <c r="B789" s="17"/>
      <c r="C789" s="14"/>
      <c r="D789" s="14"/>
      <c r="E789" s="18"/>
      <c r="F789" s="61"/>
      <c r="G789" s="73"/>
      <c r="H789" s="79"/>
      <c r="I789" s="79"/>
      <c r="J789" s="14"/>
      <c r="K789" s="38"/>
      <c r="L789" s="38"/>
      <c r="M789" s="17"/>
    </row>
    <row r="790" spans="2:13" ht="14.45" customHeight="1" x14ac:dyDescent="0.25">
      <c r="B790" s="17"/>
      <c r="C790" s="14"/>
      <c r="D790" s="14"/>
      <c r="E790" s="18"/>
      <c r="F790" s="61"/>
      <c r="G790" s="73"/>
      <c r="H790" s="79"/>
      <c r="I790" s="79"/>
      <c r="J790" s="14"/>
      <c r="K790" s="38"/>
      <c r="L790" s="38"/>
      <c r="M790" s="17"/>
    </row>
    <row r="791" spans="2:13" ht="14.45" customHeight="1" x14ac:dyDescent="0.25">
      <c r="B791" s="17"/>
      <c r="C791" s="14"/>
      <c r="D791" s="14"/>
      <c r="E791" s="18"/>
      <c r="F791" s="61"/>
      <c r="G791" s="73"/>
      <c r="H791" s="79"/>
      <c r="I791" s="79"/>
      <c r="J791" s="14"/>
      <c r="K791" s="38"/>
      <c r="L791" s="38"/>
      <c r="M791" s="17"/>
    </row>
    <row r="792" spans="2:13" ht="14.45" customHeight="1" x14ac:dyDescent="0.25">
      <c r="B792" s="17"/>
      <c r="C792" s="14"/>
      <c r="D792" s="14"/>
      <c r="E792" s="18"/>
      <c r="F792" s="61"/>
      <c r="G792" s="73"/>
      <c r="H792" s="79"/>
      <c r="I792" s="79"/>
      <c r="J792" s="14"/>
      <c r="K792" s="38"/>
      <c r="L792" s="38"/>
      <c r="M792" s="17"/>
    </row>
    <row r="793" spans="2:13" ht="14.45" customHeight="1" x14ac:dyDescent="0.25">
      <c r="B793" s="17"/>
      <c r="C793" s="14"/>
      <c r="D793" s="14"/>
      <c r="E793" s="18"/>
      <c r="F793" s="61"/>
      <c r="G793" s="73"/>
      <c r="H793" s="79"/>
      <c r="I793" s="79"/>
      <c r="J793" s="14"/>
      <c r="K793" s="38"/>
      <c r="L793" s="38"/>
      <c r="M793" s="17"/>
    </row>
    <row r="794" spans="2:13" ht="14.45" customHeight="1" x14ac:dyDescent="0.25">
      <c r="B794" s="17"/>
      <c r="C794" s="14"/>
      <c r="D794" s="14"/>
      <c r="E794" s="18"/>
      <c r="F794" s="61"/>
      <c r="G794" s="73"/>
      <c r="H794" s="79"/>
      <c r="I794" s="79"/>
      <c r="J794" s="14"/>
      <c r="K794" s="38"/>
      <c r="L794" s="38"/>
      <c r="M794" s="17"/>
    </row>
    <row r="795" spans="2:13" ht="14.45" customHeight="1" x14ac:dyDescent="0.25">
      <c r="B795" s="17"/>
      <c r="C795" s="14"/>
      <c r="D795" s="14"/>
      <c r="E795" s="18"/>
      <c r="F795" s="61"/>
      <c r="G795" s="73"/>
      <c r="H795" s="79"/>
      <c r="I795" s="79"/>
      <c r="J795" s="14"/>
      <c r="K795" s="38"/>
      <c r="L795" s="38"/>
      <c r="M795" s="17"/>
    </row>
    <row r="796" spans="2:13" ht="14.45" customHeight="1" x14ac:dyDescent="0.25">
      <c r="B796" s="17"/>
      <c r="C796" s="14"/>
      <c r="D796" s="14"/>
      <c r="E796" s="18"/>
      <c r="F796" s="61"/>
      <c r="G796" s="73"/>
      <c r="H796" s="79"/>
      <c r="I796" s="79"/>
      <c r="J796" s="14"/>
      <c r="K796" s="38"/>
      <c r="L796" s="38"/>
      <c r="M796" s="17"/>
    </row>
    <row r="797" spans="2:13" ht="14.45" customHeight="1" x14ac:dyDescent="0.25">
      <c r="B797" s="17"/>
      <c r="C797" s="14"/>
      <c r="D797" s="14"/>
      <c r="E797" s="18"/>
      <c r="F797" s="61"/>
      <c r="G797" s="73"/>
      <c r="H797" s="79"/>
      <c r="I797" s="79"/>
      <c r="J797" s="14"/>
      <c r="K797" s="38"/>
      <c r="L797" s="38"/>
      <c r="M797" s="17"/>
    </row>
    <row r="798" spans="2:13" ht="14.45" customHeight="1" x14ac:dyDescent="0.25">
      <c r="B798" s="17"/>
      <c r="C798" s="14"/>
      <c r="D798" s="14"/>
      <c r="E798" s="18"/>
      <c r="F798" s="61"/>
      <c r="G798" s="73"/>
      <c r="H798" s="79"/>
      <c r="I798" s="79"/>
      <c r="J798" s="14"/>
      <c r="K798" s="38"/>
      <c r="L798" s="38"/>
      <c r="M798" s="17"/>
    </row>
    <row r="799" spans="2:13" ht="14.45" customHeight="1" x14ac:dyDescent="0.25">
      <c r="B799" s="17"/>
      <c r="C799" s="14"/>
      <c r="D799" s="14"/>
      <c r="E799" s="18"/>
      <c r="F799" s="61"/>
      <c r="G799" s="73"/>
      <c r="H799" s="79"/>
      <c r="I799" s="79"/>
      <c r="J799" s="14"/>
      <c r="K799" s="38"/>
      <c r="L799" s="38"/>
      <c r="M799" s="17"/>
    </row>
    <row r="800" spans="2:13" ht="14.45" customHeight="1" x14ac:dyDescent="0.25">
      <c r="B800" s="17"/>
      <c r="C800" s="14"/>
      <c r="D800" s="14"/>
      <c r="E800" s="18"/>
      <c r="F800" s="61"/>
      <c r="G800" s="73"/>
      <c r="H800" s="79"/>
      <c r="I800" s="79"/>
      <c r="J800" s="14"/>
      <c r="K800" s="38"/>
      <c r="L800" s="38"/>
      <c r="M800" s="17"/>
    </row>
    <row r="801" spans="2:13" ht="14.45" customHeight="1" x14ac:dyDescent="0.25">
      <c r="B801" s="17"/>
      <c r="C801" s="14"/>
      <c r="D801" s="14"/>
      <c r="E801" s="18"/>
      <c r="F801" s="61"/>
      <c r="G801" s="73"/>
      <c r="H801" s="79"/>
      <c r="I801" s="79"/>
      <c r="J801" s="14"/>
      <c r="K801" s="38"/>
      <c r="L801" s="38"/>
      <c r="M801" s="17"/>
    </row>
    <row r="802" spans="2:13" ht="14.45" customHeight="1" x14ac:dyDescent="0.25">
      <c r="B802" s="17"/>
      <c r="C802" s="14"/>
      <c r="D802" s="14"/>
      <c r="E802" s="18"/>
      <c r="F802" s="61"/>
      <c r="G802" s="73"/>
      <c r="H802" s="79"/>
      <c r="I802" s="79"/>
      <c r="J802" s="14"/>
      <c r="K802" s="38"/>
      <c r="L802" s="38"/>
      <c r="M802" s="17"/>
    </row>
    <row r="803" spans="2:13" ht="14.45" customHeight="1" x14ac:dyDescent="0.25">
      <c r="B803" s="17"/>
      <c r="C803" s="14"/>
      <c r="D803" s="14"/>
      <c r="E803" s="18"/>
      <c r="F803" s="61"/>
      <c r="G803" s="73"/>
      <c r="H803" s="79"/>
      <c r="I803" s="79"/>
      <c r="J803" s="14"/>
      <c r="K803" s="38"/>
      <c r="L803" s="38"/>
      <c r="M803" s="17"/>
    </row>
    <row r="804" spans="2:13" ht="14.45" customHeight="1" x14ac:dyDescent="0.25">
      <c r="B804" s="17"/>
      <c r="C804" s="14"/>
      <c r="D804" s="14"/>
      <c r="E804" s="18"/>
      <c r="F804" s="61"/>
      <c r="G804" s="73"/>
      <c r="H804" s="79"/>
      <c r="I804" s="79"/>
      <c r="J804" s="14"/>
      <c r="K804" s="38"/>
      <c r="L804" s="38"/>
      <c r="M804" s="17"/>
    </row>
    <row r="805" spans="2:13" ht="14.45" customHeight="1" x14ac:dyDescent="0.25">
      <c r="B805" s="17"/>
      <c r="C805" s="14"/>
      <c r="D805" s="14"/>
      <c r="E805" s="18"/>
      <c r="F805" s="61"/>
      <c r="G805" s="73"/>
      <c r="H805" s="79"/>
      <c r="I805" s="79"/>
      <c r="J805" s="14"/>
      <c r="K805" s="38"/>
      <c r="L805" s="38"/>
      <c r="M805" s="17"/>
    </row>
    <row r="806" spans="2:13" ht="14.45" customHeight="1" x14ac:dyDescent="0.25">
      <c r="B806" s="17"/>
      <c r="C806" s="14"/>
      <c r="D806" s="14"/>
      <c r="E806" s="18"/>
      <c r="F806" s="61"/>
      <c r="G806" s="73"/>
      <c r="H806" s="79"/>
      <c r="I806" s="79"/>
      <c r="J806" s="14"/>
      <c r="K806" s="38"/>
      <c r="L806" s="38"/>
      <c r="M806" s="17"/>
    </row>
    <row r="807" spans="2:13" ht="14.45" customHeight="1" x14ac:dyDescent="0.25">
      <c r="B807" s="17"/>
      <c r="C807" s="14"/>
      <c r="D807" s="14"/>
      <c r="E807" s="18"/>
      <c r="F807" s="61"/>
      <c r="G807" s="73"/>
      <c r="H807" s="79"/>
      <c r="I807" s="79"/>
      <c r="J807" s="14"/>
      <c r="K807" s="38"/>
      <c r="L807" s="38"/>
      <c r="M807" s="17"/>
    </row>
    <row r="808" spans="2:13" ht="14.45" customHeight="1" x14ac:dyDescent="0.25">
      <c r="B808" s="17"/>
      <c r="C808" s="14"/>
      <c r="D808" s="14"/>
      <c r="E808" s="18"/>
      <c r="F808" s="61"/>
      <c r="G808" s="73"/>
      <c r="H808" s="79"/>
      <c r="I808" s="79"/>
      <c r="J808" s="14"/>
      <c r="K808" s="38"/>
      <c r="L808" s="38"/>
      <c r="M808" s="17"/>
    </row>
    <row r="809" spans="2:13" ht="14.45" customHeight="1" x14ac:dyDescent="0.25">
      <c r="B809" s="17"/>
      <c r="C809" s="14"/>
      <c r="D809" s="14"/>
      <c r="E809" s="18"/>
      <c r="F809" s="61"/>
      <c r="G809" s="73"/>
      <c r="H809" s="79"/>
      <c r="I809" s="79"/>
      <c r="J809" s="14"/>
      <c r="K809" s="38"/>
      <c r="L809" s="38"/>
      <c r="M809" s="17"/>
    </row>
    <row r="810" spans="2:13" ht="14.45" customHeight="1" x14ac:dyDescent="0.25">
      <c r="B810" s="17"/>
      <c r="C810" s="14"/>
      <c r="D810" s="14"/>
      <c r="E810" s="18"/>
      <c r="F810" s="61"/>
      <c r="G810" s="73"/>
      <c r="H810" s="79"/>
      <c r="I810" s="79"/>
      <c r="J810" s="14"/>
      <c r="K810" s="38"/>
      <c r="L810" s="38"/>
      <c r="M810" s="17"/>
    </row>
    <row r="811" spans="2:13" ht="14.45" customHeight="1" x14ac:dyDescent="0.25">
      <c r="B811" s="17"/>
      <c r="C811" s="14"/>
      <c r="D811" s="14"/>
      <c r="E811" s="18"/>
      <c r="F811" s="61"/>
      <c r="G811" s="73"/>
      <c r="H811" s="79"/>
      <c r="I811" s="79"/>
      <c r="J811" s="14"/>
      <c r="K811" s="38"/>
      <c r="L811" s="38"/>
      <c r="M811" s="17"/>
    </row>
    <row r="812" spans="2:13" ht="14.45" customHeight="1" x14ac:dyDescent="0.25">
      <c r="B812" s="17"/>
      <c r="C812" s="14"/>
      <c r="D812" s="14"/>
      <c r="E812" s="18"/>
      <c r="F812" s="61"/>
      <c r="G812" s="73"/>
      <c r="H812" s="79"/>
      <c r="I812" s="79"/>
      <c r="J812" s="14"/>
      <c r="K812" s="38"/>
      <c r="L812" s="38"/>
      <c r="M812" s="17"/>
    </row>
    <row r="813" spans="2:13" ht="14.45" customHeight="1" x14ac:dyDescent="0.25">
      <c r="B813" s="17"/>
      <c r="C813" s="14"/>
      <c r="D813" s="14"/>
      <c r="E813" s="18"/>
      <c r="F813" s="61"/>
      <c r="G813" s="73"/>
      <c r="H813" s="79"/>
      <c r="I813" s="79"/>
      <c r="J813" s="14"/>
      <c r="K813" s="38"/>
      <c r="L813" s="38"/>
      <c r="M813" s="17"/>
    </row>
    <row r="814" spans="2:13" ht="14.45" customHeight="1" x14ac:dyDescent="0.25">
      <c r="B814" s="17"/>
      <c r="C814" s="14"/>
      <c r="D814" s="14"/>
      <c r="E814" s="18"/>
      <c r="F814" s="61"/>
      <c r="G814" s="73"/>
      <c r="H814" s="79"/>
      <c r="I814" s="79"/>
      <c r="J814" s="14"/>
      <c r="K814" s="38"/>
      <c r="L814" s="38"/>
      <c r="M814" s="17"/>
    </row>
    <row r="815" spans="2:13" ht="14.45" customHeight="1" x14ac:dyDescent="0.25">
      <c r="B815" s="17"/>
      <c r="C815" s="14"/>
      <c r="D815" s="14"/>
      <c r="E815" s="18"/>
      <c r="F815" s="61"/>
      <c r="G815" s="73"/>
      <c r="H815" s="79"/>
      <c r="I815" s="79"/>
      <c r="J815" s="14"/>
      <c r="K815" s="38"/>
      <c r="L815" s="38"/>
      <c r="M815" s="17"/>
    </row>
    <row r="816" spans="2:13" ht="14.45" customHeight="1" x14ac:dyDescent="0.25">
      <c r="B816" s="17"/>
      <c r="C816" s="14"/>
      <c r="D816" s="14"/>
      <c r="E816" s="18"/>
      <c r="F816" s="61"/>
      <c r="G816" s="73"/>
      <c r="H816" s="79"/>
      <c r="I816" s="79"/>
      <c r="J816" s="14"/>
      <c r="K816" s="38"/>
      <c r="L816" s="38"/>
      <c r="M816" s="17"/>
    </row>
    <row r="817" spans="2:13" ht="14.45" customHeight="1" x14ac:dyDescent="0.25">
      <c r="B817" s="17"/>
      <c r="C817" s="14"/>
      <c r="D817" s="14"/>
      <c r="E817" s="18"/>
      <c r="F817" s="61"/>
      <c r="G817" s="73"/>
      <c r="H817" s="79"/>
      <c r="I817" s="79"/>
      <c r="J817" s="14"/>
      <c r="K817" s="38"/>
      <c r="L817" s="38"/>
      <c r="M817" s="17"/>
    </row>
    <row r="818" spans="2:13" ht="14.45" customHeight="1" x14ac:dyDescent="0.25">
      <c r="B818" s="17"/>
      <c r="C818" s="14"/>
      <c r="D818" s="14"/>
      <c r="E818" s="18"/>
      <c r="F818" s="61"/>
      <c r="G818" s="73"/>
      <c r="H818" s="79"/>
      <c r="I818" s="79"/>
      <c r="J818" s="14"/>
      <c r="K818" s="38"/>
      <c r="L818" s="38"/>
      <c r="M818" s="17"/>
    </row>
    <row r="819" spans="2:13" ht="14.45" customHeight="1" x14ac:dyDescent="0.25">
      <c r="B819" s="17"/>
      <c r="C819" s="14"/>
      <c r="D819" s="14"/>
      <c r="E819" s="18"/>
      <c r="F819" s="61"/>
      <c r="G819" s="73"/>
      <c r="H819" s="79"/>
      <c r="I819" s="79"/>
      <c r="J819" s="14"/>
      <c r="K819" s="38"/>
      <c r="L819" s="38"/>
      <c r="M819" s="17"/>
    </row>
    <row r="820" spans="2:13" ht="14.45" customHeight="1" x14ac:dyDescent="0.25">
      <c r="B820" s="17"/>
      <c r="C820" s="14"/>
      <c r="D820" s="14"/>
      <c r="E820" s="18"/>
      <c r="F820" s="61"/>
      <c r="G820" s="73"/>
      <c r="H820" s="79"/>
      <c r="I820" s="79"/>
      <c r="J820" s="14"/>
      <c r="K820" s="38"/>
      <c r="L820" s="38"/>
      <c r="M820" s="17"/>
    </row>
    <row r="821" spans="2:13" ht="14.45" customHeight="1" x14ac:dyDescent="0.25">
      <c r="B821" s="17"/>
      <c r="C821" s="14"/>
      <c r="D821" s="14"/>
      <c r="E821" s="18"/>
      <c r="F821" s="61"/>
      <c r="G821" s="73"/>
      <c r="H821" s="79"/>
      <c r="I821" s="79"/>
      <c r="J821" s="14"/>
      <c r="K821" s="38"/>
      <c r="L821" s="38"/>
      <c r="M821" s="17"/>
    </row>
    <row r="822" spans="2:13" ht="14.45" customHeight="1" x14ac:dyDescent="0.25">
      <c r="B822" s="17"/>
      <c r="C822" s="14"/>
      <c r="D822" s="14"/>
      <c r="E822" s="18"/>
      <c r="F822" s="61"/>
      <c r="G822" s="73"/>
      <c r="H822" s="79"/>
      <c r="I822" s="79"/>
      <c r="J822" s="14"/>
      <c r="K822" s="38"/>
      <c r="L822" s="38"/>
      <c r="M822" s="17"/>
    </row>
    <row r="823" spans="2:13" ht="14.45" customHeight="1" x14ac:dyDescent="0.25">
      <c r="B823" s="17"/>
      <c r="C823" s="14"/>
      <c r="D823" s="14"/>
      <c r="E823" s="18"/>
      <c r="F823" s="61"/>
      <c r="G823" s="73"/>
      <c r="H823" s="79"/>
      <c r="I823" s="79"/>
      <c r="J823" s="14"/>
      <c r="K823" s="38"/>
      <c r="L823" s="38"/>
      <c r="M823" s="17"/>
    </row>
    <row r="824" spans="2:13" ht="14.45" customHeight="1" x14ac:dyDescent="0.25">
      <c r="B824" s="17"/>
      <c r="C824" s="14"/>
      <c r="D824" s="14"/>
      <c r="E824" s="18"/>
      <c r="F824" s="61"/>
      <c r="G824" s="73"/>
      <c r="H824" s="79"/>
      <c r="I824" s="79"/>
      <c r="J824" s="14"/>
      <c r="K824" s="38"/>
      <c r="L824" s="38"/>
      <c r="M824" s="17"/>
    </row>
    <row r="825" spans="2:13" ht="14.45" customHeight="1" x14ac:dyDescent="0.25">
      <c r="B825" s="17"/>
      <c r="C825" s="14"/>
      <c r="D825" s="14"/>
      <c r="E825" s="18"/>
      <c r="F825" s="61"/>
      <c r="G825" s="73"/>
      <c r="H825" s="79"/>
      <c r="I825" s="79"/>
      <c r="J825" s="14"/>
      <c r="K825" s="38"/>
      <c r="L825" s="38"/>
      <c r="M825" s="17"/>
    </row>
    <row r="826" spans="2:13" ht="14.45" customHeight="1" x14ac:dyDescent="0.25">
      <c r="B826" s="17"/>
      <c r="C826" s="14"/>
      <c r="D826" s="14"/>
      <c r="E826" s="18"/>
      <c r="F826" s="61"/>
      <c r="G826" s="73"/>
      <c r="H826" s="79"/>
      <c r="I826" s="79"/>
      <c r="J826" s="14"/>
      <c r="K826" s="38"/>
      <c r="L826" s="38"/>
      <c r="M826" s="17"/>
    </row>
    <row r="827" spans="2:13" ht="14.45" customHeight="1" x14ac:dyDescent="0.25">
      <c r="B827" s="17"/>
      <c r="C827" s="14"/>
      <c r="D827" s="14"/>
      <c r="E827" s="18"/>
      <c r="F827" s="61"/>
      <c r="G827" s="73"/>
      <c r="H827" s="79"/>
      <c r="I827" s="79"/>
      <c r="J827" s="14"/>
      <c r="K827" s="38"/>
      <c r="L827" s="38"/>
      <c r="M827" s="17"/>
    </row>
    <row r="828" spans="2:13" ht="14.45" customHeight="1" x14ac:dyDescent="0.25">
      <c r="B828" s="17"/>
      <c r="C828" s="14"/>
      <c r="D828" s="14"/>
      <c r="E828" s="18"/>
      <c r="F828" s="61"/>
      <c r="G828" s="73"/>
      <c r="H828" s="79"/>
      <c r="I828" s="79"/>
      <c r="J828" s="14"/>
      <c r="K828" s="38"/>
      <c r="L828" s="38"/>
      <c r="M828" s="17"/>
    </row>
    <row r="829" spans="2:13" ht="14.45" customHeight="1" x14ac:dyDescent="0.25">
      <c r="B829" s="17"/>
      <c r="C829" s="14"/>
      <c r="D829" s="14"/>
      <c r="E829" s="18"/>
      <c r="F829" s="61"/>
      <c r="G829" s="73"/>
      <c r="H829" s="79"/>
      <c r="I829" s="79"/>
      <c r="J829" s="14"/>
      <c r="K829" s="38"/>
      <c r="L829" s="38"/>
      <c r="M829" s="17"/>
    </row>
    <row r="830" spans="2:13" ht="14.45" customHeight="1" x14ac:dyDescent="0.25">
      <c r="B830" s="17"/>
      <c r="C830" s="14"/>
      <c r="D830" s="14"/>
      <c r="E830" s="18"/>
      <c r="F830" s="61"/>
      <c r="G830" s="73"/>
      <c r="H830" s="79"/>
      <c r="I830" s="79"/>
      <c r="J830" s="14"/>
      <c r="K830" s="38"/>
      <c r="L830" s="38"/>
      <c r="M830" s="17"/>
    </row>
    <row r="831" spans="2:13" ht="14.45" customHeight="1" x14ac:dyDescent="0.25">
      <c r="B831" s="17"/>
      <c r="C831" s="14"/>
      <c r="D831" s="14"/>
      <c r="E831" s="18"/>
      <c r="F831" s="61"/>
      <c r="G831" s="73"/>
      <c r="H831" s="79"/>
      <c r="I831" s="79"/>
      <c r="J831" s="14"/>
      <c r="K831" s="38"/>
      <c r="L831" s="38"/>
      <c r="M831" s="17"/>
    </row>
    <row r="832" spans="2:13" ht="14.45" customHeight="1" x14ac:dyDescent="0.25">
      <c r="B832" s="17"/>
      <c r="C832" s="14"/>
      <c r="D832" s="14"/>
      <c r="E832" s="18"/>
      <c r="F832" s="61"/>
      <c r="G832" s="73"/>
      <c r="H832" s="79"/>
      <c r="I832" s="79"/>
      <c r="J832" s="14"/>
      <c r="K832" s="38"/>
      <c r="L832" s="38"/>
      <c r="M832" s="17"/>
    </row>
    <row r="833" spans="2:13" ht="14.45" customHeight="1" x14ac:dyDescent="0.25">
      <c r="B833" s="17"/>
      <c r="C833" s="14"/>
      <c r="D833" s="14"/>
      <c r="E833" s="18"/>
      <c r="F833" s="61"/>
      <c r="G833" s="73"/>
      <c r="H833" s="79"/>
      <c r="I833" s="79"/>
      <c r="J833" s="14"/>
      <c r="K833" s="38"/>
      <c r="L833" s="38"/>
      <c r="M833" s="17"/>
    </row>
    <row r="834" spans="2:13" ht="14.45" customHeight="1" x14ac:dyDescent="0.25">
      <c r="B834" s="17"/>
      <c r="C834" s="14"/>
      <c r="D834" s="14"/>
      <c r="E834" s="18"/>
      <c r="F834" s="61"/>
      <c r="G834" s="73"/>
      <c r="H834" s="79"/>
      <c r="I834" s="79"/>
      <c r="J834" s="14"/>
      <c r="K834" s="38"/>
      <c r="L834" s="38"/>
      <c r="M834" s="17"/>
    </row>
    <row r="835" spans="2:13" ht="14.45" customHeight="1" x14ac:dyDescent="0.25">
      <c r="B835" s="17"/>
      <c r="C835" s="14"/>
      <c r="D835" s="14"/>
      <c r="E835" s="18"/>
      <c r="F835" s="61"/>
      <c r="G835" s="73"/>
      <c r="H835" s="79"/>
      <c r="I835" s="79"/>
      <c r="J835" s="14"/>
      <c r="K835" s="38"/>
      <c r="L835" s="38"/>
      <c r="M835" s="17"/>
    </row>
    <row r="836" spans="2:13" ht="14.45" customHeight="1" x14ac:dyDescent="0.25">
      <c r="B836" s="17"/>
      <c r="C836" s="14"/>
      <c r="D836" s="14"/>
      <c r="E836" s="18"/>
      <c r="F836" s="61"/>
      <c r="G836" s="73"/>
      <c r="H836" s="79"/>
      <c r="I836" s="79"/>
      <c r="J836" s="14"/>
      <c r="K836" s="38"/>
      <c r="L836" s="38"/>
      <c r="M836" s="17"/>
    </row>
    <row r="837" spans="2:13" ht="14.45" customHeight="1" x14ac:dyDescent="0.25">
      <c r="B837" s="17"/>
      <c r="C837" s="14"/>
      <c r="D837" s="14"/>
      <c r="E837" s="18"/>
      <c r="F837" s="61"/>
      <c r="G837" s="73"/>
      <c r="H837" s="79"/>
      <c r="I837" s="79"/>
      <c r="J837" s="14"/>
      <c r="K837" s="38"/>
      <c r="L837" s="38"/>
      <c r="M837" s="17"/>
    </row>
    <row r="838" spans="2:13" ht="14.45" customHeight="1" x14ac:dyDescent="0.25">
      <c r="B838" s="17"/>
      <c r="C838" s="14"/>
      <c r="D838" s="14"/>
      <c r="E838" s="18"/>
      <c r="F838" s="61"/>
      <c r="G838" s="73"/>
      <c r="H838" s="79"/>
      <c r="I838" s="79"/>
      <c r="J838" s="14"/>
      <c r="K838" s="38"/>
      <c r="L838" s="38"/>
      <c r="M838" s="17"/>
    </row>
    <row r="839" spans="2:13" ht="14.45" customHeight="1" x14ac:dyDescent="0.25">
      <c r="B839" s="17"/>
      <c r="C839" s="14"/>
      <c r="D839" s="14"/>
      <c r="E839" s="18"/>
      <c r="F839" s="61"/>
      <c r="G839" s="73"/>
      <c r="H839" s="79"/>
      <c r="I839" s="79"/>
      <c r="J839" s="14"/>
      <c r="K839" s="38"/>
      <c r="L839" s="38"/>
      <c r="M839" s="17"/>
    </row>
    <row r="840" spans="2:13" ht="14.45" customHeight="1" x14ac:dyDescent="0.25">
      <c r="B840" s="17"/>
      <c r="C840" s="14"/>
      <c r="D840" s="14"/>
      <c r="E840" s="18"/>
      <c r="F840" s="61"/>
      <c r="G840" s="73"/>
      <c r="H840" s="79"/>
      <c r="I840" s="79"/>
      <c r="J840" s="14"/>
      <c r="K840" s="38"/>
      <c r="L840" s="38"/>
      <c r="M840" s="17"/>
    </row>
    <row r="841" spans="2:13" ht="14.45" customHeight="1" x14ac:dyDescent="0.25">
      <c r="B841" s="17"/>
      <c r="C841" s="14"/>
      <c r="D841" s="14"/>
      <c r="E841" s="18"/>
      <c r="F841" s="61"/>
      <c r="G841" s="73"/>
      <c r="H841" s="79"/>
      <c r="I841" s="79"/>
      <c r="J841" s="14"/>
      <c r="K841" s="38"/>
      <c r="L841" s="38"/>
      <c r="M841" s="17"/>
    </row>
    <row r="842" spans="2:13" ht="14.45" customHeight="1" x14ac:dyDescent="0.25">
      <c r="B842" s="17"/>
      <c r="C842" s="14"/>
      <c r="D842" s="14"/>
      <c r="E842" s="18"/>
      <c r="F842" s="61"/>
      <c r="G842" s="73"/>
      <c r="H842" s="79"/>
      <c r="I842" s="79"/>
      <c r="J842" s="14"/>
      <c r="K842" s="38"/>
      <c r="L842" s="38"/>
      <c r="M842" s="17"/>
    </row>
    <row r="843" spans="2:13" ht="14.45" customHeight="1" x14ac:dyDescent="0.25">
      <c r="B843" s="17"/>
      <c r="C843" s="14"/>
      <c r="D843" s="14"/>
      <c r="E843" s="18"/>
      <c r="F843" s="61"/>
      <c r="G843" s="73"/>
      <c r="H843" s="79"/>
      <c r="I843" s="79"/>
      <c r="J843" s="14"/>
      <c r="K843" s="38"/>
      <c r="L843" s="38"/>
      <c r="M843" s="17"/>
    </row>
    <row r="844" spans="2:13" ht="14.45" customHeight="1" x14ac:dyDescent="0.25">
      <c r="B844" s="17"/>
      <c r="C844" s="14"/>
      <c r="D844" s="14"/>
      <c r="E844" s="18"/>
      <c r="F844" s="61"/>
      <c r="G844" s="73"/>
      <c r="H844" s="79"/>
      <c r="I844" s="79"/>
      <c r="J844" s="14"/>
      <c r="K844" s="38"/>
      <c r="L844" s="38"/>
      <c r="M844" s="17"/>
    </row>
    <row r="845" spans="2:13" ht="14.45" customHeight="1" x14ac:dyDescent="0.25">
      <c r="B845" s="17"/>
      <c r="C845" s="14"/>
      <c r="D845" s="14"/>
      <c r="E845" s="18"/>
      <c r="F845" s="61"/>
      <c r="G845" s="73"/>
      <c r="H845" s="79"/>
      <c r="I845" s="79"/>
      <c r="J845" s="14"/>
      <c r="K845" s="38"/>
      <c r="L845" s="38"/>
      <c r="M845" s="17"/>
    </row>
    <row r="846" spans="2:13" ht="14.45" customHeight="1" x14ac:dyDescent="0.25">
      <c r="B846" s="17"/>
      <c r="C846" s="14"/>
      <c r="D846" s="14"/>
      <c r="E846" s="18"/>
      <c r="F846" s="61"/>
      <c r="G846" s="73"/>
      <c r="H846" s="79"/>
      <c r="I846" s="79"/>
      <c r="J846" s="14"/>
      <c r="K846" s="38"/>
      <c r="L846" s="38"/>
      <c r="M846" s="17"/>
    </row>
    <row r="847" spans="2:13" ht="14.45" customHeight="1" x14ac:dyDescent="0.25">
      <c r="B847" s="17"/>
      <c r="C847" s="14"/>
      <c r="D847" s="14"/>
      <c r="E847" s="18"/>
      <c r="F847" s="61"/>
      <c r="G847" s="73"/>
      <c r="H847" s="79"/>
      <c r="I847" s="79"/>
      <c r="J847" s="14"/>
      <c r="K847" s="38"/>
      <c r="L847" s="38"/>
      <c r="M847" s="17"/>
    </row>
    <row r="848" spans="2:13" ht="14.45" customHeight="1" x14ac:dyDescent="0.25">
      <c r="B848" s="17"/>
      <c r="C848" s="14"/>
      <c r="D848" s="14"/>
      <c r="E848" s="18"/>
      <c r="F848" s="61"/>
      <c r="G848" s="73"/>
      <c r="H848" s="79"/>
      <c r="I848" s="79"/>
      <c r="J848" s="14"/>
      <c r="K848" s="38"/>
      <c r="L848" s="38"/>
      <c r="M848" s="17"/>
    </row>
    <row r="849" spans="2:13" ht="14.45" customHeight="1" x14ac:dyDescent="0.25">
      <c r="B849" s="17"/>
      <c r="C849" s="14"/>
      <c r="D849" s="14"/>
      <c r="E849" s="18"/>
      <c r="F849" s="61"/>
      <c r="G849" s="73"/>
      <c r="H849" s="79"/>
      <c r="I849" s="79"/>
      <c r="J849" s="14"/>
      <c r="K849" s="38"/>
      <c r="L849" s="38"/>
      <c r="M849" s="17"/>
    </row>
    <row r="850" spans="2:13" ht="14.45" customHeight="1" x14ac:dyDescent="0.25">
      <c r="B850" s="17"/>
      <c r="C850" s="14"/>
      <c r="D850" s="14"/>
      <c r="E850" s="18"/>
      <c r="F850" s="61"/>
      <c r="G850" s="73"/>
      <c r="H850" s="79"/>
      <c r="I850" s="79"/>
      <c r="J850" s="14"/>
      <c r="K850" s="38"/>
      <c r="L850" s="38"/>
      <c r="M850" s="17"/>
    </row>
    <row r="851" spans="2:13" ht="14.45" customHeight="1" x14ac:dyDescent="0.25">
      <c r="B851" s="17"/>
      <c r="C851" s="14"/>
      <c r="D851" s="14"/>
      <c r="E851" s="18"/>
      <c r="F851" s="61"/>
      <c r="G851" s="73"/>
      <c r="H851" s="79"/>
      <c r="I851" s="79"/>
      <c r="J851" s="14"/>
      <c r="K851" s="38"/>
      <c r="L851" s="38"/>
      <c r="M851" s="17"/>
    </row>
    <row r="852" spans="2:13" ht="14.45" customHeight="1" x14ac:dyDescent="0.25">
      <c r="B852" s="17"/>
      <c r="C852" s="14"/>
      <c r="D852" s="14"/>
      <c r="E852" s="18"/>
      <c r="F852" s="61"/>
      <c r="G852" s="73"/>
      <c r="H852" s="79"/>
      <c r="I852" s="79"/>
      <c r="J852" s="14"/>
      <c r="K852" s="38"/>
      <c r="L852" s="38"/>
      <c r="M852" s="17"/>
    </row>
    <row r="853" spans="2:13" ht="14.45" customHeight="1" x14ac:dyDescent="0.25">
      <c r="B853" s="17"/>
      <c r="C853" s="14"/>
      <c r="D853" s="14"/>
      <c r="E853" s="18"/>
      <c r="F853" s="61"/>
      <c r="G853" s="73"/>
      <c r="H853" s="79"/>
      <c r="I853" s="79"/>
      <c r="J853" s="14"/>
      <c r="K853" s="38"/>
      <c r="L853" s="38"/>
      <c r="M853" s="17"/>
    </row>
    <row r="854" spans="2:13" ht="14.45" customHeight="1" x14ac:dyDescent="0.25">
      <c r="B854" s="17"/>
      <c r="C854" s="14"/>
      <c r="D854" s="14"/>
      <c r="E854" s="18"/>
      <c r="F854" s="61"/>
      <c r="G854" s="73"/>
      <c r="H854" s="79"/>
      <c r="I854" s="79"/>
      <c r="J854" s="14"/>
      <c r="K854" s="38"/>
      <c r="L854" s="38"/>
      <c r="M854" s="17"/>
    </row>
    <row r="855" spans="2:13" ht="14.45" customHeight="1" x14ac:dyDescent="0.25">
      <c r="B855" s="17"/>
      <c r="C855" s="14"/>
      <c r="D855" s="14"/>
      <c r="E855" s="18"/>
      <c r="F855" s="61"/>
      <c r="G855" s="73"/>
      <c r="H855" s="79"/>
      <c r="I855" s="79"/>
      <c r="J855" s="14"/>
      <c r="K855" s="38"/>
      <c r="L855" s="38"/>
      <c r="M855" s="17"/>
    </row>
    <row r="856" spans="2:13" ht="14.45" customHeight="1" x14ac:dyDescent="0.25">
      <c r="B856" s="17"/>
      <c r="C856" s="14"/>
      <c r="D856" s="14"/>
      <c r="E856" s="18"/>
      <c r="F856" s="61"/>
      <c r="G856" s="73"/>
      <c r="H856" s="79"/>
      <c r="I856" s="79"/>
      <c r="J856" s="14"/>
      <c r="K856" s="38"/>
      <c r="L856" s="38"/>
      <c r="M856" s="17"/>
    </row>
    <row r="857" spans="2:13" ht="14.45" customHeight="1" x14ac:dyDescent="0.25">
      <c r="B857" s="17"/>
      <c r="C857" s="14"/>
      <c r="D857" s="14"/>
      <c r="E857" s="18"/>
      <c r="F857" s="61"/>
      <c r="G857" s="73"/>
      <c r="H857" s="79"/>
      <c r="I857" s="79"/>
      <c r="J857" s="14"/>
      <c r="K857" s="38"/>
      <c r="L857" s="38"/>
      <c r="M857" s="17"/>
    </row>
    <row r="858" spans="2:13" ht="14.45" customHeight="1" x14ac:dyDescent="0.25">
      <c r="B858" s="17"/>
      <c r="C858" s="14"/>
      <c r="D858" s="14"/>
      <c r="E858" s="18"/>
      <c r="F858" s="61"/>
      <c r="G858" s="73"/>
      <c r="H858" s="79"/>
      <c r="I858" s="79"/>
      <c r="J858" s="14"/>
      <c r="K858" s="38"/>
      <c r="L858" s="38"/>
      <c r="M858" s="17"/>
    </row>
    <row r="859" spans="2:13" ht="14.45" customHeight="1" x14ac:dyDescent="0.25">
      <c r="B859" s="17"/>
      <c r="C859" s="14"/>
      <c r="D859" s="14"/>
      <c r="E859" s="18"/>
      <c r="F859" s="61"/>
      <c r="G859" s="73"/>
      <c r="H859" s="79"/>
      <c r="I859" s="79"/>
      <c r="J859" s="14"/>
      <c r="K859" s="38"/>
      <c r="L859" s="38"/>
      <c r="M859" s="17"/>
    </row>
    <row r="860" spans="2:13" ht="14.45" customHeight="1" x14ac:dyDescent="0.25">
      <c r="B860" s="17"/>
      <c r="C860" s="14"/>
      <c r="D860" s="14"/>
      <c r="E860" s="18"/>
      <c r="F860" s="61"/>
      <c r="G860" s="73"/>
      <c r="H860" s="79"/>
      <c r="I860" s="79"/>
      <c r="J860" s="14"/>
      <c r="K860" s="38"/>
      <c r="L860" s="38"/>
      <c r="M860" s="17"/>
    </row>
    <row r="861" spans="2:13" ht="14.45" customHeight="1" x14ac:dyDescent="0.25">
      <c r="B861" s="17"/>
      <c r="C861" s="14"/>
      <c r="D861" s="14"/>
      <c r="E861" s="18"/>
      <c r="F861" s="61"/>
      <c r="G861" s="73"/>
      <c r="H861" s="79"/>
      <c r="I861" s="79"/>
      <c r="J861" s="14"/>
      <c r="K861" s="38"/>
      <c r="L861" s="38"/>
      <c r="M861" s="17"/>
    </row>
    <row r="862" spans="2:13" ht="14.45" customHeight="1" x14ac:dyDescent="0.25">
      <c r="B862" s="17"/>
      <c r="C862" s="14"/>
      <c r="D862" s="14"/>
      <c r="E862" s="18"/>
      <c r="F862" s="61"/>
      <c r="G862" s="73"/>
      <c r="H862" s="79"/>
      <c r="I862" s="79"/>
      <c r="J862" s="14"/>
      <c r="K862" s="38"/>
      <c r="L862" s="38"/>
      <c r="M862" s="17"/>
    </row>
    <row r="863" spans="2:13" ht="14.45" customHeight="1" x14ac:dyDescent="0.25">
      <c r="B863" s="17"/>
      <c r="C863" s="14"/>
      <c r="D863" s="14"/>
      <c r="E863" s="18"/>
      <c r="F863" s="61"/>
      <c r="G863" s="73"/>
      <c r="H863" s="79"/>
      <c r="I863" s="79"/>
      <c r="J863" s="14"/>
      <c r="K863" s="38"/>
      <c r="L863" s="38"/>
      <c r="M863" s="17"/>
    </row>
    <row r="864" spans="2:13" ht="14.45" customHeight="1" x14ac:dyDescent="0.25">
      <c r="B864" s="17"/>
      <c r="C864" s="14"/>
      <c r="D864" s="14"/>
      <c r="E864" s="18"/>
      <c r="F864" s="61"/>
      <c r="G864" s="73"/>
      <c r="H864" s="79"/>
      <c r="I864" s="79"/>
      <c r="J864" s="14"/>
      <c r="K864" s="38"/>
      <c r="L864" s="38"/>
      <c r="M864" s="17"/>
    </row>
    <row r="865" spans="2:13" ht="14.45" customHeight="1" x14ac:dyDescent="0.25">
      <c r="B865" s="17"/>
      <c r="C865" s="14"/>
      <c r="D865" s="14"/>
      <c r="E865" s="18"/>
      <c r="F865" s="61"/>
      <c r="G865" s="73"/>
      <c r="H865" s="79"/>
      <c r="I865" s="79"/>
      <c r="J865" s="14"/>
      <c r="K865" s="38"/>
      <c r="L865" s="38"/>
      <c r="M865" s="17"/>
    </row>
    <row r="866" spans="2:13" ht="14.45" customHeight="1" x14ac:dyDescent="0.25">
      <c r="B866" s="17"/>
      <c r="C866" s="14"/>
      <c r="D866" s="14"/>
      <c r="E866" s="18"/>
      <c r="F866" s="61"/>
      <c r="G866" s="73"/>
      <c r="H866" s="79"/>
      <c r="I866" s="79"/>
      <c r="J866" s="14"/>
      <c r="K866" s="38"/>
      <c r="L866" s="38"/>
      <c r="M866" s="17"/>
    </row>
    <row r="867" spans="2:13" ht="14.45" customHeight="1" x14ac:dyDescent="0.25">
      <c r="B867" s="17"/>
      <c r="C867" s="14"/>
      <c r="D867" s="14"/>
      <c r="E867" s="18"/>
      <c r="F867" s="61"/>
      <c r="G867" s="73"/>
      <c r="H867" s="79"/>
      <c r="I867" s="79"/>
      <c r="J867" s="14"/>
      <c r="K867" s="38"/>
      <c r="L867" s="38"/>
      <c r="M867" s="17"/>
    </row>
    <row r="868" spans="2:13" ht="14.45" customHeight="1" x14ac:dyDescent="0.25">
      <c r="B868" s="17"/>
      <c r="C868" s="14"/>
      <c r="D868" s="14"/>
      <c r="E868" s="18"/>
      <c r="F868" s="61"/>
      <c r="G868" s="73"/>
      <c r="H868" s="79"/>
      <c r="I868" s="79"/>
      <c r="J868" s="14"/>
      <c r="K868" s="38"/>
      <c r="L868" s="38"/>
      <c r="M868" s="17"/>
    </row>
    <row r="869" spans="2:13" ht="14.45" customHeight="1" x14ac:dyDescent="0.25">
      <c r="B869" s="17"/>
      <c r="C869" s="14"/>
      <c r="D869" s="14"/>
      <c r="E869" s="18"/>
      <c r="F869" s="61"/>
      <c r="G869" s="73"/>
      <c r="H869" s="79"/>
      <c r="I869" s="79"/>
      <c r="J869" s="14"/>
      <c r="K869" s="38"/>
      <c r="L869" s="38"/>
      <c r="M869" s="17"/>
    </row>
    <row r="870" spans="2:13" ht="14.45" customHeight="1" x14ac:dyDescent="0.25">
      <c r="B870" s="17"/>
      <c r="C870" s="14"/>
      <c r="D870" s="14"/>
      <c r="E870" s="18"/>
      <c r="F870" s="61"/>
      <c r="G870" s="73"/>
      <c r="H870" s="79"/>
      <c r="I870" s="79"/>
      <c r="J870" s="14"/>
      <c r="K870" s="38"/>
      <c r="L870" s="38"/>
      <c r="M870" s="17"/>
    </row>
    <row r="871" spans="2:13" ht="14.45" customHeight="1" x14ac:dyDescent="0.25">
      <c r="B871" s="17"/>
      <c r="C871" s="14"/>
      <c r="D871" s="14"/>
      <c r="E871" s="18"/>
      <c r="F871" s="61"/>
      <c r="G871" s="73"/>
      <c r="H871" s="79"/>
      <c r="I871" s="79"/>
      <c r="J871" s="14"/>
      <c r="K871" s="38"/>
      <c r="L871" s="38"/>
      <c r="M871" s="17"/>
    </row>
    <row r="872" spans="2:13" ht="14.45" customHeight="1" x14ac:dyDescent="0.25">
      <c r="B872" s="17"/>
      <c r="C872" s="14"/>
      <c r="D872" s="14"/>
      <c r="E872" s="18"/>
      <c r="F872" s="61"/>
      <c r="G872" s="73"/>
      <c r="H872" s="79"/>
      <c r="I872" s="79"/>
      <c r="J872" s="14"/>
      <c r="K872" s="38"/>
      <c r="L872" s="38"/>
      <c r="M872" s="17"/>
    </row>
    <row r="873" spans="2:13" ht="14.45" customHeight="1" x14ac:dyDescent="0.25">
      <c r="B873" s="17"/>
      <c r="C873" s="14"/>
      <c r="D873" s="14"/>
      <c r="E873" s="18"/>
      <c r="F873" s="61"/>
      <c r="G873" s="73"/>
      <c r="H873" s="79"/>
      <c r="I873" s="79"/>
      <c r="J873" s="14"/>
      <c r="K873" s="38"/>
      <c r="L873" s="38"/>
      <c r="M873" s="17"/>
    </row>
    <row r="874" spans="2:13" ht="14.45" customHeight="1" x14ac:dyDescent="0.25">
      <c r="B874" s="17"/>
      <c r="C874" s="14"/>
      <c r="D874" s="14"/>
      <c r="E874" s="18"/>
      <c r="F874" s="61"/>
      <c r="G874" s="73"/>
      <c r="H874" s="79"/>
      <c r="I874" s="79"/>
      <c r="J874" s="14"/>
      <c r="K874" s="38"/>
      <c r="L874" s="38"/>
      <c r="M874" s="17"/>
    </row>
    <row r="875" spans="2:13" ht="14.45" customHeight="1" x14ac:dyDescent="0.25">
      <c r="B875" s="17"/>
      <c r="C875" s="14"/>
      <c r="D875" s="14"/>
      <c r="E875" s="18"/>
      <c r="F875" s="61"/>
      <c r="G875" s="73"/>
      <c r="H875" s="79"/>
      <c r="I875" s="79"/>
      <c r="J875" s="14"/>
      <c r="K875" s="38"/>
      <c r="L875" s="38"/>
      <c r="M875" s="17"/>
    </row>
    <row r="876" spans="2:13" ht="14.45" customHeight="1" x14ac:dyDescent="0.25">
      <c r="B876" s="17"/>
      <c r="C876" s="14"/>
      <c r="D876" s="14"/>
      <c r="E876" s="18"/>
      <c r="F876" s="61"/>
      <c r="G876" s="73"/>
      <c r="H876" s="79"/>
      <c r="I876" s="79"/>
      <c r="J876" s="14"/>
      <c r="K876" s="38"/>
      <c r="L876" s="38"/>
      <c r="M876" s="17"/>
    </row>
    <row r="877" spans="2:13" ht="14.45" customHeight="1" x14ac:dyDescent="0.25">
      <c r="B877" s="17"/>
      <c r="C877" s="14"/>
      <c r="D877" s="14"/>
      <c r="E877" s="18"/>
      <c r="F877" s="61"/>
      <c r="G877" s="73"/>
      <c r="H877" s="79"/>
      <c r="I877" s="79"/>
      <c r="J877" s="14"/>
      <c r="K877" s="38"/>
      <c r="L877" s="38"/>
      <c r="M877" s="17"/>
    </row>
    <row r="878" spans="2:13" ht="14.45" customHeight="1" x14ac:dyDescent="0.25">
      <c r="B878" s="17"/>
      <c r="C878" s="14"/>
      <c r="D878" s="14"/>
      <c r="E878" s="18"/>
      <c r="F878" s="61"/>
      <c r="G878" s="73"/>
      <c r="H878" s="79"/>
      <c r="I878" s="79"/>
      <c r="J878" s="14"/>
      <c r="K878" s="38"/>
      <c r="L878" s="38"/>
      <c r="M878" s="17"/>
    </row>
    <row r="879" spans="2:13" ht="14.45" customHeight="1" x14ac:dyDescent="0.25">
      <c r="B879" s="17"/>
      <c r="C879" s="14"/>
      <c r="D879" s="14"/>
      <c r="E879" s="18"/>
      <c r="F879" s="61"/>
      <c r="G879" s="73"/>
      <c r="H879" s="79"/>
      <c r="I879" s="79"/>
      <c r="J879" s="14"/>
      <c r="K879" s="38"/>
      <c r="L879" s="38"/>
      <c r="M879" s="17"/>
    </row>
    <row r="880" spans="2:13" ht="14.45" customHeight="1" x14ac:dyDescent="0.25">
      <c r="B880" s="17"/>
      <c r="C880" s="14"/>
      <c r="D880" s="14"/>
      <c r="E880" s="18"/>
      <c r="F880" s="61"/>
      <c r="G880" s="73"/>
      <c r="H880" s="79"/>
      <c r="I880" s="79"/>
      <c r="J880" s="14"/>
      <c r="K880" s="38"/>
      <c r="L880" s="38"/>
      <c r="M880" s="17"/>
    </row>
    <row r="881" spans="2:13" ht="14.45" customHeight="1" x14ac:dyDescent="0.25">
      <c r="B881" s="17"/>
      <c r="C881" s="14"/>
      <c r="D881" s="14"/>
      <c r="E881" s="18"/>
      <c r="F881" s="61"/>
      <c r="G881" s="73"/>
      <c r="H881" s="79"/>
      <c r="I881" s="79"/>
      <c r="J881" s="14"/>
      <c r="K881" s="38"/>
      <c r="L881" s="38"/>
      <c r="M881" s="17"/>
    </row>
    <row r="882" spans="2:13" ht="14.45" customHeight="1" x14ac:dyDescent="0.25">
      <c r="B882" s="17"/>
      <c r="C882" s="14"/>
      <c r="D882" s="14"/>
      <c r="E882" s="18"/>
      <c r="F882" s="61"/>
      <c r="G882" s="73"/>
      <c r="H882" s="79"/>
      <c r="I882" s="79"/>
      <c r="J882" s="14"/>
      <c r="K882" s="38"/>
      <c r="L882" s="38"/>
      <c r="M882" s="17"/>
    </row>
    <row r="883" spans="2:13" ht="14.45" customHeight="1" x14ac:dyDescent="0.25">
      <c r="B883" s="17"/>
      <c r="C883" s="14"/>
      <c r="D883" s="14"/>
      <c r="E883" s="18"/>
      <c r="F883" s="61"/>
      <c r="G883" s="73"/>
      <c r="H883" s="79"/>
      <c r="I883" s="79"/>
      <c r="J883" s="14"/>
      <c r="K883" s="38"/>
      <c r="L883" s="38"/>
      <c r="M883" s="17"/>
    </row>
    <row r="884" spans="2:13" ht="14.45" customHeight="1" x14ac:dyDescent="0.25">
      <c r="B884" s="17"/>
      <c r="C884" s="14"/>
      <c r="D884" s="14"/>
      <c r="E884" s="18"/>
      <c r="F884" s="61"/>
      <c r="G884" s="73"/>
      <c r="H884" s="79"/>
      <c r="I884" s="79"/>
      <c r="J884" s="14"/>
      <c r="K884" s="38"/>
      <c r="L884" s="38"/>
      <c r="M884" s="17"/>
    </row>
    <row r="885" spans="2:13" ht="14.45" customHeight="1" x14ac:dyDescent="0.25">
      <c r="B885" s="17"/>
      <c r="C885" s="14"/>
      <c r="D885" s="14"/>
      <c r="E885" s="18"/>
      <c r="F885" s="61"/>
      <c r="G885" s="73"/>
      <c r="H885" s="79"/>
      <c r="I885" s="79"/>
      <c r="J885" s="14"/>
      <c r="K885" s="38"/>
      <c r="L885" s="38"/>
      <c r="M885" s="17"/>
    </row>
    <row r="886" spans="2:13" ht="14.45" customHeight="1" x14ac:dyDescent="0.25">
      <c r="B886" s="17"/>
      <c r="C886" s="14"/>
      <c r="D886" s="14"/>
      <c r="E886" s="18"/>
      <c r="F886" s="61"/>
      <c r="G886" s="73"/>
      <c r="H886" s="79"/>
      <c r="I886" s="79"/>
      <c r="J886" s="14"/>
      <c r="K886" s="38"/>
      <c r="L886" s="38"/>
      <c r="M886" s="17"/>
    </row>
    <row r="887" spans="2:13" ht="14.45" customHeight="1" x14ac:dyDescent="0.25">
      <c r="B887" s="17"/>
      <c r="C887" s="14"/>
      <c r="D887" s="14"/>
      <c r="E887" s="18"/>
      <c r="F887" s="61"/>
      <c r="G887" s="73"/>
      <c r="H887" s="79"/>
      <c r="I887" s="79"/>
      <c r="J887" s="14"/>
      <c r="K887" s="38"/>
      <c r="L887" s="38"/>
      <c r="M887" s="17"/>
    </row>
    <row r="888" spans="2:13" ht="14.45" customHeight="1" x14ac:dyDescent="0.25">
      <c r="B888" s="17"/>
      <c r="C888" s="14"/>
      <c r="D888" s="14"/>
      <c r="E888" s="18"/>
      <c r="F888" s="61"/>
      <c r="G888" s="73"/>
      <c r="H888" s="79"/>
      <c r="I888" s="79"/>
      <c r="J888" s="14"/>
      <c r="K888" s="38"/>
      <c r="L888" s="38"/>
      <c r="M888" s="17"/>
    </row>
    <row r="889" spans="2:13" ht="14.45" customHeight="1" x14ac:dyDescent="0.25">
      <c r="B889" s="17"/>
      <c r="C889" s="14"/>
      <c r="D889" s="14"/>
      <c r="E889" s="18"/>
      <c r="F889" s="61"/>
      <c r="G889" s="73"/>
      <c r="H889" s="79"/>
      <c r="I889" s="79"/>
      <c r="J889" s="14"/>
      <c r="K889" s="38"/>
      <c r="L889" s="38"/>
      <c r="M889" s="17"/>
    </row>
    <row r="890" spans="2:13" ht="14.45" customHeight="1" x14ac:dyDescent="0.25">
      <c r="B890" s="17"/>
      <c r="C890" s="14"/>
      <c r="D890" s="14"/>
      <c r="E890" s="18"/>
      <c r="F890" s="61"/>
      <c r="G890" s="73"/>
      <c r="H890" s="79"/>
      <c r="I890" s="79"/>
      <c r="J890" s="14"/>
      <c r="K890" s="38"/>
      <c r="L890" s="38"/>
      <c r="M890" s="17"/>
    </row>
    <row r="891" spans="2:13" ht="14.45" customHeight="1" x14ac:dyDescent="0.25">
      <c r="B891" s="17"/>
      <c r="C891" s="14"/>
      <c r="D891" s="14"/>
      <c r="E891" s="18"/>
      <c r="F891" s="61"/>
      <c r="G891" s="73"/>
      <c r="H891" s="79"/>
      <c r="I891" s="79"/>
      <c r="J891" s="14"/>
      <c r="K891" s="38"/>
      <c r="L891" s="38"/>
      <c r="M891" s="17"/>
    </row>
    <row r="892" spans="2:13" ht="14.45" customHeight="1" x14ac:dyDescent="0.25">
      <c r="B892" s="17"/>
      <c r="C892" s="14"/>
      <c r="D892" s="14"/>
      <c r="E892" s="18"/>
      <c r="F892" s="61"/>
      <c r="G892" s="73"/>
      <c r="H892" s="79"/>
      <c r="I892" s="79"/>
      <c r="J892" s="14"/>
      <c r="K892" s="38"/>
      <c r="L892" s="38"/>
      <c r="M892" s="17"/>
    </row>
    <row r="893" spans="2:13" ht="14.45" customHeight="1" x14ac:dyDescent="0.25">
      <c r="B893" s="17"/>
      <c r="C893" s="14"/>
      <c r="D893" s="14"/>
      <c r="E893" s="18"/>
      <c r="F893" s="61"/>
      <c r="G893" s="73"/>
      <c r="H893" s="79"/>
      <c r="I893" s="79"/>
      <c r="J893" s="14"/>
      <c r="K893" s="38"/>
      <c r="L893" s="38"/>
      <c r="M893" s="17"/>
    </row>
    <row r="894" spans="2:13" ht="14.45" customHeight="1" x14ac:dyDescent="0.25">
      <c r="B894" s="17"/>
      <c r="C894" s="14"/>
      <c r="D894" s="14"/>
      <c r="E894" s="18"/>
      <c r="F894" s="61"/>
      <c r="G894" s="73"/>
      <c r="H894" s="79"/>
      <c r="I894" s="79"/>
      <c r="J894" s="14"/>
      <c r="K894" s="38"/>
      <c r="L894" s="38"/>
      <c r="M894" s="17"/>
    </row>
    <row r="895" spans="2:13" ht="14.45" customHeight="1" x14ac:dyDescent="0.25">
      <c r="B895" s="17"/>
      <c r="C895" s="14"/>
      <c r="D895" s="14"/>
      <c r="E895" s="18"/>
      <c r="F895" s="61"/>
      <c r="G895" s="73"/>
      <c r="H895" s="79"/>
      <c r="I895" s="79"/>
      <c r="J895" s="14"/>
      <c r="K895" s="38"/>
      <c r="L895" s="38"/>
      <c r="M895" s="17"/>
    </row>
    <row r="896" spans="2:13" ht="14.45" customHeight="1" x14ac:dyDescent="0.25">
      <c r="B896" s="17"/>
      <c r="C896" s="14"/>
      <c r="D896" s="14"/>
      <c r="E896" s="18"/>
      <c r="F896" s="61"/>
      <c r="G896" s="73"/>
      <c r="H896" s="79"/>
      <c r="I896" s="79"/>
      <c r="J896" s="14"/>
      <c r="K896" s="38"/>
      <c r="L896" s="38"/>
      <c r="M896" s="17"/>
    </row>
    <row r="897" spans="2:13" ht="14.45" customHeight="1" x14ac:dyDescent="0.25">
      <c r="B897" s="17"/>
      <c r="C897" s="14"/>
      <c r="D897" s="14"/>
      <c r="E897" s="18"/>
      <c r="F897" s="61"/>
      <c r="G897" s="73"/>
      <c r="H897" s="79"/>
      <c r="I897" s="79"/>
      <c r="J897" s="14"/>
      <c r="K897" s="38"/>
      <c r="L897" s="38"/>
      <c r="M897" s="17"/>
    </row>
    <row r="898" spans="2:13" ht="14.45" customHeight="1" x14ac:dyDescent="0.25">
      <c r="B898" s="17"/>
      <c r="C898" s="14"/>
      <c r="D898" s="14"/>
      <c r="E898" s="18"/>
      <c r="F898" s="61"/>
      <c r="G898" s="73"/>
      <c r="H898" s="79"/>
      <c r="I898" s="79"/>
      <c r="J898" s="14"/>
      <c r="K898" s="38"/>
      <c r="L898" s="38"/>
      <c r="M898" s="17"/>
    </row>
    <row r="899" spans="2:13" ht="14.45" customHeight="1" x14ac:dyDescent="0.25">
      <c r="B899" s="17"/>
      <c r="C899" s="14"/>
      <c r="D899" s="14"/>
      <c r="E899" s="18"/>
      <c r="F899" s="61"/>
      <c r="G899" s="73"/>
      <c r="H899" s="79"/>
      <c r="I899" s="79"/>
      <c r="J899" s="14"/>
      <c r="K899" s="38"/>
      <c r="L899" s="38"/>
      <c r="M899" s="17"/>
    </row>
    <row r="900" spans="2:13" ht="14.45" customHeight="1" x14ac:dyDescent="0.25">
      <c r="B900" s="17"/>
      <c r="C900" s="14"/>
      <c r="D900" s="14"/>
      <c r="E900" s="18"/>
      <c r="F900" s="61"/>
      <c r="G900" s="73"/>
      <c r="H900" s="79"/>
      <c r="I900" s="79"/>
      <c r="J900" s="14"/>
      <c r="K900" s="38"/>
      <c r="L900" s="38"/>
      <c r="M900" s="17"/>
    </row>
    <row r="901" spans="2:13" ht="14.45" customHeight="1" x14ac:dyDescent="0.25">
      <c r="B901" s="17"/>
      <c r="C901" s="14"/>
      <c r="D901" s="14"/>
      <c r="E901" s="18"/>
      <c r="F901" s="61"/>
      <c r="G901" s="73"/>
      <c r="H901" s="79"/>
      <c r="I901" s="79"/>
      <c r="J901" s="14"/>
      <c r="K901" s="38"/>
      <c r="L901" s="38"/>
      <c r="M901" s="17"/>
    </row>
    <row r="902" spans="2:13" ht="14.45" customHeight="1" x14ac:dyDescent="0.25">
      <c r="B902" s="17"/>
      <c r="C902" s="14"/>
      <c r="D902" s="14"/>
      <c r="E902" s="18"/>
      <c r="F902" s="61"/>
      <c r="G902" s="73"/>
      <c r="H902" s="79"/>
      <c r="I902" s="79"/>
      <c r="J902" s="14"/>
      <c r="K902" s="38"/>
      <c r="L902" s="38"/>
      <c r="M902" s="17"/>
    </row>
    <row r="903" spans="2:13" ht="14.45" customHeight="1" x14ac:dyDescent="0.25">
      <c r="B903" s="17"/>
      <c r="C903" s="14"/>
      <c r="D903" s="14"/>
      <c r="E903" s="18"/>
      <c r="F903" s="61"/>
      <c r="G903" s="73"/>
      <c r="H903" s="79"/>
      <c r="I903" s="79"/>
      <c r="J903" s="14"/>
      <c r="K903" s="38"/>
      <c r="L903" s="38"/>
      <c r="M903" s="17"/>
    </row>
    <row r="904" spans="2:13" ht="14.45" customHeight="1" x14ac:dyDescent="0.25">
      <c r="B904" s="17"/>
      <c r="C904" s="14"/>
      <c r="D904" s="14"/>
      <c r="E904" s="18"/>
      <c r="F904" s="61"/>
      <c r="G904" s="73"/>
      <c r="H904" s="79"/>
      <c r="I904" s="79"/>
      <c r="J904" s="14"/>
      <c r="K904" s="38"/>
      <c r="L904" s="38"/>
      <c r="M904" s="17"/>
    </row>
    <row r="905" spans="2:13" ht="14.45" customHeight="1" x14ac:dyDescent="0.25">
      <c r="B905" s="17"/>
      <c r="C905" s="14"/>
      <c r="D905" s="14"/>
      <c r="E905" s="18"/>
      <c r="F905" s="61"/>
      <c r="G905" s="73"/>
      <c r="H905" s="79"/>
      <c r="I905" s="79"/>
      <c r="J905" s="14"/>
      <c r="K905" s="38"/>
      <c r="L905" s="38"/>
      <c r="M905" s="17"/>
    </row>
    <row r="906" spans="2:13" ht="14.45" customHeight="1" x14ac:dyDescent="0.25">
      <c r="B906" s="17"/>
      <c r="C906" s="14"/>
      <c r="D906" s="14"/>
      <c r="E906" s="18"/>
      <c r="F906" s="61"/>
      <c r="G906" s="73"/>
      <c r="H906" s="79"/>
      <c r="I906" s="79"/>
      <c r="J906" s="14"/>
      <c r="K906" s="38"/>
      <c r="L906" s="38"/>
      <c r="M906" s="17"/>
    </row>
    <row r="907" spans="2:13" ht="14.45" customHeight="1" x14ac:dyDescent="0.25">
      <c r="B907" s="17"/>
      <c r="C907" s="14"/>
      <c r="D907" s="14"/>
      <c r="E907" s="18"/>
      <c r="F907" s="61"/>
      <c r="G907" s="73"/>
      <c r="H907" s="79"/>
      <c r="I907" s="79"/>
      <c r="J907" s="14"/>
      <c r="K907" s="38"/>
      <c r="L907" s="38"/>
      <c r="M907" s="17"/>
    </row>
    <row r="908" spans="2:13" ht="14.45" customHeight="1" x14ac:dyDescent="0.25">
      <c r="B908" s="17"/>
      <c r="C908" s="14"/>
      <c r="D908" s="14"/>
      <c r="E908" s="18"/>
      <c r="F908" s="61"/>
      <c r="G908" s="73"/>
      <c r="H908" s="79"/>
      <c r="I908" s="79"/>
      <c r="J908" s="14"/>
      <c r="K908" s="38"/>
      <c r="L908" s="38"/>
      <c r="M908" s="17"/>
    </row>
    <row r="909" spans="2:13" ht="14.45" customHeight="1" x14ac:dyDescent="0.25">
      <c r="B909" s="17"/>
      <c r="C909" s="14"/>
      <c r="D909" s="14"/>
      <c r="E909" s="18"/>
      <c r="F909" s="61"/>
      <c r="G909" s="73"/>
      <c r="H909" s="79"/>
      <c r="I909" s="79"/>
      <c r="J909" s="14"/>
      <c r="K909" s="38"/>
      <c r="L909" s="38"/>
      <c r="M909" s="17"/>
    </row>
    <row r="910" spans="2:13" ht="14.45" customHeight="1" x14ac:dyDescent="0.25">
      <c r="B910" s="17"/>
      <c r="C910" s="14"/>
      <c r="D910" s="14"/>
      <c r="E910" s="18"/>
      <c r="F910" s="61"/>
      <c r="G910" s="73"/>
      <c r="H910" s="79"/>
      <c r="I910" s="79"/>
      <c r="J910" s="14"/>
      <c r="K910" s="38"/>
      <c r="L910" s="38"/>
      <c r="M910" s="17"/>
    </row>
    <row r="911" spans="2:13" ht="14.45" customHeight="1" x14ac:dyDescent="0.25">
      <c r="B911" s="17"/>
      <c r="C911" s="14"/>
      <c r="D911" s="14"/>
      <c r="E911" s="18"/>
      <c r="F911" s="61"/>
      <c r="G911" s="73"/>
      <c r="H911" s="79"/>
      <c r="I911" s="79"/>
      <c r="J911" s="14"/>
      <c r="K911" s="38"/>
      <c r="L911" s="38"/>
      <c r="M911" s="17"/>
    </row>
    <row r="912" spans="2:13" ht="14.45" customHeight="1" x14ac:dyDescent="0.25">
      <c r="B912" s="17"/>
      <c r="C912" s="14"/>
      <c r="D912" s="14"/>
      <c r="E912" s="18"/>
      <c r="F912" s="61"/>
      <c r="G912" s="73"/>
      <c r="H912" s="79"/>
      <c r="I912" s="79"/>
      <c r="J912" s="14"/>
      <c r="K912" s="38"/>
      <c r="L912" s="38"/>
      <c r="M912" s="17"/>
    </row>
    <row r="913" spans="2:13" ht="14.45" customHeight="1" x14ac:dyDescent="0.25">
      <c r="B913" s="17"/>
      <c r="C913" s="14"/>
      <c r="D913" s="14"/>
      <c r="E913" s="18"/>
      <c r="F913" s="61"/>
      <c r="G913" s="73"/>
      <c r="H913" s="79"/>
      <c r="I913" s="79"/>
      <c r="J913" s="14"/>
      <c r="K913" s="38"/>
      <c r="L913" s="38"/>
      <c r="M913" s="17"/>
    </row>
    <row r="914" spans="2:13" ht="14.45" customHeight="1" x14ac:dyDescent="0.25">
      <c r="B914" s="17"/>
      <c r="C914" s="14"/>
      <c r="D914" s="14"/>
      <c r="E914" s="18"/>
      <c r="F914" s="61"/>
      <c r="G914" s="73"/>
      <c r="H914" s="79"/>
      <c r="I914" s="79"/>
      <c r="J914" s="14"/>
      <c r="K914" s="38"/>
      <c r="L914" s="38"/>
      <c r="M914" s="17"/>
    </row>
    <row r="915" spans="2:13" ht="14.45" customHeight="1" x14ac:dyDescent="0.25">
      <c r="B915" s="17"/>
      <c r="C915" s="14"/>
      <c r="D915" s="14"/>
      <c r="E915" s="18"/>
      <c r="F915" s="61"/>
      <c r="G915" s="73"/>
      <c r="H915" s="79"/>
      <c r="I915" s="79"/>
      <c r="J915" s="14"/>
      <c r="K915" s="38"/>
      <c r="L915" s="38"/>
      <c r="M915" s="17"/>
    </row>
    <row r="916" spans="2:13" ht="14.45" customHeight="1" x14ac:dyDescent="0.25">
      <c r="B916" s="17"/>
      <c r="C916" s="14"/>
      <c r="D916" s="14"/>
      <c r="E916" s="18"/>
      <c r="F916" s="61"/>
      <c r="G916" s="73"/>
      <c r="H916" s="79"/>
      <c r="I916" s="79"/>
      <c r="J916" s="14"/>
      <c r="K916" s="38"/>
      <c r="L916" s="38"/>
      <c r="M916" s="17"/>
    </row>
    <row r="917" spans="2:13" ht="14.45" customHeight="1" x14ac:dyDescent="0.25">
      <c r="B917" s="17"/>
      <c r="C917" s="14"/>
      <c r="D917" s="14"/>
      <c r="E917" s="18"/>
      <c r="F917" s="61"/>
      <c r="G917" s="73"/>
      <c r="H917" s="79"/>
      <c r="I917" s="79"/>
      <c r="J917" s="14"/>
      <c r="K917" s="38"/>
      <c r="L917" s="38"/>
      <c r="M917" s="17"/>
    </row>
    <row r="918" spans="2:13" ht="14.45" customHeight="1" x14ac:dyDescent="0.25">
      <c r="B918" s="17"/>
      <c r="C918" s="14"/>
      <c r="D918" s="14"/>
      <c r="E918" s="18"/>
      <c r="F918" s="61"/>
      <c r="G918" s="73"/>
      <c r="H918" s="79"/>
      <c r="I918" s="79"/>
      <c r="J918" s="14"/>
      <c r="K918" s="38"/>
      <c r="L918" s="38"/>
      <c r="M918" s="17"/>
    </row>
    <row r="919" spans="2:13" ht="14.45" customHeight="1" x14ac:dyDescent="0.25">
      <c r="B919" s="17"/>
      <c r="C919" s="14"/>
      <c r="D919" s="14"/>
      <c r="E919" s="18"/>
      <c r="F919" s="61"/>
      <c r="G919" s="73"/>
      <c r="H919" s="79"/>
      <c r="I919" s="79"/>
      <c r="J919" s="14"/>
      <c r="K919" s="38"/>
      <c r="L919" s="38"/>
      <c r="M919" s="17"/>
    </row>
    <row r="920" spans="2:13" ht="14.45" customHeight="1" x14ac:dyDescent="0.25">
      <c r="B920" s="17"/>
      <c r="C920" s="14"/>
      <c r="D920" s="14"/>
      <c r="E920" s="18"/>
      <c r="F920" s="61"/>
      <c r="G920" s="73"/>
      <c r="H920" s="79"/>
      <c r="I920" s="79"/>
      <c r="J920" s="14"/>
      <c r="K920" s="38"/>
      <c r="L920" s="38"/>
      <c r="M920" s="17"/>
    </row>
    <row r="921" spans="2:13" ht="14.45" customHeight="1" x14ac:dyDescent="0.25">
      <c r="B921" s="17"/>
      <c r="C921" s="14"/>
      <c r="D921" s="14"/>
      <c r="E921" s="18"/>
      <c r="F921" s="61"/>
      <c r="G921" s="73"/>
      <c r="H921" s="79"/>
      <c r="I921" s="79"/>
      <c r="J921" s="14"/>
      <c r="K921" s="38"/>
      <c r="L921" s="38"/>
      <c r="M921" s="17"/>
    </row>
    <row r="922" spans="2:13" ht="14.45" customHeight="1" x14ac:dyDescent="0.25">
      <c r="B922" s="17"/>
      <c r="C922" s="14"/>
      <c r="D922" s="14"/>
      <c r="E922" s="18"/>
      <c r="F922" s="61"/>
      <c r="G922" s="73"/>
      <c r="H922" s="79"/>
      <c r="I922" s="79"/>
      <c r="J922" s="14"/>
      <c r="K922" s="38"/>
      <c r="L922" s="38"/>
      <c r="M922" s="17"/>
    </row>
    <row r="923" spans="2:13" ht="14.45" customHeight="1" x14ac:dyDescent="0.25">
      <c r="B923" s="17"/>
      <c r="C923" s="14"/>
      <c r="D923" s="14"/>
      <c r="E923" s="18"/>
      <c r="F923" s="61"/>
      <c r="G923" s="73"/>
      <c r="H923" s="79"/>
      <c r="I923" s="79"/>
      <c r="J923" s="14"/>
      <c r="K923" s="38"/>
      <c r="L923" s="38"/>
      <c r="M923" s="17"/>
    </row>
    <row r="924" spans="2:13" ht="14.45" customHeight="1" x14ac:dyDescent="0.25">
      <c r="B924" s="17"/>
      <c r="C924" s="14"/>
      <c r="D924" s="14"/>
      <c r="E924" s="18"/>
      <c r="F924" s="61"/>
      <c r="G924" s="73"/>
      <c r="H924" s="79"/>
      <c r="I924" s="79"/>
      <c r="J924" s="14"/>
      <c r="K924" s="38"/>
      <c r="L924" s="38"/>
      <c r="M924" s="17"/>
    </row>
    <row r="925" spans="2:13" ht="14.45" customHeight="1" x14ac:dyDescent="0.25">
      <c r="B925" s="17"/>
      <c r="C925" s="14"/>
      <c r="D925" s="14"/>
      <c r="E925" s="18"/>
      <c r="F925" s="61"/>
      <c r="G925" s="73"/>
      <c r="H925" s="79"/>
      <c r="I925" s="79"/>
      <c r="J925" s="14"/>
      <c r="K925" s="38"/>
      <c r="L925" s="38"/>
      <c r="M925" s="17"/>
    </row>
    <row r="926" spans="2:13" ht="14.45" customHeight="1" x14ac:dyDescent="0.25">
      <c r="B926" s="17"/>
      <c r="C926" s="14"/>
      <c r="D926" s="14"/>
      <c r="E926" s="18"/>
      <c r="F926" s="61"/>
      <c r="G926" s="73"/>
      <c r="H926" s="79"/>
      <c r="I926" s="79"/>
      <c r="J926" s="14"/>
      <c r="K926" s="38"/>
      <c r="L926" s="38"/>
      <c r="M926" s="17"/>
    </row>
    <row r="927" spans="2:13" ht="14.45" customHeight="1" x14ac:dyDescent="0.25">
      <c r="B927" s="17"/>
      <c r="C927" s="14"/>
      <c r="D927" s="14"/>
      <c r="E927" s="18"/>
      <c r="F927" s="61"/>
      <c r="G927" s="73"/>
      <c r="H927" s="79"/>
      <c r="I927" s="79"/>
      <c r="J927" s="14"/>
      <c r="K927" s="38"/>
      <c r="L927" s="38"/>
      <c r="M927" s="17"/>
    </row>
    <row r="928" spans="2:13" ht="14.45" customHeight="1" x14ac:dyDescent="0.25">
      <c r="B928" s="17"/>
      <c r="C928" s="14"/>
      <c r="D928" s="14"/>
      <c r="E928" s="18"/>
      <c r="F928" s="61"/>
      <c r="G928" s="73"/>
      <c r="H928" s="79"/>
      <c r="I928" s="79"/>
      <c r="J928" s="14"/>
      <c r="K928" s="38"/>
      <c r="L928" s="38"/>
      <c r="M928" s="17"/>
    </row>
    <row r="929" spans="2:13" ht="14.45" customHeight="1" x14ac:dyDescent="0.25">
      <c r="B929" s="17"/>
      <c r="C929" s="14"/>
      <c r="D929" s="14"/>
      <c r="E929" s="18"/>
      <c r="F929" s="61"/>
      <c r="G929" s="73"/>
      <c r="H929" s="79"/>
      <c r="I929" s="79"/>
      <c r="J929" s="14"/>
      <c r="K929" s="38"/>
      <c r="L929" s="38"/>
      <c r="M929" s="17"/>
    </row>
    <row r="930" spans="2:13" ht="14.45" customHeight="1" x14ac:dyDescent="0.25">
      <c r="B930" s="17"/>
      <c r="C930" s="14"/>
      <c r="D930" s="14"/>
      <c r="E930" s="18"/>
      <c r="F930" s="61"/>
      <c r="G930" s="73"/>
      <c r="H930" s="79"/>
      <c r="I930" s="79"/>
      <c r="J930" s="14"/>
      <c r="K930" s="38"/>
      <c r="L930" s="38"/>
      <c r="M930" s="17"/>
    </row>
    <row r="931" spans="2:13" ht="14.45" customHeight="1" x14ac:dyDescent="0.25">
      <c r="B931" s="17"/>
      <c r="C931" s="14"/>
      <c r="D931" s="14"/>
      <c r="E931" s="18"/>
      <c r="F931" s="61"/>
      <c r="G931" s="73"/>
      <c r="H931" s="79"/>
      <c r="I931" s="79"/>
      <c r="J931" s="14"/>
      <c r="K931" s="38"/>
      <c r="L931" s="38"/>
      <c r="M931" s="17"/>
    </row>
    <row r="932" spans="2:13" ht="14.45" customHeight="1" x14ac:dyDescent="0.25">
      <c r="B932" s="17"/>
      <c r="C932" s="14"/>
      <c r="D932" s="14"/>
      <c r="E932" s="18"/>
      <c r="F932" s="61"/>
      <c r="G932" s="73"/>
      <c r="H932" s="79"/>
      <c r="I932" s="79"/>
      <c r="J932" s="14"/>
      <c r="K932" s="38"/>
      <c r="L932" s="38"/>
      <c r="M932" s="17"/>
    </row>
    <row r="933" spans="2:13" ht="14.45" customHeight="1" x14ac:dyDescent="0.25">
      <c r="B933" s="17"/>
      <c r="C933" s="14"/>
      <c r="D933" s="14"/>
      <c r="E933" s="18"/>
      <c r="F933" s="61"/>
      <c r="G933" s="73"/>
      <c r="H933" s="79"/>
      <c r="I933" s="79"/>
      <c r="J933" s="14"/>
      <c r="K933" s="38"/>
      <c r="L933" s="38"/>
      <c r="M933" s="17"/>
    </row>
    <row r="934" spans="2:13" ht="14.45" customHeight="1" x14ac:dyDescent="0.25">
      <c r="B934" s="17"/>
      <c r="C934" s="14"/>
      <c r="D934" s="14"/>
      <c r="E934" s="18"/>
      <c r="F934" s="61"/>
      <c r="G934" s="73"/>
      <c r="H934" s="79"/>
      <c r="I934" s="79"/>
      <c r="J934" s="14"/>
      <c r="K934" s="38"/>
      <c r="L934" s="38"/>
      <c r="M934" s="17"/>
    </row>
    <row r="935" spans="2:13" ht="14.45" customHeight="1" x14ac:dyDescent="0.25">
      <c r="B935" s="17"/>
      <c r="C935" s="14"/>
      <c r="D935" s="14"/>
      <c r="E935" s="18"/>
      <c r="F935" s="61"/>
      <c r="G935" s="73"/>
      <c r="H935" s="79"/>
      <c r="I935" s="79"/>
      <c r="J935" s="14"/>
      <c r="K935" s="38"/>
      <c r="L935" s="38"/>
      <c r="M935" s="17"/>
    </row>
    <row r="936" spans="2:13" ht="14.45" customHeight="1" x14ac:dyDescent="0.25">
      <c r="B936" s="17"/>
      <c r="C936" s="14"/>
      <c r="D936" s="14"/>
      <c r="E936" s="18"/>
      <c r="F936" s="61"/>
      <c r="G936" s="73"/>
      <c r="H936" s="79"/>
      <c r="I936" s="79"/>
      <c r="J936" s="14"/>
      <c r="K936" s="38"/>
      <c r="L936" s="38"/>
      <c r="M936" s="17"/>
    </row>
    <row r="937" spans="2:13" ht="14.45" customHeight="1" x14ac:dyDescent="0.25">
      <c r="B937" s="17"/>
      <c r="C937" s="14"/>
      <c r="D937" s="14"/>
      <c r="E937" s="18"/>
      <c r="F937" s="61"/>
      <c r="G937" s="73"/>
      <c r="H937" s="79"/>
      <c r="I937" s="79"/>
      <c r="J937" s="14"/>
      <c r="K937" s="38"/>
      <c r="L937" s="38"/>
      <c r="M937" s="17"/>
    </row>
    <row r="938" spans="2:13" ht="14.45" customHeight="1" x14ac:dyDescent="0.25">
      <c r="B938" s="17"/>
      <c r="C938" s="14"/>
      <c r="D938" s="14"/>
      <c r="E938" s="18"/>
      <c r="F938" s="61"/>
      <c r="G938" s="73"/>
      <c r="H938" s="79"/>
      <c r="I938" s="79"/>
      <c r="J938" s="14"/>
      <c r="K938" s="38"/>
      <c r="L938" s="38"/>
      <c r="M938" s="17"/>
    </row>
    <row r="939" spans="2:13" ht="14.45" customHeight="1" x14ac:dyDescent="0.25">
      <c r="B939" s="17"/>
      <c r="C939" s="14"/>
      <c r="D939" s="14"/>
      <c r="E939" s="18"/>
      <c r="F939" s="61"/>
      <c r="G939" s="73"/>
      <c r="H939" s="79"/>
      <c r="I939" s="79"/>
      <c r="J939" s="14"/>
      <c r="K939" s="38"/>
      <c r="L939" s="38"/>
      <c r="M939" s="17"/>
    </row>
    <row r="940" spans="2:13" ht="14.45" customHeight="1" x14ac:dyDescent="0.25">
      <c r="B940" s="17"/>
      <c r="C940" s="14"/>
      <c r="D940" s="14"/>
      <c r="E940" s="18"/>
      <c r="F940" s="61"/>
      <c r="G940" s="73"/>
      <c r="H940" s="79"/>
      <c r="I940" s="79"/>
      <c r="J940" s="14"/>
      <c r="K940" s="38"/>
      <c r="L940" s="38"/>
      <c r="M940" s="17"/>
    </row>
    <row r="941" spans="2:13" ht="14.45" customHeight="1" x14ac:dyDescent="0.25">
      <c r="B941" s="17"/>
      <c r="C941" s="14"/>
      <c r="D941" s="14"/>
      <c r="E941" s="18"/>
      <c r="F941" s="61"/>
      <c r="G941" s="73"/>
      <c r="H941" s="79"/>
      <c r="I941" s="79"/>
      <c r="J941" s="14"/>
      <c r="K941" s="38"/>
      <c r="L941" s="38"/>
      <c r="M941" s="17"/>
    </row>
    <row r="942" spans="2:13" ht="14.45" customHeight="1" x14ac:dyDescent="0.25">
      <c r="B942" s="17"/>
      <c r="C942" s="14"/>
      <c r="D942" s="14"/>
      <c r="E942" s="18"/>
      <c r="F942" s="61"/>
      <c r="G942" s="73"/>
      <c r="H942" s="79"/>
      <c r="I942" s="79"/>
      <c r="J942" s="14"/>
      <c r="K942" s="38"/>
      <c r="L942" s="38"/>
      <c r="M942" s="17"/>
    </row>
    <row r="943" spans="2:13" ht="14.45" customHeight="1" x14ac:dyDescent="0.25">
      <c r="B943" s="17"/>
      <c r="C943" s="14"/>
      <c r="D943" s="14"/>
      <c r="E943" s="18"/>
      <c r="F943" s="61"/>
      <c r="G943" s="73"/>
      <c r="H943" s="79"/>
      <c r="I943" s="79"/>
      <c r="J943" s="14"/>
      <c r="K943" s="38"/>
      <c r="L943" s="38"/>
      <c r="M943" s="17"/>
    </row>
    <row r="944" spans="2:13" ht="14.45" customHeight="1" x14ac:dyDescent="0.25">
      <c r="B944" s="17"/>
      <c r="C944" s="14"/>
      <c r="D944" s="14"/>
      <c r="E944" s="18"/>
      <c r="F944" s="61"/>
      <c r="G944" s="73"/>
      <c r="H944" s="79"/>
      <c r="I944" s="79"/>
      <c r="J944" s="14"/>
      <c r="K944" s="38"/>
      <c r="L944" s="38"/>
      <c r="M944" s="17"/>
    </row>
    <row r="945" spans="2:13" ht="14.45" customHeight="1" x14ac:dyDescent="0.25">
      <c r="B945" s="17"/>
      <c r="C945" s="14"/>
      <c r="D945" s="14"/>
      <c r="E945" s="18"/>
      <c r="F945" s="61"/>
      <c r="G945" s="73"/>
      <c r="H945" s="79"/>
      <c r="I945" s="79"/>
      <c r="J945" s="14"/>
      <c r="K945" s="38"/>
      <c r="L945" s="38"/>
      <c r="M945" s="17"/>
    </row>
    <row r="946" spans="2:13" ht="14.45" customHeight="1" x14ac:dyDescent="0.25">
      <c r="B946" s="17"/>
      <c r="C946" s="14"/>
      <c r="D946" s="14"/>
      <c r="E946" s="18"/>
      <c r="F946" s="61"/>
      <c r="G946" s="73"/>
      <c r="H946" s="79"/>
      <c r="I946" s="79"/>
      <c r="J946" s="14"/>
      <c r="K946" s="38"/>
      <c r="L946" s="38"/>
      <c r="M946" s="17"/>
    </row>
    <row r="947" spans="2:13" ht="14.45" customHeight="1" x14ac:dyDescent="0.25">
      <c r="B947" s="17"/>
      <c r="C947" s="14"/>
      <c r="D947" s="14"/>
      <c r="E947" s="18"/>
      <c r="F947" s="61"/>
      <c r="G947" s="73"/>
      <c r="H947" s="79"/>
      <c r="I947" s="79"/>
      <c r="J947" s="14"/>
      <c r="K947" s="38"/>
      <c r="L947" s="38"/>
      <c r="M947" s="17"/>
    </row>
    <row r="948" spans="2:13" ht="14.45" customHeight="1" x14ac:dyDescent="0.25">
      <c r="B948" s="17"/>
      <c r="C948" s="14"/>
      <c r="D948" s="14"/>
      <c r="E948" s="18"/>
      <c r="F948" s="61"/>
      <c r="G948" s="73"/>
      <c r="H948" s="79"/>
      <c r="I948" s="79"/>
      <c r="J948" s="14"/>
      <c r="K948" s="38"/>
      <c r="L948" s="38"/>
      <c r="M948" s="17"/>
    </row>
    <row r="949" spans="2:13" ht="14.45" customHeight="1" x14ac:dyDescent="0.25">
      <c r="B949" s="17"/>
      <c r="C949" s="14"/>
      <c r="D949" s="14"/>
      <c r="E949" s="18"/>
      <c r="F949" s="61"/>
      <c r="G949" s="73"/>
      <c r="H949" s="79"/>
      <c r="I949" s="79"/>
      <c r="J949" s="14"/>
      <c r="K949" s="38"/>
      <c r="L949" s="38"/>
      <c r="M949" s="17"/>
    </row>
    <row r="950" spans="2:13" ht="14.45" customHeight="1" x14ac:dyDescent="0.25">
      <c r="B950" s="17"/>
      <c r="C950" s="14"/>
      <c r="D950" s="14"/>
      <c r="E950" s="18"/>
      <c r="F950" s="61"/>
      <c r="G950" s="73"/>
      <c r="H950" s="79"/>
      <c r="I950" s="79"/>
      <c r="J950" s="14"/>
      <c r="K950" s="38"/>
      <c r="L950" s="38"/>
      <c r="M950" s="17"/>
    </row>
    <row r="951" spans="2:13" ht="14.45" customHeight="1" x14ac:dyDescent="0.25">
      <c r="B951" s="17"/>
      <c r="C951" s="14"/>
      <c r="D951" s="14"/>
      <c r="E951" s="18"/>
      <c r="F951" s="61"/>
      <c r="G951" s="73"/>
      <c r="H951" s="79"/>
      <c r="I951" s="79"/>
      <c r="J951" s="14"/>
      <c r="K951" s="38"/>
      <c r="L951" s="38"/>
      <c r="M951" s="17"/>
    </row>
    <row r="952" spans="2:13" ht="14.45" customHeight="1" x14ac:dyDescent="0.25">
      <c r="B952" s="17"/>
      <c r="C952" s="14"/>
      <c r="D952" s="14"/>
      <c r="E952" s="18"/>
      <c r="F952" s="61"/>
      <c r="G952" s="73"/>
      <c r="H952" s="79"/>
      <c r="I952" s="79"/>
      <c r="J952" s="14"/>
      <c r="K952" s="38"/>
      <c r="L952" s="38"/>
      <c r="M952" s="17"/>
    </row>
    <row r="953" spans="2:13" ht="14.45" customHeight="1" x14ac:dyDescent="0.25">
      <c r="B953" s="17"/>
      <c r="C953" s="14"/>
      <c r="D953" s="14"/>
      <c r="E953" s="18"/>
      <c r="F953" s="61"/>
      <c r="G953" s="73"/>
      <c r="H953" s="79"/>
      <c r="I953" s="79"/>
      <c r="J953" s="14"/>
      <c r="K953" s="38"/>
      <c r="L953" s="38"/>
      <c r="M953" s="17"/>
    </row>
    <row r="954" spans="2:13" ht="14.45" customHeight="1" x14ac:dyDescent="0.25">
      <c r="B954" s="17"/>
      <c r="C954" s="14"/>
      <c r="D954" s="14"/>
      <c r="E954" s="18"/>
      <c r="F954" s="61"/>
      <c r="G954" s="73"/>
      <c r="H954" s="79"/>
      <c r="I954" s="79"/>
      <c r="J954" s="14"/>
      <c r="K954" s="38"/>
      <c r="L954" s="38"/>
      <c r="M954" s="17"/>
    </row>
    <row r="955" spans="2:13" ht="14.45" customHeight="1" x14ac:dyDescent="0.25">
      <c r="B955" s="17"/>
      <c r="C955" s="14"/>
      <c r="D955" s="14"/>
      <c r="E955" s="18"/>
      <c r="F955" s="61"/>
      <c r="G955" s="73"/>
      <c r="H955" s="79"/>
      <c r="I955" s="79"/>
      <c r="J955" s="14"/>
      <c r="K955" s="38"/>
      <c r="L955" s="38"/>
      <c r="M955" s="17"/>
    </row>
    <row r="956" spans="2:13" ht="14.45" customHeight="1" x14ac:dyDescent="0.25">
      <c r="B956" s="17"/>
      <c r="C956" s="14"/>
      <c r="D956" s="14"/>
      <c r="E956" s="18"/>
      <c r="F956" s="61"/>
      <c r="G956" s="73"/>
      <c r="H956" s="79"/>
      <c r="I956" s="79"/>
      <c r="J956" s="14"/>
      <c r="K956" s="38"/>
      <c r="L956" s="38"/>
      <c r="M956" s="17"/>
    </row>
    <row r="957" spans="2:13" ht="14.45" customHeight="1" x14ac:dyDescent="0.25">
      <c r="B957" s="17"/>
      <c r="C957" s="14"/>
      <c r="D957" s="14"/>
      <c r="E957" s="18"/>
      <c r="F957" s="61"/>
      <c r="G957" s="73"/>
      <c r="H957" s="79"/>
      <c r="I957" s="79"/>
      <c r="J957" s="14"/>
      <c r="K957" s="38"/>
      <c r="L957" s="38"/>
      <c r="M957" s="17"/>
    </row>
    <row r="958" spans="2:13" ht="14.45" customHeight="1" x14ac:dyDescent="0.25">
      <c r="B958" s="17"/>
      <c r="C958" s="14"/>
      <c r="D958" s="14"/>
      <c r="E958" s="18"/>
      <c r="F958" s="61"/>
      <c r="G958" s="73"/>
      <c r="H958" s="79"/>
      <c r="I958" s="79"/>
      <c r="J958" s="14"/>
      <c r="K958" s="38"/>
      <c r="L958" s="38"/>
      <c r="M958" s="17"/>
    </row>
    <row r="959" spans="2:13" ht="14.45" customHeight="1" x14ac:dyDescent="0.25">
      <c r="B959" s="17"/>
      <c r="C959" s="14"/>
      <c r="D959" s="14"/>
      <c r="E959" s="18"/>
      <c r="F959" s="61"/>
      <c r="G959" s="73"/>
      <c r="H959" s="79"/>
      <c r="I959" s="79"/>
      <c r="J959" s="14"/>
      <c r="K959" s="38"/>
      <c r="L959" s="38"/>
      <c r="M959" s="17"/>
    </row>
    <row r="960" spans="2:13" ht="14.45" customHeight="1" x14ac:dyDescent="0.25">
      <c r="B960" s="17"/>
      <c r="C960" s="14"/>
      <c r="D960" s="14"/>
      <c r="E960" s="18"/>
      <c r="F960" s="61"/>
      <c r="G960" s="73"/>
      <c r="H960" s="79"/>
      <c r="I960" s="79"/>
      <c r="J960" s="14"/>
      <c r="K960" s="38"/>
      <c r="L960" s="38"/>
      <c r="M960" s="17"/>
    </row>
    <row r="961" spans="2:13" ht="14.45" customHeight="1" x14ac:dyDescent="0.25">
      <c r="B961" s="17"/>
      <c r="C961" s="14"/>
      <c r="D961" s="14"/>
      <c r="E961" s="18"/>
      <c r="F961" s="61"/>
      <c r="G961" s="73"/>
      <c r="H961" s="79"/>
      <c r="I961" s="79"/>
      <c r="J961" s="14"/>
      <c r="K961" s="38"/>
      <c r="L961" s="38"/>
      <c r="M961" s="17"/>
    </row>
    <row r="962" spans="2:13" ht="14.45" customHeight="1" x14ac:dyDescent="0.25">
      <c r="B962" s="17"/>
      <c r="C962" s="14"/>
      <c r="D962" s="14"/>
      <c r="E962" s="18"/>
      <c r="F962" s="61"/>
      <c r="G962" s="73"/>
      <c r="H962" s="79"/>
      <c r="I962" s="79"/>
      <c r="J962" s="14"/>
      <c r="K962" s="38"/>
      <c r="L962" s="38"/>
      <c r="M962" s="17"/>
    </row>
    <row r="963" spans="2:13" ht="14.45" customHeight="1" x14ac:dyDescent="0.25">
      <c r="B963" s="17"/>
      <c r="C963" s="14"/>
      <c r="D963" s="14"/>
      <c r="E963" s="18"/>
      <c r="F963" s="61"/>
      <c r="G963" s="73"/>
      <c r="H963" s="79"/>
      <c r="I963" s="79"/>
      <c r="J963" s="14"/>
      <c r="K963" s="38"/>
      <c r="L963" s="38"/>
      <c r="M963" s="17"/>
    </row>
    <row r="964" spans="2:13" ht="14.45" customHeight="1" x14ac:dyDescent="0.25">
      <c r="B964" s="17"/>
      <c r="C964" s="14"/>
      <c r="D964" s="14"/>
      <c r="E964" s="18"/>
      <c r="F964" s="61"/>
      <c r="G964" s="73"/>
      <c r="H964" s="79"/>
      <c r="I964" s="79"/>
      <c r="J964" s="14"/>
      <c r="K964" s="38"/>
      <c r="L964" s="38"/>
      <c r="M964" s="17"/>
    </row>
    <row r="965" spans="2:13" ht="14.45" customHeight="1" x14ac:dyDescent="0.25">
      <c r="B965" s="17"/>
      <c r="C965" s="14"/>
      <c r="D965" s="14"/>
      <c r="E965" s="18"/>
      <c r="F965" s="61"/>
      <c r="G965" s="73"/>
      <c r="H965" s="79"/>
      <c r="I965" s="79"/>
      <c r="J965" s="14"/>
      <c r="K965" s="38"/>
      <c r="L965" s="38"/>
      <c r="M965" s="17"/>
    </row>
    <row r="966" spans="2:13" ht="14.45" customHeight="1" x14ac:dyDescent="0.25">
      <c r="B966" s="17"/>
      <c r="C966" s="14"/>
      <c r="D966" s="14"/>
      <c r="E966" s="18"/>
      <c r="F966" s="61"/>
      <c r="G966" s="73"/>
      <c r="H966" s="79"/>
      <c r="I966" s="79"/>
      <c r="J966" s="14"/>
      <c r="K966" s="38"/>
      <c r="L966" s="38"/>
      <c r="M966" s="17"/>
    </row>
    <row r="967" spans="2:13" ht="14.45" customHeight="1" x14ac:dyDescent="0.25">
      <c r="B967" s="17"/>
      <c r="C967" s="14"/>
      <c r="D967" s="14"/>
      <c r="E967" s="18"/>
      <c r="F967" s="61"/>
      <c r="G967" s="73"/>
      <c r="H967" s="79"/>
      <c r="I967" s="79"/>
      <c r="J967" s="14"/>
      <c r="K967" s="38"/>
      <c r="L967" s="38"/>
      <c r="M967" s="17"/>
    </row>
    <row r="968" spans="2:13" ht="14.45" customHeight="1" x14ac:dyDescent="0.25">
      <c r="B968" s="17"/>
      <c r="C968" s="14"/>
      <c r="D968" s="14"/>
      <c r="E968" s="18"/>
      <c r="F968" s="61"/>
      <c r="G968" s="73"/>
      <c r="H968" s="79"/>
      <c r="I968" s="79"/>
      <c r="J968" s="14"/>
      <c r="K968" s="38"/>
      <c r="L968" s="38"/>
      <c r="M968" s="17"/>
    </row>
    <row r="969" spans="2:13" ht="14.45" customHeight="1" x14ac:dyDescent="0.25">
      <c r="B969" s="17"/>
      <c r="C969" s="14"/>
      <c r="D969" s="14"/>
      <c r="E969" s="18"/>
      <c r="F969" s="61"/>
      <c r="G969" s="73"/>
      <c r="H969" s="79"/>
      <c r="I969" s="79"/>
      <c r="J969" s="14"/>
      <c r="K969" s="38"/>
      <c r="L969" s="38"/>
      <c r="M969" s="17"/>
    </row>
    <row r="970" spans="2:13" ht="14.45" customHeight="1" x14ac:dyDescent="0.25">
      <c r="B970" s="17"/>
      <c r="C970" s="14"/>
      <c r="D970" s="14"/>
      <c r="E970" s="18"/>
      <c r="F970" s="61"/>
      <c r="G970" s="73"/>
      <c r="H970" s="79"/>
      <c r="I970" s="79"/>
      <c r="J970" s="14"/>
      <c r="K970" s="38"/>
      <c r="L970" s="38"/>
      <c r="M970" s="17"/>
    </row>
    <row r="971" spans="2:13" ht="14.45" customHeight="1" x14ac:dyDescent="0.25">
      <c r="B971" s="17"/>
      <c r="C971" s="14"/>
      <c r="D971" s="14"/>
      <c r="E971" s="18"/>
      <c r="F971" s="61"/>
      <c r="G971" s="73"/>
      <c r="H971" s="79"/>
      <c r="I971" s="79"/>
      <c r="J971" s="14"/>
      <c r="K971" s="38"/>
      <c r="L971" s="38"/>
      <c r="M971" s="17"/>
    </row>
    <row r="972" spans="2:13" ht="14.45" customHeight="1" x14ac:dyDescent="0.25">
      <c r="B972" s="17"/>
      <c r="C972" s="14"/>
      <c r="D972" s="14"/>
      <c r="E972" s="18"/>
      <c r="F972" s="61"/>
      <c r="G972" s="73"/>
      <c r="H972" s="79"/>
      <c r="I972" s="79"/>
      <c r="J972" s="14"/>
      <c r="K972" s="38"/>
      <c r="L972" s="38"/>
      <c r="M972" s="17"/>
    </row>
    <row r="973" spans="2:13" ht="14.45" customHeight="1" x14ac:dyDescent="0.25">
      <c r="B973" s="17"/>
      <c r="C973" s="14"/>
      <c r="D973" s="14"/>
      <c r="E973" s="18"/>
      <c r="F973" s="61"/>
      <c r="G973" s="73"/>
      <c r="H973" s="79"/>
      <c r="I973" s="79"/>
      <c r="J973" s="14"/>
      <c r="K973" s="38"/>
      <c r="L973" s="38"/>
      <c r="M973" s="17"/>
    </row>
    <row r="974" spans="2:13" ht="14.45" customHeight="1" x14ac:dyDescent="0.25">
      <c r="B974" s="17"/>
      <c r="C974" s="14"/>
      <c r="D974" s="14"/>
      <c r="E974" s="18"/>
      <c r="F974" s="61"/>
      <c r="G974" s="73"/>
      <c r="H974" s="79"/>
      <c r="I974" s="79"/>
      <c r="J974" s="14"/>
      <c r="K974" s="38"/>
      <c r="L974" s="38"/>
      <c r="M974" s="17"/>
    </row>
    <row r="975" spans="2:13" ht="14.45" customHeight="1" x14ac:dyDescent="0.25">
      <c r="B975" s="17"/>
      <c r="C975" s="14"/>
      <c r="D975" s="14"/>
      <c r="E975" s="18"/>
      <c r="F975" s="61"/>
      <c r="G975" s="73"/>
      <c r="H975" s="79"/>
      <c r="I975" s="79"/>
      <c r="J975" s="14"/>
      <c r="K975" s="38"/>
      <c r="L975" s="38"/>
      <c r="M975" s="17"/>
    </row>
    <row r="976" spans="2:13" ht="14.45" customHeight="1" x14ac:dyDescent="0.25">
      <c r="B976" s="17"/>
      <c r="C976" s="14"/>
      <c r="D976" s="14"/>
      <c r="E976" s="18"/>
      <c r="F976" s="61"/>
      <c r="G976" s="73"/>
      <c r="H976" s="79"/>
      <c r="I976" s="79"/>
      <c r="J976" s="14"/>
      <c r="K976" s="38"/>
      <c r="L976" s="38"/>
      <c r="M976" s="17"/>
    </row>
    <row r="977" spans="2:13" ht="14.45" customHeight="1" x14ac:dyDescent="0.25">
      <c r="B977" s="17"/>
      <c r="C977" s="14"/>
      <c r="D977" s="14"/>
      <c r="E977" s="18"/>
      <c r="F977" s="61"/>
      <c r="G977" s="73"/>
      <c r="H977" s="79"/>
      <c r="I977" s="79"/>
      <c r="J977" s="14"/>
      <c r="K977" s="38"/>
      <c r="L977" s="38"/>
      <c r="M977" s="17"/>
    </row>
    <row r="978" spans="2:13" ht="14.45" customHeight="1" x14ac:dyDescent="0.25">
      <c r="B978" s="17"/>
      <c r="C978" s="14"/>
      <c r="D978" s="14"/>
      <c r="E978" s="18"/>
      <c r="F978" s="61"/>
      <c r="G978" s="73"/>
      <c r="H978" s="79"/>
      <c r="I978" s="79"/>
      <c r="J978" s="14"/>
      <c r="K978" s="38"/>
      <c r="L978" s="38"/>
      <c r="M978" s="17"/>
    </row>
    <row r="979" spans="2:13" ht="14.45" customHeight="1" x14ac:dyDescent="0.25">
      <c r="B979" s="17"/>
      <c r="C979" s="14"/>
      <c r="D979" s="14"/>
      <c r="E979" s="18"/>
      <c r="F979" s="61"/>
      <c r="G979" s="73"/>
      <c r="H979" s="79"/>
      <c r="I979" s="79"/>
      <c r="J979" s="14"/>
      <c r="K979" s="38"/>
      <c r="L979" s="38"/>
      <c r="M979" s="17"/>
    </row>
    <row r="980" spans="2:13" ht="14.45" customHeight="1" x14ac:dyDescent="0.25">
      <c r="B980" s="17"/>
      <c r="C980" s="14"/>
      <c r="D980" s="14"/>
      <c r="E980" s="18"/>
      <c r="F980" s="61"/>
      <c r="G980" s="73"/>
      <c r="H980" s="79"/>
      <c r="I980" s="79"/>
      <c r="J980" s="14"/>
      <c r="K980" s="38"/>
      <c r="L980" s="38"/>
      <c r="M980" s="17"/>
    </row>
    <row r="981" spans="2:13" ht="14.45" customHeight="1" x14ac:dyDescent="0.25">
      <c r="B981" s="17"/>
      <c r="C981" s="14"/>
      <c r="D981" s="14"/>
      <c r="E981" s="18"/>
      <c r="F981" s="61"/>
      <c r="G981" s="73"/>
      <c r="H981" s="79"/>
      <c r="I981" s="79"/>
      <c r="J981" s="14"/>
      <c r="K981" s="38"/>
      <c r="L981" s="38"/>
      <c r="M981" s="17"/>
    </row>
    <row r="982" spans="2:13" ht="14.45" customHeight="1" x14ac:dyDescent="0.25">
      <c r="B982" s="17"/>
      <c r="C982" s="14"/>
      <c r="D982" s="14"/>
      <c r="E982" s="18"/>
      <c r="F982" s="61"/>
      <c r="G982" s="73"/>
      <c r="H982" s="79"/>
      <c r="I982" s="79"/>
      <c r="J982" s="14"/>
      <c r="K982" s="38"/>
      <c r="L982" s="38"/>
      <c r="M982" s="17"/>
    </row>
    <row r="983" spans="2:13" ht="14.45" customHeight="1" x14ac:dyDescent="0.25">
      <c r="B983" s="17"/>
      <c r="C983" s="14"/>
      <c r="D983" s="14"/>
      <c r="E983" s="18"/>
      <c r="F983" s="61"/>
      <c r="G983" s="73"/>
      <c r="H983" s="79"/>
      <c r="I983" s="79"/>
      <c r="J983" s="14"/>
      <c r="K983" s="38"/>
      <c r="L983" s="38"/>
      <c r="M983" s="17"/>
    </row>
    <row r="984" spans="2:13" ht="14.45" customHeight="1" x14ac:dyDescent="0.25">
      <c r="B984" s="17"/>
      <c r="C984" s="14"/>
      <c r="D984" s="14"/>
      <c r="E984" s="18"/>
      <c r="F984" s="61"/>
      <c r="G984" s="73"/>
      <c r="H984" s="79"/>
      <c r="I984" s="79"/>
      <c r="J984" s="14"/>
      <c r="K984" s="38"/>
      <c r="L984" s="38"/>
      <c r="M984" s="17"/>
    </row>
    <row r="985" spans="2:13" ht="14.45" customHeight="1" x14ac:dyDescent="0.25">
      <c r="B985" s="17"/>
      <c r="C985" s="14"/>
      <c r="D985" s="14"/>
      <c r="E985" s="18"/>
      <c r="F985" s="61"/>
      <c r="G985" s="73"/>
      <c r="H985" s="79"/>
      <c r="I985" s="79"/>
      <c r="J985" s="14"/>
      <c r="K985" s="38"/>
      <c r="L985" s="38"/>
      <c r="M985" s="17"/>
    </row>
    <row r="986" spans="2:13" ht="14.45" customHeight="1" x14ac:dyDescent="0.25">
      <c r="B986" s="17"/>
      <c r="C986" s="14"/>
      <c r="D986" s="14"/>
      <c r="E986" s="18"/>
      <c r="F986" s="61"/>
      <c r="G986" s="73"/>
      <c r="H986" s="79"/>
      <c r="I986" s="79"/>
      <c r="J986" s="14"/>
      <c r="K986" s="38"/>
      <c r="L986" s="38"/>
      <c r="M986" s="17"/>
    </row>
    <row r="987" spans="2:13" ht="14.45" customHeight="1" x14ac:dyDescent="0.25">
      <c r="B987" s="17"/>
      <c r="C987" s="14"/>
      <c r="D987" s="14"/>
      <c r="E987" s="18"/>
      <c r="F987" s="61"/>
      <c r="G987" s="73"/>
      <c r="H987" s="79"/>
      <c r="I987" s="79"/>
      <c r="J987" s="14"/>
      <c r="K987" s="38"/>
      <c r="L987" s="38"/>
      <c r="M987" s="17"/>
    </row>
    <row r="988" spans="2:13" ht="14.45" customHeight="1" x14ac:dyDescent="0.25">
      <c r="B988" s="17"/>
      <c r="C988" s="14"/>
      <c r="D988" s="14"/>
      <c r="E988" s="18"/>
      <c r="F988" s="61"/>
      <c r="G988" s="73"/>
      <c r="H988" s="79"/>
      <c r="I988" s="79"/>
      <c r="J988" s="14"/>
      <c r="K988" s="38"/>
      <c r="L988" s="38"/>
      <c r="M988" s="17"/>
    </row>
    <row r="989" spans="2:13" ht="14.45" customHeight="1" x14ac:dyDescent="0.25">
      <c r="B989" s="17"/>
      <c r="C989" s="14"/>
      <c r="D989" s="14"/>
      <c r="E989" s="18"/>
      <c r="F989" s="61"/>
      <c r="G989" s="73"/>
      <c r="H989" s="79"/>
      <c r="I989" s="79"/>
      <c r="J989" s="14"/>
      <c r="K989" s="38"/>
      <c r="L989" s="38"/>
      <c r="M989" s="17"/>
    </row>
    <row r="990" spans="2:13" ht="14.45" customHeight="1" x14ac:dyDescent="0.25">
      <c r="B990" s="17"/>
      <c r="C990" s="14"/>
      <c r="D990" s="14"/>
      <c r="E990" s="18"/>
      <c r="F990" s="61"/>
      <c r="G990" s="73"/>
      <c r="H990" s="79"/>
      <c r="I990" s="79"/>
      <c r="J990" s="14"/>
      <c r="K990" s="38"/>
      <c r="L990" s="38"/>
      <c r="M990" s="17"/>
    </row>
    <row r="991" spans="2:13" ht="14.45" customHeight="1" x14ac:dyDescent="0.25">
      <c r="B991" s="17"/>
      <c r="C991" s="14"/>
      <c r="D991" s="14"/>
      <c r="E991" s="18"/>
      <c r="F991" s="61"/>
      <c r="G991" s="73"/>
      <c r="H991" s="79"/>
      <c r="I991" s="79"/>
      <c r="J991" s="14"/>
      <c r="K991" s="38"/>
      <c r="L991" s="38"/>
      <c r="M991" s="17"/>
    </row>
    <row r="992" spans="2:13" ht="14.45" customHeight="1" x14ac:dyDescent="0.25">
      <c r="B992" s="17"/>
      <c r="C992" s="14"/>
      <c r="D992" s="14"/>
      <c r="E992" s="18"/>
      <c r="F992" s="61"/>
      <c r="G992" s="73"/>
      <c r="H992" s="79"/>
      <c r="I992" s="79"/>
      <c r="J992" s="14"/>
      <c r="K992" s="38"/>
      <c r="L992" s="38"/>
      <c r="M992" s="17"/>
    </row>
    <row r="993" spans="2:13" ht="14.45" customHeight="1" x14ac:dyDescent="0.25">
      <c r="B993" s="17"/>
      <c r="C993" s="14"/>
      <c r="D993" s="14"/>
      <c r="E993" s="18"/>
      <c r="F993" s="61"/>
      <c r="G993" s="73"/>
      <c r="H993" s="79"/>
      <c r="I993" s="79"/>
      <c r="J993" s="14"/>
      <c r="K993" s="38"/>
      <c r="L993" s="38"/>
      <c r="M993" s="17"/>
    </row>
    <row r="994" spans="2:13" ht="14.45" customHeight="1" x14ac:dyDescent="0.25">
      <c r="B994" s="17"/>
      <c r="C994" s="14"/>
      <c r="D994" s="14"/>
      <c r="E994" s="18"/>
      <c r="F994" s="61"/>
      <c r="G994" s="73"/>
      <c r="H994" s="79"/>
      <c r="I994" s="79"/>
      <c r="J994" s="14"/>
      <c r="K994" s="38"/>
      <c r="L994" s="38"/>
      <c r="M994" s="17"/>
    </row>
    <row r="995" spans="2:13" ht="14.45" customHeight="1" x14ac:dyDescent="0.25">
      <c r="B995" s="17"/>
      <c r="C995" s="14"/>
      <c r="D995" s="14"/>
      <c r="E995" s="18"/>
      <c r="F995" s="61"/>
      <c r="G995" s="73"/>
      <c r="H995" s="79"/>
      <c r="I995" s="79"/>
      <c r="J995" s="14"/>
      <c r="K995" s="38"/>
      <c r="L995" s="38"/>
      <c r="M995" s="17"/>
    </row>
    <row r="996" spans="2:13" ht="14.45" customHeight="1" x14ac:dyDescent="0.25">
      <c r="B996" s="17"/>
      <c r="C996" s="14"/>
      <c r="D996" s="14"/>
      <c r="E996" s="18"/>
      <c r="F996" s="61"/>
      <c r="G996" s="73"/>
      <c r="H996" s="79"/>
      <c r="I996" s="79"/>
      <c r="J996" s="14"/>
      <c r="K996" s="38"/>
      <c r="L996" s="38"/>
      <c r="M996" s="17"/>
    </row>
    <row r="997" spans="2:13" ht="14.45" customHeight="1" x14ac:dyDescent="0.25">
      <c r="B997" s="17"/>
      <c r="C997" s="14"/>
      <c r="D997" s="14"/>
      <c r="E997" s="18"/>
      <c r="F997" s="61"/>
      <c r="G997" s="73"/>
      <c r="H997" s="79"/>
      <c r="I997" s="79"/>
      <c r="J997" s="14"/>
      <c r="K997" s="38"/>
      <c r="L997" s="38"/>
      <c r="M997" s="17"/>
    </row>
    <row r="998" spans="2:13" ht="14.45" customHeight="1" x14ac:dyDescent="0.25">
      <c r="B998" s="17"/>
      <c r="C998" s="14"/>
      <c r="D998" s="14"/>
      <c r="E998" s="18"/>
      <c r="F998" s="61"/>
      <c r="G998" s="73"/>
      <c r="H998" s="79"/>
      <c r="I998" s="79"/>
      <c r="J998" s="14"/>
      <c r="K998" s="38"/>
      <c r="L998" s="38"/>
      <c r="M998" s="17"/>
    </row>
    <row r="999" spans="2:13" ht="14.45" customHeight="1" x14ac:dyDescent="0.25">
      <c r="B999" s="17"/>
      <c r="C999" s="14"/>
      <c r="D999" s="14"/>
      <c r="E999" s="18"/>
      <c r="F999" s="61"/>
      <c r="G999" s="73"/>
      <c r="H999" s="79"/>
      <c r="I999" s="79"/>
      <c r="J999" s="14"/>
      <c r="K999" s="38"/>
      <c r="L999" s="38"/>
      <c r="M999" s="17"/>
    </row>
    <row r="1000" spans="2:13" ht="14.45" customHeight="1" x14ac:dyDescent="0.25">
      <c r="B1000" s="17"/>
      <c r="C1000" s="14"/>
      <c r="D1000" s="14"/>
      <c r="E1000" s="18"/>
      <c r="F1000" s="61"/>
      <c r="G1000" s="73"/>
      <c r="H1000" s="79"/>
      <c r="I1000" s="79"/>
      <c r="J1000" s="14"/>
      <c r="K1000" s="38"/>
      <c r="L1000" s="38"/>
      <c r="M1000" s="17"/>
    </row>
  </sheetData>
  <sheetProtection algorithmName="SHA-512" hashValue="Ynsgc9K2QWRBSN/6K5hwHpZci4OKSPh3FM6zWK5Sc2CTMM10Nh8/LIFYmpRj/zoQ1J8W1/vUHNmRr9aVmZmdZw==" saltValue="gv5iRl2NufCH0HFPWk9i/Q==" spinCount="100000" sheet="1" objects="1" scenarios="1"/>
  <mergeCells count="2">
    <mergeCell ref="C10:F10"/>
    <mergeCell ref="H10:I10"/>
  </mergeCells>
  <conditionalFormatting sqref="M10 H10">
    <cfRule type="cellIs" dxfId="115" priority="2" operator="greaterThanOrEqual">
      <formula>6750</formula>
    </cfRule>
  </conditionalFormatting>
  <conditionalFormatting sqref="K13:K1000">
    <cfRule type="cellIs" dxfId="114" priority="1" operator="lessThan">
      <formula>0</formula>
    </cfRule>
  </conditionalFormatting>
  <dataValidations count="1">
    <dataValidation type="list" allowBlank="1" showInputMessage="1" showErrorMessage="1" sqref="H13:H1000" xr:uid="{ABDF69C9-A664-4C18-BD3B-0D14AF06EFB2}">
      <formula1>"Ativa,Cancelada"</formula1>
    </dataValidation>
  </dataValidations>
  <printOptions horizontalCentered="1"/>
  <pageMargins left="0.19685039370078741" right="0.19685039370078741" top="0.39370078740157483" bottom="0.78740157480314965" header="0.31496062992125984" footer="0.31496062992125984"/>
  <pageSetup paperSize="9" scale="54" fitToHeight="50" orientation="portrait" r:id="rId1"/>
  <headerFooter>
    <oddHeader>&amp;L&amp;"Calibri"&amp;12&amp;K008000 Documento Público&amp;1#_x000D_</oddHeader>
    <oddFooter>Página &amp;P de &amp;N</oddFooter>
  </headerFooter>
  <rowBreaks count="1" manualBreakCount="1">
    <brk id="63" min="1" max="5" man="1"/>
  </rowBreaks>
  <drawing r:id="rId2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8AA529-DCDA-4D65-BACC-CCC1DEDAC63B}">
  <sheetPr codeName="Planilha12">
    <tabColor theme="8" tint="-0.499984740745262"/>
    <pageSetUpPr fitToPage="1"/>
  </sheetPr>
  <dimension ref="A1:Q1000"/>
  <sheetViews>
    <sheetView showGridLines="0" showRowColHeaders="0" zoomScaleNormal="100" workbookViewId="0">
      <pane ySplit="12" topLeftCell="A13" activePane="bottomLeft" state="frozen"/>
      <selection activeCell="D23" sqref="D23"/>
      <selection pane="bottomLeft" activeCell="H10" sqref="H10:I10"/>
    </sheetView>
  </sheetViews>
  <sheetFormatPr defaultColWidth="0" defaultRowHeight="14.45" customHeight="1" x14ac:dyDescent="0.25"/>
  <cols>
    <col min="1" max="1" width="1.7109375" customWidth="1"/>
    <col min="2" max="2" width="15.28515625" customWidth="1"/>
    <col min="3" max="3" width="35.85546875" customWidth="1"/>
    <col min="4" max="4" width="20.7109375" customWidth="1"/>
    <col min="5" max="5" width="42.28515625" customWidth="1"/>
    <col min="6" max="6" width="25.7109375" customWidth="1"/>
    <col min="7" max="7" width="12.28515625" bestFit="1" customWidth="1"/>
    <col min="8" max="8" width="12.28515625" customWidth="1"/>
    <col min="9" max="9" width="21.42578125" bestFit="1" customWidth="1"/>
    <col min="10" max="10" width="16.140625" customWidth="1"/>
    <col min="11" max="11" width="13" customWidth="1"/>
    <col min="12" max="12" width="11.28515625" customWidth="1"/>
    <col min="13" max="13" width="18.28515625" customWidth="1"/>
    <col min="14" max="14" width="5.7109375" customWidth="1"/>
    <col min="15" max="15" width="25" hidden="1" customWidth="1"/>
    <col min="16" max="16" width="6.7109375" hidden="1" customWidth="1"/>
    <col min="17" max="17" width="3.85546875" hidden="1" customWidth="1"/>
    <col min="18" max="16384" width="8.85546875" hidden="1"/>
  </cols>
  <sheetData>
    <row r="1" spans="2:13" ht="15" x14ac:dyDescent="0.25"/>
    <row r="2" spans="2:13" ht="15" x14ac:dyDescent="0.25"/>
    <row r="3" spans="2:13" ht="15" x14ac:dyDescent="0.25">
      <c r="J3" s="9" t="str">
        <f>IF(H10&gt;=6750,"ATENÇÃO: Você atingiu o limite de faturamento mensal de R$ 6.750,00",IF(H10&gt;=6000,"O limite de faturamento mensal de R$ 6.750,00 está quase sendo atingido.",""))</f>
        <v/>
      </c>
    </row>
    <row r="4" spans="2:13" ht="1.9" customHeight="1" x14ac:dyDescent="0.25"/>
    <row r="5" spans="2:13" s="1" customFormat="1" ht="4.9000000000000004" customHeight="1" x14ac:dyDescent="0.25"/>
    <row r="6" spans="2:13" ht="3" customHeight="1" x14ac:dyDescent="0.25"/>
    <row r="7" spans="2:13" s="1" customFormat="1" ht="4.9000000000000004" customHeight="1" x14ac:dyDescent="0.25"/>
    <row r="8" spans="2:13" ht="1.9" customHeight="1" x14ac:dyDescent="0.25"/>
    <row r="9" spans="2:13" ht="30" customHeight="1" x14ac:dyDescent="0.25"/>
    <row r="10" spans="2:13" ht="34.9" customHeight="1" x14ac:dyDescent="0.25">
      <c r="B10" s="4" t="s">
        <v>0</v>
      </c>
      <c r="C10" s="94" t="str">
        <f>Menu!G26</f>
        <v>Empresa ABCDE</v>
      </c>
      <c r="D10" s="95"/>
      <c r="E10" s="95"/>
      <c r="F10" s="95"/>
      <c r="G10" s="87"/>
      <c r="H10" s="93">
        <f>SUMIF(AGO[Status Nota Fiscal],"Ativa",AGO[Valor da Parcela a Receber])</f>
        <v>0</v>
      </c>
      <c r="I10" s="93"/>
      <c r="J10" s="85"/>
      <c r="M10" s="86"/>
    </row>
    <row r="11" spans="2:13" ht="4.9000000000000004" customHeight="1" x14ac:dyDescent="0.25"/>
    <row r="12" spans="2:13" ht="30" customHeight="1" x14ac:dyDescent="0.25">
      <c r="B12" s="5" t="s">
        <v>2</v>
      </c>
      <c r="C12" s="6" t="s">
        <v>3</v>
      </c>
      <c r="D12" s="6" t="s">
        <v>4</v>
      </c>
      <c r="E12" s="6" t="s">
        <v>5</v>
      </c>
      <c r="F12" s="7" t="s">
        <v>6</v>
      </c>
      <c r="G12" s="7" t="s">
        <v>7</v>
      </c>
      <c r="H12" s="7" t="s">
        <v>8</v>
      </c>
      <c r="I12" s="7" t="s">
        <v>9</v>
      </c>
      <c r="J12" s="7" t="s">
        <v>10</v>
      </c>
      <c r="K12" s="7" t="s">
        <v>11</v>
      </c>
      <c r="L12" s="7" t="s">
        <v>12</v>
      </c>
      <c r="M12" s="8" t="s">
        <v>13</v>
      </c>
    </row>
    <row r="13" spans="2:13" ht="14.45" customHeight="1" x14ac:dyDescent="0.25">
      <c r="B13" s="24"/>
      <c r="C13" s="25"/>
      <c r="D13" s="25"/>
      <c r="E13" s="25"/>
      <c r="F13" s="26"/>
      <c r="G13" s="62"/>
      <c r="H13" s="62"/>
      <c r="I13" s="62"/>
      <c r="J13" s="27"/>
      <c r="K13" s="28"/>
      <c r="L13" s="28"/>
      <c r="M13" s="29"/>
    </row>
    <row r="14" spans="2:13" ht="14.45" customHeight="1" x14ac:dyDescent="0.25">
      <c r="B14" s="30"/>
      <c r="C14" s="31"/>
      <c r="D14" s="31"/>
      <c r="E14" s="31"/>
      <c r="F14" s="32"/>
      <c r="G14" s="63"/>
      <c r="H14" s="63"/>
      <c r="I14" s="63"/>
      <c r="J14" s="33"/>
      <c r="K14" s="34"/>
      <c r="L14" s="34"/>
      <c r="M14" s="35"/>
    </row>
    <row r="15" spans="2:13" ht="14.45" customHeight="1" x14ac:dyDescent="0.25">
      <c r="B15" s="36"/>
      <c r="C15" s="14"/>
      <c r="D15" s="14"/>
      <c r="E15" s="18"/>
      <c r="F15" s="20"/>
      <c r="G15" s="64"/>
      <c r="H15" s="68"/>
      <c r="I15" s="68"/>
      <c r="J15" s="37"/>
      <c r="K15" s="38"/>
      <c r="L15" s="38"/>
      <c r="M15" s="36"/>
    </row>
    <row r="16" spans="2:13" ht="14.45" customHeight="1" x14ac:dyDescent="0.25">
      <c r="B16" s="17"/>
      <c r="C16" s="14"/>
      <c r="D16" s="14"/>
      <c r="E16" s="18"/>
      <c r="F16" s="20"/>
      <c r="G16" s="64"/>
      <c r="H16" s="68"/>
      <c r="I16" s="68"/>
      <c r="J16" s="15"/>
      <c r="K16" s="38"/>
      <c r="L16" s="38"/>
      <c r="M16" s="17"/>
    </row>
    <row r="17" spans="2:13" ht="14.45" customHeight="1" x14ac:dyDescent="0.25">
      <c r="B17" s="17"/>
      <c r="C17" s="14"/>
      <c r="D17" s="14"/>
      <c r="E17" s="18"/>
      <c r="F17" s="20"/>
      <c r="G17" s="64"/>
      <c r="H17" s="68"/>
      <c r="I17" s="68"/>
      <c r="J17" s="15"/>
      <c r="K17" s="38"/>
      <c r="L17" s="38"/>
      <c r="M17" s="17"/>
    </row>
    <row r="18" spans="2:13" ht="14.45" customHeight="1" x14ac:dyDescent="0.25">
      <c r="B18" s="17"/>
      <c r="C18" s="14"/>
      <c r="D18" s="14"/>
      <c r="E18" s="18"/>
      <c r="F18" s="20"/>
      <c r="G18" s="64"/>
      <c r="H18" s="68"/>
      <c r="I18" s="68"/>
      <c r="J18" s="15"/>
      <c r="K18" s="38"/>
      <c r="L18" s="38"/>
      <c r="M18" s="17"/>
    </row>
    <row r="19" spans="2:13" ht="14.45" customHeight="1" x14ac:dyDescent="0.25">
      <c r="B19" s="17"/>
      <c r="C19" s="14"/>
      <c r="D19" s="14"/>
      <c r="E19" s="18"/>
      <c r="F19" s="20"/>
      <c r="G19" s="64"/>
      <c r="H19" s="68"/>
      <c r="I19" s="68"/>
      <c r="J19" s="15"/>
      <c r="K19" s="38"/>
      <c r="L19" s="38"/>
      <c r="M19" s="17"/>
    </row>
    <row r="20" spans="2:13" ht="14.45" customHeight="1" x14ac:dyDescent="0.25">
      <c r="B20" s="17"/>
      <c r="C20" s="14"/>
      <c r="D20" s="14"/>
      <c r="E20" s="18"/>
      <c r="F20" s="20"/>
      <c r="G20" s="64"/>
      <c r="H20" s="68"/>
      <c r="I20" s="68"/>
      <c r="J20" s="15"/>
      <c r="K20" s="38"/>
      <c r="L20" s="38"/>
      <c r="M20" s="17"/>
    </row>
    <row r="21" spans="2:13" ht="14.45" customHeight="1" x14ac:dyDescent="0.25">
      <c r="B21" s="17"/>
      <c r="C21" s="14"/>
      <c r="D21" s="14"/>
      <c r="E21" s="18"/>
      <c r="F21" s="20"/>
      <c r="G21" s="64"/>
      <c r="H21" s="68"/>
      <c r="I21" s="68"/>
      <c r="J21" s="15"/>
      <c r="K21" s="38"/>
      <c r="L21" s="38"/>
      <c r="M21" s="17"/>
    </row>
    <row r="22" spans="2:13" ht="14.45" customHeight="1" x14ac:dyDescent="0.25">
      <c r="B22" s="17"/>
      <c r="C22" s="14"/>
      <c r="D22" s="14"/>
      <c r="E22" s="18"/>
      <c r="F22" s="20"/>
      <c r="G22" s="64"/>
      <c r="H22" s="68"/>
      <c r="I22" s="68"/>
      <c r="J22" s="15"/>
      <c r="K22" s="38"/>
      <c r="L22" s="38"/>
      <c r="M22" s="17"/>
    </row>
    <row r="23" spans="2:13" ht="14.45" customHeight="1" x14ac:dyDescent="0.25">
      <c r="B23" s="17"/>
      <c r="C23" s="14"/>
      <c r="D23" s="14"/>
      <c r="E23" s="18"/>
      <c r="F23" s="20"/>
      <c r="G23" s="64"/>
      <c r="H23" s="68"/>
      <c r="I23" s="68"/>
      <c r="J23" s="15"/>
      <c r="K23" s="38"/>
      <c r="L23" s="38"/>
      <c r="M23" s="17"/>
    </row>
    <row r="24" spans="2:13" ht="14.45" customHeight="1" x14ac:dyDescent="0.25">
      <c r="B24" s="17"/>
      <c r="C24" s="14"/>
      <c r="D24" s="14"/>
      <c r="E24" s="18"/>
      <c r="F24" s="20"/>
      <c r="G24" s="64"/>
      <c r="H24" s="68"/>
      <c r="I24" s="68"/>
      <c r="J24" s="15"/>
      <c r="K24" s="38"/>
      <c r="L24" s="38"/>
      <c r="M24" s="17"/>
    </row>
    <row r="25" spans="2:13" ht="14.45" customHeight="1" x14ac:dyDescent="0.25">
      <c r="B25" s="17"/>
      <c r="C25" s="14"/>
      <c r="D25" s="14"/>
      <c r="E25" s="18"/>
      <c r="F25" s="20"/>
      <c r="G25" s="64"/>
      <c r="H25" s="68"/>
      <c r="I25" s="68"/>
      <c r="J25" s="15"/>
      <c r="K25" s="38"/>
      <c r="L25" s="38"/>
      <c r="M25" s="17"/>
    </row>
    <row r="26" spans="2:13" ht="14.45" customHeight="1" x14ac:dyDescent="0.25">
      <c r="B26" s="17"/>
      <c r="C26" s="14"/>
      <c r="D26" s="14"/>
      <c r="E26" s="18"/>
      <c r="F26" s="20"/>
      <c r="G26" s="64"/>
      <c r="H26" s="68"/>
      <c r="I26" s="68"/>
      <c r="J26" s="15"/>
      <c r="K26" s="38"/>
      <c r="L26" s="38"/>
      <c r="M26" s="17"/>
    </row>
    <row r="27" spans="2:13" ht="14.45" customHeight="1" x14ac:dyDescent="0.25">
      <c r="B27" s="17"/>
      <c r="C27" s="14"/>
      <c r="D27" s="14"/>
      <c r="E27" s="18"/>
      <c r="F27" s="20"/>
      <c r="G27" s="64"/>
      <c r="H27" s="68"/>
      <c r="I27" s="68"/>
      <c r="J27" s="15"/>
      <c r="K27" s="38"/>
      <c r="L27" s="38"/>
      <c r="M27" s="17"/>
    </row>
    <row r="28" spans="2:13" ht="14.45" customHeight="1" x14ac:dyDescent="0.25">
      <c r="B28" s="17"/>
      <c r="C28" s="14"/>
      <c r="D28" s="14"/>
      <c r="E28" s="18"/>
      <c r="F28" s="20"/>
      <c r="G28" s="64"/>
      <c r="H28" s="68"/>
      <c r="I28" s="68"/>
      <c r="J28" s="15"/>
      <c r="K28" s="38"/>
      <c r="L28" s="38"/>
      <c r="M28" s="17"/>
    </row>
    <row r="29" spans="2:13" ht="14.45" customHeight="1" x14ac:dyDescent="0.25">
      <c r="B29" s="17"/>
      <c r="C29" s="14"/>
      <c r="D29" s="14"/>
      <c r="E29" s="18"/>
      <c r="F29" s="20"/>
      <c r="G29" s="64"/>
      <c r="H29" s="68"/>
      <c r="I29" s="68"/>
      <c r="J29" s="15"/>
      <c r="K29" s="38"/>
      <c r="L29" s="38"/>
      <c r="M29" s="17"/>
    </row>
    <row r="30" spans="2:13" ht="14.45" customHeight="1" x14ac:dyDescent="0.25">
      <c r="B30" s="17"/>
      <c r="C30" s="14"/>
      <c r="D30" s="14"/>
      <c r="E30" s="18"/>
      <c r="F30" s="20"/>
      <c r="G30" s="64"/>
      <c r="H30" s="68"/>
      <c r="I30" s="68"/>
      <c r="J30" s="15"/>
      <c r="K30" s="38"/>
      <c r="L30" s="38"/>
      <c r="M30" s="17"/>
    </row>
    <row r="31" spans="2:13" ht="14.45" customHeight="1" x14ac:dyDescent="0.25">
      <c r="B31" s="17"/>
      <c r="C31" s="14"/>
      <c r="D31" s="14"/>
      <c r="E31" s="18"/>
      <c r="F31" s="20"/>
      <c r="G31" s="64"/>
      <c r="H31" s="68"/>
      <c r="I31" s="68"/>
      <c r="J31" s="15"/>
      <c r="K31" s="38"/>
      <c r="L31" s="38"/>
      <c r="M31" s="17"/>
    </row>
    <row r="32" spans="2:13" ht="14.45" customHeight="1" x14ac:dyDescent="0.25">
      <c r="B32" s="17"/>
      <c r="C32" s="14"/>
      <c r="D32" s="14"/>
      <c r="E32" s="18"/>
      <c r="F32" s="20"/>
      <c r="G32" s="64"/>
      <c r="H32" s="68"/>
      <c r="I32" s="68"/>
      <c r="J32" s="15"/>
      <c r="K32" s="38"/>
      <c r="L32" s="38"/>
      <c r="M32" s="17"/>
    </row>
    <row r="33" spans="2:13" ht="14.45" customHeight="1" x14ac:dyDescent="0.25">
      <c r="B33" s="17"/>
      <c r="C33" s="14"/>
      <c r="D33" s="14"/>
      <c r="E33" s="18"/>
      <c r="F33" s="20"/>
      <c r="G33" s="64"/>
      <c r="H33" s="68"/>
      <c r="I33" s="68"/>
      <c r="J33" s="15"/>
      <c r="K33" s="38"/>
      <c r="L33" s="38"/>
      <c r="M33" s="17"/>
    </row>
    <row r="34" spans="2:13" ht="14.45" customHeight="1" x14ac:dyDescent="0.25">
      <c r="B34" s="17"/>
      <c r="C34" s="14"/>
      <c r="D34" s="14"/>
      <c r="E34" s="18"/>
      <c r="F34" s="20"/>
      <c r="G34" s="64"/>
      <c r="H34" s="68"/>
      <c r="I34" s="68"/>
      <c r="J34" s="15"/>
      <c r="K34" s="38"/>
      <c r="L34" s="38"/>
      <c r="M34" s="17"/>
    </row>
    <row r="35" spans="2:13" ht="14.45" customHeight="1" x14ac:dyDescent="0.25">
      <c r="B35" s="39"/>
      <c r="C35" s="40"/>
      <c r="D35" s="40"/>
      <c r="E35" s="41"/>
      <c r="F35" s="42"/>
      <c r="G35" s="65"/>
      <c r="H35" s="70"/>
      <c r="I35" s="70"/>
      <c r="J35" s="43"/>
      <c r="K35" s="38"/>
      <c r="L35" s="38"/>
      <c r="M35" s="17"/>
    </row>
    <row r="36" spans="2:13" ht="14.45" customHeight="1" x14ac:dyDescent="0.25">
      <c r="B36" s="17"/>
      <c r="C36" s="14"/>
      <c r="D36" s="14"/>
      <c r="E36" s="18"/>
      <c r="F36" s="20"/>
      <c r="G36" s="64"/>
      <c r="H36" s="68"/>
      <c r="I36" s="68"/>
      <c r="J36" s="14"/>
      <c r="K36" s="38"/>
      <c r="L36" s="38"/>
      <c r="M36" s="17"/>
    </row>
    <row r="37" spans="2:13" ht="14.45" customHeight="1" x14ac:dyDescent="0.25">
      <c r="B37" s="39"/>
      <c r="C37" s="40"/>
      <c r="D37" s="40"/>
      <c r="E37" s="41"/>
      <c r="F37" s="42"/>
      <c r="G37" s="65"/>
      <c r="H37" s="70"/>
      <c r="I37" s="70"/>
      <c r="J37" s="40"/>
      <c r="K37" s="38"/>
      <c r="L37" s="38"/>
      <c r="M37" s="17"/>
    </row>
    <row r="38" spans="2:13" ht="14.45" customHeight="1" x14ac:dyDescent="0.25">
      <c r="B38" s="44"/>
      <c r="C38" s="45"/>
      <c r="D38" s="45"/>
      <c r="E38" s="46"/>
      <c r="F38" s="47"/>
      <c r="G38" s="66"/>
      <c r="H38" s="77"/>
      <c r="I38" s="77"/>
      <c r="J38" s="45"/>
      <c r="K38" s="38"/>
      <c r="L38" s="38"/>
      <c r="M38" s="17"/>
    </row>
    <row r="39" spans="2:13" ht="14.45" customHeight="1" x14ac:dyDescent="0.25">
      <c r="B39" s="39"/>
      <c r="C39" s="48"/>
      <c r="D39" s="48"/>
      <c r="E39" s="49"/>
      <c r="F39" s="50"/>
      <c r="G39" s="67"/>
      <c r="H39" s="67"/>
      <c r="I39" s="67"/>
      <c r="J39" s="51"/>
      <c r="K39" s="38"/>
      <c r="L39" s="38"/>
      <c r="M39" s="17"/>
    </row>
    <row r="40" spans="2:13" ht="14.45" customHeight="1" x14ac:dyDescent="0.25">
      <c r="B40" s="17"/>
      <c r="C40" s="14"/>
      <c r="D40" s="14"/>
      <c r="E40" s="19"/>
      <c r="F40" s="21"/>
      <c r="G40" s="68"/>
      <c r="H40" s="68"/>
      <c r="I40" s="68"/>
      <c r="J40" s="52"/>
      <c r="K40" s="38"/>
      <c r="L40" s="38"/>
      <c r="M40" s="17"/>
    </row>
    <row r="41" spans="2:13" ht="14.45" customHeight="1" x14ac:dyDescent="0.25">
      <c r="B41" s="17"/>
      <c r="C41" s="14"/>
      <c r="D41" s="14"/>
      <c r="E41" s="19"/>
      <c r="F41" s="21"/>
      <c r="G41" s="68"/>
      <c r="H41" s="68"/>
      <c r="I41" s="68"/>
      <c r="J41" s="52"/>
      <c r="K41" s="38"/>
      <c r="L41" s="38"/>
      <c r="M41" s="17"/>
    </row>
    <row r="42" spans="2:13" ht="14.45" customHeight="1" x14ac:dyDescent="0.25">
      <c r="B42" s="17"/>
      <c r="C42" s="14"/>
      <c r="D42" s="14"/>
      <c r="E42" s="19"/>
      <c r="F42" s="21"/>
      <c r="G42" s="68"/>
      <c r="H42" s="68"/>
      <c r="I42" s="68"/>
      <c r="J42" s="52"/>
      <c r="K42" s="38"/>
      <c r="L42" s="38"/>
      <c r="M42" s="17"/>
    </row>
    <row r="43" spans="2:13" ht="14.45" customHeight="1" x14ac:dyDescent="0.25">
      <c r="B43" s="17"/>
      <c r="C43" s="14"/>
      <c r="D43" s="14"/>
      <c r="E43" s="19"/>
      <c r="F43" s="21"/>
      <c r="G43" s="68"/>
      <c r="H43" s="68"/>
      <c r="I43" s="68"/>
      <c r="J43" s="52"/>
      <c r="K43" s="38"/>
      <c r="L43" s="38"/>
      <c r="M43" s="17"/>
    </row>
    <row r="44" spans="2:13" ht="14.45" customHeight="1" x14ac:dyDescent="0.25">
      <c r="B44" s="17"/>
      <c r="C44" s="14"/>
      <c r="D44" s="14"/>
      <c r="E44" s="19"/>
      <c r="F44" s="21"/>
      <c r="G44" s="68"/>
      <c r="H44" s="68"/>
      <c r="I44" s="68"/>
      <c r="J44" s="52"/>
      <c r="K44" s="38"/>
      <c r="L44" s="38"/>
      <c r="M44" s="17"/>
    </row>
    <row r="45" spans="2:13" ht="14.45" customHeight="1" x14ac:dyDescent="0.25">
      <c r="B45" s="17"/>
      <c r="C45" s="14"/>
      <c r="D45" s="14"/>
      <c r="E45" s="19"/>
      <c r="F45" s="21"/>
      <c r="G45" s="68"/>
      <c r="H45" s="68"/>
      <c r="I45" s="68"/>
      <c r="J45" s="52"/>
      <c r="K45" s="38"/>
      <c r="L45" s="38"/>
      <c r="M45" s="17"/>
    </row>
    <row r="46" spans="2:13" ht="14.45" customHeight="1" x14ac:dyDescent="0.25">
      <c r="B46" s="17"/>
      <c r="C46" s="14"/>
      <c r="D46" s="14"/>
      <c r="E46" s="19"/>
      <c r="F46" s="21"/>
      <c r="G46" s="68"/>
      <c r="H46" s="68"/>
      <c r="I46" s="68"/>
      <c r="J46" s="52"/>
      <c r="K46" s="38"/>
      <c r="L46" s="38"/>
      <c r="M46" s="17"/>
    </row>
    <row r="47" spans="2:13" ht="14.45" customHeight="1" x14ac:dyDescent="0.25">
      <c r="B47" s="17"/>
      <c r="C47" s="14"/>
      <c r="D47" s="14"/>
      <c r="E47" s="19"/>
      <c r="F47" s="21"/>
      <c r="G47" s="68"/>
      <c r="H47" s="68"/>
      <c r="I47" s="68"/>
      <c r="J47" s="52"/>
      <c r="K47" s="38"/>
      <c r="L47" s="38"/>
      <c r="M47" s="17"/>
    </row>
    <row r="48" spans="2:13" ht="14.45" customHeight="1" x14ac:dyDescent="0.25">
      <c r="B48" s="17"/>
      <c r="C48" s="14"/>
      <c r="D48" s="14"/>
      <c r="E48" s="19"/>
      <c r="F48" s="21"/>
      <c r="G48" s="68"/>
      <c r="H48" s="68"/>
      <c r="I48" s="68"/>
      <c r="J48" s="52"/>
      <c r="K48" s="38"/>
      <c r="L48" s="38"/>
      <c r="M48" s="17"/>
    </row>
    <row r="49" spans="2:13" ht="14.45" customHeight="1" x14ac:dyDescent="0.25">
      <c r="B49" s="17"/>
      <c r="C49" s="14"/>
      <c r="D49" s="14"/>
      <c r="E49" s="19"/>
      <c r="F49" s="21"/>
      <c r="G49" s="68"/>
      <c r="H49" s="68"/>
      <c r="I49" s="68"/>
      <c r="J49" s="52"/>
      <c r="K49" s="38"/>
      <c r="L49" s="38"/>
      <c r="M49" s="17"/>
    </row>
    <row r="50" spans="2:13" ht="14.45" customHeight="1" x14ac:dyDescent="0.25">
      <c r="B50" s="53"/>
      <c r="C50" s="40"/>
      <c r="D50" s="40"/>
      <c r="E50" s="54"/>
      <c r="F50" s="55"/>
      <c r="G50" s="69"/>
      <c r="H50" s="78"/>
      <c r="I50" s="78"/>
      <c r="J50" s="56"/>
      <c r="K50" s="38"/>
      <c r="L50" s="38"/>
      <c r="M50" s="17"/>
    </row>
    <row r="51" spans="2:13" ht="14.45" customHeight="1" x14ac:dyDescent="0.25">
      <c r="B51" s="44"/>
      <c r="C51" s="45"/>
      <c r="D51" s="45"/>
      <c r="E51" s="46"/>
      <c r="F51" s="47"/>
      <c r="G51" s="66"/>
      <c r="H51" s="77"/>
      <c r="I51" s="77"/>
      <c r="J51" s="45"/>
      <c r="K51" s="38"/>
      <c r="L51" s="38"/>
      <c r="M51" s="17"/>
    </row>
    <row r="52" spans="2:13" ht="14.45" customHeight="1" x14ac:dyDescent="0.25">
      <c r="B52" s="39"/>
      <c r="C52" s="48"/>
      <c r="D52" s="48"/>
      <c r="E52" s="49"/>
      <c r="F52" s="50"/>
      <c r="G52" s="67"/>
      <c r="H52" s="67"/>
      <c r="I52" s="67"/>
      <c r="J52" s="51"/>
      <c r="K52" s="38"/>
      <c r="L52" s="38"/>
      <c r="M52" s="17"/>
    </row>
    <row r="53" spans="2:13" ht="14.45" customHeight="1" x14ac:dyDescent="0.25">
      <c r="B53" s="17"/>
      <c r="C53" s="14"/>
      <c r="D53" s="14"/>
      <c r="E53" s="19"/>
      <c r="F53" s="21"/>
      <c r="G53" s="68"/>
      <c r="H53" s="68"/>
      <c r="I53" s="68"/>
      <c r="J53" s="52"/>
      <c r="K53" s="38"/>
      <c r="L53" s="38"/>
      <c r="M53" s="17"/>
    </row>
    <row r="54" spans="2:13" ht="14.45" customHeight="1" x14ac:dyDescent="0.25">
      <c r="B54" s="17"/>
      <c r="C54" s="14"/>
      <c r="D54" s="14"/>
      <c r="E54" s="19"/>
      <c r="F54" s="21"/>
      <c r="G54" s="68"/>
      <c r="H54" s="68"/>
      <c r="I54" s="68"/>
      <c r="J54" s="52"/>
      <c r="K54" s="38"/>
      <c r="L54" s="38"/>
      <c r="M54" s="17"/>
    </row>
    <row r="55" spans="2:13" ht="14.45" customHeight="1" x14ac:dyDescent="0.25">
      <c r="B55" s="17"/>
      <c r="C55" s="14"/>
      <c r="D55" s="14"/>
      <c r="E55" s="19"/>
      <c r="F55" s="21"/>
      <c r="G55" s="68"/>
      <c r="H55" s="68"/>
      <c r="I55" s="68"/>
      <c r="J55" s="52"/>
      <c r="K55" s="38"/>
      <c r="L55" s="38"/>
      <c r="M55" s="17"/>
    </row>
    <row r="56" spans="2:13" ht="14.45" customHeight="1" x14ac:dyDescent="0.25">
      <c r="B56" s="17"/>
      <c r="C56" s="14"/>
      <c r="D56" s="14"/>
      <c r="E56" s="19"/>
      <c r="F56" s="21"/>
      <c r="G56" s="68"/>
      <c r="H56" s="68"/>
      <c r="I56" s="68"/>
      <c r="J56" s="52"/>
      <c r="K56" s="38"/>
      <c r="L56" s="38"/>
      <c r="M56" s="17"/>
    </row>
    <row r="57" spans="2:13" ht="14.45" customHeight="1" x14ac:dyDescent="0.25">
      <c r="B57" s="17"/>
      <c r="C57" s="14"/>
      <c r="D57" s="14"/>
      <c r="E57" s="19"/>
      <c r="F57" s="21"/>
      <c r="G57" s="68"/>
      <c r="H57" s="68"/>
      <c r="I57" s="68"/>
      <c r="J57" s="52"/>
      <c r="K57" s="38"/>
      <c r="L57" s="38"/>
      <c r="M57" s="17"/>
    </row>
    <row r="58" spans="2:13" ht="14.45" customHeight="1" x14ac:dyDescent="0.25">
      <c r="B58" s="17"/>
      <c r="C58" s="14"/>
      <c r="D58" s="14"/>
      <c r="E58" s="19"/>
      <c r="F58" s="21"/>
      <c r="G58" s="68"/>
      <c r="H58" s="68"/>
      <c r="I58" s="68"/>
      <c r="J58" s="52"/>
      <c r="K58" s="38"/>
      <c r="L58" s="38"/>
      <c r="M58" s="17"/>
    </row>
    <row r="59" spans="2:13" ht="14.45" customHeight="1" x14ac:dyDescent="0.25">
      <c r="B59" s="17"/>
      <c r="C59" s="14"/>
      <c r="D59" s="14"/>
      <c r="E59" s="19"/>
      <c r="F59" s="21"/>
      <c r="G59" s="68"/>
      <c r="H59" s="68"/>
      <c r="I59" s="68"/>
      <c r="J59" s="52"/>
      <c r="K59" s="38"/>
      <c r="L59" s="38"/>
      <c r="M59" s="17"/>
    </row>
    <row r="60" spans="2:13" ht="14.45" customHeight="1" x14ac:dyDescent="0.25">
      <c r="B60" s="17"/>
      <c r="C60" s="14"/>
      <c r="D60" s="14"/>
      <c r="E60" s="19"/>
      <c r="F60" s="21"/>
      <c r="G60" s="68"/>
      <c r="H60" s="68"/>
      <c r="I60" s="68"/>
      <c r="J60" s="52"/>
      <c r="K60" s="38"/>
      <c r="L60" s="38"/>
      <c r="M60" s="17"/>
    </row>
    <row r="61" spans="2:13" ht="14.45" customHeight="1" x14ac:dyDescent="0.25">
      <c r="B61" s="17"/>
      <c r="C61" s="14"/>
      <c r="D61" s="14"/>
      <c r="E61" s="19"/>
      <c r="F61" s="21"/>
      <c r="G61" s="68"/>
      <c r="H61" s="68"/>
      <c r="I61" s="68"/>
      <c r="J61" s="52"/>
      <c r="K61" s="38"/>
      <c r="L61" s="38"/>
      <c r="M61" s="17"/>
    </row>
    <row r="62" spans="2:13" ht="14.45" customHeight="1" x14ac:dyDescent="0.25">
      <c r="B62" s="17"/>
      <c r="C62" s="14"/>
      <c r="D62" s="14"/>
      <c r="E62" s="19"/>
      <c r="F62" s="21"/>
      <c r="G62" s="68"/>
      <c r="H62" s="68"/>
      <c r="I62" s="68"/>
      <c r="J62" s="52"/>
      <c r="K62" s="38"/>
      <c r="L62" s="38"/>
      <c r="M62" s="17"/>
    </row>
    <row r="63" spans="2:13" ht="14.45" customHeight="1" x14ac:dyDescent="0.25">
      <c r="B63" s="53"/>
      <c r="C63" s="40"/>
      <c r="D63" s="40"/>
      <c r="E63" s="54"/>
      <c r="F63" s="55"/>
      <c r="G63" s="69"/>
      <c r="H63" s="78"/>
      <c r="I63" s="78"/>
      <c r="J63" s="56"/>
      <c r="K63" s="38"/>
      <c r="L63" s="38"/>
      <c r="M63" s="17"/>
    </row>
    <row r="64" spans="2:13" ht="14.45" customHeight="1" x14ac:dyDescent="0.25">
      <c r="B64" s="44"/>
      <c r="C64" s="45"/>
      <c r="D64" s="45"/>
      <c r="E64" s="46"/>
      <c r="F64" s="47"/>
      <c r="G64" s="66"/>
      <c r="H64" s="77"/>
      <c r="I64" s="77"/>
      <c r="J64" s="45"/>
      <c r="K64" s="38"/>
      <c r="L64" s="38"/>
      <c r="M64" s="17"/>
    </row>
    <row r="65" spans="2:13" ht="14.45" customHeight="1" x14ac:dyDescent="0.25">
      <c r="B65" s="53"/>
      <c r="C65" s="40"/>
      <c r="D65" s="40"/>
      <c r="E65" s="41"/>
      <c r="F65" s="57"/>
      <c r="G65" s="70"/>
      <c r="H65" s="70"/>
      <c r="I65" s="70"/>
      <c r="J65" s="16"/>
      <c r="K65" s="38"/>
      <c r="L65" s="38"/>
      <c r="M65" s="17"/>
    </row>
    <row r="66" spans="2:13" ht="14.45" customHeight="1" x14ac:dyDescent="0.25">
      <c r="B66" s="44"/>
      <c r="C66" s="45"/>
      <c r="D66" s="45"/>
      <c r="E66" s="46"/>
      <c r="F66" s="47"/>
      <c r="G66" s="66"/>
      <c r="H66" s="77"/>
      <c r="I66" s="77"/>
      <c r="J66" s="45"/>
      <c r="K66" s="38"/>
      <c r="L66" s="38"/>
      <c r="M66" s="17"/>
    </row>
    <row r="67" spans="2:13" ht="14.45" customHeight="1" x14ac:dyDescent="0.25">
      <c r="B67" s="39"/>
      <c r="C67" s="48"/>
      <c r="D67" s="48"/>
      <c r="E67" s="49"/>
      <c r="F67" s="57"/>
      <c r="G67" s="70"/>
      <c r="H67" s="70"/>
      <c r="I67" s="70"/>
      <c r="J67" s="58"/>
      <c r="K67" s="38"/>
      <c r="L67" s="38"/>
      <c r="M67" s="17"/>
    </row>
    <row r="68" spans="2:13" ht="14.45" customHeight="1" x14ac:dyDescent="0.25">
      <c r="B68" s="44"/>
      <c r="C68" s="45"/>
      <c r="D68" s="45"/>
      <c r="E68" s="46"/>
      <c r="F68" s="47"/>
      <c r="G68" s="66"/>
      <c r="H68" s="77"/>
      <c r="I68" s="77"/>
      <c r="J68" s="45"/>
      <c r="K68" s="38"/>
      <c r="L68" s="38"/>
      <c r="M68" s="17"/>
    </row>
    <row r="69" spans="2:13" ht="14.45" customHeight="1" x14ac:dyDescent="0.25">
      <c r="B69" s="53"/>
      <c r="C69" s="40"/>
      <c r="D69" s="40"/>
      <c r="E69" s="41"/>
      <c r="F69" s="42"/>
      <c r="G69" s="65"/>
      <c r="H69" s="70"/>
      <c r="I69" s="70"/>
      <c r="J69" s="40"/>
      <c r="K69" s="38"/>
      <c r="L69" s="38"/>
      <c r="M69" s="17"/>
    </row>
    <row r="70" spans="2:13" ht="14.45" customHeight="1" x14ac:dyDescent="0.25">
      <c r="B70" s="53"/>
      <c r="C70" s="40"/>
      <c r="D70" s="40"/>
      <c r="E70" s="41"/>
      <c r="F70" s="42"/>
      <c r="G70" s="65"/>
      <c r="H70" s="70"/>
      <c r="I70" s="70"/>
      <c r="J70" s="59"/>
      <c r="K70" s="38"/>
      <c r="L70" s="38"/>
      <c r="M70" s="17"/>
    </row>
    <row r="71" spans="2:13" ht="14.45" customHeight="1" x14ac:dyDescent="0.25">
      <c r="B71" s="17"/>
      <c r="C71" s="14"/>
      <c r="D71" s="14"/>
      <c r="E71" s="18"/>
      <c r="F71" s="22"/>
      <c r="G71" s="71"/>
      <c r="H71" s="68"/>
      <c r="I71" s="68"/>
      <c r="J71" s="15"/>
      <c r="K71" s="38"/>
      <c r="L71" s="38"/>
      <c r="M71" s="17"/>
    </row>
    <row r="72" spans="2:13" ht="14.45" customHeight="1" x14ac:dyDescent="0.25">
      <c r="B72" s="17"/>
      <c r="C72" s="14"/>
      <c r="D72" s="14"/>
      <c r="E72" s="18"/>
      <c r="F72" s="22"/>
      <c r="G72" s="71"/>
      <c r="H72" s="68"/>
      <c r="I72" s="68"/>
      <c r="J72" s="15"/>
      <c r="K72" s="38"/>
      <c r="L72" s="38"/>
      <c r="M72" s="17"/>
    </row>
    <row r="73" spans="2:13" ht="14.45" customHeight="1" x14ac:dyDescent="0.25">
      <c r="B73" s="17"/>
      <c r="C73" s="14"/>
      <c r="D73" s="14"/>
      <c r="E73" s="18"/>
      <c r="F73" s="22"/>
      <c r="G73" s="71"/>
      <c r="H73" s="68"/>
      <c r="I73" s="68"/>
      <c r="J73" s="15"/>
      <c r="K73" s="38"/>
      <c r="L73" s="38"/>
      <c r="M73" s="17"/>
    </row>
    <row r="74" spans="2:13" ht="14.45" customHeight="1" x14ac:dyDescent="0.25">
      <c r="B74" s="17"/>
      <c r="C74" s="14"/>
      <c r="D74" s="14"/>
      <c r="E74" s="18"/>
      <c r="F74" s="22"/>
      <c r="G74" s="71"/>
      <c r="H74" s="68"/>
      <c r="I74" s="68"/>
      <c r="J74" s="15"/>
      <c r="K74" s="38"/>
      <c r="L74" s="38"/>
      <c r="M74" s="17"/>
    </row>
    <row r="75" spans="2:13" ht="14.45" customHeight="1" x14ac:dyDescent="0.25">
      <c r="B75" s="17"/>
      <c r="C75" s="14"/>
      <c r="D75" s="14"/>
      <c r="E75" s="18"/>
      <c r="F75" s="22"/>
      <c r="G75" s="71"/>
      <c r="H75" s="68"/>
      <c r="I75" s="68"/>
      <c r="J75" s="15"/>
      <c r="K75" s="38"/>
      <c r="L75" s="38"/>
      <c r="M75" s="17"/>
    </row>
    <row r="76" spans="2:13" ht="14.45" customHeight="1" x14ac:dyDescent="0.25">
      <c r="B76" s="17"/>
      <c r="C76" s="14"/>
      <c r="D76" s="14"/>
      <c r="E76" s="18"/>
      <c r="F76" s="22"/>
      <c r="G76" s="71"/>
      <c r="H76" s="68"/>
      <c r="I76" s="68"/>
      <c r="J76" s="15"/>
      <c r="K76" s="38"/>
      <c r="L76" s="38"/>
      <c r="M76" s="17"/>
    </row>
    <row r="77" spans="2:13" ht="14.45" customHeight="1" x14ac:dyDescent="0.25">
      <c r="B77" s="17"/>
      <c r="C77" s="14"/>
      <c r="D77" s="14"/>
      <c r="E77" s="18"/>
      <c r="F77" s="22"/>
      <c r="G77" s="71"/>
      <c r="H77" s="68"/>
      <c r="I77" s="68"/>
      <c r="J77" s="15"/>
      <c r="K77" s="38"/>
      <c r="L77" s="38"/>
      <c r="M77" s="17"/>
    </row>
    <row r="78" spans="2:13" ht="14.45" customHeight="1" x14ac:dyDescent="0.25">
      <c r="B78" s="17"/>
      <c r="C78" s="14"/>
      <c r="D78" s="14"/>
      <c r="E78" s="18"/>
      <c r="F78" s="22"/>
      <c r="G78" s="71"/>
      <c r="H78" s="68"/>
      <c r="I78" s="68"/>
      <c r="J78" s="15"/>
      <c r="K78" s="38"/>
      <c r="L78" s="38"/>
      <c r="M78" s="17"/>
    </row>
    <row r="79" spans="2:13" ht="14.45" customHeight="1" x14ac:dyDescent="0.25">
      <c r="B79" s="17"/>
      <c r="C79" s="14"/>
      <c r="D79" s="14"/>
      <c r="E79" s="18"/>
      <c r="F79" s="22"/>
      <c r="G79" s="71"/>
      <c r="H79" s="68"/>
      <c r="I79" s="68"/>
      <c r="J79" s="15"/>
      <c r="K79" s="38"/>
      <c r="L79" s="38"/>
      <c r="M79" s="17"/>
    </row>
    <row r="80" spans="2:13" ht="14.45" customHeight="1" x14ac:dyDescent="0.25">
      <c r="B80" s="17"/>
      <c r="C80" s="14"/>
      <c r="D80" s="14"/>
      <c r="E80" s="18"/>
      <c r="F80" s="22"/>
      <c r="G80" s="71"/>
      <c r="H80" s="68"/>
      <c r="I80" s="68"/>
      <c r="J80" s="15"/>
      <c r="K80" s="38"/>
      <c r="L80" s="38"/>
      <c r="M80" s="17"/>
    </row>
    <row r="81" spans="2:13" ht="14.45" customHeight="1" x14ac:dyDescent="0.25">
      <c r="B81" s="53"/>
      <c r="C81" s="40"/>
      <c r="D81" s="40"/>
      <c r="E81" s="41"/>
      <c r="F81" s="42"/>
      <c r="G81" s="65"/>
      <c r="H81" s="70"/>
      <c r="I81" s="70"/>
      <c r="J81" s="43"/>
      <c r="K81" s="38"/>
      <c r="L81" s="38"/>
      <c r="M81" s="17"/>
    </row>
    <row r="82" spans="2:13" ht="14.45" customHeight="1" x14ac:dyDescent="0.25">
      <c r="B82" s="53"/>
      <c r="C82" s="40"/>
      <c r="D82" s="40"/>
      <c r="E82" s="41"/>
      <c r="F82" s="42"/>
      <c r="G82" s="65"/>
      <c r="H82" s="70"/>
      <c r="I82" s="70"/>
      <c r="J82" s="43"/>
      <c r="K82" s="38"/>
      <c r="L82" s="38"/>
      <c r="M82" s="17"/>
    </row>
    <row r="83" spans="2:13" ht="14.45" customHeight="1" x14ac:dyDescent="0.25">
      <c r="B83" s="44"/>
      <c r="C83" s="45"/>
      <c r="D83" s="45"/>
      <c r="E83" s="46"/>
      <c r="F83" s="47"/>
      <c r="G83" s="66"/>
      <c r="H83" s="77"/>
      <c r="I83" s="77"/>
      <c r="J83" s="45"/>
      <c r="K83" s="38"/>
      <c r="L83" s="38"/>
      <c r="M83" s="17"/>
    </row>
    <row r="84" spans="2:13" ht="14.45" customHeight="1" x14ac:dyDescent="0.25">
      <c r="B84" s="39"/>
      <c r="C84" s="48"/>
      <c r="D84" s="48"/>
      <c r="E84" s="49"/>
      <c r="F84" s="60"/>
      <c r="G84" s="72"/>
      <c r="H84" s="67"/>
      <c r="I84" s="67"/>
      <c r="J84" s="43"/>
      <c r="K84" s="38"/>
      <c r="L84" s="38"/>
      <c r="M84" s="17"/>
    </row>
    <row r="85" spans="2:13" ht="14.45" customHeight="1" x14ac:dyDescent="0.25">
      <c r="B85" s="17"/>
      <c r="C85" s="14"/>
      <c r="D85" s="14"/>
      <c r="E85" s="18"/>
      <c r="F85" s="20"/>
      <c r="G85" s="64"/>
      <c r="H85" s="68"/>
      <c r="I85" s="68"/>
      <c r="J85" s="14"/>
      <c r="K85" s="38"/>
      <c r="L85" s="38"/>
      <c r="M85" s="17"/>
    </row>
    <row r="86" spans="2:13" ht="14.45" customHeight="1" x14ac:dyDescent="0.25">
      <c r="B86" s="39"/>
      <c r="C86" s="40"/>
      <c r="D86" s="40"/>
      <c r="E86" s="41"/>
      <c r="F86" s="42"/>
      <c r="G86" s="65"/>
      <c r="H86" s="70"/>
      <c r="I86" s="70"/>
      <c r="J86" s="40"/>
      <c r="K86" s="38"/>
      <c r="L86" s="38"/>
      <c r="M86" s="17"/>
    </row>
    <row r="87" spans="2:13" ht="14.45" customHeight="1" x14ac:dyDescent="0.25">
      <c r="B87" s="53"/>
      <c r="C87" s="40"/>
      <c r="D87" s="40"/>
      <c r="E87" s="41"/>
      <c r="F87" s="42"/>
      <c r="G87" s="65"/>
      <c r="H87" s="70"/>
      <c r="I87" s="70"/>
      <c r="J87" s="43"/>
      <c r="K87" s="38"/>
      <c r="L87" s="38"/>
      <c r="M87" s="17"/>
    </row>
    <row r="88" spans="2:13" ht="14.45" customHeight="1" x14ac:dyDescent="0.25">
      <c r="B88" s="17"/>
      <c r="C88" s="14"/>
      <c r="D88" s="14"/>
      <c r="E88" s="18"/>
      <c r="F88" s="61"/>
      <c r="G88" s="73"/>
      <c r="H88" s="79"/>
      <c r="I88" s="79"/>
      <c r="J88" s="14"/>
      <c r="K88" s="38"/>
      <c r="L88" s="38"/>
      <c r="M88" s="17"/>
    </row>
    <row r="89" spans="2:13" ht="14.45" customHeight="1" x14ac:dyDescent="0.25">
      <c r="B89" s="17"/>
      <c r="C89" s="14"/>
      <c r="D89" s="14"/>
      <c r="E89" s="18"/>
      <c r="F89" s="61"/>
      <c r="G89" s="73"/>
      <c r="H89" s="79"/>
      <c r="I89" s="79"/>
      <c r="J89" s="14"/>
      <c r="K89" s="38"/>
      <c r="L89" s="38"/>
      <c r="M89" s="17"/>
    </row>
    <row r="90" spans="2:13" ht="14.45" customHeight="1" x14ac:dyDescent="0.25">
      <c r="B90" s="17"/>
      <c r="C90" s="14"/>
      <c r="D90" s="14"/>
      <c r="E90" s="18"/>
      <c r="F90" s="61"/>
      <c r="G90" s="73"/>
      <c r="H90" s="79"/>
      <c r="I90" s="79"/>
      <c r="J90" s="14"/>
      <c r="K90" s="38"/>
      <c r="L90" s="38"/>
      <c r="M90" s="17"/>
    </row>
    <row r="91" spans="2:13" ht="14.45" customHeight="1" x14ac:dyDescent="0.25">
      <c r="B91" s="17"/>
      <c r="C91" s="14"/>
      <c r="D91" s="14"/>
      <c r="E91" s="18"/>
      <c r="F91" s="61"/>
      <c r="G91" s="73"/>
      <c r="H91" s="79"/>
      <c r="I91" s="79"/>
      <c r="J91" s="14"/>
      <c r="K91" s="38"/>
      <c r="L91" s="38"/>
      <c r="M91" s="17"/>
    </row>
    <row r="92" spans="2:13" ht="14.45" customHeight="1" x14ac:dyDescent="0.25">
      <c r="B92" s="17"/>
      <c r="C92" s="14"/>
      <c r="D92" s="14"/>
      <c r="E92" s="18"/>
      <c r="F92" s="61"/>
      <c r="G92" s="73"/>
      <c r="H92" s="79"/>
      <c r="I92" s="79"/>
      <c r="J92" s="14"/>
      <c r="K92" s="38"/>
      <c r="L92" s="38"/>
      <c r="M92" s="17"/>
    </row>
    <row r="93" spans="2:13" ht="14.45" customHeight="1" x14ac:dyDescent="0.25">
      <c r="B93" s="17"/>
      <c r="C93" s="14"/>
      <c r="D93" s="14"/>
      <c r="E93" s="18"/>
      <c r="F93" s="61"/>
      <c r="G93" s="73"/>
      <c r="H93" s="79"/>
      <c r="I93" s="79"/>
      <c r="J93" s="14"/>
      <c r="K93" s="38"/>
      <c r="L93" s="38"/>
      <c r="M93" s="17"/>
    </row>
    <row r="94" spans="2:13" ht="14.45" customHeight="1" x14ac:dyDescent="0.25">
      <c r="B94" s="17"/>
      <c r="C94" s="14"/>
      <c r="D94" s="14"/>
      <c r="E94" s="18"/>
      <c r="F94" s="61"/>
      <c r="G94" s="73"/>
      <c r="H94" s="79"/>
      <c r="I94" s="79"/>
      <c r="J94" s="14"/>
      <c r="K94" s="38"/>
      <c r="L94" s="38"/>
      <c r="M94" s="17"/>
    </row>
    <row r="95" spans="2:13" ht="14.45" customHeight="1" x14ac:dyDescent="0.25">
      <c r="B95" s="17"/>
      <c r="C95" s="14"/>
      <c r="D95" s="14"/>
      <c r="E95" s="18"/>
      <c r="F95" s="61"/>
      <c r="G95" s="73"/>
      <c r="H95" s="79"/>
      <c r="I95" s="79"/>
      <c r="J95" s="14"/>
      <c r="K95" s="38"/>
      <c r="L95" s="38"/>
      <c r="M95" s="17"/>
    </row>
    <row r="96" spans="2:13" ht="14.45" customHeight="1" x14ac:dyDescent="0.25">
      <c r="B96" s="17"/>
      <c r="C96" s="14"/>
      <c r="D96" s="14"/>
      <c r="E96" s="18"/>
      <c r="F96" s="61"/>
      <c r="G96" s="73"/>
      <c r="H96" s="79"/>
      <c r="I96" s="79"/>
      <c r="J96" s="14"/>
      <c r="K96" s="38"/>
      <c r="L96" s="38"/>
      <c r="M96" s="17"/>
    </row>
    <row r="97" spans="2:13" ht="14.45" customHeight="1" x14ac:dyDescent="0.25">
      <c r="B97" s="17"/>
      <c r="C97" s="14"/>
      <c r="D97" s="14"/>
      <c r="E97" s="18"/>
      <c r="F97" s="61"/>
      <c r="G97" s="73"/>
      <c r="H97" s="79"/>
      <c r="I97" s="79"/>
      <c r="J97" s="14"/>
      <c r="K97" s="38"/>
      <c r="L97" s="38"/>
      <c r="M97" s="17"/>
    </row>
    <row r="98" spans="2:13" ht="14.45" customHeight="1" x14ac:dyDescent="0.25">
      <c r="B98" s="17"/>
      <c r="C98" s="14"/>
      <c r="D98" s="14"/>
      <c r="E98" s="18"/>
      <c r="F98" s="61"/>
      <c r="G98" s="73"/>
      <c r="H98" s="79"/>
      <c r="I98" s="79"/>
      <c r="J98" s="14"/>
      <c r="K98" s="38"/>
      <c r="L98" s="38"/>
      <c r="M98" s="17"/>
    </row>
    <row r="99" spans="2:13" ht="14.45" customHeight="1" x14ac:dyDescent="0.25">
      <c r="B99" s="17"/>
      <c r="C99" s="14"/>
      <c r="D99" s="14"/>
      <c r="E99" s="18"/>
      <c r="F99" s="61"/>
      <c r="G99" s="73"/>
      <c r="H99" s="79"/>
      <c r="I99" s="79"/>
      <c r="J99" s="14"/>
      <c r="K99" s="38"/>
      <c r="L99" s="38"/>
      <c r="M99" s="17"/>
    </row>
    <row r="100" spans="2:13" ht="14.45" customHeight="1" x14ac:dyDescent="0.25">
      <c r="B100" s="17"/>
      <c r="C100" s="14"/>
      <c r="D100" s="14"/>
      <c r="E100" s="18"/>
      <c r="F100" s="61"/>
      <c r="G100" s="73"/>
      <c r="H100" s="79"/>
      <c r="I100" s="79"/>
      <c r="J100" s="14"/>
      <c r="K100" s="38"/>
      <c r="L100" s="38"/>
      <c r="M100" s="17"/>
    </row>
    <row r="101" spans="2:13" ht="14.45" customHeight="1" x14ac:dyDescent="0.25">
      <c r="B101" s="17"/>
      <c r="C101" s="14"/>
      <c r="D101" s="14"/>
      <c r="E101" s="18"/>
      <c r="F101" s="61"/>
      <c r="G101" s="73"/>
      <c r="H101" s="79"/>
      <c r="I101" s="79"/>
      <c r="J101" s="14"/>
      <c r="K101" s="38"/>
      <c r="L101" s="38"/>
      <c r="M101" s="17"/>
    </row>
    <row r="102" spans="2:13" ht="14.45" customHeight="1" x14ac:dyDescent="0.25">
      <c r="B102" s="17"/>
      <c r="C102" s="14"/>
      <c r="D102" s="14"/>
      <c r="E102" s="18"/>
      <c r="F102" s="61"/>
      <c r="G102" s="73"/>
      <c r="H102" s="79"/>
      <c r="I102" s="79"/>
      <c r="J102" s="14"/>
      <c r="K102" s="38"/>
      <c r="L102" s="38"/>
      <c r="M102" s="17"/>
    </row>
    <row r="103" spans="2:13" ht="14.45" customHeight="1" x14ac:dyDescent="0.25">
      <c r="B103" s="17"/>
      <c r="C103" s="14"/>
      <c r="D103" s="14"/>
      <c r="E103" s="18"/>
      <c r="F103" s="61"/>
      <c r="G103" s="73"/>
      <c r="H103" s="79"/>
      <c r="I103" s="79"/>
      <c r="J103" s="14"/>
      <c r="K103" s="38"/>
      <c r="L103" s="38"/>
      <c r="M103" s="17"/>
    </row>
    <row r="104" spans="2:13" ht="14.45" customHeight="1" x14ac:dyDescent="0.25">
      <c r="B104" s="17"/>
      <c r="C104" s="14"/>
      <c r="D104" s="14"/>
      <c r="E104" s="18"/>
      <c r="F104" s="61"/>
      <c r="G104" s="73"/>
      <c r="H104" s="79"/>
      <c r="I104" s="79"/>
      <c r="J104" s="14"/>
      <c r="K104" s="38"/>
      <c r="L104" s="38"/>
      <c r="M104" s="17"/>
    </row>
    <row r="105" spans="2:13" ht="14.45" customHeight="1" x14ac:dyDescent="0.25">
      <c r="B105" s="17"/>
      <c r="C105" s="14"/>
      <c r="D105" s="14"/>
      <c r="E105" s="18"/>
      <c r="F105" s="61"/>
      <c r="G105" s="73"/>
      <c r="H105" s="79"/>
      <c r="I105" s="79"/>
      <c r="J105" s="14"/>
      <c r="K105" s="38"/>
      <c r="L105" s="38"/>
      <c r="M105" s="17"/>
    </row>
    <row r="106" spans="2:13" ht="14.45" customHeight="1" x14ac:dyDescent="0.25">
      <c r="B106" s="17"/>
      <c r="C106" s="14"/>
      <c r="D106" s="14"/>
      <c r="E106" s="18"/>
      <c r="F106" s="61"/>
      <c r="G106" s="73"/>
      <c r="H106" s="79"/>
      <c r="I106" s="79"/>
      <c r="J106" s="14"/>
      <c r="K106" s="38"/>
      <c r="L106" s="38"/>
      <c r="M106" s="17"/>
    </row>
    <row r="107" spans="2:13" ht="14.45" customHeight="1" x14ac:dyDescent="0.25">
      <c r="B107" s="17"/>
      <c r="C107" s="14"/>
      <c r="D107" s="14"/>
      <c r="E107" s="18"/>
      <c r="F107" s="61"/>
      <c r="G107" s="73"/>
      <c r="H107" s="79"/>
      <c r="I107" s="79"/>
      <c r="J107" s="14"/>
      <c r="K107" s="38"/>
      <c r="L107" s="38"/>
      <c r="M107" s="17"/>
    </row>
    <row r="108" spans="2:13" ht="14.45" customHeight="1" x14ac:dyDescent="0.25">
      <c r="B108" s="17"/>
      <c r="C108" s="14"/>
      <c r="D108" s="14"/>
      <c r="E108" s="18"/>
      <c r="F108" s="61"/>
      <c r="G108" s="73"/>
      <c r="H108" s="79"/>
      <c r="I108" s="79"/>
      <c r="J108" s="14"/>
      <c r="K108" s="38"/>
      <c r="L108" s="38"/>
      <c r="M108" s="17"/>
    </row>
    <row r="109" spans="2:13" ht="14.45" customHeight="1" x14ac:dyDescent="0.25">
      <c r="B109" s="17"/>
      <c r="C109" s="14"/>
      <c r="D109" s="14"/>
      <c r="E109" s="18"/>
      <c r="F109" s="61"/>
      <c r="G109" s="73"/>
      <c r="H109" s="79"/>
      <c r="I109" s="79"/>
      <c r="J109" s="14"/>
      <c r="K109" s="38"/>
      <c r="L109" s="38"/>
      <c r="M109" s="17"/>
    </row>
    <row r="110" spans="2:13" ht="14.45" customHeight="1" x14ac:dyDescent="0.25">
      <c r="B110" s="17"/>
      <c r="C110" s="14"/>
      <c r="D110" s="14"/>
      <c r="E110" s="18"/>
      <c r="F110" s="61"/>
      <c r="G110" s="73"/>
      <c r="H110" s="79"/>
      <c r="I110" s="79"/>
      <c r="J110" s="14"/>
      <c r="K110" s="38"/>
      <c r="L110" s="38"/>
      <c r="M110" s="17"/>
    </row>
    <row r="111" spans="2:13" ht="14.45" customHeight="1" x14ac:dyDescent="0.25">
      <c r="B111" s="17"/>
      <c r="C111" s="14"/>
      <c r="D111" s="14"/>
      <c r="E111" s="18"/>
      <c r="F111" s="61"/>
      <c r="G111" s="73"/>
      <c r="H111" s="79"/>
      <c r="I111" s="79"/>
      <c r="J111" s="14"/>
      <c r="K111" s="38"/>
      <c r="L111" s="38"/>
      <c r="M111" s="17"/>
    </row>
    <row r="112" spans="2:13" ht="14.45" customHeight="1" x14ac:dyDescent="0.25">
      <c r="B112" s="17"/>
      <c r="C112" s="14"/>
      <c r="D112" s="14"/>
      <c r="E112" s="18"/>
      <c r="F112" s="61"/>
      <c r="G112" s="73"/>
      <c r="H112" s="79"/>
      <c r="I112" s="79"/>
      <c r="J112" s="14"/>
      <c r="K112" s="38"/>
      <c r="L112" s="38"/>
      <c r="M112" s="17"/>
    </row>
    <row r="113" spans="2:13" ht="14.45" customHeight="1" x14ac:dyDescent="0.25">
      <c r="B113" s="17"/>
      <c r="C113" s="14"/>
      <c r="D113" s="14"/>
      <c r="E113" s="18"/>
      <c r="F113" s="61"/>
      <c r="G113" s="73"/>
      <c r="H113" s="79"/>
      <c r="I113" s="79"/>
      <c r="J113" s="14"/>
      <c r="K113" s="38"/>
      <c r="L113" s="38"/>
      <c r="M113" s="17"/>
    </row>
    <row r="114" spans="2:13" ht="14.45" customHeight="1" x14ac:dyDescent="0.25">
      <c r="B114" s="17"/>
      <c r="C114" s="14"/>
      <c r="D114" s="14"/>
      <c r="E114" s="18"/>
      <c r="F114" s="61"/>
      <c r="G114" s="73"/>
      <c r="H114" s="79"/>
      <c r="I114" s="79"/>
      <c r="J114" s="14"/>
      <c r="K114" s="38"/>
      <c r="L114" s="38"/>
      <c r="M114" s="17"/>
    </row>
    <row r="115" spans="2:13" ht="14.45" customHeight="1" x14ac:dyDescent="0.25">
      <c r="B115" s="17"/>
      <c r="C115" s="14"/>
      <c r="D115" s="14"/>
      <c r="E115" s="18"/>
      <c r="F115" s="61"/>
      <c r="G115" s="73"/>
      <c r="H115" s="79"/>
      <c r="I115" s="79"/>
      <c r="J115" s="14"/>
      <c r="K115" s="38"/>
      <c r="L115" s="38"/>
      <c r="M115" s="17"/>
    </row>
    <row r="116" spans="2:13" ht="14.45" customHeight="1" x14ac:dyDescent="0.25">
      <c r="B116" s="17"/>
      <c r="C116" s="14"/>
      <c r="D116" s="14"/>
      <c r="E116" s="18"/>
      <c r="F116" s="61"/>
      <c r="G116" s="73"/>
      <c r="H116" s="79"/>
      <c r="I116" s="79"/>
      <c r="J116" s="14"/>
      <c r="K116" s="38"/>
      <c r="L116" s="38"/>
      <c r="M116" s="17"/>
    </row>
    <row r="117" spans="2:13" ht="14.45" customHeight="1" x14ac:dyDescent="0.25">
      <c r="B117" s="17"/>
      <c r="C117" s="14"/>
      <c r="D117" s="14"/>
      <c r="E117" s="18"/>
      <c r="F117" s="61"/>
      <c r="G117" s="73"/>
      <c r="H117" s="79"/>
      <c r="I117" s="79"/>
      <c r="J117" s="14"/>
      <c r="K117" s="38"/>
      <c r="L117" s="38"/>
      <c r="M117" s="17"/>
    </row>
    <row r="118" spans="2:13" ht="14.45" customHeight="1" x14ac:dyDescent="0.25">
      <c r="B118" s="17"/>
      <c r="C118" s="14"/>
      <c r="D118" s="14"/>
      <c r="E118" s="18"/>
      <c r="F118" s="61"/>
      <c r="G118" s="73"/>
      <c r="H118" s="79"/>
      <c r="I118" s="79"/>
      <c r="J118" s="14"/>
      <c r="K118" s="38"/>
      <c r="L118" s="38"/>
      <c r="M118" s="17"/>
    </row>
    <row r="119" spans="2:13" ht="14.45" customHeight="1" x14ac:dyDescent="0.25">
      <c r="B119" s="17"/>
      <c r="C119" s="14"/>
      <c r="D119" s="14"/>
      <c r="E119" s="18"/>
      <c r="F119" s="61"/>
      <c r="G119" s="73"/>
      <c r="H119" s="79"/>
      <c r="I119" s="79"/>
      <c r="J119" s="14"/>
      <c r="K119" s="38"/>
      <c r="L119" s="38"/>
      <c r="M119" s="17"/>
    </row>
    <row r="120" spans="2:13" ht="14.45" customHeight="1" x14ac:dyDescent="0.25">
      <c r="B120" s="17"/>
      <c r="C120" s="14"/>
      <c r="D120" s="14"/>
      <c r="E120" s="18"/>
      <c r="F120" s="61"/>
      <c r="G120" s="73"/>
      <c r="H120" s="79"/>
      <c r="I120" s="79"/>
      <c r="J120" s="14"/>
      <c r="K120" s="38"/>
      <c r="L120" s="38"/>
      <c r="M120" s="17"/>
    </row>
    <row r="121" spans="2:13" ht="14.45" customHeight="1" x14ac:dyDescent="0.25">
      <c r="B121" s="17"/>
      <c r="C121" s="14"/>
      <c r="D121" s="14"/>
      <c r="E121" s="18"/>
      <c r="F121" s="61"/>
      <c r="G121" s="73"/>
      <c r="H121" s="79"/>
      <c r="I121" s="79"/>
      <c r="J121" s="14"/>
      <c r="K121" s="38"/>
      <c r="L121" s="38"/>
      <c r="M121" s="17"/>
    </row>
    <row r="122" spans="2:13" ht="14.45" customHeight="1" x14ac:dyDescent="0.25">
      <c r="B122" s="17"/>
      <c r="C122" s="14"/>
      <c r="D122" s="14"/>
      <c r="E122" s="18"/>
      <c r="F122" s="61"/>
      <c r="G122" s="73"/>
      <c r="H122" s="79"/>
      <c r="I122" s="79"/>
      <c r="J122" s="14"/>
      <c r="K122" s="38"/>
      <c r="L122" s="38"/>
      <c r="M122" s="17"/>
    </row>
    <row r="123" spans="2:13" ht="14.45" customHeight="1" x14ac:dyDescent="0.25">
      <c r="B123" s="17"/>
      <c r="C123" s="14"/>
      <c r="D123" s="14"/>
      <c r="E123" s="18"/>
      <c r="F123" s="61"/>
      <c r="G123" s="73"/>
      <c r="H123" s="79"/>
      <c r="I123" s="79"/>
      <c r="J123" s="14"/>
      <c r="K123" s="38"/>
      <c r="L123" s="38"/>
      <c r="M123" s="17"/>
    </row>
    <row r="124" spans="2:13" ht="14.45" customHeight="1" x14ac:dyDescent="0.25">
      <c r="B124" s="17"/>
      <c r="C124" s="14"/>
      <c r="D124" s="14"/>
      <c r="E124" s="18"/>
      <c r="F124" s="61"/>
      <c r="G124" s="73"/>
      <c r="H124" s="79"/>
      <c r="I124" s="79"/>
      <c r="J124" s="14"/>
      <c r="K124" s="38"/>
      <c r="L124" s="38"/>
      <c r="M124" s="17"/>
    </row>
    <row r="125" spans="2:13" ht="14.45" customHeight="1" x14ac:dyDescent="0.25">
      <c r="B125" s="17"/>
      <c r="C125" s="14"/>
      <c r="D125" s="14"/>
      <c r="E125" s="18"/>
      <c r="F125" s="61"/>
      <c r="G125" s="73"/>
      <c r="H125" s="79"/>
      <c r="I125" s="79"/>
      <c r="J125" s="14"/>
      <c r="K125" s="38"/>
      <c r="L125" s="38"/>
      <c r="M125" s="17"/>
    </row>
    <row r="126" spans="2:13" ht="14.45" customHeight="1" x14ac:dyDescent="0.25">
      <c r="B126" s="17"/>
      <c r="C126" s="14"/>
      <c r="D126" s="14"/>
      <c r="E126" s="18"/>
      <c r="F126" s="61"/>
      <c r="G126" s="73"/>
      <c r="H126" s="79"/>
      <c r="I126" s="79"/>
      <c r="J126" s="14"/>
      <c r="K126" s="38"/>
      <c r="L126" s="38"/>
      <c r="M126" s="17"/>
    </row>
    <row r="127" spans="2:13" ht="14.45" customHeight="1" x14ac:dyDescent="0.25">
      <c r="B127" s="17"/>
      <c r="C127" s="14"/>
      <c r="D127" s="14"/>
      <c r="E127" s="18"/>
      <c r="F127" s="61"/>
      <c r="G127" s="73"/>
      <c r="H127" s="79"/>
      <c r="I127" s="79"/>
      <c r="J127" s="14"/>
      <c r="K127" s="38"/>
      <c r="L127" s="38"/>
      <c r="M127" s="17"/>
    </row>
    <row r="128" spans="2:13" ht="14.45" customHeight="1" x14ac:dyDescent="0.25">
      <c r="B128" s="17"/>
      <c r="C128" s="14"/>
      <c r="D128" s="14"/>
      <c r="E128" s="18"/>
      <c r="F128" s="61"/>
      <c r="G128" s="73"/>
      <c r="H128" s="79"/>
      <c r="I128" s="79"/>
      <c r="J128" s="14"/>
      <c r="K128" s="38"/>
      <c r="L128" s="38"/>
      <c r="M128" s="17"/>
    </row>
    <row r="129" spans="2:13" ht="14.45" customHeight="1" x14ac:dyDescent="0.25">
      <c r="B129" s="17"/>
      <c r="C129" s="14"/>
      <c r="D129" s="14"/>
      <c r="E129" s="18"/>
      <c r="F129" s="61"/>
      <c r="G129" s="73"/>
      <c r="H129" s="79"/>
      <c r="I129" s="79"/>
      <c r="J129" s="14"/>
      <c r="K129" s="38"/>
      <c r="L129" s="38"/>
      <c r="M129" s="17"/>
    </row>
    <row r="130" spans="2:13" ht="14.45" customHeight="1" x14ac:dyDescent="0.25">
      <c r="B130" s="17"/>
      <c r="C130" s="14"/>
      <c r="D130" s="14"/>
      <c r="E130" s="18"/>
      <c r="F130" s="61"/>
      <c r="G130" s="73"/>
      <c r="H130" s="79"/>
      <c r="I130" s="79"/>
      <c r="J130" s="14"/>
      <c r="K130" s="38"/>
      <c r="L130" s="38"/>
      <c r="M130" s="17"/>
    </row>
    <row r="131" spans="2:13" ht="14.45" customHeight="1" x14ac:dyDescent="0.25">
      <c r="B131" s="17"/>
      <c r="C131" s="14"/>
      <c r="D131" s="14"/>
      <c r="E131" s="18"/>
      <c r="F131" s="61"/>
      <c r="G131" s="73"/>
      <c r="H131" s="79"/>
      <c r="I131" s="79"/>
      <c r="J131" s="14"/>
      <c r="K131" s="38"/>
      <c r="L131" s="38"/>
      <c r="M131" s="17"/>
    </row>
    <row r="132" spans="2:13" ht="14.45" customHeight="1" x14ac:dyDescent="0.25">
      <c r="B132" s="17"/>
      <c r="C132" s="14"/>
      <c r="D132" s="14"/>
      <c r="E132" s="18"/>
      <c r="F132" s="61"/>
      <c r="G132" s="73"/>
      <c r="H132" s="79"/>
      <c r="I132" s="79"/>
      <c r="J132" s="14"/>
      <c r="K132" s="38"/>
      <c r="L132" s="38"/>
      <c r="M132" s="17"/>
    </row>
    <row r="133" spans="2:13" ht="14.45" customHeight="1" x14ac:dyDescent="0.25">
      <c r="B133" s="17"/>
      <c r="C133" s="14"/>
      <c r="D133" s="14"/>
      <c r="E133" s="18"/>
      <c r="F133" s="61"/>
      <c r="G133" s="73"/>
      <c r="H133" s="79"/>
      <c r="I133" s="79"/>
      <c r="J133" s="14"/>
      <c r="K133" s="38"/>
      <c r="L133" s="38"/>
      <c r="M133" s="17"/>
    </row>
    <row r="134" spans="2:13" ht="14.45" customHeight="1" x14ac:dyDescent="0.25">
      <c r="B134" s="17"/>
      <c r="C134" s="14"/>
      <c r="D134" s="14"/>
      <c r="E134" s="18"/>
      <c r="F134" s="61"/>
      <c r="G134" s="73"/>
      <c r="H134" s="79"/>
      <c r="I134" s="79"/>
      <c r="J134" s="14"/>
      <c r="K134" s="38"/>
      <c r="L134" s="38"/>
      <c r="M134" s="17"/>
    </row>
    <row r="135" spans="2:13" ht="14.45" customHeight="1" x14ac:dyDescent="0.25">
      <c r="B135" s="17"/>
      <c r="C135" s="14"/>
      <c r="D135" s="14"/>
      <c r="E135" s="18"/>
      <c r="F135" s="61"/>
      <c r="G135" s="73"/>
      <c r="H135" s="79"/>
      <c r="I135" s="79"/>
      <c r="J135" s="14"/>
      <c r="K135" s="38"/>
      <c r="L135" s="38"/>
      <c r="M135" s="17"/>
    </row>
    <row r="136" spans="2:13" ht="14.45" customHeight="1" x14ac:dyDescent="0.25">
      <c r="B136" s="17"/>
      <c r="C136" s="14"/>
      <c r="D136" s="14"/>
      <c r="E136" s="18"/>
      <c r="F136" s="61"/>
      <c r="G136" s="73"/>
      <c r="H136" s="79"/>
      <c r="I136" s="79"/>
      <c r="J136" s="14"/>
      <c r="K136" s="38"/>
      <c r="L136" s="38"/>
      <c r="M136" s="17"/>
    </row>
    <row r="137" spans="2:13" ht="14.45" customHeight="1" x14ac:dyDescent="0.25">
      <c r="B137" s="17"/>
      <c r="C137" s="14"/>
      <c r="D137" s="14"/>
      <c r="E137" s="18"/>
      <c r="F137" s="61"/>
      <c r="G137" s="73"/>
      <c r="H137" s="79"/>
      <c r="I137" s="79"/>
      <c r="J137" s="14"/>
      <c r="K137" s="38"/>
      <c r="L137" s="38"/>
      <c r="M137" s="17"/>
    </row>
    <row r="138" spans="2:13" ht="14.45" customHeight="1" x14ac:dyDescent="0.25">
      <c r="B138" s="17"/>
      <c r="C138" s="14"/>
      <c r="D138" s="14"/>
      <c r="E138" s="18"/>
      <c r="F138" s="61"/>
      <c r="G138" s="73"/>
      <c r="H138" s="79"/>
      <c r="I138" s="79"/>
      <c r="J138" s="14"/>
      <c r="K138" s="38"/>
      <c r="L138" s="38"/>
      <c r="M138" s="17"/>
    </row>
    <row r="139" spans="2:13" ht="14.45" customHeight="1" x14ac:dyDescent="0.25">
      <c r="B139" s="17"/>
      <c r="C139" s="14"/>
      <c r="D139" s="14"/>
      <c r="E139" s="18"/>
      <c r="F139" s="61"/>
      <c r="G139" s="73"/>
      <c r="H139" s="79"/>
      <c r="I139" s="79"/>
      <c r="J139" s="14"/>
      <c r="K139" s="38"/>
      <c r="L139" s="38"/>
      <c r="M139" s="17"/>
    </row>
    <row r="140" spans="2:13" ht="14.45" customHeight="1" x14ac:dyDescent="0.25">
      <c r="B140" s="17"/>
      <c r="C140" s="14"/>
      <c r="D140" s="14"/>
      <c r="E140" s="18"/>
      <c r="F140" s="61"/>
      <c r="G140" s="73"/>
      <c r="H140" s="79"/>
      <c r="I140" s="79"/>
      <c r="J140" s="14"/>
      <c r="K140" s="38"/>
      <c r="L140" s="38"/>
      <c r="M140" s="17"/>
    </row>
    <row r="141" spans="2:13" ht="14.45" customHeight="1" x14ac:dyDescent="0.25">
      <c r="B141" s="17"/>
      <c r="C141" s="14"/>
      <c r="D141" s="14"/>
      <c r="E141" s="18"/>
      <c r="F141" s="61"/>
      <c r="G141" s="73"/>
      <c r="H141" s="79"/>
      <c r="I141" s="79"/>
      <c r="J141" s="14"/>
      <c r="K141" s="38"/>
      <c r="L141" s="38"/>
      <c r="M141" s="17"/>
    </row>
    <row r="142" spans="2:13" ht="14.45" customHeight="1" x14ac:dyDescent="0.25">
      <c r="B142" s="17"/>
      <c r="C142" s="14"/>
      <c r="D142" s="14"/>
      <c r="E142" s="18"/>
      <c r="F142" s="61"/>
      <c r="G142" s="73"/>
      <c r="H142" s="79"/>
      <c r="I142" s="79"/>
      <c r="J142" s="14"/>
      <c r="K142" s="38"/>
      <c r="L142" s="38"/>
      <c r="M142" s="17"/>
    </row>
    <row r="143" spans="2:13" ht="14.45" customHeight="1" x14ac:dyDescent="0.25">
      <c r="B143" s="17"/>
      <c r="C143" s="14"/>
      <c r="D143" s="14"/>
      <c r="E143" s="18"/>
      <c r="F143" s="61"/>
      <c r="G143" s="73"/>
      <c r="H143" s="79"/>
      <c r="I143" s="79"/>
      <c r="J143" s="14"/>
      <c r="K143" s="38"/>
      <c r="L143" s="38"/>
      <c r="M143" s="17"/>
    </row>
    <row r="144" spans="2:13" ht="14.45" customHeight="1" x14ac:dyDescent="0.25">
      <c r="B144" s="17"/>
      <c r="C144" s="14"/>
      <c r="D144" s="14"/>
      <c r="E144" s="18"/>
      <c r="F144" s="61"/>
      <c r="G144" s="73"/>
      <c r="H144" s="79"/>
      <c r="I144" s="79"/>
      <c r="J144" s="14"/>
      <c r="K144" s="38"/>
      <c r="L144" s="38"/>
      <c r="M144" s="17"/>
    </row>
    <row r="145" spans="2:13" ht="14.45" customHeight="1" x14ac:dyDescent="0.25">
      <c r="B145" s="17"/>
      <c r="C145" s="14"/>
      <c r="D145" s="14"/>
      <c r="E145" s="18"/>
      <c r="F145" s="61"/>
      <c r="G145" s="73"/>
      <c r="H145" s="79"/>
      <c r="I145" s="79"/>
      <c r="J145" s="14"/>
      <c r="K145" s="38"/>
      <c r="L145" s="38"/>
      <c r="M145" s="17"/>
    </row>
    <row r="146" spans="2:13" ht="14.45" customHeight="1" x14ac:dyDescent="0.25">
      <c r="B146" s="17"/>
      <c r="C146" s="14"/>
      <c r="D146" s="14"/>
      <c r="E146" s="18"/>
      <c r="F146" s="61"/>
      <c r="G146" s="73"/>
      <c r="H146" s="79"/>
      <c r="I146" s="79"/>
      <c r="J146" s="14"/>
      <c r="K146" s="38"/>
      <c r="L146" s="38"/>
      <c r="M146" s="17"/>
    </row>
    <row r="147" spans="2:13" ht="14.45" customHeight="1" x14ac:dyDescent="0.25">
      <c r="B147" s="17"/>
      <c r="C147" s="14"/>
      <c r="D147" s="14"/>
      <c r="E147" s="18"/>
      <c r="F147" s="61"/>
      <c r="G147" s="73"/>
      <c r="H147" s="79"/>
      <c r="I147" s="79"/>
      <c r="J147" s="14"/>
      <c r="K147" s="38"/>
      <c r="L147" s="38"/>
      <c r="M147" s="17"/>
    </row>
    <row r="148" spans="2:13" ht="14.45" customHeight="1" x14ac:dyDescent="0.25">
      <c r="B148" s="17"/>
      <c r="C148" s="14"/>
      <c r="D148" s="14"/>
      <c r="E148" s="18"/>
      <c r="F148" s="61"/>
      <c r="G148" s="73"/>
      <c r="H148" s="79"/>
      <c r="I148" s="79"/>
      <c r="J148" s="14"/>
      <c r="K148" s="38"/>
      <c r="L148" s="38"/>
      <c r="M148" s="17"/>
    </row>
    <row r="149" spans="2:13" ht="14.45" customHeight="1" x14ac:dyDescent="0.25">
      <c r="B149" s="17"/>
      <c r="C149" s="14"/>
      <c r="D149" s="14"/>
      <c r="E149" s="18"/>
      <c r="F149" s="61"/>
      <c r="G149" s="73"/>
      <c r="H149" s="79"/>
      <c r="I149" s="79"/>
      <c r="J149" s="14"/>
      <c r="K149" s="38"/>
      <c r="L149" s="38"/>
      <c r="M149" s="17"/>
    </row>
    <row r="150" spans="2:13" ht="14.45" customHeight="1" x14ac:dyDescent="0.25">
      <c r="B150" s="17"/>
      <c r="C150" s="14"/>
      <c r="D150" s="14"/>
      <c r="E150" s="18"/>
      <c r="F150" s="61"/>
      <c r="G150" s="73"/>
      <c r="H150" s="79"/>
      <c r="I150" s="79"/>
      <c r="J150" s="14"/>
      <c r="K150" s="38"/>
      <c r="L150" s="38"/>
      <c r="M150" s="17"/>
    </row>
    <row r="151" spans="2:13" ht="14.45" customHeight="1" x14ac:dyDescent="0.25">
      <c r="B151" s="17"/>
      <c r="C151" s="14"/>
      <c r="D151" s="14"/>
      <c r="E151" s="18"/>
      <c r="F151" s="61"/>
      <c r="G151" s="73"/>
      <c r="H151" s="79"/>
      <c r="I151" s="79"/>
      <c r="J151" s="14"/>
      <c r="K151" s="38"/>
      <c r="L151" s="38"/>
      <c r="M151" s="17"/>
    </row>
    <row r="152" spans="2:13" ht="14.45" customHeight="1" x14ac:dyDescent="0.25">
      <c r="B152" s="17"/>
      <c r="C152" s="14"/>
      <c r="D152" s="14"/>
      <c r="E152" s="18"/>
      <c r="F152" s="61"/>
      <c r="G152" s="73"/>
      <c r="H152" s="79"/>
      <c r="I152" s="79"/>
      <c r="J152" s="14"/>
      <c r="K152" s="38"/>
      <c r="L152" s="38"/>
      <c r="M152" s="17"/>
    </row>
    <row r="153" spans="2:13" ht="14.45" customHeight="1" x14ac:dyDescent="0.25">
      <c r="B153" s="17"/>
      <c r="C153" s="14"/>
      <c r="D153" s="14"/>
      <c r="E153" s="18"/>
      <c r="F153" s="61"/>
      <c r="G153" s="73"/>
      <c r="H153" s="79"/>
      <c r="I153" s="79"/>
      <c r="J153" s="14"/>
      <c r="K153" s="38"/>
      <c r="L153" s="38"/>
      <c r="M153" s="17"/>
    </row>
    <row r="154" spans="2:13" ht="14.45" customHeight="1" x14ac:dyDescent="0.25">
      <c r="B154" s="17"/>
      <c r="C154" s="14"/>
      <c r="D154" s="14"/>
      <c r="E154" s="18"/>
      <c r="F154" s="61"/>
      <c r="G154" s="73"/>
      <c r="H154" s="79"/>
      <c r="I154" s="79"/>
      <c r="J154" s="14"/>
      <c r="K154" s="38"/>
      <c r="L154" s="38"/>
      <c r="M154" s="17"/>
    </row>
    <row r="155" spans="2:13" ht="14.45" customHeight="1" x14ac:dyDescent="0.25">
      <c r="B155" s="17"/>
      <c r="C155" s="14"/>
      <c r="D155" s="14"/>
      <c r="E155" s="18"/>
      <c r="F155" s="61"/>
      <c r="G155" s="73"/>
      <c r="H155" s="79"/>
      <c r="I155" s="79"/>
      <c r="J155" s="14"/>
      <c r="K155" s="38"/>
      <c r="L155" s="38"/>
      <c r="M155" s="17"/>
    </row>
    <row r="156" spans="2:13" ht="14.45" customHeight="1" x14ac:dyDescent="0.25">
      <c r="B156" s="17"/>
      <c r="C156" s="14"/>
      <c r="D156" s="14"/>
      <c r="E156" s="18"/>
      <c r="F156" s="61"/>
      <c r="G156" s="73"/>
      <c r="H156" s="79"/>
      <c r="I156" s="79"/>
      <c r="J156" s="14"/>
      <c r="K156" s="38"/>
      <c r="L156" s="38"/>
      <c r="M156" s="17"/>
    </row>
    <row r="157" spans="2:13" ht="14.45" customHeight="1" x14ac:dyDescent="0.25">
      <c r="B157" s="17"/>
      <c r="C157" s="14"/>
      <c r="D157" s="14"/>
      <c r="E157" s="18"/>
      <c r="F157" s="61"/>
      <c r="G157" s="73"/>
      <c r="H157" s="79"/>
      <c r="I157" s="79"/>
      <c r="J157" s="14"/>
      <c r="K157" s="38"/>
      <c r="L157" s="38"/>
      <c r="M157" s="17"/>
    </row>
    <row r="158" spans="2:13" ht="14.45" customHeight="1" x14ac:dyDescent="0.25">
      <c r="B158" s="17"/>
      <c r="C158" s="14"/>
      <c r="D158" s="14"/>
      <c r="E158" s="18"/>
      <c r="F158" s="61"/>
      <c r="G158" s="73"/>
      <c r="H158" s="79"/>
      <c r="I158" s="79"/>
      <c r="J158" s="14"/>
      <c r="K158" s="38"/>
      <c r="L158" s="38"/>
      <c r="M158" s="17"/>
    </row>
    <row r="159" spans="2:13" ht="14.45" customHeight="1" x14ac:dyDescent="0.25">
      <c r="B159" s="17"/>
      <c r="C159" s="14"/>
      <c r="D159" s="14"/>
      <c r="E159" s="18"/>
      <c r="F159" s="61"/>
      <c r="G159" s="73"/>
      <c r="H159" s="79"/>
      <c r="I159" s="79"/>
      <c r="J159" s="14"/>
      <c r="K159" s="38"/>
      <c r="L159" s="38"/>
      <c r="M159" s="17"/>
    </row>
    <row r="160" spans="2:13" ht="14.45" customHeight="1" x14ac:dyDescent="0.25">
      <c r="B160" s="17"/>
      <c r="C160" s="14"/>
      <c r="D160" s="14"/>
      <c r="E160" s="18"/>
      <c r="F160" s="61"/>
      <c r="G160" s="73"/>
      <c r="H160" s="79"/>
      <c r="I160" s="79"/>
      <c r="J160" s="14"/>
      <c r="K160" s="38"/>
      <c r="L160" s="38"/>
      <c r="M160" s="17"/>
    </row>
    <row r="161" spans="2:13" ht="14.45" customHeight="1" x14ac:dyDescent="0.25">
      <c r="B161" s="17"/>
      <c r="C161" s="14"/>
      <c r="D161" s="14"/>
      <c r="E161" s="18"/>
      <c r="F161" s="61"/>
      <c r="G161" s="73"/>
      <c r="H161" s="79"/>
      <c r="I161" s="79"/>
      <c r="J161" s="14"/>
      <c r="K161" s="38"/>
      <c r="L161" s="38"/>
      <c r="M161" s="17"/>
    </row>
    <row r="162" spans="2:13" ht="14.45" customHeight="1" x14ac:dyDescent="0.25">
      <c r="B162" s="17"/>
      <c r="C162" s="14"/>
      <c r="D162" s="14"/>
      <c r="E162" s="18"/>
      <c r="F162" s="61"/>
      <c r="G162" s="73"/>
      <c r="H162" s="79"/>
      <c r="I162" s="79"/>
      <c r="J162" s="14"/>
      <c r="K162" s="38"/>
      <c r="L162" s="38"/>
      <c r="M162" s="17"/>
    </row>
    <row r="163" spans="2:13" ht="14.45" customHeight="1" x14ac:dyDescent="0.25">
      <c r="B163" s="17"/>
      <c r="C163" s="14"/>
      <c r="D163" s="14"/>
      <c r="E163" s="18"/>
      <c r="F163" s="61"/>
      <c r="G163" s="73"/>
      <c r="H163" s="79"/>
      <c r="I163" s="79"/>
      <c r="J163" s="14"/>
      <c r="K163" s="38"/>
      <c r="L163" s="38"/>
      <c r="M163" s="17"/>
    </row>
    <row r="164" spans="2:13" ht="14.45" customHeight="1" x14ac:dyDescent="0.25">
      <c r="B164" s="17"/>
      <c r="C164" s="14"/>
      <c r="D164" s="14"/>
      <c r="E164" s="18"/>
      <c r="F164" s="61"/>
      <c r="G164" s="73"/>
      <c r="H164" s="79"/>
      <c r="I164" s="79"/>
      <c r="J164" s="14"/>
      <c r="K164" s="38"/>
      <c r="L164" s="38"/>
      <c r="M164" s="17"/>
    </row>
    <row r="165" spans="2:13" ht="14.45" customHeight="1" x14ac:dyDescent="0.25">
      <c r="B165" s="17"/>
      <c r="C165" s="14"/>
      <c r="D165" s="14"/>
      <c r="E165" s="18"/>
      <c r="F165" s="61"/>
      <c r="G165" s="73"/>
      <c r="H165" s="79"/>
      <c r="I165" s="79"/>
      <c r="J165" s="14"/>
      <c r="K165" s="38"/>
      <c r="L165" s="38"/>
      <c r="M165" s="17"/>
    </row>
    <row r="166" spans="2:13" ht="14.45" customHeight="1" x14ac:dyDescent="0.25">
      <c r="B166" s="17"/>
      <c r="C166" s="14"/>
      <c r="D166" s="14"/>
      <c r="E166" s="18"/>
      <c r="F166" s="61"/>
      <c r="G166" s="73"/>
      <c r="H166" s="79"/>
      <c r="I166" s="79"/>
      <c r="J166" s="14"/>
      <c r="K166" s="38"/>
      <c r="L166" s="38"/>
      <c r="M166" s="17"/>
    </row>
    <row r="167" spans="2:13" ht="14.45" customHeight="1" x14ac:dyDescent="0.25">
      <c r="B167" s="17"/>
      <c r="C167" s="14"/>
      <c r="D167" s="14"/>
      <c r="E167" s="18"/>
      <c r="F167" s="61"/>
      <c r="G167" s="73"/>
      <c r="H167" s="79"/>
      <c r="I167" s="79"/>
      <c r="J167" s="14"/>
      <c r="K167" s="38"/>
      <c r="L167" s="38"/>
      <c r="M167" s="17"/>
    </row>
    <row r="168" spans="2:13" ht="14.45" customHeight="1" x14ac:dyDescent="0.25">
      <c r="B168" s="17"/>
      <c r="C168" s="14"/>
      <c r="D168" s="14"/>
      <c r="E168" s="18"/>
      <c r="F168" s="61"/>
      <c r="G168" s="73"/>
      <c r="H168" s="79"/>
      <c r="I168" s="79"/>
      <c r="J168" s="14"/>
      <c r="K168" s="38"/>
      <c r="L168" s="38"/>
      <c r="M168" s="17"/>
    </row>
    <row r="169" spans="2:13" ht="14.45" customHeight="1" x14ac:dyDescent="0.25">
      <c r="B169" s="17"/>
      <c r="C169" s="14"/>
      <c r="D169" s="14"/>
      <c r="E169" s="18"/>
      <c r="F169" s="61"/>
      <c r="G169" s="73"/>
      <c r="H169" s="79"/>
      <c r="I169" s="79"/>
      <c r="J169" s="14"/>
      <c r="K169" s="38"/>
      <c r="L169" s="38"/>
      <c r="M169" s="17"/>
    </row>
    <row r="170" spans="2:13" ht="14.45" customHeight="1" x14ac:dyDescent="0.25">
      <c r="B170" s="17"/>
      <c r="C170" s="14"/>
      <c r="D170" s="14"/>
      <c r="E170" s="18"/>
      <c r="F170" s="61"/>
      <c r="G170" s="73"/>
      <c r="H170" s="79"/>
      <c r="I170" s="79"/>
      <c r="J170" s="14"/>
      <c r="K170" s="38"/>
      <c r="L170" s="38"/>
      <c r="M170" s="17"/>
    </row>
    <row r="171" spans="2:13" ht="14.45" customHeight="1" x14ac:dyDescent="0.25">
      <c r="B171" s="17"/>
      <c r="C171" s="14"/>
      <c r="D171" s="14"/>
      <c r="E171" s="18"/>
      <c r="F171" s="61"/>
      <c r="G171" s="73"/>
      <c r="H171" s="79"/>
      <c r="I171" s="79"/>
      <c r="J171" s="14"/>
      <c r="K171" s="38"/>
      <c r="L171" s="38"/>
      <c r="M171" s="17"/>
    </row>
    <row r="172" spans="2:13" ht="14.45" customHeight="1" x14ac:dyDescent="0.25">
      <c r="B172" s="17"/>
      <c r="C172" s="14"/>
      <c r="D172" s="14"/>
      <c r="E172" s="18"/>
      <c r="F172" s="61"/>
      <c r="G172" s="73"/>
      <c r="H172" s="79"/>
      <c r="I172" s="79"/>
      <c r="J172" s="14"/>
      <c r="K172" s="38"/>
      <c r="L172" s="38"/>
      <c r="M172" s="17"/>
    </row>
    <row r="173" spans="2:13" ht="14.45" customHeight="1" x14ac:dyDescent="0.25">
      <c r="B173" s="17"/>
      <c r="C173" s="14"/>
      <c r="D173" s="14"/>
      <c r="E173" s="18"/>
      <c r="F173" s="61"/>
      <c r="G173" s="73"/>
      <c r="H173" s="79"/>
      <c r="I173" s="79"/>
      <c r="J173" s="14"/>
      <c r="K173" s="38"/>
      <c r="L173" s="38"/>
      <c r="M173" s="17"/>
    </row>
    <row r="174" spans="2:13" ht="14.45" customHeight="1" x14ac:dyDescent="0.25">
      <c r="B174" s="17"/>
      <c r="C174" s="14"/>
      <c r="D174" s="14"/>
      <c r="E174" s="18"/>
      <c r="F174" s="61"/>
      <c r="G174" s="73"/>
      <c r="H174" s="79"/>
      <c r="I174" s="79"/>
      <c r="J174" s="14"/>
      <c r="K174" s="38"/>
      <c r="L174" s="38"/>
      <c r="M174" s="17"/>
    </row>
    <row r="175" spans="2:13" ht="14.45" customHeight="1" x14ac:dyDescent="0.25">
      <c r="B175" s="17"/>
      <c r="C175" s="14"/>
      <c r="D175" s="14"/>
      <c r="E175" s="18"/>
      <c r="F175" s="61"/>
      <c r="G175" s="73"/>
      <c r="H175" s="79"/>
      <c r="I175" s="79"/>
      <c r="J175" s="14"/>
      <c r="K175" s="38"/>
      <c r="L175" s="38"/>
      <c r="M175" s="17"/>
    </row>
    <row r="176" spans="2:13" ht="14.45" customHeight="1" x14ac:dyDescent="0.25">
      <c r="B176" s="17"/>
      <c r="C176" s="14"/>
      <c r="D176" s="14"/>
      <c r="E176" s="18"/>
      <c r="F176" s="61"/>
      <c r="G176" s="73"/>
      <c r="H176" s="79"/>
      <c r="I176" s="79"/>
      <c r="J176" s="14"/>
      <c r="K176" s="38"/>
      <c r="L176" s="38"/>
      <c r="M176" s="17"/>
    </row>
    <row r="177" spans="2:13" ht="14.45" customHeight="1" x14ac:dyDescent="0.25">
      <c r="B177" s="17"/>
      <c r="C177" s="14"/>
      <c r="D177" s="14"/>
      <c r="E177" s="18"/>
      <c r="F177" s="61"/>
      <c r="G177" s="73"/>
      <c r="H177" s="79"/>
      <c r="I177" s="79"/>
      <c r="J177" s="14"/>
      <c r="K177" s="38"/>
      <c r="L177" s="38"/>
      <c r="M177" s="17"/>
    </row>
    <row r="178" spans="2:13" ht="14.45" customHeight="1" x14ac:dyDescent="0.25">
      <c r="B178" s="17"/>
      <c r="C178" s="14"/>
      <c r="D178" s="14"/>
      <c r="E178" s="18"/>
      <c r="F178" s="61"/>
      <c r="G178" s="73"/>
      <c r="H178" s="79"/>
      <c r="I178" s="79"/>
      <c r="J178" s="14"/>
      <c r="K178" s="38"/>
      <c r="L178" s="38"/>
      <c r="M178" s="17"/>
    </row>
    <row r="179" spans="2:13" ht="14.45" customHeight="1" x14ac:dyDescent="0.25">
      <c r="B179" s="17"/>
      <c r="C179" s="14"/>
      <c r="D179" s="14"/>
      <c r="E179" s="18"/>
      <c r="F179" s="61"/>
      <c r="G179" s="73"/>
      <c r="H179" s="79"/>
      <c r="I179" s="79"/>
      <c r="J179" s="14"/>
      <c r="K179" s="38"/>
      <c r="L179" s="38"/>
      <c r="M179" s="17"/>
    </row>
    <row r="180" spans="2:13" ht="14.45" customHeight="1" x14ac:dyDescent="0.25">
      <c r="B180" s="17"/>
      <c r="C180" s="14"/>
      <c r="D180" s="14"/>
      <c r="E180" s="18"/>
      <c r="F180" s="61"/>
      <c r="G180" s="73"/>
      <c r="H180" s="79"/>
      <c r="I180" s="79"/>
      <c r="J180" s="14"/>
      <c r="K180" s="38"/>
      <c r="L180" s="38"/>
      <c r="M180" s="17"/>
    </row>
    <row r="181" spans="2:13" ht="14.45" customHeight="1" x14ac:dyDescent="0.25">
      <c r="B181" s="17"/>
      <c r="C181" s="14"/>
      <c r="D181" s="14"/>
      <c r="E181" s="18"/>
      <c r="F181" s="61"/>
      <c r="G181" s="73"/>
      <c r="H181" s="79"/>
      <c r="I181" s="79"/>
      <c r="J181" s="14"/>
      <c r="K181" s="38"/>
      <c r="L181" s="38"/>
      <c r="M181" s="17"/>
    </row>
    <row r="182" spans="2:13" ht="14.45" customHeight="1" x14ac:dyDescent="0.25">
      <c r="B182" s="17"/>
      <c r="C182" s="14"/>
      <c r="D182" s="14"/>
      <c r="E182" s="18"/>
      <c r="F182" s="61"/>
      <c r="G182" s="73"/>
      <c r="H182" s="79"/>
      <c r="I182" s="79"/>
      <c r="J182" s="14"/>
      <c r="K182" s="38"/>
      <c r="L182" s="38"/>
      <c r="M182" s="17"/>
    </row>
    <row r="183" spans="2:13" ht="14.45" customHeight="1" x14ac:dyDescent="0.25">
      <c r="B183" s="17"/>
      <c r="C183" s="14"/>
      <c r="D183" s="14"/>
      <c r="E183" s="18"/>
      <c r="F183" s="61"/>
      <c r="G183" s="73"/>
      <c r="H183" s="79"/>
      <c r="I183" s="79"/>
      <c r="J183" s="14"/>
      <c r="K183" s="38"/>
      <c r="L183" s="38"/>
      <c r="M183" s="17"/>
    </row>
    <row r="184" spans="2:13" ht="14.45" customHeight="1" x14ac:dyDescent="0.25">
      <c r="B184" s="17"/>
      <c r="C184" s="14"/>
      <c r="D184" s="14"/>
      <c r="E184" s="18"/>
      <c r="F184" s="61"/>
      <c r="G184" s="73"/>
      <c r="H184" s="79"/>
      <c r="I184" s="79"/>
      <c r="J184" s="14"/>
      <c r="K184" s="38"/>
      <c r="L184" s="38"/>
      <c r="M184" s="17"/>
    </row>
    <row r="185" spans="2:13" ht="14.45" customHeight="1" x14ac:dyDescent="0.25">
      <c r="B185" s="17"/>
      <c r="C185" s="14"/>
      <c r="D185" s="14"/>
      <c r="E185" s="18"/>
      <c r="F185" s="61"/>
      <c r="G185" s="73"/>
      <c r="H185" s="79"/>
      <c r="I185" s="79"/>
      <c r="J185" s="14"/>
      <c r="K185" s="38"/>
      <c r="L185" s="38"/>
      <c r="M185" s="17"/>
    </row>
    <row r="186" spans="2:13" ht="14.45" customHeight="1" x14ac:dyDescent="0.25">
      <c r="B186" s="17"/>
      <c r="C186" s="14"/>
      <c r="D186" s="14"/>
      <c r="E186" s="18"/>
      <c r="F186" s="61"/>
      <c r="G186" s="73"/>
      <c r="H186" s="79"/>
      <c r="I186" s="79"/>
      <c r="J186" s="14"/>
      <c r="K186" s="38"/>
      <c r="L186" s="38"/>
      <c r="M186" s="17"/>
    </row>
    <row r="187" spans="2:13" ht="14.45" customHeight="1" x14ac:dyDescent="0.25">
      <c r="B187" s="17"/>
      <c r="C187" s="14"/>
      <c r="D187" s="14"/>
      <c r="E187" s="18"/>
      <c r="F187" s="61"/>
      <c r="G187" s="73"/>
      <c r="H187" s="79"/>
      <c r="I187" s="79"/>
      <c r="J187" s="14"/>
      <c r="K187" s="38"/>
      <c r="L187" s="38"/>
      <c r="M187" s="17"/>
    </row>
    <row r="188" spans="2:13" ht="14.45" customHeight="1" x14ac:dyDescent="0.25">
      <c r="B188" s="17"/>
      <c r="C188" s="14"/>
      <c r="D188" s="14"/>
      <c r="E188" s="18"/>
      <c r="F188" s="61"/>
      <c r="G188" s="73"/>
      <c r="H188" s="79"/>
      <c r="I188" s="79"/>
      <c r="J188" s="14"/>
      <c r="K188" s="38"/>
      <c r="L188" s="38"/>
      <c r="M188" s="17"/>
    </row>
    <row r="189" spans="2:13" ht="14.45" customHeight="1" x14ac:dyDescent="0.25">
      <c r="B189" s="17"/>
      <c r="C189" s="14"/>
      <c r="D189" s="14"/>
      <c r="E189" s="18"/>
      <c r="F189" s="61"/>
      <c r="G189" s="73"/>
      <c r="H189" s="79"/>
      <c r="I189" s="79"/>
      <c r="J189" s="14"/>
      <c r="K189" s="38"/>
      <c r="L189" s="38"/>
      <c r="M189" s="17"/>
    </row>
    <row r="190" spans="2:13" ht="14.45" customHeight="1" x14ac:dyDescent="0.25">
      <c r="B190" s="17"/>
      <c r="C190" s="14"/>
      <c r="D190" s="14"/>
      <c r="E190" s="18"/>
      <c r="F190" s="61"/>
      <c r="G190" s="73"/>
      <c r="H190" s="79"/>
      <c r="I190" s="79"/>
      <c r="J190" s="14"/>
      <c r="K190" s="38"/>
      <c r="L190" s="38"/>
      <c r="M190" s="17"/>
    </row>
    <row r="191" spans="2:13" ht="14.45" customHeight="1" x14ac:dyDescent="0.25">
      <c r="B191" s="17"/>
      <c r="C191" s="14"/>
      <c r="D191" s="14"/>
      <c r="E191" s="18"/>
      <c r="F191" s="61"/>
      <c r="G191" s="73"/>
      <c r="H191" s="79"/>
      <c r="I191" s="79"/>
      <c r="J191" s="14"/>
      <c r="K191" s="38"/>
      <c r="L191" s="38"/>
      <c r="M191" s="17"/>
    </row>
    <row r="192" spans="2:13" ht="14.45" customHeight="1" x14ac:dyDescent="0.25">
      <c r="B192" s="17"/>
      <c r="C192" s="14"/>
      <c r="D192" s="14"/>
      <c r="E192" s="18"/>
      <c r="F192" s="61"/>
      <c r="G192" s="73"/>
      <c r="H192" s="79"/>
      <c r="I192" s="79"/>
      <c r="J192" s="14"/>
      <c r="K192" s="38"/>
      <c r="L192" s="38"/>
      <c r="M192" s="17"/>
    </row>
    <row r="193" spans="2:13" ht="14.45" customHeight="1" x14ac:dyDescent="0.25">
      <c r="B193" s="17"/>
      <c r="C193" s="14"/>
      <c r="D193" s="14"/>
      <c r="E193" s="18"/>
      <c r="F193" s="61"/>
      <c r="G193" s="73"/>
      <c r="H193" s="79"/>
      <c r="I193" s="79"/>
      <c r="J193" s="14"/>
      <c r="K193" s="38"/>
      <c r="L193" s="38"/>
      <c r="M193" s="17"/>
    </row>
    <row r="194" spans="2:13" ht="14.45" customHeight="1" x14ac:dyDescent="0.25">
      <c r="B194" s="17"/>
      <c r="C194" s="14"/>
      <c r="D194" s="14"/>
      <c r="E194" s="18"/>
      <c r="F194" s="61"/>
      <c r="G194" s="73"/>
      <c r="H194" s="79"/>
      <c r="I194" s="79"/>
      <c r="J194" s="14"/>
      <c r="K194" s="38"/>
      <c r="L194" s="38"/>
      <c r="M194" s="17"/>
    </row>
    <row r="195" spans="2:13" ht="14.45" customHeight="1" x14ac:dyDescent="0.25">
      <c r="B195" s="17"/>
      <c r="C195" s="14"/>
      <c r="D195" s="14"/>
      <c r="E195" s="18"/>
      <c r="F195" s="61"/>
      <c r="G195" s="73"/>
      <c r="H195" s="79"/>
      <c r="I195" s="79"/>
      <c r="J195" s="14"/>
      <c r="K195" s="38"/>
      <c r="L195" s="38"/>
      <c r="M195" s="17"/>
    </row>
    <row r="196" spans="2:13" ht="14.45" customHeight="1" x14ac:dyDescent="0.25">
      <c r="B196" s="17"/>
      <c r="C196" s="14"/>
      <c r="D196" s="14"/>
      <c r="E196" s="18"/>
      <c r="F196" s="61"/>
      <c r="G196" s="73"/>
      <c r="H196" s="79"/>
      <c r="I196" s="79"/>
      <c r="J196" s="14"/>
      <c r="K196" s="38"/>
      <c r="L196" s="38"/>
      <c r="M196" s="17"/>
    </row>
    <row r="197" spans="2:13" ht="14.45" customHeight="1" x14ac:dyDescent="0.25">
      <c r="B197" s="17"/>
      <c r="C197" s="14"/>
      <c r="D197" s="14"/>
      <c r="E197" s="18"/>
      <c r="F197" s="61"/>
      <c r="G197" s="73"/>
      <c r="H197" s="79"/>
      <c r="I197" s="79"/>
      <c r="J197" s="14"/>
      <c r="K197" s="38"/>
      <c r="L197" s="38"/>
      <c r="M197" s="17"/>
    </row>
    <row r="198" spans="2:13" ht="14.45" customHeight="1" x14ac:dyDescent="0.25">
      <c r="B198" s="17"/>
      <c r="C198" s="14"/>
      <c r="D198" s="14"/>
      <c r="E198" s="18"/>
      <c r="F198" s="61"/>
      <c r="G198" s="73"/>
      <c r="H198" s="79"/>
      <c r="I198" s="79"/>
      <c r="J198" s="14"/>
      <c r="K198" s="38"/>
      <c r="L198" s="38"/>
      <c r="M198" s="17"/>
    </row>
    <row r="199" spans="2:13" ht="14.45" customHeight="1" x14ac:dyDescent="0.25">
      <c r="B199" s="17"/>
      <c r="C199" s="14"/>
      <c r="D199" s="14"/>
      <c r="E199" s="18"/>
      <c r="F199" s="61"/>
      <c r="G199" s="73"/>
      <c r="H199" s="79"/>
      <c r="I199" s="79"/>
      <c r="J199" s="14"/>
      <c r="K199" s="38"/>
      <c r="L199" s="38"/>
      <c r="M199" s="17"/>
    </row>
    <row r="200" spans="2:13" ht="14.45" customHeight="1" x14ac:dyDescent="0.25">
      <c r="B200" s="17"/>
      <c r="C200" s="14"/>
      <c r="D200" s="14"/>
      <c r="E200" s="18"/>
      <c r="F200" s="61"/>
      <c r="G200" s="73"/>
      <c r="H200" s="79"/>
      <c r="I200" s="79"/>
      <c r="J200" s="14"/>
      <c r="K200" s="38"/>
      <c r="L200" s="38"/>
      <c r="M200" s="17"/>
    </row>
    <row r="201" spans="2:13" ht="14.45" customHeight="1" x14ac:dyDescent="0.25">
      <c r="B201" s="17"/>
      <c r="C201" s="14"/>
      <c r="D201" s="14"/>
      <c r="E201" s="18"/>
      <c r="F201" s="61"/>
      <c r="G201" s="73"/>
      <c r="H201" s="79"/>
      <c r="I201" s="79"/>
      <c r="J201" s="14"/>
      <c r="K201" s="38"/>
      <c r="L201" s="38"/>
      <c r="M201" s="17"/>
    </row>
    <row r="202" spans="2:13" ht="14.45" customHeight="1" x14ac:dyDescent="0.25">
      <c r="B202" s="17"/>
      <c r="C202" s="14"/>
      <c r="D202" s="14"/>
      <c r="E202" s="18"/>
      <c r="F202" s="61"/>
      <c r="G202" s="73"/>
      <c r="H202" s="79"/>
      <c r="I202" s="79"/>
      <c r="J202" s="14"/>
      <c r="K202" s="38"/>
      <c r="L202" s="38"/>
      <c r="M202" s="17"/>
    </row>
    <row r="203" spans="2:13" ht="14.45" customHeight="1" x14ac:dyDescent="0.25">
      <c r="B203" s="17"/>
      <c r="C203" s="14"/>
      <c r="D203" s="14"/>
      <c r="E203" s="18"/>
      <c r="F203" s="61"/>
      <c r="G203" s="73"/>
      <c r="H203" s="79"/>
      <c r="I203" s="79"/>
      <c r="J203" s="14"/>
      <c r="K203" s="38"/>
      <c r="L203" s="38"/>
      <c r="M203" s="17"/>
    </row>
    <row r="204" spans="2:13" ht="14.45" customHeight="1" x14ac:dyDescent="0.25">
      <c r="B204" s="17"/>
      <c r="C204" s="14"/>
      <c r="D204" s="14"/>
      <c r="E204" s="18"/>
      <c r="F204" s="61"/>
      <c r="G204" s="73"/>
      <c r="H204" s="79"/>
      <c r="I204" s="79"/>
      <c r="J204" s="14"/>
      <c r="K204" s="38"/>
      <c r="L204" s="38"/>
      <c r="M204" s="17"/>
    </row>
    <row r="205" spans="2:13" ht="14.45" customHeight="1" x14ac:dyDescent="0.25">
      <c r="B205" s="17"/>
      <c r="C205" s="14"/>
      <c r="D205" s="14"/>
      <c r="E205" s="18"/>
      <c r="F205" s="61"/>
      <c r="G205" s="73"/>
      <c r="H205" s="79"/>
      <c r="I205" s="79"/>
      <c r="J205" s="14"/>
      <c r="K205" s="38"/>
      <c r="L205" s="38"/>
      <c r="M205" s="17"/>
    </row>
    <row r="206" spans="2:13" ht="14.45" customHeight="1" x14ac:dyDescent="0.25">
      <c r="B206" s="17"/>
      <c r="C206" s="14"/>
      <c r="D206" s="14"/>
      <c r="E206" s="18"/>
      <c r="F206" s="61"/>
      <c r="G206" s="73"/>
      <c r="H206" s="79"/>
      <c r="I206" s="79"/>
      <c r="J206" s="14"/>
      <c r="K206" s="38"/>
      <c r="L206" s="38"/>
      <c r="M206" s="17"/>
    </row>
    <row r="207" spans="2:13" ht="14.45" customHeight="1" x14ac:dyDescent="0.25">
      <c r="B207" s="17"/>
      <c r="C207" s="14"/>
      <c r="D207" s="14"/>
      <c r="E207" s="18"/>
      <c r="F207" s="61"/>
      <c r="G207" s="73"/>
      <c r="H207" s="79"/>
      <c r="I207" s="79"/>
      <c r="J207" s="14"/>
      <c r="K207" s="38"/>
      <c r="L207" s="38"/>
      <c r="M207" s="17"/>
    </row>
    <row r="208" spans="2:13" ht="14.45" customHeight="1" x14ac:dyDescent="0.25">
      <c r="B208" s="17"/>
      <c r="C208" s="14"/>
      <c r="D208" s="14"/>
      <c r="E208" s="18"/>
      <c r="F208" s="61"/>
      <c r="G208" s="73"/>
      <c r="H208" s="79"/>
      <c r="I208" s="79"/>
      <c r="J208" s="14"/>
      <c r="K208" s="38"/>
      <c r="L208" s="38"/>
      <c r="M208" s="17"/>
    </row>
    <row r="209" spans="2:13" ht="14.45" customHeight="1" x14ac:dyDescent="0.25">
      <c r="B209" s="17"/>
      <c r="C209" s="14"/>
      <c r="D209" s="14"/>
      <c r="E209" s="18"/>
      <c r="F209" s="61"/>
      <c r="G209" s="73"/>
      <c r="H209" s="79"/>
      <c r="I209" s="79"/>
      <c r="J209" s="14"/>
      <c r="K209" s="38"/>
      <c r="L209" s="38"/>
      <c r="M209" s="17"/>
    </row>
    <row r="210" spans="2:13" ht="14.45" customHeight="1" x14ac:dyDescent="0.25">
      <c r="B210" s="17"/>
      <c r="C210" s="14"/>
      <c r="D210" s="14"/>
      <c r="E210" s="18"/>
      <c r="F210" s="61"/>
      <c r="G210" s="73"/>
      <c r="H210" s="79"/>
      <c r="I210" s="79"/>
      <c r="J210" s="14"/>
      <c r="K210" s="38"/>
      <c r="L210" s="38"/>
      <c r="M210" s="17"/>
    </row>
    <row r="211" spans="2:13" ht="14.45" customHeight="1" x14ac:dyDescent="0.25">
      <c r="B211" s="17"/>
      <c r="C211" s="14"/>
      <c r="D211" s="14"/>
      <c r="E211" s="18"/>
      <c r="F211" s="61"/>
      <c r="G211" s="73"/>
      <c r="H211" s="79"/>
      <c r="I211" s="79"/>
      <c r="J211" s="14"/>
      <c r="K211" s="38"/>
      <c r="L211" s="38"/>
      <c r="M211" s="17"/>
    </row>
    <row r="212" spans="2:13" ht="14.45" customHeight="1" x14ac:dyDescent="0.25">
      <c r="B212" s="17"/>
      <c r="C212" s="14"/>
      <c r="D212" s="14"/>
      <c r="E212" s="18"/>
      <c r="F212" s="61"/>
      <c r="G212" s="73"/>
      <c r="H212" s="79"/>
      <c r="I212" s="79"/>
      <c r="J212" s="14"/>
      <c r="K212" s="38"/>
      <c r="L212" s="38"/>
      <c r="M212" s="17"/>
    </row>
    <row r="213" spans="2:13" ht="14.45" customHeight="1" x14ac:dyDescent="0.25">
      <c r="B213" s="17"/>
      <c r="C213" s="14"/>
      <c r="D213" s="14"/>
      <c r="E213" s="18"/>
      <c r="F213" s="61"/>
      <c r="G213" s="73"/>
      <c r="H213" s="79"/>
      <c r="I213" s="79"/>
      <c r="J213" s="14"/>
      <c r="K213" s="38"/>
      <c r="L213" s="38"/>
      <c r="M213" s="17"/>
    </row>
    <row r="214" spans="2:13" ht="14.45" customHeight="1" x14ac:dyDescent="0.25">
      <c r="B214" s="17"/>
      <c r="C214" s="14"/>
      <c r="D214" s="14"/>
      <c r="E214" s="18"/>
      <c r="F214" s="61"/>
      <c r="G214" s="73"/>
      <c r="H214" s="79"/>
      <c r="I214" s="79"/>
      <c r="J214" s="14"/>
      <c r="K214" s="38"/>
      <c r="L214" s="38"/>
      <c r="M214" s="17"/>
    </row>
    <row r="215" spans="2:13" ht="14.45" customHeight="1" x14ac:dyDescent="0.25">
      <c r="B215" s="17"/>
      <c r="C215" s="14"/>
      <c r="D215" s="14"/>
      <c r="E215" s="18"/>
      <c r="F215" s="61"/>
      <c r="G215" s="73"/>
      <c r="H215" s="79"/>
      <c r="I215" s="79"/>
      <c r="J215" s="14"/>
      <c r="K215" s="38"/>
      <c r="L215" s="38"/>
      <c r="M215" s="17"/>
    </row>
    <row r="216" spans="2:13" ht="14.45" customHeight="1" x14ac:dyDescent="0.25">
      <c r="B216" s="17"/>
      <c r="C216" s="14"/>
      <c r="D216" s="14"/>
      <c r="E216" s="18"/>
      <c r="F216" s="61"/>
      <c r="G216" s="73"/>
      <c r="H216" s="79"/>
      <c r="I216" s="79"/>
      <c r="J216" s="14"/>
      <c r="K216" s="38"/>
      <c r="L216" s="38"/>
      <c r="M216" s="17"/>
    </row>
    <row r="217" spans="2:13" ht="14.45" customHeight="1" x14ac:dyDescent="0.25">
      <c r="B217" s="17"/>
      <c r="C217" s="14"/>
      <c r="D217" s="14"/>
      <c r="E217" s="18"/>
      <c r="F217" s="61"/>
      <c r="G217" s="73"/>
      <c r="H217" s="79"/>
      <c r="I217" s="79"/>
      <c r="J217" s="14"/>
      <c r="K217" s="38"/>
      <c r="L217" s="38"/>
      <c r="M217" s="17"/>
    </row>
    <row r="218" spans="2:13" ht="14.45" customHeight="1" x14ac:dyDescent="0.25">
      <c r="B218" s="17"/>
      <c r="C218" s="14"/>
      <c r="D218" s="14"/>
      <c r="E218" s="18"/>
      <c r="F218" s="61"/>
      <c r="G218" s="73"/>
      <c r="H218" s="79"/>
      <c r="I218" s="79"/>
      <c r="J218" s="14"/>
      <c r="K218" s="38"/>
      <c r="L218" s="38"/>
      <c r="M218" s="17"/>
    </row>
    <row r="219" spans="2:13" ht="14.45" customHeight="1" x14ac:dyDescent="0.25">
      <c r="B219" s="17"/>
      <c r="C219" s="14"/>
      <c r="D219" s="14"/>
      <c r="E219" s="18"/>
      <c r="F219" s="61"/>
      <c r="G219" s="73"/>
      <c r="H219" s="79"/>
      <c r="I219" s="79"/>
      <c r="J219" s="14"/>
      <c r="K219" s="38"/>
      <c r="L219" s="38"/>
      <c r="M219" s="17"/>
    </row>
    <row r="220" spans="2:13" ht="14.45" customHeight="1" x14ac:dyDescent="0.25">
      <c r="B220" s="17"/>
      <c r="C220" s="14"/>
      <c r="D220" s="14"/>
      <c r="E220" s="18"/>
      <c r="F220" s="61"/>
      <c r="G220" s="73"/>
      <c r="H220" s="79"/>
      <c r="I220" s="79"/>
      <c r="J220" s="14"/>
      <c r="K220" s="38"/>
      <c r="L220" s="38"/>
      <c r="M220" s="17"/>
    </row>
    <row r="221" spans="2:13" ht="14.45" customHeight="1" x14ac:dyDescent="0.25">
      <c r="B221" s="17"/>
      <c r="C221" s="14"/>
      <c r="D221" s="14"/>
      <c r="E221" s="18"/>
      <c r="F221" s="61"/>
      <c r="G221" s="73"/>
      <c r="H221" s="79"/>
      <c r="I221" s="79"/>
      <c r="J221" s="14"/>
      <c r="K221" s="38"/>
      <c r="L221" s="38"/>
      <c r="M221" s="17"/>
    </row>
    <row r="222" spans="2:13" ht="14.45" customHeight="1" x14ac:dyDescent="0.25">
      <c r="B222" s="17"/>
      <c r="C222" s="14"/>
      <c r="D222" s="14"/>
      <c r="E222" s="18"/>
      <c r="F222" s="61"/>
      <c r="G222" s="73"/>
      <c r="H222" s="79"/>
      <c r="I222" s="79"/>
      <c r="J222" s="14"/>
      <c r="K222" s="38"/>
      <c r="L222" s="38"/>
      <c r="M222" s="17"/>
    </row>
    <row r="223" spans="2:13" ht="14.45" customHeight="1" x14ac:dyDescent="0.25">
      <c r="B223" s="17"/>
      <c r="C223" s="14"/>
      <c r="D223" s="14"/>
      <c r="E223" s="18"/>
      <c r="F223" s="61"/>
      <c r="G223" s="73"/>
      <c r="H223" s="79"/>
      <c r="I223" s="79"/>
      <c r="J223" s="14"/>
      <c r="K223" s="38"/>
      <c r="L223" s="38"/>
      <c r="M223" s="17"/>
    </row>
    <row r="224" spans="2:13" ht="14.45" customHeight="1" x14ac:dyDescent="0.25">
      <c r="B224" s="17"/>
      <c r="C224" s="14"/>
      <c r="D224" s="14"/>
      <c r="E224" s="18"/>
      <c r="F224" s="61"/>
      <c r="G224" s="73"/>
      <c r="H224" s="79"/>
      <c r="I224" s="79"/>
      <c r="J224" s="14"/>
      <c r="K224" s="38"/>
      <c r="L224" s="38"/>
      <c r="M224" s="17"/>
    </row>
    <row r="225" spans="2:13" ht="14.45" customHeight="1" x14ac:dyDescent="0.25">
      <c r="B225" s="17"/>
      <c r="C225" s="14"/>
      <c r="D225" s="14"/>
      <c r="E225" s="18"/>
      <c r="F225" s="61"/>
      <c r="G225" s="73"/>
      <c r="H225" s="79"/>
      <c r="I225" s="79"/>
      <c r="J225" s="14"/>
      <c r="K225" s="38"/>
      <c r="L225" s="38"/>
      <c r="M225" s="17"/>
    </row>
    <row r="226" spans="2:13" ht="14.45" customHeight="1" x14ac:dyDescent="0.25">
      <c r="B226" s="17"/>
      <c r="C226" s="14"/>
      <c r="D226" s="14"/>
      <c r="E226" s="18"/>
      <c r="F226" s="61"/>
      <c r="G226" s="73"/>
      <c r="H226" s="79"/>
      <c r="I226" s="79"/>
      <c r="J226" s="14"/>
      <c r="K226" s="38"/>
      <c r="L226" s="38"/>
      <c r="M226" s="17"/>
    </row>
    <row r="227" spans="2:13" ht="14.45" customHeight="1" x14ac:dyDescent="0.25">
      <c r="B227" s="17"/>
      <c r="C227" s="14"/>
      <c r="D227" s="14"/>
      <c r="E227" s="18"/>
      <c r="F227" s="61"/>
      <c r="G227" s="73"/>
      <c r="H227" s="79"/>
      <c r="I227" s="79"/>
      <c r="J227" s="14"/>
      <c r="K227" s="38"/>
      <c r="L227" s="38"/>
      <c r="M227" s="17"/>
    </row>
    <row r="228" spans="2:13" ht="14.45" customHeight="1" x14ac:dyDescent="0.25">
      <c r="B228" s="17"/>
      <c r="C228" s="14"/>
      <c r="D228" s="14"/>
      <c r="E228" s="18"/>
      <c r="F228" s="61"/>
      <c r="G228" s="73"/>
      <c r="H228" s="79"/>
      <c r="I228" s="79"/>
      <c r="J228" s="14"/>
      <c r="K228" s="38"/>
      <c r="L228" s="38"/>
      <c r="M228" s="17"/>
    </row>
    <row r="229" spans="2:13" ht="14.45" customHeight="1" x14ac:dyDescent="0.25">
      <c r="B229" s="17"/>
      <c r="C229" s="14"/>
      <c r="D229" s="14"/>
      <c r="E229" s="18"/>
      <c r="F229" s="61"/>
      <c r="G229" s="73"/>
      <c r="H229" s="79"/>
      <c r="I229" s="79"/>
      <c r="J229" s="14"/>
      <c r="K229" s="38"/>
      <c r="L229" s="38"/>
      <c r="M229" s="17"/>
    </row>
    <row r="230" spans="2:13" ht="14.45" customHeight="1" x14ac:dyDescent="0.25">
      <c r="B230" s="17"/>
      <c r="C230" s="14"/>
      <c r="D230" s="14"/>
      <c r="E230" s="18"/>
      <c r="F230" s="61"/>
      <c r="G230" s="73"/>
      <c r="H230" s="79"/>
      <c r="I230" s="79"/>
      <c r="J230" s="14"/>
      <c r="K230" s="38"/>
      <c r="L230" s="38"/>
      <c r="M230" s="17"/>
    </row>
    <row r="231" spans="2:13" ht="14.45" customHeight="1" x14ac:dyDescent="0.25">
      <c r="B231" s="17"/>
      <c r="C231" s="14"/>
      <c r="D231" s="14"/>
      <c r="E231" s="18"/>
      <c r="F231" s="61"/>
      <c r="G231" s="73"/>
      <c r="H231" s="79"/>
      <c r="I231" s="79"/>
      <c r="J231" s="14"/>
      <c r="K231" s="38"/>
      <c r="L231" s="38"/>
      <c r="M231" s="17"/>
    </row>
    <row r="232" spans="2:13" ht="14.45" customHeight="1" x14ac:dyDescent="0.25">
      <c r="B232" s="17"/>
      <c r="C232" s="14"/>
      <c r="D232" s="14"/>
      <c r="E232" s="18"/>
      <c r="F232" s="61"/>
      <c r="G232" s="73"/>
      <c r="H232" s="79"/>
      <c r="I232" s="79"/>
      <c r="J232" s="14"/>
      <c r="K232" s="38"/>
      <c r="L232" s="38"/>
      <c r="M232" s="17"/>
    </row>
    <row r="233" spans="2:13" ht="14.45" customHeight="1" x14ac:dyDescent="0.25">
      <c r="B233" s="17"/>
      <c r="C233" s="14"/>
      <c r="D233" s="14"/>
      <c r="E233" s="18"/>
      <c r="F233" s="61"/>
      <c r="G233" s="73"/>
      <c r="H233" s="79"/>
      <c r="I233" s="79"/>
      <c r="J233" s="14"/>
      <c r="K233" s="38"/>
      <c r="L233" s="38"/>
      <c r="M233" s="17"/>
    </row>
    <row r="234" spans="2:13" ht="14.45" customHeight="1" x14ac:dyDescent="0.25">
      <c r="B234" s="17"/>
      <c r="C234" s="14"/>
      <c r="D234" s="14"/>
      <c r="E234" s="18"/>
      <c r="F234" s="61"/>
      <c r="G234" s="73"/>
      <c r="H234" s="79"/>
      <c r="I234" s="79"/>
      <c r="J234" s="14"/>
      <c r="K234" s="38"/>
      <c r="L234" s="38"/>
      <c r="M234" s="17"/>
    </row>
    <row r="235" spans="2:13" ht="14.45" customHeight="1" x14ac:dyDescent="0.25">
      <c r="B235" s="17"/>
      <c r="C235" s="14"/>
      <c r="D235" s="14"/>
      <c r="E235" s="18"/>
      <c r="F235" s="61"/>
      <c r="G235" s="73"/>
      <c r="H235" s="79"/>
      <c r="I235" s="79"/>
      <c r="J235" s="14"/>
      <c r="K235" s="38"/>
      <c r="L235" s="38"/>
      <c r="M235" s="17"/>
    </row>
    <row r="236" spans="2:13" ht="14.45" customHeight="1" x14ac:dyDescent="0.25">
      <c r="B236" s="17"/>
      <c r="C236" s="14"/>
      <c r="D236" s="14"/>
      <c r="E236" s="18"/>
      <c r="F236" s="61"/>
      <c r="G236" s="73"/>
      <c r="H236" s="79"/>
      <c r="I236" s="79"/>
      <c r="J236" s="14"/>
      <c r="K236" s="38"/>
      <c r="L236" s="38"/>
      <c r="M236" s="17"/>
    </row>
    <row r="237" spans="2:13" ht="14.45" customHeight="1" x14ac:dyDescent="0.25">
      <c r="B237" s="17"/>
      <c r="C237" s="14"/>
      <c r="D237" s="14"/>
      <c r="E237" s="18"/>
      <c r="F237" s="61"/>
      <c r="G237" s="73"/>
      <c r="H237" s="79"/>
      <c r="I237" s="79"/>
      <c r="J237" s="14"/>
      <c r="K237" s="38"/>
      <c r="L237" s="38"/>
      <c r="M237" s="17"/>
    </row>
    <row r="238" spans="2:13" ht="14.45" customHeight="1" x14ac:dyDescent="0.25">
      <c r="B238" s="17"/>
      <c r="C238" s="14"/>
      <c r="D238" s="14"/>
      <c r="E238" s="18"/>
      <c r="F238" s="61"/>
      <c r="G238" s="73"/>
      <c r="H238" s="79"/>
      <c r="I238" s="79"/>
      <c r="J238" s="14"/>
      <c r="K238" s="38"/>
      <c r="L238" s="38"/>
      <c r="M238" s="17"/>
    </row>
    <row r="239" spans="2:13" ht="14.45" customHeight="1" x14ac:dyDescent="0.25">
      <c r="B239" s="17"/>
      <c r="C239" s="14"/>
      <c r="D239" s="14"/>
      <c r="E239" s="18"/>
      <c r="F239" s="61"/>
      <c r="G239" s="73"/>
      <c r="H239" s="79"/>
      <c r="I239" s="79"/>
      <c r="J239" s="14"/>
      <c r="K239" s="38"/>
      <c r="L239" s="38"/>
      <c r="M239" s="17"/>
    </row>
    <row r="240" spans="2:13" ht="14.45" customHeight="1" x14ac:dyDescent="0.25">
      <c r="B240" s="17"/>
      <c r="C240" s="14"/>
      <c r="D240" s="14"/>
      <c r="E240" s="18"/>
      <c r="F240" s="61"/>
      <c r="G240" s="73"/>
      <c r="H240" s="79"/>
      <c r="I240" s="79"/>
      <c r="J240" s="14"/>
      <c r="K240" s="38"/>
      <c r="L240" s="38"/>
      <c r="M240" s="17"/>
    </row>
    <row r="241" spans="2:13" ht="14.45" customHeight="1" x14ac:dyDescent="0.25">
      <c r="B241" s="17"/>
      <c r="C241" s="14"/>
      <c r="D241" s="14"/>
      <c r="E241" s="18"/>
      <c r="F241" s="61"/>
      <c r="G241" s="73"/>
      <c r="H241" s="79"/>
      <c r="I241" s="79"/>
      <c r="J241" s="14"/>
      <c r="K241" s="38"/>
      <c r="L241" s="38"/>
      <c r="M241" s="17"/>
    </row>
    <row r="242" spans="2:13" ht="14.45" customHeight="1" x14ac:dyDescent="0.25">
      <c r="B242" s="17"/>
      <c r="C242" s="14"/>
      <c r="D242" s="14"/>
      <c r="E242" s="18"/>
      <c r="F242" s="61"/>
      <c r="G242" s="73"/>
      <c r="H242" s="79"/>
      <c r="I242" s="79"/>
      <c r="J242" s="14"/>
      <c r="K242" s="38"/>
      <c r="L242" s="38"/>
      <c r="M242" s="17"/>
    </row>
    <row r="243" spans="2:13" ht="14.45" customHeight="1" x14ac:dyDescent="0.25">
      <c r="B243" s="17"/>
      <c r="C243" s="14"/>
      <c r="D243" s="14"/>
      <c r="E243" s="18"/>
      <c r="F243" s="61"/>
      <c r="G243" s="73"/>
      <c r="H243" s="79"/>
      <c r="I243" s="79"/>
      <c r="J243" s="14"/>
      <c r="K243" s="38"/>
      <c r="L243" s="38"/>
      <c r="M243" s="17"/>
    </row>
    <row r="244" spans="2:13" ht="14.45" customHeight="1" x14ac:dyDescent="0.25">
      <c r="B244" s="17"/>
      <c r="C244" s="14"/>
      <c r="D244" s="14"/>
      <c r="E244" s="18"/>
      <c r="F244" s="61"/>
      <c r="G244" s="73"/>
      <c r="H244" s="79"/>
      <c r="I244" s="79"/>
      <c r="J244" s="14"/>
      <c r="K244" s="38"/>
      <c r="L244" s="38"/>
      <c r="M244" s="17"/>
    </row>
    <row r="245" spans="2:13" ht="14.45" customHeight="1" x14ac:dyDescent="0.25">
      <c r="B245" s="17"/>
      <c r="C245" s="14"/>
      <c r="D245" s="14"/>
      <c r="E245" s="18"/>
      <c r="F245" s="61"/>
      <c r="G245" s="73"/>
      <c r="H245" s="79"/>
      <c r="I245" s="79"/>
      <c r="J245" s="14"/>
      <c r="K245" s="38"/>
      <c r="L245" s="38"/>
      <c r="M245" s="17"/>
    </row>
    <row r="246" spans="2:13" ht="14.45" customHeight="1" x14ac:dyDescent="0.25">
      <c r="B246" s="17"/>
      <c r="C246" s="14"/>
      <c r="D246" s="14"/>
      <c r="E246" s="18"/>
      <c r="F246" s="61"/>
      <c r="G246" s="73"/>
      <c r="H246" s="79"/>
      <c r="I246" s="79"/>
      <c r="J246" s="14"/>
      <c r="K246" s="38"/>
      <c r="L246" s="38"/>
      <c r="M246" s="17"/>
    </row>
    <row r="247" spans="2:13" ht="14.45" customHeight="1" x14ac:dyDescent="0.25">
      <c r="B247" s="17"/>
      <c r="C247" s="14"/>
      <c r="D247" s="14"/>
      <c r="E247" s="18"/>
      <c r="F247" s="61"/>
      <c r="G247" s="73"/>
      <c r="H247" s="79"/>
      <c r="I247" s="79"/>
      <c r="J247" s="14"/>
      <c r="K247" s="38"/>
      <c r="L247" s="38"/>
      <c r="M247" s="17"/>
    </row>
    <row r="248" spans="2:13" ht="14.45" customHeight="1" x14ac:dyDescent="0.25">
      <c r="B248" s="17"/>
      <c r="C248" s="14"/>
      <c r="D248" s="14"/>
      <c r="E248" s="18"/>
      <c r="F248" s="61"/>
      <c r="G248" s="73"/>
      <c r="H248" s="79"/>
      <c r="I248" s="79"/>
      <c r="J248" s="14"/>
      <c r="K248" s="38"/>
      <c r="L248" s="38"/>
      <c r="M248" s="17"/>
    </row>
    <row r="249" spans="2:13" ht="14.45" customHeight="1" x14ac:dyDescent="0.25">
      <c r="B249" s="17"/>
      <c r="C249" s="14"/>
      <c r="D249" s="14"/>
      <c r="E249" s="18"/>
      <c r="F249" s="61"/>
      <c r="G249" s="73"/>
      <c r="H249" s="79"/>
      <c r="I249" s="79"/>
      <c r="J249" s="14"/>
      <c r="K249" s="38"/>
      <c r="L249" s="38"/>
      <c r="M249" s="17"/>
    </row>
    <row r="250" spans="2:13" ht="14.45" customHeight="1" x14ac:dyDescent="0.25">
      <c r="B250" s="17"/>
      <c r="C250" s="14"/>
      <c r="D250" s="14"/>
      <c r="E250" s="18"/>
      <c r="F250" s="61"/>
      <c r="G250" s="73"/>
      <c r="H250" s="79"/>
      <c r="I250" s="79"/>
      <c r="J250" s="14"/>
      <c r="K250" s="38"/>
      <c r="L250" s="38"/>
      <c r="M250" s="17"/>
    </row>
    <row r="251" spans="2:13" ht="14.45" customHeight="1" x14ac:dyDescent="0.25">
      <c r="B251" s="17"/>
      <c r="C251" s="14"/>
      <c r="D251" s="14"/>
      <c r="E251" s="18"/>
      <c r="F251" s="61"/>
      <c r="G251" s="73"/>
      <c r="H251" s="79"/>
      <c r="I251" s="79"/>
      <c r="J251" s="14"/>
      <c r="K251" s="38"/>
      <c r="L251" s="38"/>
      <c r="M251" s="17"/>
    </row>
    <row r="252" spans="2:13" ht="14.45" customHeight="1" x14ac:dyDescent="0.25">
      <c r="B252" s="17"/>
      <c r="C252" s="14"/>
      <c r="D252" s="14"/>
      <c r="E252" s="18"/>
      <c r="F252" s="61"/>
      <c r="G252" s="73"/>
      <c r="H252" s="79"/>
      <c r="I252" s="79"/>
      <c r="J252" s="14"/>
      <c r="K252" s="38"/>
      <c r="L252" s="38"/>
      <c r="M252" s="17"/>
    </row>
    <row r="253" spans="2:13" ht="14.45" customHeight="1" x14ac:dyDescent="0.25">
      <c r="B253" s="17"/>
      <c r="C253" s="14"/>
      <c r="D253" s="14"/>
      <c r="E253" s="18"/>
      <c r="F253" s="61"/>
      <c r="G253" s="73"/>
      <c r="H253" s="79"/>
      <c r="I253" s="79"/>
      <c r="J253" s="14"/>
      <c r="K253" s="38"/>
      <c r="L253" s="38"/>
      <c r="M253" s="17"/>
    </row>
    <row r="254" spans="2:13" ht="14.45" customHeight="1" x14ac:dyDescent="0.25">
      <c r="B254" s="17"/>
      <c r="C254" s="14"/>
      <c r="D254" s="14"/>
      <c r="E254" s="18"/>
      <c r="F254" s="61"/>
      <c r="G254" s="73"/>
      <c r="H254" s="79"/>
      <c r="I254" s="79"/>
      <c r="J254" s="14"/>
      <c r="K254" s="38"/>
      <c r="L254" s="38"/>
      <c r="M254" s="17"/>
    </row>
    <row r="255" spans="2:13" ht="14.45" customHeight="1" x14ac:dyDescent="0.25">
      <c r="B255" s="17"/>
      <c r="C255" s="14"/>
      <c r="D255" s="14"/>
      <c r="E255" s="18"/>
      <c r="F255" s="61"/>
      <c r="G255" s="73"/>
      <c r="H255" s="79"/>
      <c r="I255" s="79"/>
      <c r="J255" s="14"/>
      <c r="K255" s="38"/>
      <c r="L255" s="38"/>
      <c r="M255" s="17"/>
    </row>
    <row r="256" spans="2:13" ht="14.45" customHeight="1" x14ac:dyDescent="0.25">
      <c r="B256" s="17"/>
      <c r="C256" s="14"/>
      <c r="D256" s="14"/>
      <c r="E256" s="18"/>
      <c r="F256" s="61"/>
      <c r="G256" s="73"/>
      <c r="H256" s="79"/>
      <c r="I256" s="79"/>
      <c r="J256" s="14"/>
      <c r="K256" s="38"/>
      <c r="L256" s="38"/>
      <c r="M256" s="17"/>
    </row>
    <row r="257" spans="2:13" ht="14.45" customHeight="1" x14ac:dyDescent="0.25">
      <c r="B257" s="17"/>
      <c r="C257" s="14"/>
      <c r="D257" s="14"/>
      <c r="E257" s="18"/>
      <c r="F257" s="61"/>
      <c r="G257" s="73"/>
      <c r="H257" s="79"/>
      <c r="I257" s="79"/>
      <c r="J257" s="14"/>
      <c r="K257" s="38"/>
      <c r="L257" s="38"/>
      <c r="M257" s="17"/>
    </row>
    <row r="258" spans="2:13" ht="14.45" customHeight="1" x14ac:dyDescent="0.25">
      <c r="B258" s="17"/>
      <c r="C258" s="14"/>
      <c r="D258" s="14"/>
      <c r="E258" s="18"/>
      <c r="F258" s="61"/>
      <c r="G258" s="73"/>
      <c r="H258" s="79"/>
      <c r="I258" s="79"/>
      <c r="J258" s="14"/>
      <c r="K258" s="38"/>
      <c r="L258" s="38"/>
      <c r="M258" s="17"/>
    </row>
    <row r="259" spans="2:13" ht="14.45" customHeight="1" x14ac:dyDescent="0.25">
      <c r="B259" s="17"/>
      <c r="C259" s="14"/>
      <c r="D259" s="14"/>
      <c r="E259" s="18"/>
      <c r="F259" s="61"/>
      <c r="G259" s="73"/>
      <c r="H259" s="79"/>
      <c r="I259" s="79"/>
      <c r="J259" s="14"/>
      <c r="K259" s="38"/>
      <c r="L259" s="38"/>
      <c r="M259" s="17"/>
    </row>
    <row r="260" spans="2:13" ht="14.45" customHeight="1" x14ac:dyDescent="0.25">
      <c r="B260" s="17"/>
      <c r="C260" s="14"/>
      <c r="D260" s="14"/>
      <c r="E260" s="18"/>
      <c r="F260" s="61"/>
      <c r="G260" s="73"/>
      <c r="H260" s="79"/>
      <c r="I260" s="79"/>
      <c r="J260" s="14"/>
      <c r="K260" s="38"/>
      <c r="L260" s="38"/>
      <c r="M260" s="17"/>
    </row>
    <row r="261" spans="2:13" ht="14.45" customHeight="1" x14ac:dyDescent="0.25">
      <c r="B261" s="17"/>
      <c r="C261" s="14"/>
      <c r="D261" s="14"/>
      <c r="E261" s="18"/>
      <c r="F261" s="61"/>
      <c r="G261" s="73"/>
      <c r="H261" s="79"/>
      <c r="I261" s="79"/>
      <c r="J261" s="14"/>
      <c r="K261" s="38"/>
      <c r="L261" s="38"/>
      <c r="M261" s="17"/>
    </row>
    <row r="262" spans="2:13" ht="14.45" customHeight="1" x14ac:dyDescent="0.25">
      <c r="B262" s="17"/>
      <c r="C262" s="14"/>
      <c r="D262" s="14"/>
      <c r="E262" s="18"/>
      <c r="F262" s="61"/>
      <c r="G262" s="73"/>
      <c r="H262" s="79"/>
      <c r="I262" s="79"/>
      <c r="J262" s="14"/>
      <c r="K262" s="38"/>
      <c r="L262" s="38"/>
      <c r="M262" s="17"/>
    </row>
    <row r="263" spans="2:13" ht="14.45" customHeight="1" x14ac:dyDescent="0.25">
      <c r="B263" s="17"/>
      <c r="C263" s="14"/>
      <c r="D263" s="14"/>
      <c r="E263" s="18"/>
      <c r="F263" s="61"/>
      <c r="G263" s="73"/>
      <c r="H263" s="79"/>
      <c r="I263" s="79"/>
      <c r="J263" s="14"/>
      <c r="K263" s="38"/>
      <c r="L263" s="38"/>
      <c r="M263" s="17"/>
    </row>
    <row r="264" spans="2:13" ht="14.45" customHeight="1" x14ac:dyDescent="0.25">
      <c r="B264" s="17"/>
      <c r="C264" s="14"/>
      <c r="D264" s="14"/>
      <c r="E264" s="18"/>
      <c r="F264" s="61"/>
      <c r="G264" s="73"/>
      <c r="H264" s="79"/>
      <c r="I264" s="79"/>
      <c r="J264" s="14"/>
      <c r="K264" s="38"/>
      <c r="L264" s="38"/>
      <c r="M264" s="17"/>
    </row>
    <row r="265" spans="2:13" ht="14.45" customHeight="1" x14ac:dyDescent="0.25">
      <c r="B265" s="17"/>
      <c r="C265" s="14"/>
      <c r="D265" s="14"/>
      <c r="E265" s="18"/>
      <c r="F265" s="61"/>
      <c r="G265" s="73"/>
      <c r="H265" s="79"/>
      <c r="I265" s="79"/>
      <c r="J265" s="14"/>
      <c r="K265" s="38"/>
      <c r="L265" s="38"/>
      <c r="M265" s="17"/>
    </row>
    <row r="266" spans="2:13" ht="14.45" customHeight="1" x14ac:dyDescent="0.25">
      <c r="B266" s="17"/>
      <c r="C266" s="14"/>
      <c r="D266" s="14"/>
      <c r="E266" s="18"/>
      <c r="F266" s="61"/>
      <c r="G266" s="73"/>
      <c r="H266" s="79"/>
      <c r="I266" s="79"/>
      <c r="J266" s="14"/>
      <c r="K266" s="38"/>
      <c r="L266" s="38"/>
      <c r="M266" s="17"/>
    </row>
    <row r="267" spans="2:13" ht="14.45" customHeight="1" x14ac:dyDescent="0.25">
      <c r="B267" s="17"/>
      <c r="C267" s="14"/>
      <c r="D267" s="14"/>
      <c r="E267" s="18"/>
      <c r="F267" s="61"/>
      <c r="G267" s="73"/>
      <c r="H267" s="79"/>
      <c r="I267" s="79"/>
      <c r="J267" s="14"/>
      <c r="K267" s="38"/>
      <c r="L267" s="38"/>
      <c r="M267" s="17"/>
    </row>
    <row r="268" spans="2:13" ht="14.45" customHeight="1" x14ac:dyDescent="0.25">
      <c r="B268" s="17"/>
      <c r="C268" s="14"/>
      <c r="D268" s="14"/>
      <c r="E268" s="18"/>
      <c r="F268" s="61"/>
      <c r="G268" s="73"/>
      <c r="H268" s="79"/>
      <c r="I268" s="79"/>
      <c r="J268" s="14"/>
      <c r="K268" s="38"/>
      <c r="L268" s="38"/>
      <c r="M268" s="17"/>
    </row>
    <row r="269" spans="2:13" ht="14.45" customHeight="1" x14ac:dyDescent="0.25">
      <c r="B269" s="17"/>
      <c r="C269" s="14"/>
      <c r="D269" s="14"/>
      <c r="E269" s="18"/>
      <c r="F269" s="61"/>
      <c r="G269" s="73"/>
      <c r="H269" s="79"/>
      <c r="I269" s="79"/>
      <c r="J269" s="14"/>
      <c r="K269" s="38"/>
      <c r="L269" s="38"/>
      <c r="M269" s="17"/>
    </row>
    <row r="270" spans="2:13" ht="14.45" customHeight="1" x14ac:dyDescent="0.25">
      <c r="B270" s="17"/>
      <c r="C270" s="14"/>
      <c r="D270" s="14"/>
      <c r="E270" s="18"/>
      <c r="F270" s="61"/>
      <c r="G270" s="73"/>
      <c r="H270" s="79"/>
      <c r="I270" s="79"/>
      <c r="J270" s="14"/>
      <c r="K270" s="38"/>
      <c r="L270" s="38"/>
      <c r="M270" s="17"/>
    </row>
    <row r="271" spans="2:13" ht="14.45" customHeight="1" x14ac:dyDescent="0.25">
      <c r="B271" s="17"/>
      <c r="C271" s="14"/>
      <c r="D271" s="14"/>
      <c r="E271" s="18"/>
      <c r="F271" s="61"/>
      <c r="G271" s="73"/>
      <c r="H271" s="79"/>
      <c r="I271" s="79"/>
      <c r="J271" s="14"/>
      <c r="K271" s="38"/>
      <c r="L271" s="38"/>
      <c r="M271" s="17"/>
    </row>
    <row r="272" spans="2:13" ht="14.45" customHeight="1" x14ac:dyDescent="0.25">
      <c r="B272" s="17"/>
      <c r="C272" s="14"/>
      <c r="D272" s="14"/>
      <c r="E272" s="18"/>
      <c r="F272" s="61"/>
      <c r="G272" s="73"/>
      <c r="H272" s="79"/>
      <c r="I272" s="79"/>
      <c r="J272" s="14"/>
      <c r="K272" s="38"/>
      <c r="L272" s="38"/>
      <c r="M272" s="17"/>
    </row>
    <row r="273" spans="2:13" ht="14.45" customHeight="1" x14ac:dyDescent="0.25">
      <c r="B273" s="17"/>
      <c r="C273" s="14"/>
      <c r="D273" s="14"/>
      <c r="E273" s="18"/>
      <c r="F273" s="61"/>
      <c r="G273" s="73"/>
      <c r="H273" s="79"/>
      <c r="I273" s="79"/>
      <c r="J273" s="14"/>
      <c r="K273" s="38"/>
      <c r="L273" s="38"/>
      <c r="M273" s="17"/>
    </row>
    <row r="274" spans="2:13" ht="14.45" customHeight="1" x14ac:dyDescent="0.25">
      <c r="B274" s="17"/>
      <c r="C274" s="14"/>
      <c r="D274" s="14"/>
      <c r="E274" s="18"/>
      <c r="F274" s="61"/>
      <c r="G274" s="73"/>
      <c r="H274" s="79"/>
      <c r="I274" s="79"/>
      <c r="J274" s="14"/>
      <c r="K274" s="38"/>
      <c r="L274" s="38"/>
      <c r="M274" s="17"/>
    </row>
    <row r="275" spans="2:13" ht="14.45" customHeight="1" x14ac:dyDescent="0.25">
      <c r="B275" s="17"/>
      <c r="C275" s="14"/>
      <c r="D275" s="14"/>
      <c r="E275" s="18"/>
      <c r="F275" s="61"/>
      <c r="G275" s="73"/>
      <c r="H275" s="79"/>
      <c r="I275" s="79"/>
      <c r="J275" s="14"/>
      <c r="K275" s="38"/>
      <c r="L275" s="38"/>
      <c r="M275" s="17"/>
    </row>
    <row r="276" spans="2:13" ht="14.45" customHeight="1" x14ac:dyDescent="0.25">
      <c r="B276" s="17"/>
      <c r="C276" s="14"/>
      <c r="D276" s="14"/>
      <c r="E276" s="18"/>
      <c r="F276" s="61"/>
      <c r="G276" s="73"/>
      <c r="H276" s="79"/>
      <c r="I276" s="79"/>
      <c r="J276" s="14"/>
      <c r="K276" s="38"/>
      <c r="L276" s="38"/>
      <c r="M276" s="17"/>
    </row>
    <row r="277" spans="2:13" ht="14.45" customHeight="1" x14ac:dyDescent="0.25">
      <c r="B277" s="17"/>
      <c r="C277" s="14"/>
      <c r="D277" s="14"/>
      <c r="E277" s="18"/>
      <c r="F277" s="61"/>
      <c r="G277" s="73"/>
      <c r="H277" s="79"/>
      <c r="I277" s="79"/>
      <c r="J277" s="14"/>
      <c r="K277" s="38"/>
      <c r="L277" s="38"/>
      <c r="M277" s="17"/>
    </row>
    <row r="278" spans="2:13" ht="14.45" customHeight="1" x14ac:dyDescent="0.25">
      <c r="B278" s="17"/>
      <c r="C278" s="14"/>
      <c r="D278" s="14"/>
      <c r="E278" s="18"/>
      <c r="F278" s="61"/>
      <c r="G278" s="73"/>
      <c r="H278" s="79"/>
      <c r="I278" s="79"/>
      <c r="J278" s="14"/>
      <c r="K278" s="38"/>
      <c r="L278" s="38"/>
      <c r="M278" s="17"/>
    </row>
    <row r="279" spans="2:13" ht="14.45" customHeight="1" x14ac:dyDescent="0.25">
      <c r="B279" s="17"/>
      <c r="C279" s="14"/>
      <c r="D279" s="14"/>
      <c r="E279" s="18"/>
      <c r="F279" s="61"/>
      <c r="G279" s="73"/>
      <c r="H279" s="79"/>
      <c r="I279" s="79"/>
      <c r="J279" s="14"/>
      <c r="K279" s="38"/>
      <c r="L279" s="38"/>
      <c r="M279" s="17"/>
    </row>
    <row r="280" spans="2:13" ht="14.45" customHeight="1" x14ac:dyDescent="0.25">
      <c r="B280" s="17"/>
      <c r="C280" s="14"/>
      <c r="D280" s="14"/>
      <c r="E280" s="18"/>
      <c r="F280" s="61"/>
      <c r="G280" s="73"/>
      <c r="H280" s="79"/>
      <c r="I280" s="79"/>
      <c r="J280" s="14"/>
      <c r="K280" s="38"/>
      <c r="L280" s="38"/>
      <c r="M280" s="17"/>
    </row>
    <row r="281" spans="2:13" ht="14.45" customHeight="1" x14ac:dyDescent="0.25">
      <c r="B281" s="17"/>
      <c r="C281" s="14"/>
      <c r="D281" s="14"/>
      <c r="E281" s="18"/>
      <c r="F281" s="61"/>
      <c r="G281" s="73"/>
      <c r="H281" s="79"/>
      <c r="I281" s="79"/>
      <c r="J281" s="14"/>
      <c r="K281" s="38"/>
      <c r="L281" s="38"/>
      <c r="M281" s="17"/>
    </row>
    <row r="282" spans="2:13" ht="14.45" customHeight="1" x14ac:dyDescent="0.25">
      <c r="B282" s="17"/>
      <c r="C282" s="14"/>
      <c r="D282" s="14"/>
      <c r="E282" s="18"/>
      <c r="F282" s="61"/>
      <c r="G282" s="73"/>
      <c r="H282" s="79"/>
      <c r="I282" s="79"/>
      <c r="J282" s="14"/>
      <c r="K282" s="38"/>
      <c r="L282" s="38"/>
      <c r="M282" s="17"/>
    </row>
    <row r="283" spans="2:13" ht="14.45" customHeight="1" x14ac:dyDescent="0.25">
      <c r="B283" s="17"/>
      <c r="C283" s="14"/>
      <c r="D283" s="14"/>
      <c r="E283" s="18"/>
      <c r="F283" s="61"/>
      <c r="G283" s="73"/>
      <c r="H283" s="79"/>
      <c r="I283" s="79"/>
      <c r="J283" s="14"/>
      <c r="K283" s="38"/>
      <c r="L283" s="38"/>
      <c r="M283" s="17"/>
    </row>
    <row r="284" spans="2:13" ht="14.45" customHeight="1" x14ac:dyDescent="0.25">
      <c r="B284" s="17"/>
      <c r="C284" s="14"/>
      <c r="D284" s="14"/>
      <c r="E284" s="18"/>
      <c r="F284" s="61"/>
      <c r="G284" s="73"/>
      <c r="H284" s="79"/>
      <c r="I284" s="79"/>
      <c r="J284" s="14"/>
      <c r="K284" s="38"/>
      <c r="L284" s="38"/>
      <c r="M284" s="17"/>
    </row>
    <row r="285" spans="2:13" ht="14.45" customHeight="1" x14ac:dyDescent="0.25">
      <c r="B285" s="17"/>
      <c r="C285" s="14"/>
      <c r="D285" s="14"/>
      <c r="E285" s="18"/>
      <c r="F285" s="61"/>
      <c r="G285" s="73"/>
      <c r="H285" s="79"/>
      <c r="I285" s="79"/>
      <c r="J285" s="14"/>
      <c r="K285" s="38"/>
      <c r="L285" s="38"/>
      <c r="M285" s="17"/>
    </row>
    <row r="286" spans="2:13" ht="14.45" customHeight="1" x14ac:dyDescent="0.25">
      <c r="B286" s="17"/>
      <c r="C286" s="14"/>
      <c r="D286" s="14"/>
      <c r="E286" s="18"/>
      <c r="F286" s="61"/>
      <c r="G286" s="73"/>
      <c r="H286" s="79"/>
      <c r="I286" s="79"/>
      <c r="J286" s="14"/>
      <c r="K286" s="38"/>
      <c r="L286" s="38"/>
      <c r="M286" s="17"/>
    </row>
    <row r="287" spans="2:13" ht="14.45" customHeight="1" x14ac:dyDescent="0.25">
      <c r="B287" s="17"/>
      <c r="C287" s="14"/>
      <c r="D287" s="14"/>
      <c r="E287" s="18"/>
      <c r="F287" s="61"/>
      <c r="G287" s="73"/>
      <c r="H287" s="79"/>
      <c r="I287" s="79"/>
      <c r="J287" s="14"/>
      <c r="K287" s="38"/>
      <c r="L287" s="38"/>
      <c r="M287" s="17"/>
    </row>
    <row r="288" spans="2:13" ht="14.45" customHeight="1" x14ac:dyDescent="0.25">
      <c r="B288" s="17"/>
      <c r="C288" s="14"/>
      <c r="D288" s="14"/>
      <c r="E288" s="18"/>
      <c r="F288" s="61"/>
      <c r="G288" s="73"/>
      <c r="H288" s="79"/>
      <c r="I288" s="79"/>
      <c r="J288" s="14"/>
      <c r="K288" s="38"/>
      <c r="L288" s="38"/>
      <c r="M288" s="17"/>
    </row>
    <row r="289" spans="2:13" ht="14.45" customHeight="1" x14ac:dyDescent="0.25">
      <c r="B289" s="17"/>
      <c r="C289" s="14"/>
      <c r="D289" s="14"/>
      <c r="E289" s="18"/>
      <c r="F289" s="61"/>
      <c r="G289" s="73"/>
      <c r="H289" s="79"/>
      <c r="I289" s="79"/>
      <c r="J289" s="14"/>
      <c r="K289" s="38"/>
      <c r="L289" s="38"/>
      <c r="M289" s="17"/>
    </row>
    <row r="290" spans="2:13" ht="14.45" customHeight="1" x14ac:dyDescent="0.25">
      <c r="B290" s="17"/>
      <c r="C290" s="14"/>
      <c r="D290" s="14"/>
      <c r="E290" s="18"/>
      <c r="F290" s="61"/>
      <c r="G290" s="73"/>
      <c r="H290" s="79"/>
      <c r="I290" s="79"/>
      <c r="J290" s="14"/>
      <c r="K290" s="38"/>
      <c r="L290" s="38"/>
      <c r="M290" s="17"/>
    </row>
    <row r="291" spans="2:13" ht="14.45" customHeight="1" x14ac:dyDescent="0.25">
      <c r="B291" s="17"/>
      <c r="C291" s="14"/>
      <c r="D291" s="14"/>
      <c r="E291" s="18"/>
      <c r="F291" s="61"/>
      <c r="G291" s="73"/>
      <c r="H291" s="79"/>
      <c r="I291" s="79"/>
      <c r="J291" s="14"/>
      <c r="K291" s="38"/>
      <c r="L291" s="38"/>
      <c r="M291" s="17"/>
    </row>
    <row r="292" spans="2:13" ht="14.45" customHeight="1" x14ac:dyDescent="0.25">
      <c r="B292" s="17"/>
      <c r="C292" s="14"/>
      <c r="D292" s="14"/>
      <c r="E292" s="18"/>
      <c r="F292" s="61"/>
      <c r="G292" s="73"/>
      <c r="H292" s="79"/>
      <c r="I292" s="79"/>
      <c r="J292" s="14"/>
      <c r="K292" s="38"/>
      <c r="L292" s="38"/>
      <c r="M292" s="17"/>
    </row>
    <row r="293" spans="2:13" ht="14.45" customHeight="1" x14ac:dyDescent="0.25">
      <c r="B293" s="17"/>
      <c r="C293" s="14"/>
      <c r="D293" s="14"/>
      <c r="E293" s="18"/>
      <c r="F293" s="61"/>
      <c r="G293" s="73"/>
      <c r="H293" s="79"/>
      <c r="I293" s="79"/>
      <c r="J293" s="14"/>
      <c r="K293" s="38"/>
      <c r="L293" s="38"/>
      <c r="M293" s="17"/>
    </row>
    <row r="294" spans="2:13" ht="14.45" customHeight="1" x14ac:dyDescent="0.25">
      <c r="B294" s="17"/>
      <c r="C294" s="14"/>
      <c r="D294" s="14"/>
      <c r="E294" s="18"/>
      <c r="F294" s="61"/>
      <c r="G294" s="73"/>
      <c r="H294" s="79"/>
      <c r="I294" s="79"/>
      <c r="J294" s="14"/>
      <c r="K294" s="38"/>
      <c r="L294" s="38"/>
      <c r="M294" s="17"/>
    </row>
    <row r="295" spans="2:13" ht="14.45" customHeight="1" x14ac:dyDescent="0.25">
      <c r="B295" s="17"/>
      <c r="C295" s="14"/>
      <c r="D295" s="14"/>
      <c r="E295" s="18"/>
      <c r="F295" s="61"/>
      <c r="G295" s="73"/>
      <c r="H295" s="79"/>
      <c r="I295" s="79"/>
      <c r="J295" s="14"/>
      <c r="K295" s="38"/>
      <c r="L295" s="38"/>
      <c r="M295" s="17"/>
    </row>
    <row r="296" spans="2:13" ht="14.45" customHeight="1" x14ac:dyDescent="0.25">
      <c r="B296" s="17"/>
      <c r="C296" s="14"/>
      <c r="D296" s="14"/>
      <c r="E296" s="18"/>
      <c r="F296" s="61"/>
      <c r="G296" s="73"/>
      <c r="H296" s="79"/>
      <c r="I296" s="79"/>
      <c r="J296" s="14"/>
      <c r="K296" s="38"/>
      <c r="L296" s="38"/>
      <c r="M296" s="17"/>
    </row>
    <row r="297" spans="2:13" ht="14.45" customHeight="1" x14ac:dyDescent="0.25">
      <c r="B297" s="17"/>
      <c r="C297" s="14"/>
      <c r="D297" s="14"/>
      <c r="E297" s="18"/>
      <c r="F297" s="61"/>
      <c r="G297" s="73"/>
      <c r="H297" s="79"/>
      <c r="I297" s="79"/>
      <c r="J297" s="14"/>
      <c r="K297" s="38"/>
      <c r="L297" s="38"/>
      <c r="M297" s="17"/>
    </row>
    <row r="298" spans="2:13" ht="14.45" customHeight="1" x14ac:dyDescent="0.25">
      <c r="B298" s="17"/>
      <c r="C298" s="14"/>
      <c r="D298" s="14"/>
      <c r="E298" s="18"/>
      <c r="F298" s="61"/>
      <c r="G298" s="73"/>
      <c r="H298" s="79"/>
      <c r="I298" s="79"/>
      <c r="J298" s="14"/>
      <c r="K298" s="38"/>
      <c r="L298" s="38"/>
      <c r="M298" s="17"/>
    </row>
    <row r="299" spans="2:13" ht="14.45" customHeight="1" x14ac:dyDescent="0.25">
      <c r="B299" s="17"/>
      <c r="C299" s="14"/>
      <c r="D299" s="14"/>
      <c r="E299" s="18"/>
      <c r="F299" s="61"/>
      <c r="G299" s="73"/>
      <c r="H299" s="79"/>
      <c r="I299" s="79"/>
      <c r="J299" s="14"/>
      <c r="K299" s="38"/>
      <c r="L299" s="38"/>
      <c r="M299" s="17"/>
    </row>
    <row r="300" spans="2:13" ht="14.45" customHeight="1" x14ac:dyDescent="0.25">
      <c r="B300" s="17"/>
      <c r="C300" s="14"/>
      <c r="D300" s="14"/>
      <c r="E300" s="18"/>
      <c r="F300" s="61"/>
      <c r="G300" s="73"/>
      <c r="H300" s="79"/>
      <c r="I300" s="79"/>
      <c r="J300" s="14"/>
      <c r="K300" s="38"/>
      <c r="L300" s="38"/>
      <c r="M300" s="17"/>
    </row>
    <row r="301" spans="2:13" ht="14.45" customHeight="1" x14ac:dyDescent="0.25">
      <c r="B301" s="17"/>
      <c r="C301" s="14"/>
      <c r="D301" s="14"/>
      <c r="E301" s="18"/>
      <c r="F301" s="61"/>
      <c r="G301" s="73"/>
      <c r="H301" s="79"/>
      <c r="I301" s="79"/>
      <c r="J301" s="14"/>
      <c r="K301" s="38"/>
      <c r="L301" s="38"/>
      <c r="M301" s="17"/>
    </row>
    <row r="302" spans="2:13" ht="14.45" customHeight="1" x14ac:dyDescent="0.25">
      <c r="B302" s="17"/>
      <c r="C302" s="14"/>
      <c r="D302" s="14"/>
      <c r="E302" s="18"/>
      <c r="F302" s="61"/>
      <c r="G302" s="73"/>
      <c r="H302" s="79"/>
      <c r="I302" s="79"/>
      <c r="J302" s="14"/>
      <c r="K302" s="38"/>
      <c r="L302" s="38"/>
      <c r="M302" s="17"/>
    </row>
    <row r="303" spans="2:13" ht="14.45" customHeight="1" x14ac:dyDescent="0.25">
      <c r="B303" s="17"/>
      <c r="C303" s="14"/>
      <c r="D303" s="14"/>
      <c r="E303" s="18"/>
      <c r="F303" s="61"/>
      <c r="G303" s="73"/>
      <c r="H303" s="79"/>
      <c r="I303" s="79"/>
      <c r="J303" s="14"/>
      <c r="K303" s="38"/>
      <c r="L303" s="38"/>
      <c r="M303" s="17"/>
    </row>
    <row r="304" spans="2:13" ht="14.45" customHeight="1" x14ac:dyDescent="0.25">
      <c r="B304" s="17"/>
      <c r="C304" s="14"/>
      <c r="D304" s="14"/>
      <c r="E304" s="18"/>
      <c r="F304" s="61"/>
      <c r="G304" s="73"/>
      <c r="H304" s="79"/>
      <c r="I304" s="79"/>
      <c r="J304" s="14"/>
      <c r="K304" s="38"/>
      <c r="L304" s="38"/>
      <c r="M304" s="17"/>
    </row>
    <row r="305" spans="2:13" ht="14.45" customHeight="1" x14ac:dyDescent="0.25">
      <c r="B305" s="17"/>
      <c r="C305" s="14"/>
      <c r="D305" s="14"/>
      <c r="E305" s="18"/>
      <c r="F305" s="61"/>
      <c r="G305" s="73"/>
      <c r="H305" s="79"/>
      <c r="I305" s="79"/>
      <c r="J305" s="14"/>
      <c r="K305" s="38"/>
      <c r="L305" s="38"/>
      <c r="M305" s="17"/>
    </row>
    <row r="306" spans="2:13" ht="14.45" customHeight="1" x14ac:dyDescent="0.25">
      <c r="B306" s="17"/>
      <c r="C306" s="14"/>
      <c r="D306" s="14"/>
      <c r="E306" s="18"/>
      <c r="F306" s="61"/>
      <c r="G306" s="73"/>
      <c r="H306" s="79"/>
      <c r="I306" s="79"/>
      <c r="J306" s="14"/>
      <c r="K306" s="38"/>
      <c r="L306" s="38"/>
      <c r="M306" s="17"/>
    </row>
    <row r="307" spans="2:13" ht="14.45" customHeight="1" x14ac:dyDescent="0.25">
      <c r="B307" s="17"/>
      <c r="C307" s="14"/>
      <c r="D307" s="14"/>
      <c r="E307" s="18"/>
      <c r="F307" s="61"/>
      <c r="G307" s="73"/>
      <c r="H307" s="79"/>
      <c r="I307" s="79"/>
      <c r="J307" s="14"/>
      <c r="K307" s="38"/>
      <c r="L307" s="38"/>
      <c r="M307" s="17"/>
    </row>
    <row r="308" spans="2:13" ht="14.45" customHeight="1" x14ac:dyDescent="0.25">
      <c r="B308" s="17"/>
      <c r="C308" s="14"/>
      <c r="D308" s="14"/>
      <c r="E308" s="18"/>
      <c r="F308" s="61"/>
      <c r="G308" s="73"/>
      <c r="H308" s="79"/>
      <c r="I308" s="79"/>
      <c r="J308" s="14"/>
      <c r="K308" s="38"/>
      <c r="L308" s="38"/>
      <c r="M308" s="17"/>
    </row>
    <row r="309" spans="2:13" ht="14.45" customHeight="1" x14ac:dyDescent="0.25">
      <c r="B309" s="17"/>
      <c r="C309" s="14"/>
      <c r="D309" s="14"/>
      <c r="E309" s="18"/>
      <c r="F309" s="61"/>
      <c r="G309" s="73"/>
      <c r="H309" s="79"/>
      <c r="I309" s="79"/>
      <c r="J309" s="14"/>
      <c r="K309" s="38"/>
      <c r="L309" s="38"/>
      <c r="M309" s="17"/>
    </row>
    <row r="310" spans="2:13" ht="14.45" customHeight="1" x14ac:dyDescent="0.25">
      <c r="B310" s="17"/>
      <c r="C310" s="14"/>
      <c r="D310" s="14"/>
      <c r="E310" s="18"/>
      <c r="F310" s="61"/>
      <c r="G310" s="73"/>
      <c r="H310" s="79"/>
      <c r="I310" s="79"/>
      <c r="J310" s="14"/>
      <c r="K310" s="38"/>
      <c r="L310" s="38"/>
      <c r="M310" s="17"/>
    </row>
    <row r="311" spans="2:13" ht="14.45" customHeight="1" x14ac:dyDescent="0.25">
      <c r="B311" s="17"/>
      <c r="C311" s="14"/>
      <c r="D311" s="14"/>
      <c r="E311" s="18"/>
      <c r="F311" s="61"/>
      <c r="G311" s="73"/>
      <c r="H311" s="79"/>
      <c r="I311" s="79"/>
      <c r="J311" s="14"/>
      <c r="K311" s="38"/>
      <c r="L311" s="38"/>
      <c r="M311" s="17"/>
    </row>
    <row r="312" spans="2:13" ht="14.45" customHeight="1" x14ac:dyDescent="0.25">
      <c r="B312" s="17"/>
      <c r="C312" s="14"/>
      <c r="D312" s="14"/>
      <c r="E312" s="18"/>
      <c r="F312" s="61"/>
      <c r="G312" s="73"/>
      <c r="H312" s="79"/>
      <c r="I312" s="79"/>
      <c r="J312" s="14"/>
      <c r="K312" s="38"/>
      <c r="L312" s="38"/>
      <c r="M312" s="17"/>
    </row>
    <row r="313" spans="2:13" ht="14.45" customHeight="1" x14ac:dyDescent="0.25">
      <c r="B313" s="17"/>
      <c r="C313" s="14"/>
      <c r="D313" s="14"/>
      <c r="E313" s="18"/>
      <c r="F313" s="61"/>
      <c r="G313" s="73"/>
      <c r="H313" s="79"/>
      <c r="I313" s="79"/>
      <c r="J313" s="14"/>
      <c r="K313" s="38"/>
      <c r="L313" s="38"/>
      <c r="M313" s="17"/>
    </row>
    <row r="314" spans="2:13" ht="14.45" customHeight="1" x14ac:dyDescent="0.25">
      <c r="B314" s="17"/>
      <c r="C314" s="14"/>
      <c r="D314" s="14"/>
      <c r="E314" s="18"/>
      <c r="F314" s="61"/>
      <c r="G314" s="73"/>
      <c r="H314" s="79"/>
      <c r="I314" s="79"/>
      <c r="J314" s="14"/>
      <c r="K314" s="38"/>
      <c r="L314" s="38"/>
      <c r="M314" s="17"/>
    </row>
    <row r="315" spans="2:13" ht="14.45" customHeight="1" x14ac:dyDescent="0.25">
      <c r="B315" s="17"/>
      <c r="C315" s="14"/>
      <c r="D315" s="14"/>
      <c r="E315" s="18"/>
      <c r="F315" s="61"/>
      <c r="G315" s="73"/>
      <c r="H315" s="79"/>
      <c r="I315" s="79"/>
      <c r="J315" s="14"/>
      <c r="K315" s="38"/>
      <c r="L315" s="38"/>
      <c r="M315" s="17"/>
    </row>
    <row r="316" spans="2:13" ht="14.45" customHeight="1" x14ac:dyDescent="0.25">
      <c r="B316" s="17"/>
      <c r="C316" s="14"/>
      <c r="D316" s="14"/>
      <c r="E316" s="18"/>
      <c r="F316" s="61"/>
      <c r="G316" s="73"/>
      <c r="H316" s="79"/>
      <c r="I316" s="79"/>
      <c r="J316" s="14"/>
      <c r="K316" s="38"/>
      <c r="L316" s="38"/>
      <c r="M316" s="17"/>
    </row>
    <row r="317" spans="2:13" ht="14.45" customHeight="1" x14ac:dyDescent="0.25">
      <c r="B317" s="17"/>
      <c r="C317" s="14"/>
      <c r="D317" s="14"/>
      <c r="E317" s="18"/>
      <c r="F317" s="61"/>
      <c r="G317" s="73"/>
      <c r="H317" s="79"/>
      <c r="I317" s="79"/>
      <c r="J317" s="14"/>
      <c r="K317" s="38"/>
      <c r="L317" s="38"/>
      <c r="M317" s="17"/>
    </row>
    <row r="318" spans="2:13" ht="14.45" customHeight="1" x14ac:dyDescent="0.25">
      <c r="B318" s="17"/>
      <c r="C318" s="14"/>
      <c r="D318" s="14"/>
      <c r="E318" s="18"/>
      <c r="F318" s="61"/>
      <c r="G318" s="73"/>
      <c r="H318" s="79"/>
      <c r="I318" s="79"/>
      <c r="J318" s="14"/>
      <c r="K318" s="38"/>
      <c r="L318" s="38"/>
      <c r="M318" s="17"/>
    </row>
    <row r="319" spans="2:13" ht="14.45" customHeight="1" x14ac:dyDescent="0.25">
      <c r="B319" s="17"/>
      <c r="C319" s="14"/>
      <c r="D319" s="14"/>
      <c r="E319" s="18"/>
      <c r="F319" s="61"/>
      <c r="G319" s="73"/>
      <c r="H319" s="79"/>
      <c r="I319" s="79"/>
      <c r="J319" s="14"/>
      <c r="K319" s="38"/>
      <c r="L319" s="38"/>
      <c r="M319" s="17"/>
    </row>
    <row r="320" spans="2:13" ht="14.45" customHeight="1" x14ac:dyDescent="0.25">
      <c r="B320" s="17"/>
      <c r="C320" s="14"/>
      <c r="D320" s="14"/>
      <c r="E320" s="18"/>
      <c r="F320" s="61"/>
      <c r="G320" s="73"/>
      <c r="H320" s="79"/>
      <c r="I320" s="79"/>
      <c r="J320" s="14"/>
      <c r="K320" s="38"/>
      <c r="L320" s="38"/>
      <c r="M320" s="17"/>
    </row>
    <row r="321" spans="2:13" ht="14.45" customHeight="1" x14ac:dyDescent="0.25">
      <c r="B321" s="17"/>
      <c r="C321" s="14"/>
      <c r="D321" s="14"/>
      <c r="E321" s="18"/>
      <c r="F321" s="61"/>
      <c r="G321" s="73"/>
      <c r="H321" s="79"/>
      <c r="I321" s="79"/>
      <c r="J321" s="14"/>
      <c r="K321" s="38"/>
      <c r="L321" s="38"/>
      <c r="M321" s="17"/>
    </row>
    <row r="322" spans="2:13" ht="14.45" customHeight="1" x14ac:dyDescent="0.25">
      <c r="B322" s="17"/>
      <c r="C322" s="14"/>
      <c r="D322" s="14"/>
      <c r="E322" s="18"/>
      <c r="F322" s="61"/>
      <c r="G322" s="73"/>
      <c r="H322" s="79"/>
      <c r="I322" s="79"/>
      <c r="J322" s="14"/>
      <c r="K322" s="38"/>
      <c r="L322" s="38"/>
      <c r="M322" s="17"/>
    </row>
    <row r="323" spans="2:13" ht="14.45" customHeight="1" x14ac:dyDescent="0.25">
      <c r="B323" s="17"/>
      <c r="C323" s="14"/>
      <c r="D323" s="14"/>
      <c r="E323" s="18"/>
      <c r="F323" s="61"/>
      <c r="G323" s="73"/>
      <c r="H323" s="79"/>
      <c r="I323" s="79"/>
      <c r="J323" s="14"/>
      <c r="K323" s="38"/>
      <c r="L323" s="38"/>
      <c r="M323" s="17"/>
    </row>
    <row r="324" spans="2:13" ht="14.45" customHeight="1" x14ac:dyDescent="0.25">
      <c r="B324" s="17"/>
      <c r="C324" s="14"/>
      <c r="D324" s="14"/>
      <c r="E324" s="18"/>
      <c r="F324" s="61"/>
      <c r="G324" s="73"/>
      <c r="H324" s="79"/>
      <c r="I324" s="79"/>
      <c r="J324" s="14"/>
      <c r="K324" s="38"/>
      <c r="L324" s="38"/>
      <c r="M324" s="17"/>
    </row>
    <row r="325" spans="2:13" ht="14.45" customHeight="1" x14ac:dyDescent="0.25">
      <c r="B325" s="17"/>
      <c r="C325" s="14"/>
      <c r="D325" s="14"/>
      <c r="E325" s="18"/>
      <c r="F325" s="61"/>
      <c r="G325" s="73"/>
      <c r="H325" s="79"/>
      <c r="I325" s="79"/>
      <c r="J325" s="14"/>
      <c r="K325" s="38"/>
      <c r="L325" s="38"/>
      <c r="M325" s="17"/>
    </row>
    <row r="326" spans="2:13" ht="14.45" customHeight="1" x14ac:dyDescent="0.25">
      <c r="B326" s="17"/>
      <c r="C326" s="14"/>
      <c r="D326" s="14"/>
      <c r="E326" s="18"/>
      <c r="F326" s="61"/>
      <c r="G326" s="73"/>
      <c r="H326" s="79"/>
      <c r="I326" s="79"/>
      <c r="J326" s="14"/>
      <c r="K326" s="38"/>
      <c r="L326" s="38"/>
      <c r="M326" s="17"/>
    </row>
    <row r="327" spans="2:13" ht="14.45" customHeight="1" x14ac:dyDescent="0.25">
      <c r="B327" s="17"/>
      <c r="C327" s="14"/>
      <c r="D327" s="14"/>
      <c r="E327" s="18"/>
      <c r="F327" s="61"/>
      <c r="G327" s="73"/>
      <c r="H327" s="79"/>
      <c r="I327" s="79"/>
      <c r="J327" s="14"/>
      <c r="K327" s="38"/>
      <c r="L327" s="38"/>
      <c r="M327" s="17"/>
    </row>
    <row r="328" spans="2:13" ht="14.45" customHeight="1" x14ac:dyDescent="0.25">
      <c r="B328" s="17"/>
      <c r="C328" s="14"/>
      <c r="D328" s="14"/>
      <c r="E328" s="18"/>
      <c r="F328" s="61"/>
      <c r="G328" s="73"/>
      <c r="H328" s="79"/>
      <c r="I328" s="79"/>
      <c r="J328" s="14"/>
      <c r="K328" s="38"/>
      <c r="L328" s="38"/>
      <c r="M328" s="17"/>
    </row>
    <row r="329" spans="2:13" ht="14.45" customHeight="1" x14ac:dyDescent="0.25">
      <c r="B329" s="17"/>
      <c r="C329" s="14"/>
      <c r="D329" s="14"/>
      <c r="E329" s="18"/>
      <c r="F329" s="61"/>
      <c r="G329" s="73"/>
      <c r="H329" s="79"/>
      <c r="I329" s="79"/>
      <c r="J329" s="14"/>
      <c r="K329" s="38"/>
      <c r="L329" s="38"/>
      <c r="M329" s="17"/>
    </row>
    <row r="330" spans="2:13" ht="14.45" customHeight="1" x14ac:dyDescent="0.25">
      <c r="B330" s="17"/>
      <c r="C330" s="14"/>
      <c r="D330" s="14"/>
      <c r="E330" s="18"/>
      <c r="F330" s="61"/>
      <c r="G330" s="73"/>
      <c r="H330" s="79"/>
      <c r="I330" s="79"/>
      <c r="J330" s="14"/>
      <c r="K330" s="38"/>
      <c r="L330" s="38"/>
      <c r="M330" s="17"/>
    </row>
    <row r="331" spans="2:13" ht="14.45" customHeight="1" x14ac:dyDescent="0.25">
      <c r="B331" s="17"/>
      <c r="C331" s="14"/>
      <c r="D331" s="14"/>
      <c r="E331" s="18"/>
      <c r="F331" s="61"/>
      <c r="G331" s="73"/>
      <c r="H331" s="79"/>
      <c r="I331" s="79"/>
      <c r="J331" s="14"/>
      <c r="K331" s="38"/>
      <c r="L331" s="38"/>
      <c r="M331" s="17"/>
    </row>
    <row r="332" spans="2:13" ht="14.45" customHeight="1" x14ac:dyDescent="0.25">
      <c r="B332" s="17"/>
      <c r="C332" s="14"/>
      <c r="D332" s="14"/>
      <c r="E332" s="18"/>
      <c r="F332" s="61"/>
      <c r="G332" s="73"/>
      <c r="H332" s="79"/>
      <c r="I332" s="79"/>
      <c r="J332" s="14"/>
      <c r="K332" s="38"/>
      <c r="L332" s="38"/>
      <c r="M332" s="17"/>
    </row>
    <row r="333" spans="2:13" ht="14.45" customHeight="1" x14ac:dyDescent="0.25">
      <c r="B333" s="17"/>
      <c r="C333" s="14"/>
      <c r="D333" s="14"/>
      <c r="E333" s="18"/>
      <c r="F333" s="61"/>
      <c r="G333" s="73"/>
      <c r="H333" s="79"/>
      <c r="I333" s="79"/>
      <c r="J333" s="14"/>
      <c r="K333" s="38"/>
      <c r="L333" s="38"/>
      <c r="M333" s="17"/>
    </row>
    <row r="334" spans="2:13" ht="14.45" customHeight="1" x14ac:dyDescent="0.25">
      <c r="B334" s="17"/>
      <c r="C334" s="14"/>
      <c r="D334" s="14"/>
      <c r="E334" s="18"/>
      <c r="F334" s="61"/>
      <c r="G334" s="73"/>
      <c r="H334" s="79"/>
      <c r="I334" s="79"/>
      <c r="J334" s="14"/>
      <c r="K334" s="38"/>
      <c r="L334" s="38"/>
      <c r="M334" s="17"/>
    </row>
    <row r="335" spans="2:13" ht="14.45" customHeight="1" x14ac:dyDescent="0.25">
      <c r="B335" s="17"/>
      <c r="C335" s="14"/>
      <c r="D335" s="14"/>
      <c r="E335" s="18"/>
      <c r="F335" s="61"/>
      <c r="G335" s="73"/>
      <c r="H335" s="79"/>
      <c r="I335" s="79"/>
      <c r="J335" s="14"/>
      <c r="K335" s="38"/>
      <c r="L335" s="38"/>
      <c r="M335" s="17"/>
    </row>
    <row r="336" spans="2:13" ht="14.45" customHeight="1" x14ac:dyDescent="0.25">
      <c r="B336" s="17"/>
      <c r="C336" s="14"/>
      <c r="D336" s="14"/>
      <c r="E336" s="18"/>
      <c r="F336" s="61"/>
      <c r="G336" s="73"/>
      <c r="H336" s="79"/>
      <c r="I336" s="79"/>
      <c r="J336" s="14"/>
      <c r="K336" s="38"/>
      <c r="L336" s="38"/>
      <c r="M336" s="17"/>
    </row>
    <row r="337" spans="2:13" ht="14.45" customHeight="1" x14ac:dyDescent="0.25">
      <c r="B337" s="17"/>
      <c r="C337" s="14"/>
      <c r="D337" s="14"/>
      <c r="E337" s="18"/>
      <c r="F337" s="61"/>
      <c r="G337" s="73"/>
      <c r="H337" s="79"/>
      <c r="I337" s="79"/>
      <c r="J337" s="14"/>
      <c r="K337" s="38"/>
      <c r="L337" s="38"/>
      <c r="M337" s="17"/>
    </row>
    <row r="338" spans="2:13" ht="14.45" customHeight="1" x14ac:dyDescent="0.25">
      <c r="B338" s="17"/>
      <c r="C338" s="14"/>
      <c r="D338" s="14"/>
      <c r="E338" s="18"/>
      <c r="F338" s="61"/>
      <c r="G338" s="73"/>
      <c r="H338" s="79"/>
      <c r="I338" s="79"/>
      <c r="J338" s="14"/>
      <c r="K338" s="38"/>
      <c r="L338" s="38"/>
      <c r="M338" s="17"/>
    </row>
    <row r="339" spans="2:13" ht="14.45" customHeight="1" x14ac:dyDescent="0.25">
      <c r="B339" s="17"/>
      <c r="C339" s="14"/>
      <c r="D339" s="14"/>
      <c r="E339" s="18"/>
      <c r="F339" s="61"/>
      <c r="G339" s="73"/>
      <c r="H339" s="79"/>
      <c r="I339" s="79"/>
      <c r="J339" s="14"/>
      <c r="K339" s="38"/>
      <c r="L339" s="38"/>
      <c r="M339" s="17"/>
    </row>
    <row r="340" spans="2:13" ht="14.45" customHeight="1" x14ac:dyDescent="0.25">
      <c r="B340" s="17"/>
      <c r="C340" s="14"/>
      <c r="D340" s="14"/>
      <c r="E340" s="18"/>
      <c r="F340" s="61"/>
      <c r="G340" s="73"/>
      <c r="H340" s="79"/>
      <c r="I340" s="79"/>
      <c r="J340" s="14"/>
      <c r="K340" s="38"/>
      <c r="L340" s="38"/>
      <c r="M340" s="17"/>
    </row>
    <row r="341" spans="2:13" ht="14.45" customHeight="1" x14ac:dyDescent="0.25">
      <c r="B341" s="17"/>
      <c r="C341" s="14"/>
      <c r="D341" s="14"/>
      <c r="E341" s="18"/>
      <c r="F341" s="61"/>
      <c r="G341" s="73"/>
      <c r="H341" s="79"/>
      <c r="I341" s="79"/>
      <c r="J341" s="14"/>
      <c r="K341" s="38"/>
      <c r="L341" s="38"/>
      <c r="M341" s="17"/>
    </row>
    <row r="342" spans="2:13" ht="14.45" customHeight="1" x14ac:dyDescent="0.25">
      <c r="B342" s="17"/>
      <c r="C342" s="14"/>
      <c r="D342" s="14"/>
      <c r="E342" s="18"/>
      <c r="F342" s="61"/>
      <c r="G342" s="73"/>
      <c r="H342" s="79"/>
      <c r="I342" s="79"/>
      <c r="J342" s="14"/>
      <c r="K342" s="38"/>
      <c r="L342" s="38"/>
      <c r="M342" s="17"/>
    </row>
    <row r="343" spans="2:13" ht="14.45" customHeight="1" x14ac:dyDescent="0.25">
      <c r="B343" s="17"/>
      <c r="C343" s="14"/>
      <c r="D343" s="14"/>
      <c r="E343" s="18"/>
      <c r="F343" s="61"/>
      <c r="G343" s="73"/>
      <c r="H343" s="79"/>
      <c r="I343" s="79"/>
      <c r="J343" s="14"/>
      <c r="K343" s="38"/>
      <c r="L343" s="38"/>
      <c r="M343" s="17"/>
    </row>
    <row r="344" spans="2:13" ht="14.45" customHeight="1" x14ac:dyDescent="0.25">
      <c r="B344" s="17"/>
      <c r="C344" s="14"/>
      <c r="D344" s="14"/>
      <c r="E344" s="18"/>
      <c r="F344" s="61"/>
      <c r="G344" s="73"/>
      <c r="H344" s="79"/>
      <c r="I344" s="79"/>
      <c r="J344" s="14"/>
      <c r="K344" s="38"/>
      <c r="L344" s="38"/>
      <c r="M344" s="17"/>
    </row>
    <row r="345" spans="2:13" ht="14.45" customHeight="1" x14ac:dyDescent="0.25">
      <c r="B345" s="17"/>
      <c r="C345" s="14"/>
      <c r="D345" s="14"/>
      <c r="E345" s="18"/>
      <c r="F345" s="61"/>
      <c r="G345" s="73"/>
      <c r="H345" s="79"/>
      <c r="I345" s="79"/>
      <c r="J345" s="14"/>
      <c r="K345" s="38"/>
      <c r="L345" s="38"/>
      <c r="M345" s="17"/>
    </row>
    <row r="346" spans="2:13" ht="14.45" customHeight="1" x14ac:dyDescent="0.25">
      <c r="B346" s="17"/>
      <c r="C346" s="14"/>
      <c r="D346" s="14"/>
      <c r="E346" s="18"/>
      <c r="F346" s="61"/>
      <c r="G346" s="73"/>
      <c r="H346" s="79"/>
      <c r="I346" s="79"/>
      <c r="J346" s="14"/>
      <c r="K346" s="38"/>
      <c r="L346" s="38"/>
      <c r="M346" s="17"/>
    </row>
    <row r="347" spans="2:13" ht="14.45" customHeight="1" x14ac:dyDescent="0.25">
      <c r="B347" s="17"/>
      <c r="C347" s="14"/>
      <c r="D347" s="14"/>
      <c r="E347" s="18"/>
      <c r="F347" s="61"/>
      <c r="G347" s="73"/>
      <c r="H347" s="79"/>
      <c r="I347" s="79"/>
      <c r="J347" s="14"/>
      <c r="K347" s="38"/>
      <c r="L347" s="38"/>
      <c r="M347" s="17"/>
    </row>
    <row r="348" spans="2:13" ht="14.45" customHeight="1" x14ac:dyDescent="0.25">
      <c r="B348" s="17"/>
      <c r="C348" s="14"/>
      <c r="D348" s="14"/>
      <c r="E348" s="18"/>
      <c r="F348" s="61"/>
      <c r="G348" s="73"/>
      <c r="H348" s="79"/>
      <c r="I348" s="79"/>
      <c r="J348" s="14"/>
      <c r="K348" s="38"/>
      <c r="L348" s="38"/>
      <c r="M348" s="17"/>
    </row>
    <row r="349" spans="2:13" ht="14.45" customHeight="1" x14ac:dyDescent="0.25">
      <c r="B349" s="17"/>
      <c r="C349" s="14"/>
      <c r="D349" s="14"/>
      <c r="E349" s="18"/>
      <c r="F349" s="61"/>
      <c r="G349" s="73"/>
      <c r="H349" s="79"/>
      <c r="I349" s="79"/>
      <c r="J349" s="14"/>
      <c r="K349" s="38"/>
      <c r="L349" s="38"/>
      <c r="M349" s="17"/>
    </row>
    <row r="350" spans="2:13" ht="14.45" customHeight="1" x14ac:dyDescent="0.25">
      <c r="B350" s="17"/>
      <c r="C350" s="14"/>
      <c r="D350" s="14"/>
      <c r="E350" s="18"/>
      <c r="F350" s="61"/>
      <c r="G350" s="73"/>
      <c r="H350" s="79"/>
      <c r="I350" s="79"/>
      <c r="J350" s="14"/>
      <c r="K350" s="38"/>
      <c r="L350" s="38"/>
      <c r="M350" s="17"/>
    </row>
    <row r="351" spans="2:13" ht="14.45" customHeight="1" x14ac:dyDescent="0.25">
      <c r="B351" s="17"/>
      <c r="C351" s="14"/>
      <c r="D351" s="14"/>
      <c r="E351" s="18"/>
      <c r="F351" s="61"/>
      <c r="G351" s="73"/>
      <c r="H351" s="79"/>
      <c r="I351" s="79"/>
      <c r="J351" s="14"/>
      <c r="K351" s="38"/>
      <c r="L351" s="38"/>
      <c r="M351" s="17"/>
    </row>
    <row r="352" spans="2:13" ht="14.45" customHeight="1" x14ac:dyDescent="0.25">
      <c r="B352" s="17"/>
      <c r="C352" s="14"/>
      <c r="D352" s="14"/>
      <c r="E352" s="18"/>
      <c r="F352" s="61"/>
      <c r="G352" s="73"/>
      <c r="H352" s="79"/>
      <c r="I352" s="79"/>
      <c r="J352" s="14"/>
      <c r="K352" s="38"/>
      <c r="L352" s="38"/>
      <c r="M352" s="17"/>
    </row>
    <row r="353" spans="2:13" ht="14.45" customHeight="1" x14ac:dyDescent="0.25">
      <c r="B353" s="17"/>
      <c r="C353" s="14"/>
      <c r="D353" s="14"/>
      <c r="E353" s="18"/>
      <c r="F353" s="61"/>
      <c r="G353" s="73"/>
      <c r="H353" s="79"/>
      <c r="I353" s="79"/>
      <c r="J353" s="14"/>
      <c r="K353" s="38"/>
      <c r="L353" s="38"/>
      <c r="M353" s="17"/>
    </row>
    <row r="354" spans="2:13" ht="14.45" customHeight="1" x14ac:dyDescent="0.25">
      <c r="B354" s="17"/>
      <c r="C354" s="14"/>
      <c r="D354" s="14"/>
      <c r="E354" s="18"/>
      <c r="F354" s="61"/>
      <c r="G354" s="73"/>
      <c r="H354" s="79"/>
      <c r="I354" s="79"/>
      <c r="J354" s="14"/>
      <c r="K354" s="38"/>
      <c r="L354" s="38"/>
      <c r="M354" s="17"/>
    </row>
    <row r="355" spans="2:13" ht="14.45" customHeight="1" x14ac:dyDescent="0.25">
      <c r="B355" s="17"/>
      <c r="C355" s="14"/>
      <c r="D355" s="14"/>
      <c r="E355" s="18"/>
      <c r="F355" s="61"/>
      <c r="G355" s="73"/>
      <c r="H355" s="79"/>
      <c r="I355" s="79"/>
      <c r="J355" s="14"/>
      <c r="K355" s="38"/>
      <c r="L355" s="38"/>
      <c r="M355" s="17"/>
    </row>
    <row r="356" spans="2:13" ht="14.45" customHeight="1" x14ac:dyDescent="0.25">
      <c r="B356" s="17"/>
      <c r="C356" s="14"/>
      <c r="D356" s="14"/>
      <c r="E356" s="18"/>
      <c r="F356" s="61"/>
      <c r="G356" s="73"/>
      <c r="H356" s="79"/>
      <c r="I356" s="79"/>
      <c r="J356" s="14"/>
      <c r="K356" s="38"/>
      <c r="L356" s="38"/>
      <c r="M356" s="17"/>
    </row>
    <row r="357" spans="2:13" ht="14.45" customHeight="1" x14ac:dyDescent="0.25">
      <c r="B357" s="17"/>
      <c r="C357" s="14"/>
      <c r="D357" s="14"/>
      <c r="E357" s="18"/>
      <c r="F357" s="61"/>
      <c r="G357" s="73"/>
      <c r="H357" s="79"/>
      <c r="I357" s="79"/>
      <c r="J357" s="14"/>
      <c r="K357" s="38"/>
      <c r="L357" s="38"/>
      <c r="M357" s="17"/>
    </row>
    <row r="358" spans="2:13" ht="14.45" customHeight="1" x14ac:dyDescent="0.25">
      <c r="B358" s="17"/>
      <c r="C358" s="14"/>
      <c r="D358" s="14"/>
      <c r="E358" s="18"/>
      <c r="F358" s="61"/>
      <c r="G358" s="73"/>
      <c r="H358" s="79"/>
      <c r="I358" s="79"/>
      <c r="J358" s="14"/>
      <c r="K358" s="38"/>
      <c r="L358" s="38"/>
      <c r="M358" s="17"/>
    </row>
    <row r="359" spans="2:13" ht="14.45" customHeight="1" x14ac:dyDescent="0.25">
      <c r="B359" s="17"/>
      <c r="C359" s="14"/>
      <c r="D359" s="14"/>
      <c r="E359" s="18"/>
      <c r="F359" s="61"/>
      <c r="G359" s="73"/>
      <c r="H359" s="79"/>
      <c r="I359" s="79"/>
      <c r="J359" s="14"/>
      <c r="K359" s="38"/>
      <c r="L359" s="38"/>
      <c r="M359" s="17"/>
    </row>
    <row r="360" spans="2:13" ht="14.45" customHeight="1" x14ac:dyDescent="0.25">
      <c r="B360" s="17"/>
      <c r="C360" s="14"/>
      <c r="D360" s="14"/>
      <c r="E360" s="18"/>
      <c r="F360" s="61"/>
      <c r="G360" s="73"/>
      <c r="H360" s="79"/>
      <c r="I360" s="79"/>
      <c r="J360" s="14"/>
      <c r="K360" s="38"/>
      <c r="L360" s="38"/>
      <c r="M360" s="17"/>
    </row>
    <row r="361" spans="2:13" ht="14.45" customHeight="1" x14ac:dyDescent="0.25">
      <c r="B361" s="17"/>
      <c r="C361" s="14"/>
      <c r="D361" s="14"/>
      <c r="E361" s="18"/>
      <c r="F361" s="61"/>
      <c r="G361" s="73"/>
      <c r="H361" s="79"/>
      <c r="I361" s="79"/>
      <c r="J361" s="14"/>
      <c r="K361" s="38"/>
      <c r="L361" s="38"/>
      <c r="M361" s="17"/>
    </row>
    <row r="362" spans="2:13" ht="14.45" customHeight="1" x14ac:dyDescent="0.25">
      <c r="B362" s="17"/>
      <c r="C362" s="14"/>
      <c r="D362" s="14"/>
      <c r="E362" s="18"/>
      <c r="F362" s="61"/>
      <c r="G362" s="73"/>
      <c r="H362" s="79"/>
      <c r="I362" s="79"/>
      <c r="J362" s="14"/>
      <c r="K362" s="38"/>
      <c r="L362" s="38"/>
      <c r="M362" s="17"/>
    </row>
    <row r="363" spans="2:13" ht="14.45" customHeight="1" x14ac:dyDescent="0.25">
      <c r="B363" s="17"/>
      <c r="C363" s="14"/>
      <c r="D363" s="14"/>
      <c r="E363" s="18"/>
      <c r="F363" s="61"/>
      <c r="G363" s="73"/>
      <c r="H363" s="79"/>
      <c r="I363" s="79"/>
      <c r="J363" s="14"/>
      <c r="K363" s="38"/>
      <c r="L363" s="38"/>
      <c r="M363" s="17"/>
    </row>
    <row r="364" spans="2:13" ht="14.45" customHeight="1" x14ac:dyDescent="0.25">
      <c r="B364" s="17"/>
      <c r="C364" s="14"/>
      <c r="D364" s="14"/>
      <c r="E364" s="18"/>
      <c r="F364" s="61"/>
      <c r="G364" s="73"/>
      <c r="H364" s="79"/>
      <c r="I364" s="79"/>
      <c r="J364" s="14"/>
      <c r="K364" s="38"/>
      <c r="L364" s="38"/>
      <c r="M364" s="17"/>
    </row>
    <row r="365" spans="2:13" ht="14.45" customHeight="1" x14ac:dyDescent="0.25">
      <c r="B365" s="17"/>
      <c r="C365" s="14"/>
      <c r="D365" s="14"/>
      <c r="E365" s="18"/>
      <c r="F365" s="61"/>
      <c r="G365" s="73"/>
      <c r="H365" s="79"/>
      <c r="I365" s="79"/>
      <c r="J365" s="14"/>
      <c r="K365" s="38"/>
      <c r="L365" s="38"/>
      <c r="M365" s="17"/>
    </row>
    <row r="366" spans="2:13" ht="14.45" customHeight="1" x14ac:dyDescent="0.25">
      <c r="B366" s="17"/>
      <c r="C366" s="14"/>
      <c r="D366" s="14"/>
      <c r="E366" s="18"/>
      <c r="F366" s="61"/>
      <c r="G366" s="73"/>
      <c r="H366" s="79"/>
      <c r="I366" s="79"/>
      <c r="J366" s="14"/>
      <c r="K366" s="38"/>
      <c r="L366" s="38"/>
      <c r="M366" s="17"/>
    </row>
    <row r="367" spans="2:13" ht="14.45" customHeight="1" x14ac:dyDescent="0.25">
      <c r="B367" s="17"/>
      <c r="C367" s="14"/>
      <c r="D367" s="14"/>
      <c r="E367" s="18"/>
      <c r="F367" s="61"/>
      <c r="G367" s="73"/>
      <c r="H367" s="79"/>
      <c r="I367" s="79"/>
      <c r="J367" s="14"/>
      <c r="K367" s="38"/>
      <c r="L367" s="38"/>
      <c r="M367" s="17"/>
    </row>
    <row r="368" spans="2:13" ht="14.45" customHeight="1" x14ac:dyDescent="0.25">
      <c r="B368" s="17"/>
      <c r="C368" s="14"/>
      <c r="D368" s="14"/>
      <c r="E368" s="18"/>
      <c r="F368" s="61"/>
      <c r="G368" s="73"/>
      <c r="H368" s="79"/>
      <c r="I368" s="79"/>
      <c r="J368" s="14"/>
      <c r="K368" s="38"/>
      <c r="L368" s="38"/>
      <c r="M368" s="17"/>
    </row>
    <row r="369" spans="2:13" ht="14.45" customHeight="1" x14ac:dyDescent="0.25">
      <c r="B369" s="17"/>
      <c r="C369" s="14"/>
      <c r="D369" s="14"/>
      <c r="E369" s="18"/>
      <c r="F369" s="61"/>
      <c r="G369" s="73"/>
      <c r="H369" s="79"/>
      <c r="I369" s="79"/>
      <c r="J369" s="14"/>
      <c r="K369" s="38"/>
      <c r="L369" s="38"/>
      <c r="M369" s="17"/>
    </row>
    <row r="370" spans="2:13" ht="14.45" customHeight="1" x14ac:dyDescent="0.25">
      <c r="B370" s="17"/>
      <c r="C370" s="14"/>
      <c r="D370" s="14"/>
      <c r="E370" s="18"/>
      <c r="F370" s="61"/>
      <c r="G370" s="73"/>
      <c r="H370" s="79"/>
      <c r="I370" s="79"/>
      <c r="J370" s="14"/>
      <c r="K370" s="38"/>
      <c r="L370" s="38"/>
      <c r="M370" s="17"/>
    </row>
    <row r="371" spans="2:13" ht="14.45" customHeight="1" x14ac:dyDescent="0.25">
      <c r="B371" s="17"/>
      <c r="C371" s="14"/>
      <c r="D371" s="14"/>
      <c r="E371" s="18"/>
      <c r="F371" s="61"/>
      <c r="G371" s="73"/>
      <c r="H371" s="79"/>
      <c r="I371" s="79"/>
      <c r="J371" s="14"/>
      <c r="K371" s="38"/>
      <c r="L371" s="38"/>
      <c r="M371" s="17"/>
    </row>
    <row r="372" spans="2:13" ht="14.45" customHeight="1" x14ac:dyDescent="0.25">
      <c r="B372" s="17"/>
      <c r="C372" s="14"/>
      <c r="D372" s="14"/>
      <c r="E372" s="18"/>
      <c r="F372" s="61"/>
      <c r="G372" s="73"/>
      <c r="H372" s="79"/>
      <c r="I372" s="79"/>
      <c r="J372" s="14"/>
      <c r="K372" s="38"/>
      <c r="L372" s="38"/>
      <c r="M372" s="17"/>
    </row>
    <row r="373" spans="2:13" ht="14.45" customHeight="1" x14ac:dyDescent="0.25">
      <c r="B373" s="17"/>
      <c r="C373" s="14"/>
      <c r="D373" s="14"/>
      <c r="E373" s="18"/>
      <c r="F373" s="61"/>
      <c r="G373" s="73"/>
      <c r="H373" s="79"/>
      <c r="I373" s="79"/>
      <c r="J373" s="14"/>
      <c r="K373" s="38"/>
      <c r="L373" s="38"/>
      <c r="M373" s="17"/>
    </row>
    <row r="374" spans="2:13" ht="14.45" customHeight="1" x14ac:dyDescent="0.25">
      <c r="B374" s="17"/>
      <c r="C374" s="14"/>
      <c r="D374" s="14"/>
      <c r="E374" s="18"/>
      <c r="F374" s="61"/>
      <c r="G374" s="73"/>
      <c r="H374" s="79"/>
      <c r="I374" s="79"/>
      <c r="J374" s="14"/>
      <c r="K374" s="38"/>
      <c r="L374" s="38"/>
      <c r="M374" s="17"/>
    </row>
    <row r="375" spans="2:13" ht="14.45" customHeight="1" x14ac:dyDescent="0.25">
      <c r="B375" s="17"/>
      <c r="C375" s="14"/>
      <c r="D375" s="14"/>
      <c r="E375" s="18"/>
      <c r="F375" s="61"/>
      <c r="G375" s="73"/>
      <c r="H375" s="79"/>
      <c r="I375" s="79"/>
      <c r="J375" s="14"/>
      <c r="K375" s="38"/>
      <c r="L375" s="38"/>
      <c r="M375" s="17"/>
    </row>
    <row r="376" spans="2:13" ht="14.45" customHeight="1" x14ac:dyDescent="0.25">
      <c r="B376" s="17"/>
      <c r="C376" s="14"/>
      <c r="D376" s="14"/>
      <c r="E376" s="18"/>
      <c r="F376" s="61"/>
      <c r="G376" s="73"/>
      <c r="H376" s="79"/>
      <c r="I376" s="79"/>
      <c r="J376" s="14"/>
      <c r="K376" s="38"/>
      <c r="L376" s="38"/>
      <c r="M376" s="17"/>
    </row>
    <row r="377" spans="2:13" ht="14.45" customHeight="1" x14ac:dyDescent="0.25">
      <c r="B377" s="17"/>
      <c r="C377" s="14"/>
      <c r="D377" s="14"/>
      <c r="E377" s="18"/>
      <c r="F377" s="61"/>
      <c r="G377" s="73"/>
      <c r="H377" s="79"/>
      <c r="I377" s="79"/>
      <c r="J377" s="14"/>
      <c r="K377" s="38"/>
      <c r="L377" s="38"/>
      <c r="M377" s="17"/>
    </row>
    <row r="378" spans="2:13" ht="14.45" customHeight="1" x14ac:dyDescent="0.25">
      <c r="B378" s="17"/>
      <c r="C378" s="14"/>
      <c r="D378" s="14"/>
      <c r="E378" s="18"/>
      <c r="F378" s="61"/>
      <c r="G378" s="73"/>
      <c r="H378" s="79"/>
      <c r="I378" s="79"/>
      <c r="J378" s="14"/>
      <c r="K378" s="38"/>
      <c r="L378" s="38"/>
      <c r="M378" s="17"/>
    </row>
    <row r="379" spans="2:13" ht="14.45" customHeight="1" x14ac:dyDescent="0.25">
      <c r="B379" s="17"/>
      <c r="C379" s="14"/>
      <c r="D379" s="14"/>
      <c r="E379" s="18"/>
      <c r="F379" s="61"/>
      <c r="G379" s="73"/>
      <c r="H379" s="79"/>
      <c r="I379" s="79"/>
      <c r="J379" s="14"/>
      <c r="K379" s="38"/>
      <c r="L379" s="38"/>
      <c r="M379" s="17"/>
    </row>
    <row r="380" spans="2:13" ht="14.45" customHeight="1" x14ac:dyDescent="0.25">
      <c r="B380" s="17"/>
      <c r="C380" s="14"/>
      <c r="D380" s="14"/>
      <c r="E380" s="18"/>
      <c r="F380" s="61"/>
      <c r="G380" s="73"/>
      <c r="H380" s="79"/>
      <c r="I380" s="79"/>
      <c r="J380" s="14"/>
      <c r="K380" s="38"/>
      <c r="L380" s="38"/>
      <c r="M380" s="17"/>
    </row>
    <row r="381" spans="2:13" ht="14.45" customHeight="1" x14ac:dyDescent="0.25">
      <c r="B381" s="17"/>
      <c r="C381" s="14"/>
      <c r="D381" s="14"/>
      <c r="E381" s="18"/>
      <c r="F381" s="61"/>
      <c r="G381" s="73"/>
      <c r="H381" s="79"/>
      <c r="I381" s="79"/>
      <c r="J381" s="14"/>
      <c r="K381" s="38"/>
      <c r="L381" s="38"/>
      <c r="M381" s="17"/>
    </row>
    <row r="382" spans="2:13" ht="14.45" customHeight="1" x14ac:dyDescent="0.25">
      <c r="B382" s="17"/>
      <c r="C382" s="14"/>
      <c r="D382" s="14"/>
      <c r="E382" s="18"/>
      <c r="F382" s="61"/>
      <c r="G382" s="73"/>
      <c r="H382" s="79"/>
      <c r="I382" s="79"/>
      <c r="J382" s="14"/>
      <c r="K382" s="38"/>
      <c r="L382" s="38"/>
      <c r="M382" s="17"/>
    </row>
    <row r="383" spans="2:13" ht="14.45" customHeight="1" x14ac:dyDescent="0.25">
      <c r="B383" s="17"/>
      <c r="C383" s="14"/>
      <c r="D383" s="14"/>
      <c r="E383" s="18"/>
      <c r="F383" s="61"/>
      <c r="G383" s="73"/>
      <c r="H383" s="79"/>
      <c r="I383" s="79"/>
      <c r="J383" s="14"/>
      <c r="K383" s="38"/>
      <c r="L383" s="38"/>
      <c r="M383" s="17"/>
    </row>
    <row r="384" spans="2:13" ht="14.45" customHeight="1" x14ac:dyDescent="0.25">
      <c r="B384" s="17"/>
      <c r="C384" s="14"/>
      <c r="D384" s="14"/>
      <c r="E384" s="18"/>
      <c r="F384" s="61"/>
      <c r="G384" s="73"/>
      <c r="H384" s="79"/>
      <c r="I384" s="79"/>
      <c r="J384" s="14"/>
      <c r="K384" s="38"/>
      <c r="L384" s="38"/>
      <c r="M384" s="17"/>
    </row>
    <row r="385" spans="2:13" ht="14.45" customHeight="1" x14ac:dyDescent="0.25">
      <c r="B385" s="17"/>
      <c r="C385" s="14"/>
      <c r="D385" s="14"/>
      <c r="E385" s="18"/>
      <c r="F385" s="61"/>
      <c r="G385" s="73"/>
      <c r="H385" s="79"/>
      <c r="I385" s="79"/>
      <c r="J385" s="14"/>
      <c r="K385" s="38"/>
      <c r="L385" s="38"/>
      <c r="M385" s="17"/>
    </row>
    <row r="386" spans="2:13" ht="14.45" customHeight="1" x14ac:dyDescent="0.25">
      <c r="B386" s="17"/>
      <c r="C386" s="14"/>
      <c r="D386" s="14"/>
      <c r="E386" s="18"/>
      <c r="F386" s="61"/>
      <c r="G386" s="73"/>
      <c r="H386" s="79"/>
      <c r="I386" s="79"/>
      <c r="J386" s="14"/>
      <c r="K386" s="38"/>
      <c r="L386" s="38"/>
      <c r="M386" s="17"/>
    </row>
    <row r="387" spans="2:13" ht="14.45" customHeight="1" x14ac:dyDescent="0.25">
      <c r="B387" s="17"/>
      <c r="C387" s="14"/>
      <c r="D387" s="14"/>
      <c r="E387" s="18"/>
      <c r="F387" s="61"/>
      <c r="G387" s="73"/>
      <c r="H387" s="79"/>
      <c r="I387" s="79"/>
      <c r="J387" s="14"/>
      <c r="K387" s="38"/>
      <c r="L387" s="38"/>
      <c r="M387" s="17"/>
    </row>
    <row r="388" spans="2:13" ht="14.45" customHeight="1" x14ac:dyDescent="0.25">
      <c r="B388" s="17"/>
      <c r="C388" s="14"/>
      <c r="D388" s="14"/>
      <c r="E388" s="18"/>
      <c r="F388" s="61"/>
      <c r="G388" s="73"/>
      <c r="H388" s="79"/>
      <c r="I388" s="79"/>
      <c r="J388" s="14"/>
      <c r="K388" s="38"/>
      <c r="L388" s="38"/>
      <c r="M388" s="17"/>
    </row>
    <row r="389" spans="2:13" ht="14.45" customHeight="1" x14ac:dyDescent="0.25">
      <c r="B389" s="17"/>
      <c r="C389" s="14"/>
      <c r="D389" s="14"/>
      <c r="E389" s="18"/>
      <c r="F389" s="61"/>
      <c r="G389" s="73"/>
      <c r="H389" s="79"/>
      <c r="I389" s="79"/>
      <c r="J389" s="14"/>
      <c r="K389" s="38"/>
      <c r="L389" s="38"/>
      <c r="M389" s="17"/>
    </row>
    <row r="390" spans="2:13" ht="14.45" customHeight="1" x14ac:dyDescent="0.25">
      <c r="B390" s="17"/>
      <c r="C390" s="14"/>
      <c r="D390" s="14"/>
      <c r="E390" s="18"/>
      <c r="F390" s="61"/>
      <c r="G390" s="73"/>
      <c r="H390" s="79"/>
      <c r="I390" s="79"/>
      <c r="J390" s="14"/>
      <c r="K390" s="38"/>
      <c r="L390" s="38"/>
      <c r="M390" s="17"/>
    </row>
    <row r="391" spans="2:13" ht="14.45" customHeight="1" x14ac:dyDescent="0.25">
      <c r="B391" s="17"/>
      <c r="C391" s="14"/>
      <c r="D391" s="14"/>
      <c r="E391" s="18"/>
      <c r="F391" s="61"/>
      <c r="G391" s="73"/>
      <c r="H391" s="79"/>
      <c r="I391" s="79"/>
      <c r="J391" s="14"/>
      <c r="K391" s="38"/>
      <c r="L391" s="38"/>
      <c r="M391" s="17"/>
    </row>
    <row r="392" spans="2:13" ht="14.45" customHeight="1" x14ac:dyDescent="0.25">
      <c r="B392" s="17"/>
      <c r="C392" s="14"/>
      <c r="D392" s="14"/>
      <c r="E392" s="18"/>
      <c r="F392" s="61"/>
      <c r="G392" s="73"/>
      <c r="H392" s="79"/>
      <c r="I392" s="79"/>
      <c r="J392" s="14"/>
      <c r="K392" s="38"/>
      <c r="L392" s="38"/>
      <c r="M392" s="17"/>
    </row>
    <row r="393" spans="2:13" ht="14.45" customHeight="1" x14ac:dyDescent="0.25">
      <c r="B393" s="17"/>
      <c r="C393" s="14"/>
      <c r="D393" s="14"/>
      <c r="E393" s="18"/>
      <c r="F393" s="61"/>
      <c r="G393" s="73"/>
      <c r="H393" s="79"/>
      <c r="I393" s="79"/>
      <c r="J393" s="14"/>
      <c r="K393" s="38"/>
      <c r="L393" s="38"/>
      <c r="M393" s="17"/>
    </row>
    <row r="394" spans="2:13" ht="14.45" customHeight="1" x14ac:dyDescent="0.25">
      <c r="B394" s="17"/>
      <c r="C394" s="14"/>
      <c r="D394" s="14"/>
      <c r="E394" s="18"/>
      <c r="F394" s="61"/>
      <c r="G394" s="73"/>
      <c r="H394" s="79"/>
      <c r="I394" s="79"/>
      <c r="J394" s="14"/>
      <c r="K394" s="38"/>
      <c r="L394" s="38"/>
      <c r="M394" s="17"/>
    </row>
    <row r="395" spans="2:13" ht="14.45" customHeight="1" x14ac:dyDescent="0.25">
      <c r="B395" s="17"/>
      <c r="C395" s="14"/>
      <c r="D395" s="14"/>
      <c r="E395" s="18"/>
      <c r="F395" s="61"/>
      <c r="G395" s="73"/>
      <c r="H395" s="79"/>
      <c r="I395" s="79"/>
      <c r="J395" s="14"/>
      <c r="K395" s="38"/>
      <c r="L395" s="38"/>
      <c r="M395" s="17"/>
    </row>
    <row r="396" spans="2:13" ht="14.45" customHeight="1" x14ac:dyDescent="0.25">
      <c r="B396" s="17"/>
      <c r="C396" s="14"/>
      <c r="D396" s="14"/>
      <c r="E396" s="18"/>
      <c r="F396" s="61"/>
      <c r="G396" s="73"/>
      <c r="H396" s="79"/>
      <c r="I396" s="79"/>
      <c r="J396" s="14"/>
      <c r="K396" s="38"/>
      <c r="L396" s="38"/>
      <c r="M396" s="17"/>
    </row>
    <row r="397" spans="2:13" ht="14.45" customHeight="1" x14ac:dyDescent="0.25">
      <c r="B397" s="17"/>
      <c r="C397" s="14"/>
      <c r="D397" s="14"/>
      <c r="E397" s="18"/>
      <c r="F397" s="61"/>
      <c r="G397" s="73"/>
      <c r="H397" s="79"/>
      <c r="I397" s="79"/>
      <c r="J397" s="14"/>
      <c r="K397" s="38"/>
      <c r="L397" s="38"/>
      <c r="M397" s="17"/>
    </row>
    <row r="398" spans="2:13" ht="14.45" customHeight="1" x14ac:dyDescent="0.25">
      <c r="B398" s="17"/>
      <c r="C398" s="14"/>
      <c r="D398" s="14"/>
      <c r="E398" s="18"/>
      <c r="F398" s="61"/>
      <c r="G398" s="73"/>
      <c r="H398" s="79"/>
      <c r="I398" s="79"/>
      <c r="J398" s="14"/>
      <c r="K398" s="38"/>
      <c r="L398" s="38"/>
      <c r="M398" s="17"/>
    </row>
    <row r="399" spans="2:13" ht="14.45" customHeight="1" x14ac:dyDescent="0.25">
      <c r="B399" s="17"/>
      <c r="C399" s="14"/>
      <c r="D399" s="14"/>
      <c r="E399" s="18"/>
      <c r="F399" s="61"/>
      <c r="G399" s="73"/>
      <c r="H399" s="79"/>
      <c r="I399" s="79"/>
      <c r="J399" s="14"/>
      <c r="K399" s="38"/>
      <c r="L399" s="38"/>
      <c r="M399" s="17"/>
    </row>
    <row r="400" spans="2:13" ht="14.45" customHeight="1" x14ac:dyDescent="0.25">
      <c r="B400" s="17"/>
      <c r="C400" s="14"/>
      <c r="D400" s="14"/>
      <c r="E400" s="18"/>
      <c r="F400" s="61"/>
      <c r="G400" s="73"/>
      <c r="H400" s="79"/>
      <c r="I400" s="79"/>
      <c r="J400" s="14"/>
      <c r="K400" s="38"/>
      <c r="L400" s="38"/>
      <c r="M400" s="17"/>
    </row>
    <row r="401" spans="2:13" ht="14.45" customHeight="1" x14ac:dyDescent="0.25">
      <c r="B401" s="17"/>
      <c r="C401" s="14"/>
      <c r="D401" s="14"/>
      <c r="E401" s="18"/>
      <c r="F401" s="61"/>
      <c r="G401" s="73"/>
      <c r="H401" s="79"/>
      <c r="I401" s="79"/>
      <c r="J401" s="14"/>
      <c r="K401" s="38"/>
      <c r="L401" s="38"/>
      <c r="M401" s="17"/>
    </row>
    <row r="402" spans="2:13" ht="14.45" customHeight="1" x14ac:dyDescent="0.25">
      <c r="B402" s="17"/>
      <c r="C402" s="14"/>
      <c r="D402" s="14"/>
      <c r="E402" s="18"/>
      <c r="F402" s="61"/>
      <c r="G402" s="73"/>
      <c r="H402" s="79"/>
      <c r="I402" s="79"/>
      <c r="J402" s="14"/>
      <c r="K402" s="38"/>
      <c r="L402" s="38"/>
      <c r="M402" s="17"/>
    </row>
    <row r="403" spans="2:13" ht="14.45" customHeight="1" x14ac:dyDescent="0.25">
      <c r="B403" s="17"/>
      <c r="C403" s="14"/>
      <c r="D403" s="14"/>
      <c r="E403" s="18"/>
      <c r="F403" s="61"/>
      <c r="G403" s="73"/>
      <c r="H403" s="79"/>
      <c r="I403" s="79"/>
      <c r="J403" s="14"/>
      <c r="K403" s="38"/>
      <c r="L403" s="38"/>
      <c r="M403" s="17"/>
    </row>
    <row r="404" spans="2:13" ht="14.45" customHeight="1" x14ac:dyDescent="0.25">
      <c r="B404" s="17"/>
      <c r="C404" s="14"/>
      <c r="D404" s="14"/>
      <c r="E404" s="18"/>
      <c r="F404" s="61"/>
      <c r="G404" s="73"/>
      <c r="H404" s="79"/>
      <c r="I404" s="79"/>
      <c r="J404" s="14"/>
      <c r="K404" s="38"/>
      <c r="L404" s="38"/>
      <c r="M404" s="17"/>
    </row>
    <row r="405" spans="2:13" ht="14.45" customHeight="1" x14ac:dyDescent="0.25">
      <c r="B405" s="17"/>
      <c r="C405" s="14"/>
      <c r="D405" s="14"/>
      <c r="E405" s="18"/>
      <c r="F405" s="61"/>
      <c r="G405" s="73"/>
      <c r="H405" s="79"/>
      <c r="I405" s="79"/>
      <c r="J405" s="14"/>
      <c r="K405" s="38"/>
      <c r="L405" s="38"/>
      <c r="M405" s="17"/>
    </row>
    <row r="406" spans="2:13" ht="14.45" customHeight="1" x14ac:dyDescent="0.25">
      <c r="B406" s="17"/>
      <c r="C406" s="14"/>
      <c r="D406" s="14"/>
      <c r="E406" s="18"/>
      <c r="F406" s="61"/>
      <c r="G406" s="73"/>
      <c r="H406" s="79"/>
      <c r="I406" s="79"/>
      <c r="J406" s="14"/>
      <c r="K406" s="38"/>
      <c r="L406" s="38"/>
      <c r="M406" s="17"/>
    </row>
    <row r="407" spans="2:13" ht="14.45" customHeight="1" x14ac:dyDescent="0.25">
      <c r="B407" s="17"/>
      <c r="C407" s="14"/>
      <c r="D407" s="14"/>
      <c r="E407" s="18"/>
      <c r="F407" s="61"/>
      <c r="G407" s="73"/>
      <c r="H407" s="79"/>
      <c r="I407" s="79"/>
      <c r="J407" s="14"/>
      <c r="K407" s="38"/>
      <c r="L407" s="38"/>
      <c r="M407" s="17"/>
    </row>
    <row r="408" spans="2:13" ht="14.45" customHeight="1" x14ac:dyDescent="0.25">
      <c r="B408" s="17"/>
      <c r="C408" s="14"/>
      <c r="D408" s="14"/>
      <c r="E408" s="18"/>
      <c r="F408" s="61"/>
      <c r="G408" s="73"/>
      <c r="H408" s="79"/>
      <c r="I408" s="79"/>
      <c r="J408" s="14"/>
      <c r="K408" s="38"/>
      <c r="L408" s="38"/>
      <c r="M408" s="17"/>
    </row>
    <row r="409" spans="2:13" ht="14.45" customHeight="1" x14ac:dyDescent="0.25">
      <c r="B409" s="17"/>
      <c r="C409" s="14"/>
      <c r="D409" s="14"/>
      <c r="E409" s="18"/>
      <c r="F409" s="61"/>
      <c r="G409" s="73"/>
      <c r="H409" s="79"/>
      <c r="I409" s="79"/>
      <c r="J409" s="14"/>
      <c r="K409" s="38"/>
      <c r="L409" s="38"/>
      <c r="M409" s="17"/>
    </row>
    <row r="410" spans="2:13" ht="14.45" customHeight="1" x14ac:dyDescent="0.25">
      <c r="B410" s="17"/>
      <c r="C410" s="14"/>
      <c r="D410" s="14"/>
      <c r="E410" s="18"/>
      <c r="F410" s="61"/>
      <c r="G410" s="73"/>
      <c r="H410" s="79"/>
      <c r="I410" s="79"/>
      <c r="J410" s="14"/>
      <c r="K410" s="38"/>
      <c r="L410" s="38"/>
      <c r="M410" s="17"/>
    </row>
    <row r="411" spans="2:13" ht="14.45" customHeight="1" x14ac:dyDescent="0.25">
      <c r="B411" s="17"/>
      <c r="C411" s="14"/>
      <c r="D411" s="14"/>
      <c r="E411" s="18"/>
      <c r="F411" s="61"/>
      <c r="G411" s="73"/>
      <c r="H411" s="79"/>
      <c r="I411" s="79"/>
      <c r="J411" s="14"/>
      <c r="K411" s="38"/>
      <c r="L411" s="38"/>
      <c r="M411" s="17"/>
    </row>
    <row r="412" spans="2:13" ht="14.45" customHeight="1" x14ac:dyDescent="0.25">
      <c r="B412" s="17"/>
      <c r="C412" s="14"/>
      <c r="D412" s="14"/>
      <c r="E412" s="18"/>
      <c r="F412" s="61"/>
      <c r="G412" s="73"/>
      <c r="H412" s="79"/>
      <c r="I412" s="79"/>
      <c r="J412" s="14"/>
      <c r="K412" s="38"/>
      <c r="L412" s="38"/>
      <c r="M412" s="17"/>
    </row>
    <row r="413" spans="2:13" ht="14.45" customHeight="1" x14ac:dyDescent="0.25">
      <c r="B413" s="17"/>
      <c r="C413" s="14"/>
      <c r="D413" s="14"/>
      <c r="E413" s="18"/>
      <c r="F413" s="61"/>
      <c r="G413" s="73"/>
      <c r="H413" s="79"/>
      <c r="I413" s="79"/>
      <c r="J413" s="14"/>
      <c r="K413" s="38"/>
      <c r="L413" s="38"/>
      <c r="M413" s="17"/>
    </row>
    <row r="414" spans="2:13" ht="14.45" customHeight="1" x14ac:dyDescent="0.25">
      <c r="B414" s="17"/>
      <c r="C414" s="14"/>
      <c r="D414" s="14"/>
      <c r="E414" s="18"/>
      <c r="F414" s="61"/>
      <c r="G414" s="73"/>
      <c r="H414" s="79"/>
      <c r="I414" s="79"/>
      <c r="J414" s="14"/>
      <c r="K414" s="38"/>
      <c r="L414" s="38"/>
      <c r="M414" s="17"/>
    </row>
    <row r="415" spans="2:13" ht="14.45" customHeight="1" x14ac:dyDescent="0.25">
      <c r="B415" s="17"/>
      <c r="C415" s="14"/>
      <c r="D415" s="14"/>
      <c r="E415" s="18"/>
      <c r="F415" s="61"/>
      <c r="G415" s="73"/>
      <c r="H415" s="79"/>
      <c r="I415" s="79"/>
      <c r="J415" s="14"/>
      <c r="K415" s="38"/>
      <c r="L415" s="38"/>
      <c r="M415" s="17"/>
    </row>
    <row r="416" spans="2:13" ht="14.45" customHeight="1" x14ac:dyDescent="0.25">
      <c r="B416" s="17"/>
      <c r="C416" s="14"/>
      <c r="D416" s="14"/>
      <c r="E416" s="18"/>
      <c r="F416" s="61"/>
      <c r="G416" s="73"/>
      <c r="H416" s="79"/>
      <c r="I416" s="79"/>
      <c r="J416" s="14"/>
      <c r="K416" s="38"/>
      <c r="L416" s="38"/>
      <c r="M416" s="17"/>
    </row>
    <row r="417" spans="2:13" ht="14.45" customHeight="1" x14ac:dyDescent="0.25">
      <c r="B417" s="17"/>
      <c r="C417" s="14"/>
      <c r="D417" s="14"/>
      <c r="E417" s="18"/>
      <c r="F417" s="61"/>
      <c r="G417" s="73"/>
      <c r="H417" s="79"/>
      <c r="I417" s="79"/>
      <c r="J417" s="14"/>
      <c r="K417" s="38"/>
      <c r="L417" s="38"/>
      <c r="M417" s="17"/>
    </row>
    <row r="418" spans="2:13" ht="14.45" customHeight="1" x14ac:dyDescent="0.25">
      <c r="B418" s="17"/>
      <c r="C418" s="14"/>
      <c r="D418" s="14"/>
      <c r="E418" s="18"/>
      <c r="F418" s="61"/>
      <c r="G418" s="73"/>
      <c r="H418" s="79"/>
      <c r="I418" s="79"/>
      <c r="J418" s="14"/>
      <c r="K418" s="38"/>
      <c r="L418" s="38"/>
      <c r="M418" s="17"/>
    </row>
    <row r="419" spans="2:13" ht="14.45" customHeight="1" x14ac:dyDescent="0.25">
      <c r="B419" s="17"/>
      <c r="C419" s="14"/>
      <c r="D419" s="14"/>
      <c r="E419" s="18"/>
      <c r="F419" s="61"/>
      <c r="G419" s="73"/>
      <c r="H419" s="79"/>
      <c r="I419" s="79"/>
      <c r="J419" s="14"/>
      <c r="K419" s="38"/>
      <c r="L419" s="38"/>
      <c r="M419" s="17"/>
    </row>
    <row r="420" spans="2:13" ht="14.45" customHeight="1" x14ac:dyDescent="0.25">
      <c r="B420" s="17"/>
      <c r="C420" s="14"/>
      <c r="D420" s="14"/>
      <c r="E420" s="18"/>
      <c r="F420" s="61"/>
      <c r="G420" s="73"/>
      <c r="H420" s="79"/>
      <c r="I420" s="79"/>
      <c r="J420" s="14"/>
      <c r="K420" s="38"/>
      <c r="L420" s="38"/>
      <c r="M420" s="17"/>
    </row>
    <row r="421" spans="2:13" ht="14.45" customHeight="1" x14ac:dyDescent="0.25">
      <c r="B421" s="17"/>
      <c r="C421" s="14"/>
      <c r="D421" s="14"/>
      <c r="E421" s="18"/>
      <c r="F421" s="61"/>
      <c r="G421" s="73"/>
      <c r="H421" s="79"/>
      <c r="I421" s="79"/>
      <c r="J421" s="14"/>
      <c r="K421" s="38"/>
      <c r="L421" s="38"/>
      <c r="M421" s="17"/>
    </row>
    <row r="422" spans="2:13" ht="14.45" customHeight="1" x14ac:dyDescent="0.25">
      <c r="B422" s="17"/>
      <c r="C422" s="14"/>
      <c r="D422" s="14"/>
      <c r="E422" s="18"/>
      <c r="F422" s="61"/>
      <c r="G422" s="73"/>
      <c r="H422" s="79"/>
      <c r="I422" s="79"/>
      <c r="J422" s="14"/>
      <c r="K422" s="38"/>
      <c r="L422" s="38"/>
      <c r="M422" s="17"/>
    </row>
    <row r="423" spans="2:13" ht="14.45" customHeight="1" x14ac:dyDescent="0.25">
      <c r="B423" s="17"/>
      <c r="C423" s="14"/>
      <c r="D423" s="14"/>
      <c r="E423" s="18"/>
      <c r="F423" s="61"/>
      <c r="G423" s="73"/>
      <c r="H423" s="79"/>
      <c r="I423" s="79"/>
      <c r="J423" s="14"/>
      <c r="K423" s="38"/>
      <c r="L423" s="38"/>
      <c r="M423" s="17"/>
    </row>
    <row r="424" spans="2:13" ht="14.45" customHeight="1" x14ac:dyDescent="0.25">
      <c r="B424" s="17"/>
      <c r="C424" s="14"/>
      <c r="D424" s="14"/>
      <c r="E424" s="18"/>
      <c r="F424" s="61"/>
      <c r="G424" s="73"/>
      <c r="H424" s="79"/>
      <c r="I424" s="79"/>
      <c r="J424" s="14"/>
      <c r="K424" s="38"/>
      <c r="L424" s="38"/>
      <c r="M424" s="17"/>
    </row>
    <row r="425" spans="2:13" ht="14.45" customHeight="1" x14ac:dyDescent="0.25">
      <c r="B425" s="17"/>
      <c r="C425" s="14"/>
      <c r="D425" s="14"/>
      <c r="E425" s="18"/>
      <c r="F425" s="61"/>
      <c r="G425" s="73"/>
      <c r="H425" s="79"/>
      <c r="I425" s="79"/>
      <c r="J425" s="14"/>
      <c r="K425" s="38"/>
      <c r="L425" s="38"/>
      <c r="M425" s="17"/>
    </row>
    <row r="426" spans="2:13" ht="14.45" customHeight="1" x14ac:dyDescent="0.25">
      <c r="B426" s="17"/>
      <c r="C426" s="14"/>
      <c r="D426" s="14"/>
      <c r="E426" s="18"/>
      <c r="F426" s="61"/>
      <c r="G426" s="73"/>
      <c r="H426" s="79"/>
      <c r="I426" s="79"/>
      <c r="J426" s="14"/>
      <c r="K426" s="38"/>
      <c r="L426" s="38"/>
      <c r="M426" s="17"/>
    </row>
    <row r="427" spans="2:13" ht="14.45" customHeight="1" x14ac:dyDescent="0.25">
      <c r="B427" s="17"/>
      <c r="C427" s="14"/>
      <c r="D427" s="14"/>
      <c r="E427" s="18"/>
      <c r="F427" s="61"/>
      <c r="G427" s="73"/>
      <c r="H427" s="79"/>
      <c r="I427" s="79"/>
      <c r="J427" s="14"/>
      <c r="K427" s="38"/>
      <c r="L427" s="38"/>
      <c r="M427" s="17"/>
    </row>
    <row r="428" spans="2:13" ht="14.45" customHeight="1" x14ac:dyDescent="0.25">
      <c r="B428" s="17"/>
      <c r="C428" s="14"/>
      <c r="D428" s="14"/>
      <c r="E428" s="18"/>
      <c r="F428" s="61"/>
      <c r="G428" s="73"/>
      <c r="H428" s="79"/>
      <c r="I428" s="79"/>
      <c r="J428" s="14"/>
      <c r="K428" s="38"/>
      <c r="L428" s="38"/>
      <c r="M428" s="17"/>
    </row>
    <row r="429" spans="2:13" ht="14.45" customHeight="1" x14ac:dyDescent="0.25">
      <c r="B429" s="17"/>
      <c r="C429" s="14"/>
      <c r="D429" s="14"/>
      <c r="E429" s="18"/>
      <c r="F429" s="61"/>
      <c r="G429" s="73"/>
      <c r="H429" s="79"/>
      <c r="I429" s="79"/>
      <c r="J429" s="14"/>
      <c r="K429" s="38"/>
      <c r="L429" s="38"/>
      <c r="M429" s="17"/>
    </row>
    <row r="430" spans="2:13" ht="14.45" customHeight="1" x14ac:dyDescent="0.25">
      <c r="B430" s="17"/>
      <c r="C430" s="14"/>
      <c r="D430" s="14"/>
      <c r="E430" s="18"/>
      <c r="F430" s="61"/>
      <c r="G430" s="73"/>
      <c r="H430" s="79"/>
      <c r="I430" s="79"/>
      <c r="J430" s="14"/>
      <c r="K430" s="38"/>
      <c r="L430" s="38"/>
      <c r="M430" s="17"/>
    </row>
    <row r="431" spans="2:13" ht="14.45" customHeight="1" x14ac:dyDescent="0.25">
      <c r="B431" s="17"/>
      <c r="C431" s="14"/>
      <c r="D431" s="14"/>
      <c r="E431" s="18"/>
      <c r="F431" s="61"/>
      <c r="G431" s="73"/>
      <c r="H431" s="79"/>
      <c r="I431" s="79"/>
      <c r="J431" s="14"/>
      <c r="K431" s="38"/>
      <c r="L431" s="38"/>
      <c r="M431" s="17"/>
    </row>
    <row r="432" spans="2:13" ht="14.45" customHeight="1" x14ac:dyDescent="0.25">
      <c r="B432" s="17"/>
      <c r="C432" s="14"/>
      <c r="D432" s="14"/>
      <c r="E432" s="18"/>
      <c r="F432" s="61"/>
      <c r="G432" s="73"/>
      <c r="H432" s="79"/>
      <c r="I432" s="79"/>
      <c r="J432" s="14"/>
      <c r="K432" s="38"/>
      <c r="L432" s="38"/>
      <c r="M432" s="17"/>
    </row>
    <row r="433" spans="2:13" ht="14.45" customHeight="1" x14ac:dyDescent="0.25">
      <c r="B433" s="17"/>
      <c r="C433" s="14"/>
      <c r="D433" s="14"/>
      <c r="E433" s="18"/>
      <c r="F433" s="61"/>
      <c r="G433" s="73"/>
      <c r="H433" s="79"/>
      <c r="I433" s="79"/>
      <c r="J433" s="14"/>
      <c r="K433" s="38"/>
      <c r="L433" s="38"/>
      <c r="M433" s="17"/>
    </row>
    <row r="434" spans="2:13" ht="14.45" customHeight="1" x14ac:dyDescent="0.25">
      <c r="B434" s="17"/>
      <c r="C434" s="14"/>
      <c r="D434" s="14"/>
      <c r="E434" s="18"/>
      <c r="F434" s="61"/>
      <c r="G434" s="73"/>
      <c r="H434" s="79"/>
      <c r="I434" s="79"/>
      <c r="J434" s="14"/>
      <c r="K434" s="38"/>
      <c r="L434" s="38"/>
      <c r="M434" s="17"/>
    </row>
    <row r="435" spans="2:13" ht="14.45" customHeight="1" x14ac:dyDescent="0.25">
      <c r="B435" s="17"/>
      <c r="C435" s="14"/>
      <c r="D435" s="14"/>
      <c r="E435" s="18"/>
      <c r="F435" s="61"/>
      <c r="G435" s="73"/>
      <c r="H435" s="79"/>
      <c r="I435" s="79"/>
      <c r="J435" s="14"/>
      <c r="K435" s="38"/>
      <c r="L435" s="38"/>
      <c r="M435" s="17"/>
    </row>
    <row r="436" spans="2:13" ht="14.45" customHeight="1" x14ac:dyDescent="0.25">
      <c r="B436" s="17"/>
      <c r="C436" s="14"/>
      <c r="D436" s="14"/>
      <c r="E436" s="18"/>
      <c r="F436" s="61"/>
      <c r="G436" s="73"/>
      <c r="H436" s="79"/>
      <c r="I436" s="79"/>
      <c r="J436" s="14"/>
      <c r="K436" s="38"/>
      <c r="L436" s="38"/>
      <c r="M436" s="17"/>
    </row>
    <row r="437" spans="2:13" ht="14.45" customHeight="1" x14ac:dyDescent="0.25">
      <c r="B437" s="17"/>
      <c r="C437" s="14"/>
      <c r="D437" s="14"/>
      <c r="E437" s="18"/>
      <c r="F437" s="61"/>
      <c r="G437" s="73"/>
      <c r="H437" s="79"/>
      <c r="I437" s="79"/>
      <c r="J437" s="14"/>
      <c r="K437" s="38"/>
      <c r="L437" s="38"/>
      <c r="M437" s="17"/>
    </row>
    <row r="438" spans="2:13" ht="14.45" customHeight="1" x14ac:dyDescent="0.25">
      <c r="B438" s="17"/>
      <c r="C438" s="14"/>
      <c r="D438" s="14"/>
      <c r="E438" s="18"/>
      <c r="F438" s="61"/>
      <c r="G438" s="73"/>
      <c r="H438" s="79"/>
      <c r="I438" s="79"/>
      <c r="J438" s="14"/>
      <c r="K438" s="38"/>
      <c r="L438" s="38"/>
      <c r="M438" s="17"/>
    </row>
    <row r="439" spans="2:13" ht="14.45" customHeight="1" x14ac:dyDescent="0.25">
      <c r="B439" s="17"/>
      <c r="C439" s="14"/>
      <c r="D439" s="14"/>
      <c r="E439" s="18"/>
      <c r="F439" s="61"/>
      <c r="G439" s="73"/>
      <c r="H439" s="79"/>
      <c r="I439" s="79"/>
      <c r="J439" s="14"/>
      <c r="K439" s="38"/>
      <c r="L439" s="38"/>
      <c r="M439" s="17"/>
    </row>
    <row r="440" spans="2:13" ht="14.45" customHeight="1" x14ac:dyDescent="0.25">
      <c r="B440" s="17"/>
      <c r="C440" s="14"/>
      <c r="D440" s="14"/>
      <c r="E440" s="18"/>
      <c r="F440" s="61"/>
      <c r="G440" s="73"/>
      <c r="H440" s="79"/>
      <c r="I440" s="79"/>
      <c r="J440" s="14"/>
      <c r="K440" s="38"/>
      <c r="L440" s="38"/>
      <c r="M440" s="17"/>
    </row>
    <row r="441" spans="2:13" ht="14.45" customHeight="1" x14ac:dyDescent="0.25">
      <c r="B441" s="17"/>
      <c r="C441" s="14"/>
      <c r="D441" s="14"/>
      <c r="E441" s="18"/>
      <c r="F441" s="61"/>
      <c r="G441" s="73"/>
      <c r="H441" s="79"/>
      <c r="I441" s="79"/>
      <c r="J441" s="14"/>
      <c r="K441" s="38"/>
      <c r="L441" s="38"/>
      <c r="M441" s="17"/>
    </row>
    <row r="442" spans="2:13" ht="14.45" customHeight="1" x14ac:dyDescent="0.25">
      <c r="B442" s="17"/>
      <c r="C442" s="14"/>
      <c r="D442" s="14"/>
      <c r="E442" s="18"/>
      <c r="F442" s="61"/>
      <c r="G442" s="73"/>
      <c r="H442" s="79"/>
      <c r="I442" s="79"/>
      <c r="J442" s="14"/>
      <c r="K442" s="38"/>
      <c r="L442" s="38"/>
      <c r="M442" s="17"/>
    </row>
    <row r="443" spans="2:13" ht="14.45" customHeight="1" x14ac:dyDescent="0.25">
      <c r="B443" s="17"/>
      <c r="C443" s="14"/>
      <c r="D443" s="14"/>
      <c r="E443" s="18"/>
      <c r="F443" s="61"/>
      <c r="G443" s="73"/>
      <c r="H443" s="79"/>
      <c r="I443" s="79"/>
      <c r="J443" s="14"/>
      <c r="K443" s="38"/>
      <c r="L443" s="38"/>
      <c r="M443" s="17"/>
    </row>
    <row r="444" spans="2:13" ht="14.45" customHeight="1" x14ac:dyDescent="0.25">
      <c r="B444" s="17"/>
      <c r="C444" s="14"/>
      <c r="D444" s="14"/>
      <c r="E444" s="18"/>
      <c r="F444" s="61"/>
      <c r="G444" s="73"/>
      <c r="H444" s="79"/>
      <c r="I444" s="79"/>
      <c r="J444" s="14"/>
      <c r="K444" s="38"/>
      <c r="L444" s="38"/>
      <c r="M444" s="17"/>
    </row>
    <row r="445" spans="2:13" ht="14.45" customHeight="1" x14ac:dyDescent="0.25">
      <c r="B445" s="17"/>
      <c r="C445" s="14"/>
      <c r="D445" s="14"/>
      <c r="E445" s="18"/>
      <c r="F445" s="61"/>
      <c r="G445" s="73"/>
      <c r="H445" s="79"/>
      <c r="I445" s="79"/>
      <c r="J445" s="14"/>
      <c r="K445" s="38"/>
      <c r="L445" s="38"/>
      <c r="M445" s="17"/>
    </row>
    <row r="446" spans="2:13" ht="14.45" customHeight="1" x14ac:dyDescent="0.25">
      <c r="B446" s="17"/>
      <c r="C446" s="14"/>
      <c r="D446" s="14"/>
      <c r="E446" s="18"/>
      <c r="F446" s="61"/>
      <c r="G446" s="73"/>
      <c r="H446" s="79"/>
      <c r="I446" s="79"/>
      <c r="J446" s="14"/>
      <c r="K446" s="38"/>
      <c r="L446" s="38"/>
      <c r="M446" s="17"/>
    </row>
    <row r="447" spans="2:13" ht="14.45" customHeight="1" x14ac:dyDescent="0.25">
      <c r="B447" s="17"/>
      <c r="C447" s="14"/>
      <c r="D447" s="14"/>
      <c r="E447" s="18"/>
      <c r="F447" s="61"/>
      <c r="G447" s="73"/>
      <c r="H447" s="79"/>
      <c r="I447" s="79"/>
      <c r="J447" s="14"/>
      <c r="K447" s="38"/>
      <c r="L447" s="38"/>
      <c r="M447" s="17"/>
    </row>
    <row r="448" spans="2:13" ht="14.45" customHeight="1" x14ac:dyDescent="0.25">
      <c r="B448" s="17"/>
      <c r="C448" s="14"/>
      <c r="D448" s="14"/>
      <c r="E448" s="18"/>
      <c r="F448" s="61"/>
      <c r="G448" s="73"/>
      <c r="H448" s="79"/>
      <c r="I448" s="79"/>
      <c r="J448" s="14"/>
      <c r="K448" s="38"/>
      <c r="L448" s="38"/>
      <c r="M448" s="17"/>
    </row>
    <row r="449" spans="2:13" ht="14.45" customHeight="1" x14ac:dyDescent="0.25">
      <c r="B449" s="17"/>
      <c r="C449" s="14"/>
      <c r="D449" s="14"/>
      <c r="E449" s="18"/>
      <c r="F449" s="61"/>
      <c r="G449" s="73"/>
      <c r="H449" s="79"/>
      <c r="I449" s="79"/>
      <c r="J449" s="14"/>
      <c r="K449" s="38"/>
      <c r="L449" s="38"/>
      <c r="M449" s="17"/>
    </row>
    <row r="450" spans="2:13" ht="14.45" customHeight="1" x14ac:dyDescent="0.25">
      <c r="B450" s="17"/>
      <c r="C450" s="14"/>
      <c r="D450" s="14"/>
      <c r="E450" s="18"/>
      <c r="F450" s="61"/>
      <c r="G450" s="73"/>
      <c r="H450" s="79"/>
      <c r="I450" s="79"/>
      <c r="J450" s="14"/>
      <c r="K450" s="38"/>
      <c r="L450" s="38"/>
      <c r="M450" s="17"/>
    </row>
    <row r="451" spans="2:13" ht="14.45" customHeight="1" x14ac:dyDescent="0.25">
      <c r="B451" s="17"/>
      <c r="C451" s="14"/>
      <c r="D451" s="14"/>
      <c r="E451" s="18"/>
      <c r="F451" s="61"/>
      <c r="G451" s="73"/>
      <c r="H451" s="79"/>
      <c r="I451" s="79"/>
      <c r="J451" s="14"/>
      <c r="K451" s="38"/>
      <c r="L451" s="38"/>
      <c r="M451" s="17"/>
    </row>
    <row r="452" spans="2:13" ht="14.45" customHeight="1" x14ac:dyDescent="0.25">
      <c r="B452" s="17"/>
      <c r="C452" s="14"/>
      <c r="D452" s="14"/>
      <c r="E452" s="18"/>
      <c r="F452" s="61"/>
      <c r="G452" s="73"/>
      <c r="H452" s="79"/>
      <c r="I452" s="79"/>
      <c r="J452" s="14"/>
      <c r="K452" s="38"/>
      <c r="L452" s="38"/>
      <c r="M452" s="17"/>
    </row>
    <row r="453" spans="2:13" ht="14.45" customHeight="1" x14ac:dyDescent="0.25">
      <c r="B453" s="17"/>
      <c r="C453" s="14"/>
      <c r="D453" s="14"/>
      <c r="E453" s="18"/>
      <c r="F453" s="61"/>
      <c r="G453" s="73"/>
      <c r="H453" s="79"/>
      <c r="I453" s="79"/>
      <c r="J453" s="14"/>
      <c r="K453" s="38"/>
      <c r="L453" s="38"/>
      <c r="M453" s="17"/>
    </row>
    <row r="454" spans="2:13" ht="14.45" customHeight="1" x14ac:dyDescent="0.25">
      <c r="B454" s="17"/>
      <c r="C454" s="14"/>
      <c r="D454" s="14"/>
      <c r="E454" s="18"/>
      <c r="F454" s="61"/>
      <c r="G454" s="73"/>
      <c r="H454" s="79"/>
      <c r="I454" s="79"/>
      <c r="J454" s="14"/>
      <c r="K454" s="38"/>
      <c r="L454" s="38"/>
      <c r="M454" s="17"/>
    </row>
    <row r="455" spans="2:13" ht="14.45" customHeight="1" x14ac:dyDescent="0.25">
      <c r="B455" s="17"/>
      <c r="C455" s="14"/>
      <c r="D455" s="14"/>
      <c r="E455" s="18"/>
      <c r="F455" s="61"/>
      <c r="G455" s="73"/>
      <c r="H455" s="79"/>
      <c r="I455" s="79"/>
      <c r="J455" s="14"/>
      <c r="K455" s="38"/>
      <c r="L455" s="38"/>
      <c r="M455" s="17"/>
    </row>
    <row r="456" spans="2:13" ht="14.45" customHeight="1" x14ac:dyDescent="0.25">
      <c r="B456" s="17"/>
      <c r="C456" s="14"/>
      <c r="D456" s="14"/>
      <c r="E456" s="18"/>
      <c r="F456" s="61"/>
      <c r="G456" s="73"/>
      <c r="H456" s="79"/>
      <c r="I456" s="79"/>
      <c r="J456" s="14"/>
      <c r="K456" s="38"/>
      <c r="L456" s="38"/>
      <c r="M456" s="17"/>
    </row>
    <row r="457" spans="2:13" ht="14.45" customHeight="1" x14ac:dyDescent="0.25">
      <c r="B457" s="17"/>
      <c r="C457" s="14"/>
      <c r="D457" s="14"/>
      <c r="E457" s="18"/>
      <c r="F457" s="61"/>
      <c r="G457" s="73"/>
      <c r="H457" s="79"/>
      <c r="I457" s="79"/>
      <c r="J457" s="14"/>
      <c r="K457" s="38"/>
      <c r="L457" s="38"/>
      <c r="M457" s="17"/>
    </row>
    <row r="458" spans="2:13" ht="14.45" customHeight="1" x14ac:dyDescent="0.25">
      <c r="B458" s="17"/>
      <c r="C458" s="14"/>
      <c r="D458" s="14"/>
      <c r="E458" s="18"/>
      <c r="F458" s="61"/>
      <c r="G458" s="73"/>
      <c r="H458" s="79"/>
      <c r="I458" s="79"/>
      <c r="J458" s="14"/>
      <c r="K458" s="38"/>
      <c r="L458" s="38"/>
      <c r="M458" s="17"/>
    </row>
    <row r="459" spans="2:13" ht="14.45" customHeight="1" x14ac:dyDescent="0.25">
      <c r="B459" s="17"/>
      <c r="C459" s="14"/>
      <c r="D459" s="14"/>
      <c r="E459" s="18"/>
      <c r="F459" s="61"/>
      <c r="G459" s="73"/>
      <c r="H459" s="79"/>
      <c r="I459" s="79"/>
      <c r="J459" s="14"/>
      <c r="K459" s="38"/>
      <c r="L459" s="38"/>
      <c r="M459" s="17"/>
    </row>
    <row r="460" spans="2:13" ht="14.45" customHeight="1" x14ac:dyDescent="0.25">
      <c r="B460" s="17"/>
      <c r="C460" s="14"/>
      <c r="D460" s="14"/>
      <c r="E460" s="18"/>
      <c r="F460" s="61"/>
      <c r="G460" s="73"/>
      <c r="H460" s="79"/>
      <c r="I460" s="79"/>
      <c r="J460" s="14"/>
      <c r="K460" s="38"/>
      <c r="L460" s="38"/>
      <c r="M460" s="17"/>
    </row>
    <row r="461" spans="2:13" ht="14.45" customHeight="1" x14ac:dyDescent="0.25">
      <c r="B461" s="17"/>
      <c r="C461" s="14"/>
      <c r="D461" s="14"/>
      <c r="E461" s="18"/>
      <c r="F461" s="61"/>
      <c r="G461" s="73"/>
      <c r="H461" s="79"/>
      <c r="I461" s="79"/>
      <c r="J461" s="14"/>
      <c r="K461" s="38"/>
      <c r="L461" s="38"/>
      <c r="M461" s="17"/>
    </row>
    <row r="462" spans="2:13" ht="14.45" customHeight="1" x14ac:dyDescent="0.25">
      <c r="B462" s="17"/>
      <c r="C462" s="14"/>
      <c r="D462" s="14"/>
      <c r="E462" s="18"/>
      <c r="F462" s="61"/>
      <c r="G462" s="73"/>
      <c r="H462" s="79"/>
      <c r="I462" s="79"/>
      <c r="J462" s="14"/>
      <c r="K462" s="38"/>
      <c r="L462" s="38"/>
      <c r="M462" s="17"/>
    </row>
    <row r="463" spans="2:13" ht="14.45" customHeight="1" x14ac:dyDescent="0.25">
      <c r="B463" s="17"/>
      <c r="C463" s="14"/>
      <c r="D463" s="14"/>
      <c r="E463" s="18"/>
      <c r="F463" s="61"/>
      <c r="G463" s="73"/>
      <c r="H463" s="79"/>
      <c r="I463" s="79"/>
      <c r="J463" s="14"/>
      <c r="K463" s="38"/>
      <c r="L463" s="38"/>
      <c r="M463" s="17"/>
    </row>
    <row r="464" spans="2:13" ht="14.45" customHeight="1" x14ac:dyDescent="0.25">
      <c r="B464" s="17"/>
      <c r="C464" s="14"/>
      <c r="D464" s="14"/>
      <c r="E464" s="18"/>
      <c r="F464" s="61"/>
      <c r="G464" s="73"/>
      <c r="H464" s="79"/>
      <c r="I464" s="79"/>
      <c r="J464" s="14"/>
      <c r="K464" s="38"/>
      <c r="L464" s="38"/>
      <c r="M464" s="17"/>
    </row>
    <row r="465" spans="2:13" ht="14.45" customHeight="1" x14ac:dyDescent="0.25">
      <c r="B465" s="17"/>
      <c r="C465" s="14"/>
      <c r="D465" s="14"/>
      <c r="E465" s="18"/>
      <c r="F465" s="61"/>
      <c r="G465" s="73"/>
      <c r="H465" s="79"/>
      <c r="I465" s="79"/>
      <c r="J465" s="14"/>
      <c r="K465" s="38"/>
      <c r="L465" s="38"/>
      <c r="M465" s="17"/>
    </row>
    <row r="466" spans="2:13" ht="14.45" customHeight="1" x14ac:dyDescent="0.25">
      <c r="B466" s="17"/>
      <c r="C466" s="14"/>
      <c r="D466" s="14"/>
      <c r="E466" s="18"/>
      <c r="F466" s="61"/>
      <c r="G466" s="73"/>
      <c r="H466" s="79"/>
      <c r="I466" s="79"/>
      <c r="J466" s="14"/>
      <c r="K466" s="38"/>
      <c r="L466" s="38"/>
      <c r="M466" s="17"/>
    </row>
    <row r="467" spans="2:13" ht="14.45" customHeight="1" x14ac:dyDescent="0.25">
      <c r="B467" s="17"/>
      <c r="C467" s="14"/>
      <c r="D467" s="14"/>
      <c r="E467" s="18"/>
      <c r="F467" s="61"/>
      <c r="G467" s="73"/>
      <c r="H467" s="79"/>
      <c r="I467" s="79"/>
      <c r="J467" s="14"/>
      <c r="K467" s="38"/>
      <c r="L467" s="38"/>
      <c r="M467" s="17"/>
    </row>
    <row r="468" spans="2:13" ht="14.45" customHeight="1" x14ac:dyDescent="0.25">
      <c r="B468" s="17"/>
      <c r="C468" s="14"/>
      <c r="D468" s="14"/>
      <c r="E468" s="18"/>
      <c r="F468" s="61"/>
      <c r="G468" s="73"/>
      <c r="H468" s="79"/>
      <c r="I468" s="79"/>
      <c r="J468" s="14"/>
      <c r="K468" s="38"/>
      <c r="L468" s="38"/>
      <c r="M468" s="17"/>
    </row>
    <row r="469" spans="2:13" ht="14.45" customHeight="1" x14ac:dyDescent="0.25">
      <c r="B469" s="17"/>
      <c r="C469" s="14"/>
      <c r="D469" s="14"/>
      <c r="E469" s="18"/>
      <c r="F469" s="61"/>
      <c r="G469" s="73"/>
      <c r="H469" s="79"/>
      <c r="I469" s="79"/>
      <c r="J469" s="14"/>
      <c r="K469" s="38"/>
      <c r="L469" s="38"/>
      <c r="M469" s="17"/>
    </row>
    <row r="470" spans="2:13" ht="14.45" customHeight="1" x14ac:dyDescent="0.25">
      <c r="B470" s="17"/>
      <c r="C470" s="14"/>
      <c r="D470" s="14"/>
      <c r="E470" s="18"/>
      <c r="F470" s="61"/>
      <c r="G470" s="73"/>
      <c r="H470" s="79"/>
      <c r="I470" s="79"/>
      <c r="J470" s="14"/>
      <c r="K470" s="38"/>
      <c r="L470" s="38"/>
      <c r="M470" s="17"/>
    </row>
    <row r="471" spans="2:13" ht="14.45" customHeight="1" x14ac:dyDescent="0.25">
      <c r="B471" s="17"/>
      <c r="C471" s="14"/>
      <c r="D471" s="14"/>
      <c r="E471" s="18"/>
      <c r="F471" s="61"/>
      <c r="G471" s="73"/>
      <c r="H471" s="79"/>
      <c r="I471" s="79"/>
      <c r="J471" s="14"/>
      <c r="K471" s="38"/>
      <c r="L471" s="38"/>
      <c r="M471" s="17"/>
    </row>
    <row r="472" spans="2:13" ht="14.45" customHeight="1" x14ac:dyDescent="0.25">
      <c r="B472" s="17"/>
      <c r="C472" s="14"/>
      <c r="D472" s="14"/>
      <c r="E472" s="18"/>
      <c r="F472" s="61"/>
      <c r="G472" s="73"/>
      <c r="H472" s="79"/>
      <c r="I472" s="79"/>
      <c r="J472" s="14"/>
      <c r="K472" s="38"/>
      <c r="L472" s="38"/>
      <c r="M472" s="17"/>
    </row>
    <row r="473" spans="2:13" ht="14.45" customHeight="1" x14ac:dyDescent="0.25">
      <c r="B473" s="17"/>
      <c r="C473" s="14"/>
      <c r="D473" s="14"/>
      <c r="E473" s="18"/>
      <c r="F473" s="61"/>
      <c r="G473" s="73"/>
      <c r="H473" s="79"/>
      <c r="I473" s="79"/>
      <c r="J473" s="14"/>
      <c r="K473" s="38"/>
      <c r="L473" s="38"/>
      <c r="M473" s="17"/>
    </row>
    <row r="474" spans="2:13" ht="14.45" customHeight="1" x14ac:dyDescent="0.25">
      <c r="B474" s="17"/>
      <c r="C474" s="14"/>
      <c r="D474" s="14"/>
      <c r="E474" s="18"/>
      <c r="F474" s="61"/>
      <c r="G474" s="73"/>
      <c r="H474" s="79"/>
      <c r="I474" s="79"/>
      <c r="J474" s="14"/>
      <c r="K474" s="38"/>
      <c r="L474" s="38"/>
      <c r="M474" s="17"/>
    </row>
    <row r="475" spans="2:13" ht="14.45" customHeight="1" x14ac:dyDescent="0.25">
      <c r="B475" s="17"/>
      <c r="C475" s="14"/>
      <c r="D475" s="14"/>
      <c r="E475" s="18"/>
      <c r="F475" s="61"/>
      <c r="G475" s="73"/>
      <c r="H475" s="79"/>
      <c r="I475" s="79"/>
      <c r="J475" s="14"/>
      <c r="K475" s="38"/>
      <c r="L475" s="38"/>
      <c r="M475" s="17"/>
    </row>
    <row r="476" spans="2:13" ht="14.45" customHeight="1" x14ac:dyDescent="0.25">
      <c r="B476" s="17"/>
      <c r="C476" s="14"/>
      <c r="D476" s="14"/>
      <c r="E476" s="18"/>
      <c r="F476" s="61"/>
      <c r="G476" s="73"/>
      <c r="H476" s="79"/>
      <c r="I476" s="79"/>
      <c r="J476" s="14"/>
      <c r="K476" s="38"/>
      <c r="L476" s="38"/>
      <c r="M476" s="17"/>
    </row>
    <row r="477" spans="2:13" ht="14.45" customHeight="1" x14ac:dyDescent="0.25">
      <c r="B477" s="17"/>
      <c r="C477" s="14"/>
      <c r="D477" s="14"/>
      <c r="E477" s="18"/>
      <c r="F477" s="61"/>
      <c r="G477" s="73"/>
      <c r="H477" s="79"/>
      <c r="I477" s="79"/>
      <c r="J477" s="14"/>
      <c r="K477" s="38"/>
      <c r="L477" s="38"/>
      <c r="M477" s="17"/>
    </row>
    <row r="478" spans="2:13" ht="14.45" customHeight="1" x14ac:dyDescent="0.25">
      <c r="B478" s="17"/>
      <c r="C478" s="14"/>
      <c r="D478" s="14"/>
      <c r="E478" s="18"/>
      <c r="F478" s="61"/>
      <c r="G478" s="73"/>
      <c r="H478" s="79"/>
      <c r="I478" s="79"/>
      <c r="J478" s="14"/>
      <c r="K478" s="38"/>
      <c r="L478" s="38"/>
      <c r="M478" s="17"/>
    </row>
    <row r="479" spans="2:13" ht="14.45" customHeight="1" x14ac:dyDescent="0.25">
      <c r="B479" s="17"/>
      <c r="C479" s="14"/>
      <c r="D479" s="14"/>
      <c r="E479" s="18"/>
      <c r="F479" s="61"/>
      <c r="G479" s="73"/>
      <c r="H479" s="79"/>
      <c r="I479" s="79"/>
      <c r="J479" s="14"/>
      <c r="K479" s="38"/>
      <c r="L479" s="38"/>
      <c r="M479" s="17"/>
    </row>
    <row r="480" spans="2:13" ht="14.45" customHeight="1" x14ac:dyDescent="0.25">
      <c r="B480" s="17"/>
      <c r="C480" s="14"/>
      <c r="D480" s="14"/>
      <c r="E480" s="18"/>
      <c r="F480" s="61"/>
      <c r="G480" s="73"/>
      <c r="H480" s="79"/>
      <c r="I480" s="79"/>
      <c r="J480" s="14"/>
      <c r="K480" s="38"/>
      <c r="L480" s="38"/>
      <c r="M480" s="17"/>
    </row>
    <row r="481" spans="2:13" ht="14.45" customHeight="1" x14ac:dyDescent="0.25">
      <c r="B481" s="17"/>
      <c r="C481" s="14"/>
      <c r="D481" s="14"/>
      <c r="E481" s="18"/>
      <c r="F481" s="61"/>
      <c r="G481" s="73"/>
      <c r="H481" s="79"/>
      <c r="I481" s="79"/>
      <c r="J481" s="14"/>
      <c r="K481" s="38"/>
      <c r="L481" s="38"/>
      <c r="M481" s="17"/>
    </row>
    <row r="482" spans="2:13" ht="14.45" customHeight="1" x14ac:dyDescent="0.25">
      <c r="B482" s="17"/>
      <c r="C482" s="14"/>
      <c r="D482" s="14"/>
      <c r="E482" s="18"/>
      <c r="F482" s="61"/>
      <c r="G482" s="73"/>
      <c r="H482" s="79"/>
      <c r="I482" s="79"/>
      <c r="J482" s="14"/>
      <c r="K482" s="38"/>
      <c r="L482" s="38"/>
      <c r="M482" s="17"/>
    </row>
    <row r="483" spans="2:13" ht="14.45" customHeight="1" x14ac:dyDescent="0.25">
      <c r="B483" s="17"/>
      <c r="C483" s="14"/>
      <c r="D483" s="14"/>
      <c r="E483" s="18"/>
      <c r="F483" s="61"/>
      <c r="G483" s="73"/>
      <c r="H483" s="79"/>
      <c r="I483" s="79"/>
      <c r="J483" s="14"/>
      <c r="K483" s="38"/>
      <c r="L483" s="38"/>
      <c r="M483" s="17"/>
    </row>
    <row r="484" spans="2:13" ht="14.45" customHeight="1" x14ac:dyDescent="0.25">
      <c r="B484" s="17"/>
      <c r="C484" s="14"/>
      <c r="D484" s="14"/>
      <c r="E484" s="18"/>
      <c r="F484" s="61"/>
      <c r="G484" s="73"/>
      <c r="H484" s="79"/>
      <c r="I484" s="79"/>
      <c r="J484" s="14"/>
      <c r="K484" s="38"/>
      <c r="L484" s="38"/>
      <c r="M484" s="17"/>
    </row>
    <row r="485" spans="2:13" ht="14.45" customHeight="1" x14ac:dyDescent="0.25">
      <c r="B485" s="17"/>
      <c r="C485" s="14"/>
      <c r="D485" s="14"/>
      <c r="E485" s="18"/>
      <c r="F485" s="61"/>
      <c r="G485" s="73"/>
      <c r="H485" s="79"/>
      <c r="I485" s="79"/>
      <c r="J485" s="14"/>
      <c r="K485" s="38"/>
      <c r="L485" s="38"/>
      <c r="M485" s="17"/>
    </row>
    <row r="486" spans="2:13" ht="14.45" customHeight="1" x14ac:dyDescent="0.25">
      <c r="B486" s="17"/>
      <c r="C486" s="14"/>
      <c r="D486" s="14"/>
      <c r="E486" s="18"/>
      <c r="F486" s="61"/>
      <c r="G486" s="73"/>
      <c r="H486" s="79"/>
      <c r="I486" s="79"/>
      <c r="J486" s="14"/>
      <c r="K486" s="38"/>
      <c r="L486" s="38"/>
      <c r="M486" s="17"/>
    </row>
    <row r="487" spans="2:13" ht="14.45" customHeight="1" x14ac:dyDescent="0.25">
      <c r="B487" s="17"/>
      <c r="C487" s="14"/>
      <c r="D487" s="14"/>
      <c r="E487" s="18"/>
      <c r="F487" s="61"/>
      <c r="G487" s="73"/>
      <c r="H487" s="79"/>
      <c r="I487" s="79"/>
      <c r="J487" s="14"/>
      <c r="K487" s="38"/>
      <c r="L487" s="38"/>
      <c r="M487" s="17"/>
    </row>
    <row r="488" spans="2:13" ht="14.45" customHeight="1" x14ac:dyDescent="0.25">
      <c r="B488" s="17"/>
      <c r="C488" s="14"/>
      <c r="D488" s="14"/>
      <c r="E488" s="18"/>
      <c r="F488" s="61"/>
      <c r="G488" s="73"/>
      <c r="H488" s="79"/>
      <c r="I488" s="79"/>
      <c r="J488" s="14"/>
      <c r="K488" s="38"/>
      <c r="L488" s="38"/>
      <c r="M488" s="17"/>
    </row>
    <row r="489" spans="2:13" ht="14.45" customHeight="1" x14ac:dyDescent="0.25">
      <c r="B489" s="17"/>
      <c r="C489" s="14"/>
      <c r="D489" s="14"/>
      <c r="E489" s="18"/>
      <c r="F489" s="61"/>
      <c r="G489" s="73"/>
      <c r="H489" s="79"/>
      <c r="I489" s="79"/>
      <c r="J489" s="14"/>
      <c r="K489" s="38"/>
      <c r="L489" s="38"/>
      <c r="M489" s="17"/>
    </row>
    <row r="490" spans="2:13" ht="14.45" customHeight="1" x14ac:dyDescent="0.25">
      <c r="B490" s="17"/>
      <c r="C490" s="14"/>
      <c r="D490" s="14"/>
      <c r="E490" s="18"/>
      <c r="F490" s="61"/>
      <c r="G490" s="73"/>
      <c r="H490" s="79"/>
      <c r="I490" s="79"/>
      <c r="J490" s="14"/>
      <c r="K490" s="38"/>
      <c r="L490" s="38"/>
      <c r="M490" s="17"/>
    </row>
    <row r="491" spans="2:13" ht="14.45" customHeight="1" x14ac:dyDescent="0.25">
      <c r="B491" s="17"/>
      <c r="C491" s="14"/>
      <c r="D491" s="14"/>
      <c r="E491" s="18"/>
      <c r="F491" s="61"/>
      <c r="G491" s="73"/>
      <c r="H491" s="79"/>
      <c r="I491" s="79"/>
      <c r="J491" s="14"/>
      <c r="K491" s="38"/>
      <c r="L491" s="38"/>
      <c r="M491" s="17"/>
    </row>
    <row r="492" spans="2:13" ht="14.45" customHeight="1" x14ac:dyDescent="0.25">
      <c r="B492" s="17"/>
      <c r="C492" s="14"/>
      <c r="D492" s="14"/>
      <c r="E492" s="18"/>
      <c r="F492" s="61"/>
      <c r="G492" s="73"/>
      <c r="H492" s="79"/>
      <c r="I492" s="79"/>
      <c r="J492" s="14"/>
      <c r="K492" s="38"/>
      <c r="L492" s="38"/>
      <c r="M492" s="17"/>
    </row>
    <row r="493" spans="2:13" ht="14.45" customHeight="1" x14ac:dyDescent="0.25">
      <c r="B493" s="17"/>
      <c r="C493" s="14"/>
      <c r="D493" s="14"/>
      <c r="E493" s="18"/>
      <c r="F493" s="61"/>
      <c r="G493" s="73"/>
      <c r="H493" s="79"/>
      <c r="I493" s="79"/>
      <c r="J493" s="14"/>
      <c r="K493" s="38"/>
      <c r="L493" s="38"/>
      <c r="M493" s="17"/>
    </row>
    <row r="494" spans="2:13" ht="14.45" customHeight="1" x14ac:dyDescent="0.25">
      <c r="B494" s="17"/>
      <c r="C494" s="14"/>
      <c r="D494" s="14"/>
      <c r="E494" s="18"/>
      <c r="F494" s="61"/>
      <c r="G494" s="73"/>
      <c r="H494" s="79"/>
      <c r="I494" s="79"/>
      <c r="J494" s="14"/>
      <c r="K494" s="38"/>
      <c r="L494" s="38"/>
      <c r="M494" s="17"/>
    </row>
    <row r="495" spans="2:13" ht="14.45" customHeight="1" x14ac:dyDescent="0.25">
      <c r="B495" s="17"/>
      <c r="C495" s="14"/>
      <c r="D495" s="14"/>
      <c r="E495" s="18"/>
      <c r="F495" s="61"/>
      <c r="G495" s="73"/>
      <c r="H495" s="79"/>
      <c r="I495" s="79"/>
      <c r="J495" s="14"/>
      <c r="K495" s="38"/>
      <c r="L495" s="38"/>
      <c r="M495" s="17"/>
    </row>
    <row r="496" spans="2:13" ht="14.45" customHeight="1" x14ac:dyDescent="0.25">
      <c r="B496" s="17"/>
      <c r="C496" s="14"/>
      <c r="D496" s="14"/>
      <c r="E496" s="18"/>
      <c r="F496" s="61"/>
      <c r="G496" s="73"/>
      <c r="H496" s="79"/>
      <c r="I496" s="79"/>
      <c r="J496" s="14"/>
      <c r="K496" s="38"/>
      <c r="L496" s="38"/>
      <c r="M496" s="17"/>
    </row>
    <row r="497" spans="2:13" ht="14.45" customHeight="1" x14ac:dyDescent="0.25">
      <c r="B497" s="17"/>
      <c r="C497" s="14"/>
      <c r="D497" s="14"/>
      <c r="E497" s="18"/>
      <c r="F497" s="61"/>
      <c r="G497" s="73"/>
      <c r="H497" s="79"/>
      <c r="I497" s="79"/>
      <c r="J497" s="14"/>
      <c r="K497" s="38"/>
      <c r="L497" s="38"/>
      <c r="M497" s="17"/>
    </row>
    <row r="498" spans="2:13" ht="14.45" customHeight="1" x14ac:dyDescent="0.25">
      <c r="B498" s="17"/>
      <c r="C498" s="14"/>
      <c r="D498" s="14"/>
      <c r="E498" s="18"/>
      <c r="F498" s="61"/>
      <c r="G498" s="73"/>
      <c r="H498" s="79"/>
      <c r="I498" s="79"/>
      <c r="J498" s="14"/>
      <c r="K498" s="38"/>
      <c r="L498" s="38"/>
      <c r="M498" s="17"/>
    </row>
    <row r="499" spans="2:13" ht="14.45" customHeight="1" x14ac:dyDescent="0.25">
      <c r="B499" s="17"/>
      <c r="C499" s="14"/>
      <c r="D499" s="14"/>
      <c r="E499" s="18"/>
      <c r="F499" s="61"/>
      <c r="G499" s="73"/>
      <c r="H499" s="79"/>
      <c r="I499" s="79"/>
      <c r="J499" s="14"/>
      <c r="K499" s="38"/>
      <c r="L499" s="38"/>
      <c r="M499" s="17"/>
    </row>
    <row r="500" spans="2:13" ht="14.45" customHeight="1" x14ac:dyDescent="0.25">
      <c r="B500" s="17"/>
      <c r="C500" s="14"/>
      <c r="D500" s="14"/>
      <c r="E500" s="18"/>
      <c r="F500" s="61"/>
      <c r="G500" s="73"/>
      <c r="H500" s="79"/>
      <c r="I500" s="79"/>
      <c r="J500" s="14"/>
      <c r="K500" s="38"/>
      <c r="L500" s="38"/>
      <c r="M500" s="17"/>
    </row>
    <row r="501" spans="2:13" ht="14.45" customHeight="1" x14ac:dyDescent="0.25">
      <c r="B501" s="17"/>
      <c r="C501" s="14"/>
      <c r="D501" s="14"/>
      <c r="E501" s="18"/>
      <c r="F501" s="61"/>
      <c r="G501" s="73"/>
      <c r="H501" s="79"/>
      <c r="I501" s="79"/>
      <c r="J501" s="14"/>
      <c r="K501" s="38"/>
      <c r="L501" s="38"/>
      <c r="M501" s="17"/>
    </row>
    <row r="502" spans="2:13" ht="14.45" customHeight="1" x14ac:dyDescent="0.25">
      <c r="B502" s="17"/>
      <c r="C502" s="14"/>
      <c r="D502" s="14"/>
      <c r="E502" s="18"/>
      <c r="F502" s="61"/>
      <c r="G502" s="73"/>
      <c r="H502" s="79"/>
      <c r="I502" s="79"/>
      <c r="J502" s="14"/>
      <c r="K502" s="38"/>
      <c r="L502" s="38"/>
      <c r="M502" s="17"/>
    </row>
    <row r="503" spans="2:13" ht="14.45" customHeight="1" x14ac:dyDescent="0.25">
      <c r="B503" s="17"/>
      <c r="C503" s="14"/>
      <c r="D503" s="14"/>
      <c r="E503" s="18"/>
      <c r="F503" s="61"/>
      <c r="G503" s="73"/>
      <c r="H503" s="79"/>
      <c r="I503" s="79"/>
      <c r="J503" s="14"/>
      <c r="K503" s="38"/>
      <c r="L503" s="38"/>
      <c r="M503" s="17"/>
    </row>
    <row r="504" spans="2:13" ht="14.45" customHeight="1" x14ac:dyDescent="0.25">
      <c r="B504" s="17"/>
      <c r="C504" s="14"/>
      <c r="D504" s="14"/>
      <c r="E504" s="18"/>
      <c r="F504" s="61"/>
      <c r="G504" s="73"/>
      <c r="H504" s="79"/>
      <c r="I504" s="79"/>
      <c r="J504" s="14"/>
      <c r="K504" s="38"/>
      <c r="L504" s="38"/>
      <c r="M504" s="17"/>
    </row>
    <row r="505" spans="2:13" ht="14.45" customHeight="1" x14ac:dyDescent="0.25">
      <c r="B505" s="17"/>
      <c r="C505" s="14"/>
      <c r="D505" s="14"/>
      <c r="E505" s="18"/>
      <c r="F505" s="61"/>
      <c r="G505" s="73"/>
      <c r="H505" s="79"/>
      <c r="I505" s="79"/>
      <c r="J505" s="14"/>
      <c r="K505" s="38"/>
      <c r="L505" s="38"/>
      <c r="M505" s="17"/>
    </row>
    <row r="506" spans="2:13" ht="14.45" customHeight="1" x14ac:dyDescent="0.25">
      <c r="B506" s="17"/>
      <c r="C506" s="14"/>
      <c r="D506" s="14"/>
      <c r="E506" s="18"/>
      <c r="F506" s="61"/>
      <c r="G506" s="73"/>
      <c r="H506" s="79"/>
      <c r="I506" s="79"/>
      <c r="J506" s="14"/>
      <c r="K506" s="38"/>
      <c r="L506" s="38"/>
      <c r="M506" s="17"/>
    </row>
    <row r="507" spans="2:13" ht="14.45" customHeight="1" x14ac:dyDescent="0.25">
      <c r="B507" s="17"/>
      <c r="C507" s="14"/>
      <c r="D507" s="14"/>
      <c r="E507" s="18"/>
      <c r="F507" s="61"/>
      <c r="G507" s="73"/>
      <c r="H507" s="79"/>
      <c r="I507" s="79"/>
      <c r="J507" s="14"/>
      <c r="K507" s="38"/>
      <c r="L507" s="38"/>
      <c r="M507" s="17"/>
    </row>
    <row r="508" spans="2:13" ht="14.45" customHeight="1" x14ac:dyDescent="0.25">
      <c r="B508" s="17"/>
      <c r="C508" s="14"/>
      <c r="D508" s="14"/>
      <c r="E508" s="18"/>
      <c r="F508" s="61"/>
      <c r="G508" s="73"/>
      <c r="H508" s="79"/>
      <c r="I508" s="79"/>
      <c r="J508" s="14"/>
      <c r="K508" s="38"/>
      <c r="L508" s="38"/>
      <c r="M508" s="17"/>
    </row>
    <row r="509" spans="2:13" ht="14.45" customHeight="1" x14ac:dyDescent="0.25">
      <c r="B509" s="17"/>
      <c r="C509" s="14"/>
      <c r="D509" s="14"/>
      <c r="E509" s="18"/>
      <c r="F509" s="61"/>
      <c r="G509" s="73"/>
      <c r="H509" s="79"/>
      <c r="I509" s="79"/>
      <c r="J509" s="14"/>
      <c r="K509" s="38"/>
      <c r="L509" s="38"/>
      <c r="M509" s="17"/>
    </row>
    <row r="510" spans="2:13" ht="14.45" customHeight="1" x14ac:dyDescent="0.25">
      <c r="B510" s="17"/>
      <c r="C510" s="14"/>
      <c r="D510" s="14"/>
      <c r="E510" s="18"/>
      <c r="F510" s="61"/>
      <c r="G510" s="73"/>
      <c r="H510" s="79"/>
      <c r="I510" s="79"/>
      <c r="J510" s="14"/>
      <c r="K510" s="38"/>
      <c r="L510" s="38"/>
      <c r="M510" s="17"/>
    </row>
    <row r="511" spans="2:13" ht="14.45" customHeight="1" x14ac:dyDescent="0.25">
      <c r="B511" s="17"/>
      <c r="C511" s="14"/>
      <c r="D511" s="14"/>
      <c r="E511" s="18"/>
      <c r="F511" s="61"/>
      <c r="G511" s="73"/>
      <c r="H511" s="79"/>
      <c r="I511" s="79"/>
      <c r="J511" s="14"/>
      <c r="K511" s="38"/>
      <c r="L511" s="38"/>
      <c r="M511" s="17"/>
    </row>
    <row r="512" spans="2:13" ht="14.45" customHeight="1" x14ac:dyDescent="0.25">
      <c r="B512" s="17"/>
      <c r="C512" s="14"/>
      <c r="D512" s="14"/>
      <c r="E512" s="18"/>
      <c r="F512" s="61"/>
      <c r="G512" s="73"/>
      <c r="H512" s="79"/>
      <c r="I512" s="79"/>
      <c r="J512" s="14"/>
      <c r="K512" s="38"/>
      <c r="L512" s="38"/>
      <c r="M512" s="17"/>
    </row>
    <row r="513" spans="2:13" ht="14.45" customHeight="1" x14ac:dyDescent="0.25">
      <c r="B513" s="17"/>
      <c r="C513" s="14"/>
      <c r="D513" s="14"/>
      <c r="E513" s="18"/>
      <c r="F513" s="61"/>
      <c r="G513" s="73"/>
      <c r="H513" s="79"/>
      <c r="I513" s="79"/>
      <c r="J513" s="14"/>
      <c r="K513" s="38"/>
      <c r="L513" s="38"/>
      <c r="M513" s="17"/>
    </row>
    <row r="514" spans="2:13" ht="14.45" customHeight="1" x14ac:dyDescent="0.25">
      <c r="B514" s="17"/>
      <c r="C514" s="14"/>
      <c r="D514" s="14"/>
      <c r="E514" s="18"/>
      <c r="F514" s="61"/>
      <c r="G514" s="73"/>
      <c r="H514" s="79"/>
      <c r="I514" s="79"/>
      <c r="J514" s="14"/>
      <c r="K514" s="38"/>
      <c r="L514" s="38"/>
      <c r="M514" s="17"/>
    </row>
    <row r="515" spans="2:13" ht="14.45" customHeight="1" x14ac:dyDescent="0.25">
      <c r="B515" s="17"/>
      <c r="C515" s="14"/>
      <c r="D515" s="14"/>
      <c r="E515" s="18"/>
      <c r="F515" s="61"/>
      <c r="G515" s="73"/>
      <c r="H515" s="79"/>
      <c r="I515" s="79"/>
      <c r="J515" s="14"/>
      <c r="K515" s="38"/>
      <c r="L515" s="38"/>
      <c r="M515" s="17"/>
    </row>
    <row r="516" spans="2:13" ht="14.45" customHeight="1" x14ac:dyDescent="0.25">
      <c r="B516" s="17"/>
      <c r="C516" s="14"/>
      <c r="D516" s="14"/>
      <c r="E516" s="18"/>
      <c r="F516" s="61"/>
      <c r="G516" s="73"/>
      <c r="H516" s="79"/>
      <c r="I516" s="79"/>
      <c r="J516" s="14"/>
      <c r="K516" s="38"/>
      <c r="L516" s="38"/>
      <c r="M516" s="17"/>
    </row>
    <row r="517" spans="2:13" ht="14.45" customHeight="1" x14ac:dyDescent="0.25">
      <c r="B517" s="17"/>
      <c r="C517" s="14"/>
      <c r="D517" s="14"/>
      <c r="E517" s="18"/>
      <c r="F517" s="61"/>
      <c r="G517" s="73"/>
      <c r="H517" s="79"/>
      <c r="I517" s="79"/>
      <c r="J517" s="14"/>
      <c r="K517" s="38"/>
      <c r="L517" s="38"/>
      <c r="M517" s="17"/>
    </row>
    <row r="518" spans="2:13" ht="14.45" customHeight="1" x14ac:dyDescent="0.25">
      <c r="B518" s="17"/>
      <c r="C518" s="14"/>
      <c r="D518" s="14"/>
      <c r="E518" s="18"/>
      <c r="F518" s="61"/>
      <c r="G518" s="73"/>
      <c r="H518" s="79"/>
      <c r="I518" s="79"/>
      <c r="J518" s="14"/>
      <c r="K518" s="38"/>
      <c r="L518" s="38"/>
      <c r="M518" s="17"/>
    </row>
    <row r="519" spans="2:13" ht="14.45" customHeight="1" x14ac:dyDescent="0.25">
      <c r="B519" s="17"/>
      <c r="C519" s="14"/>
      <c r="D519" s="14"/>
      <c r="E519" s="18"/>
      <c r="F519" s="61"/>
      <c r="G519" s="73"/>
      <c r="H519" s="79"/>
      <c r="I519" s="79"/>
      <c r="J519" s="14"/>
      <c r="K519" s="38"/>
      <c r="L519" s="38"/>
      <c r="M519" s="17"/>
    </row>
    <row r="520" spans="2:13" ht="14.45" customHeight="1" x14ac:dyDescent="0.25">
      <c r="B520" s="17"/>
      <c r="C520" s="14"/>
      <c r="D520" s="14"/>
      <c r="E520" s="18"/>
      <c r="F520" s="61"/>
      <c r="G520" s="73"/>
      <c r="H520" s="79"/>
      <c r="I520" s="79"/>
      <c r="J520" s="14"/>
      <c r="K520" s="38"/>
      <c r="L520" s="38"/>
      <c r="M520" s="17"/>
    </row>
    <row r="521" spans="2:13" ht="14.45" customHeight="1" x14ac:dyDescent="0.25">
      <c r="B521" s="17"/>
      <c r="C521" s="14"/>
      <c r="D521" s="14"/>
      <c r="E521" s="18"/>
      <c r="F521" s="61"/>
      <c r="G521" s="73"/>
      <c r="H521" s="79"/>
      <c r="I521" s="79"/>
      <c r="J521" s="14"/>
      <c r="K521" s="38"/>
      <c r="L521" s="38"/>
      <c r="M521" s="17"/>
    </row>
    <row r="522" spans="2:13" ht="14.45" customHeight="1" x14ac:dyDescent="0.25">
      <c r="B522" s="17"/>
      <c r="C522" s="14"/>
      <c r="D522" s="14"/>
      <c r="E522" s="18"/>
      <c r="F522" s="61"/>
      <c r="G522" s="73"/>
      <c r="H522" s="79"/>
      <c r="I522" s="79"/>
      <c r="J522" s="14"/>
      <c r="K522" s="38"/>
      <c r="L522" s="38"/>
      <c r="M522" s="17"/>
    </row>
    <row r="523" spans="2:13" ht="14.45" customHeight="1" x14ac:dyDescent="0.25">
      <c r="B523" s="17"/>
      <c r="C523" s="14"/>
      <c r="D523" s="14"/>
      <c r="E523" s="18"/>
      <c r="F523" s="61"/>
      <c r="G523" s="73"/>
      <c r="H523" s="79"/>
      <c r="I523" s="79"/>
      <c r="J523" s="14"/>
      <c r="K523" s="38"/>
      <c r="L523" s="38"/>
      <c r="M523" s="17"/>
    </row>
    <row r="524" spans="2:13" ht="14.45" customHeight="1" x14ac:dyDescent="0.25">
      <c r="B524" s="17"/>
      <c r="C524" s="14"/>
      <c r="D524" s="14"/>
      <c r="E524" s="18"/>
      <c r="F524" s="61"/>
      <c r="G524" s="73"/>
      <c r="H524" s="79"/>
      <c r="I524" s="79"/>
      <c r="J524" s="14"/>
      <c r="K524" s="38"/>
      <c r="L524" s="38"/>
      <c r="M524" s="17"/>
    </row>
    <row r="525" spans="2:13" ht="14.45" customHeight="1" x14ac:dyDescent="0.25">
      <c r="B525" s="17"/>
      <c r="C525" s="14"/>
      <c r="D525" s="14"/>
      <c r="E525" s="18"/>
      <c r="F525" s="61"/>
      <c r="G525" s="73"/>
      <c r="H525" s="79"/>
      <c r="I525" s="79"/>
      <c r="J525" s="14"/>
      <c r="K525" s="38"/>
      <c r="L525" s="38"/>
      <c r="M525" s="17"/>
    </row>
    <row r="526" spans="2:13" ht="14.45" customHeight="1" x14ac:dyDescent="0.25">
      <c r="B526" s="17"/>
      <c r="C526" s="14"/>
      <c r="D526" s="14"/>
      <c r="E526" s="18"/>
      <c r="F526" s="61"/>
      <c r="G526" s="73"/>
      <c r="H526" s="79"/>
      <c r="I526" s="79"/>
      <c r="J526" s="14"/>
      <c r="K526" s="38"/>
      <c r="L526" s="38"/>
      <c r="M526" s="17"/>
    </row>
    <row r="527" spans="2:13" ht="14.45" customHeight="1" x14ac:dyDescent="0.25">
      <c r="B527" s="17"/>
      <c r="C527" s="14"/>
      <c r="D527" s="14"/>
      <c r="E527" s="18"/>
      <c r="F527" s="61"/>
      <c r="G527" s="73"/>
      <c r="H527" s="79"/>
      <c r="I527" s="79"/>
      <c r="J527" s="14"/>
      <c r="K527" s="38"/>
      <c r="L527" s="38"/>
      <c r="M527" s="17"/>
    </row>
    <row r="528" spans="2:13" ht="14.45" customHeight="1" x14ac:dyDescent="0.25">
      <c r="B528" s="17"/>
      <c r="C528" s="14"/>
      <c r="D528" s="14"/>
      <c r="E528" s="18"/>
      <c r="F528" s="61"/>
      <c r="G528" s="73"/>
      <c r="H528" s="79"/>
      <c r="I528" s="79"/>
      <c r="J528" s="14"/>
      <c r="K528" s="38"/>
      <c r="L528" s="38"/>
      <c r="M528" s="17"/>
    </row>
    <row r="529" spans="2:13" ht="14.45" customHeight="1" x14ac:dyDescent="0.25">
      <c r="B529" s="17"/>
      <c r="C529" s="14"/>
      <c r="D529" s="14"/>
      <c r="E529" s="18"/>
      <c r="F529" s="61"/>
      <c r="G529" s="73"/>
      <c r="H529" s="79"/>
      <c r="I529" s="79"/>
      <c r="J529" s="14"/>
      <c r="K529" s="38"/>
      <c r="L529" s="38"/>
      <c r="M529" s="17"/>
    </row>
    <row r="530" spans="2:13" ht="14.45" customHeight="1" x14ac:dyDescent="0.25">
      <c r="B530" s="17"/>
      <c r="C530" s="14"/>
      <c r="D530" s="14"/>
      <c r="E530" s="18"/>
      <c r="F530" s="61"/>
      <c r="G530" s="73"/>
      <c r="H530" s="79"/>
      <c r="I530" s="79"/>
      <c r="J530" s="14"/>
      <c r="K530" s="38"/>
      <c r="L530" s="38"/>
      <c r="M530" s="17"/>
    </row>
    <row r="531" spans="2:13" ht="14.45" customHeight="1" x14ac:dyDescent="0.25">
      <c r="B531" s="17"/>
      <c r="C531" s="14"/>
      <c r="D531" s="14"/>
      <c r="E531" s="18"/>
      <c r="F531" s="61"/>
      <c r="G531" s="73"/>
      <c r="H531" s="79"/>
      <c r="I531" s="79"/>
      <c r="J531" s="14"/>
      <c r="K531" s="38"/>
      <c r="L531" s="38"/>
      <c r="M531" s="17"/>
    </row>
    <row r="532" spans="2:13" ht="14.45" customHeight="1" x14ac:dyDescent="0.25">
      <c r="B532" s="17"/>
      <c r="C532" s="14"/>
      <c r="D532" s="14"/>
      <c r="E532" s="18"/>
      <c r="F532" s="61"/>
      <c r="G532" s="73"/>
      <c r="H532" s="79"/>
      <c r="I532" s="79"/>
      <c r="J532" s="14"/>
      <c r="K532" s="38"/>
      <c r="L532" s="38"/>
      <c r="M532" s="17"/>
    </row>
    <row r="533" spans="2:13" ht="14.45" customHeight="1" x14ac:dyDescent="0.25">
      <c r="B533" s="17"/>
      <c r="C533" s="14"/>
      <c r="D533" s="14"/>
      <c r="E533" s="18"/>
      <c r="F533" s="61"/>
      <c r="G533" s="73"/>
      <c r="H533" s="79"/>
      <c r="I533" s="79"/>
      <c r="J533" s="14"/>
      <c r="K533" s="38"/>
      <c r="L533" s="38"/>
      <c r="M533" s="17"/>
    </row>
    <row r="534" spans="2:13" ht="14.45" customHeight="1" x14ac:dyDescent="0.25">
      <c r="B534" s="17"/>
      <c r="C534" s="14"/>
      <c r="D534" s="14"/>
      <c r="E534" s="18"/>
      <c r="F534" s="61"/>
      <c r="G534" s="73"/>
      <c r="H534" s="79"/>
      <c r="I534" s="79"/>
      <c r="J534" s="14"/>
      <c r="K534" s="38"/>
      <c r="L534" s="38"/>
      <c r="M534" s="17"/>
    </row>
    <row r="535" spans="2:13" ht="14.45" customHeight="1" x14ac:dyDescent="0.25">
      <c r="B535" s="17"/>
      <c r="C535" s="14"/>
      <c r="D535" s="14"/>
      <c r="E535" s="18"/>
      <c r="F535" s="61"/>
      <c r="G535" s="73"/>
      <c r="H535" s="79"/>
      <c r="I535" s="79"/>
      <c r="J535" s="14"/>
      <c r="K535" s="38"/>
      <c r="L535" s="38"/>
      <c r="M535" s="17"/>
    </row>
    <row r="536" spans="2:13" ht="14.45" customHeight="1" x14ac:dyDescent="0.25">
      <c r="B536" s="17"/>
      <c r="C536" s="14"/>
      <c r="D536" s="14"/>
      <c r="E536" s="18"/>
      <c r="F536" s="61"/>
      <c r="G536" s="73"/>
      <c r="H536" s="79"/>
      <c r="I536" s="79"/>
      <c r="J536" s="14"/>
      <c r="K536" s="38"/>
      <c r="L536" s="38"/>
      <c r="M536" s="17"/>
    </row>
    <row r="537" spans="2:13" ht="14.45" customHeight="1" x14ac:dyDescent="0.25">
      <c r="B537" s="17"/>
      <c r="C537" s="14"/>
      <c r="D537" s="14"/>
      <c r="E537" s="18"/>
      <c r="F537" s="61"/>
      <c r="G537" s="73"/>
      <c r="H537" s="79"/>
      <c r="I537" s="79"/>
      <c r="J537" s="14"/>
      <c r="K537" s="38"/>
      <c r="L537" s="38"/>
      <c r="M537" s="17"/>
    </row>
    <row r="538" spans="2:13" ht="14.45" customHeight="1" x14ac:dyDescent="0.25">
      <c r="B538" s="17"/>
      <c r="C538" s="14"/>
      <c r="D538" s="14"/>
      <c r="E538" s="18"/>
      <c r="F538" s="61"/>
      <c r="G538" s="73"/>
      <c r="H538" s="79"/>
      <c r="I538" s="79"/>
      <c r="J538" s="14"/>
      <c r="K538" s="38"/>
      <c r="L538" s="38"/>
      <c r="M538" s="17"/>
    </row>
    <row r="539" spans="2:13" ht="14.45" customHeight="1" x14ac:dyDescent="0.25">
      <c r="B539" s="17"/>
      <c r="C539" s="14"/>
      <c r="D539" s="14"/>
      <c r="E539" s="18"/>
      <c r="F539" s="61"/>
      <c r="G539" s="73"/>
      <c r="H539" s="79"/>
      <c r="I539" s="79"/>
      <c r="J539" s="14"/>
      <c r="K539" s="38"/>
      <c r="L539" s="38"/>
      <c r="M539" s="17"/>
    </row>
    <row r="540" spans="2:13" ht="14.45" customHeight="1" x14ac:dyDescent="0.25">
      <c r="B540" s="17"/>
      <c r="C540" s="14"/>
      <c r="D540" s="14"/>
      <c r="E540" s="18"/>
      <c r="F540" s="61"/>
      <c r="G540" s="73"/>
      <c r="H540" s="79"/>
      <c r="I540" s="79"/>
      <c r="J540" s="14"/>
      <c r="K540" s="38"/>
      <c r="L540" s="38"/>
      <c r="M540" s="17"/>
    </row>
    <row r="541" spans="2:13" ht="14.45" customHeight="1" x14ac:dyDescent="0.25">
      <c r="B541" s="17"/>
      <c r="C541" s="14"/>
      <c r="D541" s="14"/>
      <c r="E541" s="18"/>
      <c r="F541" s="61"/>
      <c r="G541" s="73"/>
      <c r="H541" s="79"/>
      <c r="I541" s="79"/>
      <c r="J541" s="14"/>
      <c r="K541" s="38"/>
      <c r="L541" s="38"/>
      <c r="M541" s="17"/>
    </row>
    <row r="542" spans="2:13" ht="14.45" customHeight="1" x14ac:dyDescent="0.25">
      <c r="B542" s="17"/>
      <c r="C542" s="14"/>
      <c r="D542" s="14"/>
      <c r="E542" s="18"/>
      <c r="F542" s="61"/>
      <c r="G542" s="73"/>
      <c r="H542" s="79"/>
      <c r="I542" s="79"/>
      <c r="J542" s="14"/>
      <c r="K542" s="38"/>
      <c r="L542" s="38"/>
      <c r="M542" s="17"/>
    </row>
    <row r="543" spans="2:13" ht="14.45" customHeight="1" x14ac:dyDescent="0.25">
      <c r="B543" s="17"/>
      <c r="C543" s="14"/>
      <c r="D543" s="14"/>
      <c r="E543" s="18"/>
      <c r="F543" s="61"/>
      <c r="G543" s="73"/>
      <c r="H543" s="79"/>
      <c r="I543" s="79"/>
      <c r="J543" s="14"/>
      <c r="K543" s="38"/>
      <c r="L543" s="38"/>
      <c r="M543" s="17"/>
    </row>
    <row r="544" spans="2:13" ht="14.45" customHeight="1" x14ac:dyDescent="0.25">
      <c r="B544" s="17"/>
      <c r="C544" s="14"/>
      <c r="D544" s="14"/>
      <c r="E544" s="18"/>
      <c r="F544" s="61"/>
      <c r="G544" s="73"/>
      <c r="H544" s="79"/>
      <c r="I544" s="79"/>
      <c r="J544" s="14"/>
      <c r="K544" s="38"/>
      <c r="L544" s="38"/>
      <c r="M544" s="17"/>
    </row>
    <row r="545" spans="2:13" ht="14.45" customHeight="1" x14ac:dyDescent="0.25">
      <c r="B545" s="17"/>
      <c r="C545" s="14"/>
      <c r="D545" s="14"/>
      <c r="E545" s="18"/>
      <c r="F545" s="61"/>
      <c r="G545" s="73"/>
      <c r="H545" s="79"/>
      <c r="I545" s="79"/>
      <c r="J545" s="14"/>
      <c r="K545" s="38"/>
      <c r="L545" s="38"/>
      <c r="M545" s="17"/>
    </row>
    <row r="546" spans="2:13" ht="14.45" customHeight="1" x14ac:dyDescent="0.25">
      <c r="B546" s="17"/>
      <c r="C546" s="14"/>
      <c r="D546" s="14"/>
      <c r="E546" s="18"/>
      <c r="F546" s="61"/>
      <c r="G546" s="73"/>
      <c r="H546" s="79"/>
      <c r="I546" s="79"/>
      <c r="J546" s="14"/>
      <c r="K546" s="38"/>
      <c r="L546" s="38"/>
      <c r="M546" s="17"/>
    </row>
    <row r="547" spans="2:13" ht="14.45" customHeight="1" x14ac:dyDescent="0.25">
      <c r="B547" s="17"/>
      <c r="C547" s="14"/>
      <c r="D547" s="14"/>
      <c r="E547" s="18"/>
      <c r="F547" s="61"/>
      <c r="G547" s="73"/>
      <c r="H547" s="79"/>
      <c r="I547" s="79"/>
      <c r="J547" s="14"/>
      <c r="K547" s="38"/>
      <c r="L547" s="38"/>
      <c r="M547" s="17"/>
    </row>
    <row r="548" spans="2:13" ht="14.45" customHeight="1" x14ac:dyDescent="0.25">
      <c r="B548" s="17"/>
      <c r="C548" s="14"/>
      <c r="D548" s="14"/>
      <c r="E548" s="18"/>
      <c r="F548" s="61"/>
      <c r="G548" s="73"/>
      <c r="H548" s="79"/>
      <c r="I548" s="79"/>
      <c r="J548" s="14"/>
      <c r="K548" s="38"/>
      <c r="L548" s="38"/>
      <c r="M548" s="17"/>
    </row>
    <row r="549" spans="2:13" ht="14.45" customHeight="1" x14ac:dyDescent="0.25">
      <c r="B549" s="17"/>
      <c r="C549" s="14"/>
      <c r="D549" s="14"/>
      <c r="E549" s="18"/>
      <c r="F549" s="61"/>
      <c r="G549" s="73"/>
      <c r="H549" s="79"/>
      <c r="I549" s="79"/>
      <c r="J549" s="14"/>
      <c r="K549" s="38"/>
      <c r="L549" s="38"/>
      <c r="M549" s="17"/>
    </row>
    <row r="550" spans="2:13" ht="14.45" customHeight="1" x14ac:dyDescent="0.25">
      <c r="B550" s="17"/>
      <c r="C550" s="14"/>
      <c r="D550" s="14"/>
      <c r="E550" s="18"/>
      <c r="F550" s="61"/>
      <c r="G550" s="73"/>
      <c r="H550" s="79"/>
      <c r="I550" s="79"/>
      <c r="J550" s="14"/>
      <c r="K550" s="38"/>
      <c r="L550" s="38"/>
      <c r="M550" s="17"/>
    </row>
    <row r="551" spans="2:13" ht="14.45" customHeight="1" x14ac:dyDescent="0.25">
      <c r="B551" s="17"/>
      <c r="C551" s="14"/>
      <c r="D551" s="14"/>
      <c r="E551" s="18"/>
      <c r="F551" s="61"/>
      <c r="G551" s="73"/>
      <c r="H551" s="79"/>
      <c r="I551" s="79"/>
      <c r="J551" s="14"/>
      <c r="K551" s="38"/>
      <c r="L551" s="38"/>
      <c r="M551" s="17"/>
    </row>
    <row r="552" spans="2:13" ht="14.45" customHeight="1" x14ac:dyDescent="0.25">
      <c r="B552" s="17"/>
      <c r="C552" s="14"/>
      <c r="D552" s="14"/>
      <c r="E552" s="18"/>
      <c r="F552" s="61"/>
      <c r="G552" s="73"/>
      <c r="H552" s="79"/>
      <c r="I552" s="79"/>
      <c r="J552" s="14"/>
      <c r="K552" s="38"/>
      <c r="L552" s="38"/>
      <c r="M552" s="17"/>
    </row>
    <row r="553" spans="2:13" ht="14.45" customHeight="1" x14ac:dyDescent="0.25">
      <c r="B553" s="17"/>
      <c r="C553" s="14"/>
      <c r="D553" s="14"/>
      <c r="E553" s="18"/>
      <c r="F553" s="61"/>
      <c r="G553" s="73"/>
      <c r="H553" s="79"/>
      <c r="I553" s="79"/>
      <c r="J553" s="14"/>
      <c r="K553" s="38"/>
      <c r="L553" s="38"/>
      <c r="M553" s="17"/>
    </row>
    <row r="554" spans="2:13" ht="14.45" customHeight="1" x14ac:dyDescent="0.25">
      <c r="B554" s="17"/>
      <c r="C554" s="14"/>
      <c r="D554" s="14"/>
      <c r="E554" s="18"/>
      <c r="F554" s="61"/>
      <c r="G554" s="73"/>
      <c r="H554" s="79"/>
      <c r="I554" s="79"/>
      <c r="J554" s="14"/>
      <c r="K554" s="38"/>
      <c r="L554" s="38"/>
      <c r="M554" s="17"/>
    </row>
    <row r="555" spans="2:13" ht="14.45" customHeight="1" x14ac:dyDescent="0.25">
      <c r="B555" s="17"/>
      <c r="C555" s="14"/>
      <c r="D555" s="14"/>
      <c r="E555" s="18"/>
      <c r="F555" s="61"/>
      <c r="G555" s="73"/>
      <c r="H555" s="79"/>
      <c r="I555" s="79"/>
      <c r="J555" s="14"/>
      <c r="K555" s="38"/>
      <c r="L555" s="38"/>
      <c r="M555" s="17"/>
    </row>
    <row r="556" spans="2:13" ht="14.45" customHeight="1" x14ac:dyDescent="0.25">
      <c r="B556" s="17"/>
      <c r="C556" s="14"/>
      <c r="D556" s="14"/>
      <c r="E556" s="18"/>
      <c r="F556" s="61"/>
      <c r="G556" s="73"/>
      <c r="H556" s="79"/>
      <c r="I556" s="79"/>
      <c r="J556" s="14"/>
      <c r="K556" s="38"/>
      <c r="L556" s="38"/>
      <c r="M556" s="17"/>
    </row>
    <row r="557" spans="2:13" ht="14.45" customHeight="1" x14ac:dyDescent="0.25">
      <c r="B557" s="17"/>
      <c r="C557" s="14"/>
      <c r="D557" s="14"/>
      <c r="E557" s="18"/>
      <c r="F557" s="61"/>
      <c r="G557" s="73"/>
      <c r="H557" s="79"/>
      <c r="I557" s="79"/>
      <c r="J557" s="14"/>
      <c r="K557" s="38"/>
      <c r="L557" s="38"/>
      <c r="M557" s="17"/>
    </row>
    <row r="558" spans="2:13" ht="14.45" customHeight="1" x14ac:dyDescent="0.25">
      <c r="B558" s="17"/>
      <c r="C558" s="14"/>
      <c r="D558" s="14"/>
      <c r="E558" s="18"/>
      <c r="F558" s="61"/>
      <c r="G558" s="73"/>
      <c r="H558" s="79"/>
      <c r="I558" s="79"/>
      <c r="J558" s="14"/>
      <c r="K558" s="38"/>
      <c r="L558" s="38"/>
      <c r="M558" s="17"/>
    </row>
    <row r="559" spans="2:13" ht="14.45" customHeight="1" x14ac:dyDescent="0.25">
      <c r="B559" s="17"/>
      <c r="C559" s="14"/>
      <c r="D559" s="14"/>
      <c r="E559" s="18"/>
      <c r="F559" s="61"/>
      <c r="G559" s="73"/>
      <c r="H559" s="79"/>
      <c r="I559" s="79"/>
      <c r="J559" s="14"/>
      <c r="K559" s="38"/>
      <c r="L559" s="38"/>
      <c r="M559" s="17"/>
    </row>
    <row r="560" spans="2:13" ht="14.45" customHeight="1" x14ac:dyDescent="0.25">
      <c r="B560" s="17"/>
      <c r="C560" s="14"/>
      <c r="D560" s="14"/>
      <c r="E560" s="18"/>
      <c r="F560" s="61"/>
      <c r="G560" s="73"/>
      <c r="H560" s="79"/>
      <c r="I560" s="79"/>
      <c r="J560" s="14"/>
      <c r="K560" s="38"/>
      <c r="L560" s="38"/>
      <c r="M560" s="17"/>
    </row>
    <row r="561" spans="2:13" ht="14.45" customHeight="1" x14ac:dyDescent="0.25">
      <c r="B561" s="17"/>
      <c r="C561" s="14"/>
      <c r="D561" s="14"/>
      <c r="E561" s="18"/>
      <c r="F561" s="61"/>
      <c r="G561" s="73"/>
      <c r="H561" s="79"/>
      <c r="I561" s="79"/>
      <c r="J561" s="14"/>
      <c r="K561" s="38"/>
      <c r="L561" s="38"/>
      <c r="M561" s="17"/>
    </row>
    <row r="562" spans="2:13" ht="14.45" customHeight="1" x14ac:dyDescent="0.25">
      <c r="B562" s="17"/>
      <c r="C562" s="14"/>
      <c r="D562" s="14"/>
      <c r="E562" s="18"/>
      <c r="F562" s="61"/>
      <c r="G562" s="73"/>
      <c r="H562" s="79"/>
      <c r="I562" s="79"/>
      <c r="J562" s="14"/>
      <c r="K562" s="38"/>
      <c r="L562" s="38"/>
      <c r="M562" s="17"/>
    </row>
    <row r="563" spans="2:13" ht="14.45" customHeight="1" x14ac:dyDescent="0.25">
      <c r="B563" s="17"/>
      <c r="C563" s="14"/>
      <c r="D563" s="14"/>
      <c r="E563" s="18"/>
      <c r="F563" s="61"/>
      <c r="G563" s="73"/>
      <c r="H563" s="79"/>
      <c r="I563" s="79"/>
      <c r="J563" s="14"/>
      <c r="K563" s="38"/>
      <c r="L563" s="38"/>
      <c r="M563" s="17"/>
    </row>
    <row r="564" spans="2:13" ht="14.45" customHeight="1" x14ac:dyDescent="0.25">
      <c r="B564" s="17"/>
      <c r="C564" s="14"/>
      <c r="D564" s="14"/>
      <c r="E564" s="18"/>
      <c r="F564" s="61"/>
      <c r="G564" s="73"/>
      <c r="H564" s="79"/>
      <c r="I564" s="79"/>
      <c r="J564" s="14"/>
      <c r="K564" s="38"/>
      <c r="L564" s="38"/>
      <c r="M564" s="17"/>
    </row>
    <row r="565" spans="2:13" ht="14.45" customHeight="1" x14ac:dyDescent="0.25">
      <c r="B565" s="17"/>
      <c r="C565" s="14"/>
      <c r="D565" s="14"/>
      <c r="E565" s="18"/>
      <c r="F565" s="61"/>
      <c r="G565" s="73"/>
      <c r="H565" s="79"/>
      <c r="I565" s="79"/>
      <c r="J565" s="14"/>
      <c r="K565" s="38"/>
      <c r="L565" s="38"/>
      <c r="M565" s="17"/>
    </row>
    <row r="566" spans="2:13" ht="14.45" customHeight="1" x14ac:dyDescent="0.25">
      <c r="B566" s="17"/>
      <c r="C566" s="14"/>
      <c r="D566" s="14"/>
      <c r="E566" s="18"/>
      <c r="F566" s="61"/>
      <c r="G566" s="73"/>
      <c r="H566" s="79"/>
      <c r="I566" s="79"/>
      <c r="J566" s="14"/>
      <c r="K566" s="38"/>
      <c r="L566" s="38"/>
      <c r="M566" s="17"/>
    </row>
    <row r="567" spans="2:13" ht="14.45" customHeight="1" x14ac:dyDescent="0.25">
      <c r="B567" s="17"/>
      <c r="C567" s="14"/>
      <c r="D567" s="14"/>
      <c r="E567" s="18"/>
      <c r="F567" s="61"/>
      <c r="G567" s="73"/>
      <c r="H567" s="79"/>
      <c r="I567" s="79"/>
      <c r="J567" s="14"/>
      <c r="K567" s="38"/>
      <c r="L567" s="38"/>
      <c r="M567" s="17"/>
    </row>
    <row r="568" spans="2:13" ht="14.45" customHeight="1" x14ac:dyDescent="0.25">
      <c r="B568" s="17"/>
      <c r="C568" s="14"/>
      <c r="D568" s="14"/>
      <c r="E568" s="18"/>
      <c r="F568" s="61"/>
      <c r="G568" s="73"/>
      <c r="H568" s="79"/>
      <c r="I568" s="79"/>
      <c r="J568" s="14"/>
      <c r="K568" s="38"/>
      <c r="L568" s="38"/>
      <c r="M568" s="17"/>
    </row>
    <row r="569" spans="2:13" ht="14.45" customHeight="1" x14ac:dyDescent="0.25">
      <c r="B569" s="17"/>
      <c r="C569" s="14"/>
      <c r="D569" s="14"/>
      <c r="E569" s="18"/>
      <c r="F569" s="61"/>
      <c r="G569" s="73"/>
      <c r="H569" s="79"/>
      <c r="I569" s="79"/>
      <c r="J569" s="14"/>
      <c r="K569" s="38"/>
      <c r="L569" s="38"/>
      <c r="M569" s="17"/>
    </row>
    <row r="570" spans="2:13" ht="14.45" customHeight="1" x14ac:dyDescent="0.25">
      <c r="B570" s="17"/>
      <c r="C570" s="14"/>
      <c r="D570" s="14"/>
      <c r="E570" s="18"/>
      <c r="F570" s="61"/>
      <c r="G570" s="73"/>
      <c r="H570" s="79"/>
      <c r="I570" s="79"/>
      <c r="J570" s="14"/>
      <c r="K570" s="38"/>
      <c r="L570" s="38"/>
      <c r="M570" s="17"/>
    </row>
    <row r="571" spans="2:13" ht="14.45" customHeight="1" x14ac:dyDescent="0.25">
      <c r="B571" s="17"/>
      <c r="C571" s="14"/>
      <c r="D571" s="14"/>
      <c r="E571" s="18"/>
      <c r="F571" s="61"/>
      <c r="G571" s="73"/>
      <c r="H571" s="79"/>
      <c r="I571" s="79"/>
      <c r="J571" s="14"/>
      <c r="K571" s="38"/>
      <c r="L571" s="38"/>
      <c r="M571" s="17"/>
    </row>
    <row r="572" spans="2:13" ht="14.45" customHeight="1" x14ac:dyDescent="0.25">
      <c r="B572" s="17"/>
      <c r="C572" s="14"/>
      <c r="D572" s="14"/>
      <c r="E572" s="18"/>
      <c r="F572" s="61"/>
      <c r="G572" s="73"/>
      <c r="H572" s="79"/>
      <c r="I572" s="79"/>
      <c r="J572" s="14"/>
      <c r="K572" s="38"/>
      <c r="L572" s="38"/>
      <c r="M572" s="17"/>
    </row>
    <row r="573" spans="2:13" ht="14.45" customHeight="1" x14ac:dyDescent="0.25">
      <c r="B573" s="17"/>
      <c r="C573" s="14"/>
      <c r="D573" s="14"/>
      <c r="E573" s="18"/>
      <c r="F573" s="61"/>
      <c r="G573" s="73"/>
      <c r="H573" s="79"/>
      <c r="I573" s="79"/>
      <c r="J573" s="14"/>
      <c r="K573" s="38"/>
      <c r="L573" s="38"/>
      <c r="M573" s="17"/>
    </row>
    <row r="574" spans="2:13" ht="14.45" customHeight="1" x14ac:dyDescent="0.25">
      <c r="B574" s="17"/>
      <c r="C574" s="14"/>
      <c r="D574" s="14"/>
      <c r="E574" s="18"/>
      <c r="F574" s="61"/>
      <c r="G574" s="73"/>
      <c r="H574" s="79"/>
      <c r="I574" s="79"/>
      <c r="J574" s="14"/>
      <c r="K574" s="38"/>
      <c r="L574" s="38"/>
      <c r="M574" s="17"/>
    </row>
    <row r="575" spans="2:13" ht="14.45" customHeight="1" x14ac:dyDescent="0.25">
      <c r="B575" s="17"/>
      <c r="C575" s="14"/>
      <c r="D575" s="14"/>
      <c r="E575" s="18"/>
      <c r="F575" s="61"/>
      <c r="G575" s="73"/>
      <c r="H575" s="79"/>
      <c r="I575" s="79"/>
      <c r="J575" s="14"/>
      <c r="K575" s="38"/>
      <c r="L575" s="38"/>
      <c r="M575" s="17"/>
    </row>
    <row r="576" spans="2:13" ht="14.45" customHeight="1" x14ac:dyDescent="0.25">
      <c r="B576" s="17"/>
      <c r="C576" s="14"/>
      <c r="D576" s="14"/>
      <c r="E576" s="18"/>
      <c r="F576" s="61"/>
      <c r="G576" s="73"/>
      <c r="H576" s="79"/>
      <c r="I576" s="79"/>
      <c r="J576" s="14"/>
      <c r="K576" s="38"/>
      <c r="L576" s="38"/>
      <c r="M576" s="17"/>
    </row>
    <row r="577" spans="2:13" ht="14.45" customHeight="1" x14ac:dyDescent="0.25">
      <c r="B577" s="17"/>
      <c r="C577" s="14"/>
      <c r="D577" s="14"/>
      <c r="E577" s="18"/>
      <c r="F577" s="61"/>
      <c r="G577" s="73"/>
      <c r="H577" s="79"/>
      <c r="I577" s="79"/>
      <c r="J577" s="14"/>
      <c r="K577" s="38"/>
      <c r="L577" s="38"/>
      <c r="M577" s="17"/>
    </row>
    <row r="578" spans="2:13" ht="14.45" customHeight="1" x14ac:dyDescent="0.25">
      <c r="B578" s="17"/>
      <c r="C578" s="14"/>
      <c r="D578" s="14"/>
      <c r="E578" s="18"/>
      <c r="F578" s="61"/>
      <c r="G578" s="73"/>
      <c r="H578" s="79"/>
      <c r="I578" s="79"/>
      <c r="J578" s="14"/>
      <c r="K578" s="38"/>
      <c r="L578" s="38"/>
      <c r="M578" s="17"/>
    </row>
    <row r="579" spans="2:13" ht="14.45" customHeight="1" x14ac:dyDescent="0.25">
      <c r="B579" s="17"/>
      <c r="C579" s="14"/>
      <c r="D579" s="14"/>
      <c r="E579" s="18"/>
      <c r="F579" s="61"/>
      <c r="G579" s="73"/>
      <c r="H579" s="79"/>
      <c r="I579" s="79"/>
      <c r="J579" s="14"/>
      <c r="K579" s="38"/>
      <c r="L579" s="38"/>
      <c r="M579" s="17"/>
    </row>
    <row r="580" spans="2:13" ht="14.45" customHeight="1" x14ac:dyDescent="0.25">
      <c r="B580" s="17"/>
      <c r="C580" s="14"/>
      <c r="D580" s="14"/>
      <c r="E580" s="18"/>
      <c r="F580" s="61"/>
      <c r="G580" s="73"/>
      <c r="H580" s="79"/>
      <c r="I580" s="79"/>
      <c r="J580" s="14"/>
      <c r="K580" s="38"/>
      <c r="L580" s="38"/>
      <c r="M580" s="17"/>
    </row>
    <row r="581" spans="2:13" ht="14.45" customHeight="1" x14ac:dyDescent="0.25">
      <c r="B581" s="17"/>
      <c r="C581" s="14"/>
      <c r="D581" s="14"/>
      <c r="E581" s="18"/>
      <c r="F581" s="61"/>
      <c r="G581" s="73"/>
      <c r="H581" s="79"/>
      <c r="I581" s="79"/>
      <c r="J581" s="14"/>
      <c r="K581" s="38"/>
      <c r="L581" s="38"/>
      <c r="M581" s="17"/>
    </row>
    <row r="582" spans="2:13" ht="14.45" customHeight="1" x14ac:dyDescent="0.25">
      <c r="B582" s="17"/>
      <c r="C582" s="14"/>
      <c r="D582" s="14"/>
      <c r="E582" s="18"/>
      <c r="F582" s="61"/>
      <c r="G582" s="73"/>
      <c r="H582" s="79"/>
      <c r="I582" s="79"/>
      <c r="J582" s="14"/>
      <c r="K582" s="38"/>
      <c r="L582" s="38"/>
      <c r="M582" s="17"/>
    </row>
    <row r="583" spans="2:13" ht="14.45" customHeight="1" x14ac:dyDescent="0.25">
      <c r="B583" s="17"/>
      <c r="C583" s="14"/>
      <c r="D583" s="14"/>
      <c r="E583" s="18"/>
      <c r="F583" s="61"/>
      <c r="G583" s="73"/>
      <c r="H583" s="79"/>
      <c r="I583" s="79"/>
      <c r="J583" s="14"/>
      <c r="K583" s="38"/>
      <c r="L583" s="38"/>
      <c r="M583" s="17"/>
    </row>
    <row r="584" spans="2:13" ht="14.45" customHeight="1" x14ac:dyDescent="0.25">
      <c r="B584" s="17"/>
      <c r="C584" s="14"/>
      <c r="D584" s="14"/>
      <c r="E584" s="18"/>
      <c r="F584" s="61"/>
      <c r="G584" s="73"/>
      <c r="H584" s="79"/>
      <c r="I584" s="79"/>
      <c r="J584" s="14"/>
      <c r="K584" s="38"/>
      <c r="L584" s="38"/>
      <c r="M584" s="17"/>
    </row>
    <row r="585" spans="2:13" ht="14.45" customHeight="1" x14ac:dyDescent="0.25">
      <c r="B585" s="17"/>
      <c r="C585" s="14"/>
      <c r="D585" s="14"/>
      <c r="E585" s="18"/>
      <c r="F585" s="61"/>
      <c r="G585" s="73"/>
      <c r="H585" s="79"/>
      <c r="I585" s="79"/>
      <c r="J585" s="14"/>
      <c r="K585" s="38"/>
      <c r="L585" s="38"/>
      <c r="M585" s="17"/>
    </row>
    <row r="586" spans="2:13" ht="14.45" customHeight="1" x14ac:dyDescent="0.25">
      <c r="B586" s="17"/>
      <c r="C586" s="14"/>
      <c r="D586" s="14"/>
      <c r="E586" s="18"/>
      <c r="F586" s="61"/>
      <c r="G586" s="73"/>
      <c r="H586" s="79"/>
      <c r="I586" s="79"/>
      <c r="J586" s="14"/>
      <c r="K586" s="38"/>
      <c r="L586" s="38"/>
      <c r="M586" s="17"/>
    </row>
    <row r="587" spans="2:13" ht="14.45" customHeight="1" x14ac:dyDescent="0.25">
      <c r="B587" s="17"/>
      <c r="C587" s="14"/>
      <c r="D587" s="14"/>
      <c r="E587" s="18"/>
      <c r="F587" s="61"/>
      <c r="G587" s="73"/>
      <c r="H587" s="79"/>
      <c r="I587" s="79"/>
      <c r="J587" s="14"/>
      <c r="K587" s="38"/>
      <c r="L587" s="38"/>
      <c r="M587" s="17"/>
    </row>
    <row r="588" spans="2:13" ht="14.45" customHeight="1" x14ac:dyDescent="0.25">
      <c r="B588" s="17"/>
      <c r="C588" s="14"/>
      <c r="D588" s="14"/>
      <c r="E588" s="18"/>
      <c r="F588" s="61"/>
      <c r="G588" s="73"/>
      <c r="H588" s="79"/>
      <c r="I588" s="79"/>
      <c r="J588" s="14"/>
      <c r="K588" s="38"/>
      <c r="L588" s="38"/>
      <c r="M588" s="17"/>
    </row>
    <row r="589" spans="2:13" ht="14.45" customHeight="1" x14ac:dyDescent="0.25">
      <c r="B589" s="17"/>
      <c r="C589" s="14"/>
      <c r="D589" s="14"/>
      <c r="E589" s="18"/>
      <c r="F589" s="61"/>
      <c r="G589" s="73"/>
      <c r="H589" s="79"/>
      <c r="I589" s="79"/>
      <c r="J589" s="14"/>
      <c r="K589" s="38"/>
      <c r="L589" s="38"/>
      <c r="M589" s="17"/>
    </row>
    <row r="590" spans="2:13" ht="14.45" customHeight="1" x14ac:dyDescent="0.25">
      <c r="B590" s="17"/>
      <c r="C590" s="14"/>
      <c r="D590" s="14"/>
      <c r="E590" s="18"/>
      <c r="F590" s="61"/>
      <c r="G590" s="73"/>
      <c r="H590" s="79"/>
      <c r="I590" s="79"/>
      <c r="J590" s="14"/>
      <c r="K590" s="38"/>
      <c r="L590" s="38"/>
      <c r="M590" s="17"/>
    </row>
    <row r="591" spans="2:13" ht="14.45" customHeight="1" x14ac:dyDescent="0.25">
      <c r="B591" s="17"/>
      <c r="C591" s="14"/>
      <c r="D591" s="14"/>
      <c r="E591" s="18"/>
      <c r="F591" s="61"/>
      <c r="G591" s="73"/>
      <c r="H591" s="79"/>
      <c r="I591" s="79"/>
      <c r="J591" s="14"/>
      <c r="K591" s="38"/>
      <c r="L591" s="38"/>
      <c r="M591" s="17"/>
    </row>
    <row r="592" spans="2:13" ht="14.45" customHeight="1" x14ac:dyDescent="0.25">
      <c r="B592" s="17"/>
      <c r="C592" s="14"/>
      <c r="D592" s="14"/>
      <c r="E592" s="18"/>
      <c r="F592" s="61"/>
      <c r="G592" s="73"/>
      <c r="H592" s="79"/>
      <c r="I592" s="79"/>
      <c r="J592" s="14"/>
      <c r="K592" s="38"/>
      <c r="L592" s="38"/>
      <c r="M592" s="17"/>
    </row>
    <row r="593" spans="2:13" ht="14.45" customHeight="1" x14ac:dyDescent="0.25">
      <c r="B593" s="17"/>
      <c r="C593" s="14"/>
      <c r="D593" s="14"/>
      <c r="E593" s="18"/>
      <c r="F593" s="61"/>
      <c r="G593" s="73"/>
      <c r="H593" s="79"/>
      <c r="I593" s="79"/>
      <c r="J593" s="14"/>
      <c r="K593" s="38"/>
      <c r="L593" s="38"/>
      <c r="M593" s="17"/>
    </row>
    <row r="594" spans="2:13" ht="14.45" customHeight="1" x14ac:dyDescent="0.25">
      <c r="B594" s="17"/>
      <c r="C594" s="14"/>
      <c r="D594" s="14"/>
      <c r="E594" s="18"/>
      <c r="F594" s="61"/>
      <c r="G594" s="73"/>
      <c r="H594" s="79"/>
      <c r="I594" s="79"/>
      <c r="J594" s="14"/>
      <c r="K594" s="38"/>
      <c r="L594" s="38"/>
      <c r="M594" s="17"/>
    </row>
    <row r="595" spans="2:13" ht="14.45" customHeight="1" x14ac:dyDescent="0.25">
      <c r="B595" s="17"/>
      <c r="C595" s="14"/>
      <c r="D595" s="14"/>
      <c r="E595" s="18"/>
      <c r="F595" s="61"/>
      <c r="G595" s="73"/>
      <c r="H595" s="79"/>
      <c r="I595" s="79"/>
      <c r="J595" s="14"/>
      <c r="K595" s="38"/>
      <c r="L595" s="38"/>
      <c r="M595" s="17"/>
    </row>
    <row r="596" spans="2:13" ht="14.45" customHeight="1" x14ac:dyDescent="0.25">
      <c r="B596" s="17"/>
      <c r="C596" s="14"/>
      <c r="D596" s="14"/>
      <c r="E596" s="18"/>
      <c r="F596" s="61"/>
      <c r="G596" s="73"/>
      <c r="H596" s="79"/>
      <c r="I596" s="79"/>
      <c r="J596" s="14"/>
      <c r="K596" s="38"/>
      <c r="L596" s="38"/>
      <c r="M596" s="17"/>
    </row>
    <row r="597" spans="2:13" ht="14.45" customHeight="1" x14ac:dyDescent="0.25">
      <c r="B597" s="17"/>
      <c r="C597" s="14"/>
      <c r="D597" s="14"/>
      <c r="E597" s="18"/>
      <c r="F597" s="61"/>
      <c r="G597" s="73"/>
      <c r="H597" s="79"/>
      <c r="I597" s="79"/>
      <c r="J597" s="14"/>
      <c r="K597" s="38"/>
      <c r="L597" s="38"/>
      <c r="M597" s="17"/>
    </row>
    <row r="598" spans="2:13" ht="14.45" customHeight="1" x14ac:dyDescent="0.25">
      <c r="B598" s="17"/>
      <c r="C598" s="14"/>
      <c r="D598" s="14"/>
      <c r="E598" s="18"/>
      <c r="F598" s="61"/>
      <c r="G598" s="73"/>
      <c r="H598" s="79"/>
      <c r="I598" s="79"/>
      <c r="J598" s="14"/>
      <c r="K598" s="38"/>
      <c r="L598" s="38"/>
      <c r="M598" s="17"/>
    </row>
    <row r="599" spans="2:13" ht="14.45" customHeight="1" x14ac:dyDescent="0.25">
      <c r="B599" s="17"/>
      <c r="C599" s="14"/>
      <c r="D599" s="14"/>
      <c r="E599" s="18"/>
      <c r="F599" s="61"/>
      <c r="G599" s="73"/>
      <c r="H599" s="79"/>
      <c r="I599" s="79"/>
      <c r="J599" s="14"/>
      <c r="K599" s="38"/>
      <c r="L599" s="38"/>
      <c r="M599" s="17"/>
    </row>
    <row r="600" spans="2:13" ht="14.45" customHeight="1" x14ac:dyDescent="0.25">
      <c r="B600" s="17"/>
      <c r="C600" s="14"/>
      <c r="D600" s="14"/>
      <c r="E600" s="18"/>
      <c r="F600" s="61"/>
      <c r="G600" s="73"/>
      <c r="H600" s="79"/>
      <c r="I600" s="79"/>
      <c r="J600" s="14"/>
      <c r="K600" s="38"/>
      <c r="L600" s="38"/>
      <c r="M600" s="17"/>
    </row>
    <row r="601" spans="2:13" ht="14.45" customHeight="1" x14ac:dyDescent="0.25">
      <c r="B601" s="17"/>
      <c r="C601" s="14"/>
      <c r="D601" s="14"/>
      <c r="E601" s="18"/>
      <c r="F601" s="61"/>
      <c r="G601" s="73"/>
      <c r="H601" s="79"/>
      <c r="I601" s="79"/>
      <c r="J601" s="14"/>
      <c r="K601" s="38"/>
      <c r="L601" s="38"/>
      <c r="M601" s="17"/>
    </row>
    <row r="602" spans="2:13" ht="14.45" customHeight="1" x14ac:dyDescent="0.25">
      <c r="B602" s="17"/>
      <c r="C602" s="14"/>
      <c r="D602" s="14"/>
      <c r="E602" s="18"/>
      <c r="F602" s="61"/>
      <c r="G602" s="73"/>
      <c r="H602" s="79"/>
      <c r="I602" s="79"/>
      <c r="J602" s="14"/>
      <c r="K602" s="38"/>
      <c r="L602" s="38"/>
      <c r="M602" s="17"/>
    </row>
    <row r="603" spans="2:13" ht="14.45" customHeight="1" x14ac:dyDescent="0.25">
      <c r="B603" s="17"/>
      <c r="C603" s="14"/>
      <c r="D603" s="14"/>
      <c r="E603" s="18"/>
      <c r="F603" s="61"/>
      <c r="G603" s="73"/>
      <c r="H603" s="79"/>
      <c r="I603" s="79"/>
      <c r="J603" s="14"/>
      <c r="K603" s="38"/>
      <c r="L603" s="38"/>
      <c r="M603" s="17"/>
    </row>
    <row r="604" spans="2:13" ht="14.45" customHeight="1" x14ac:dyDescent="0.25">
      <c r="B604" s="17"/>
      <c r="C604" s="14"/>
      <c r="D604" s="14"/>
      <c r="E604" s="18"/>
      <c r="F604" s="61"/>
      <c r="G604" s="73"/>
      <c r="H604" s="79"/>
      <c r="I604" s="79"/>
      <c r="J604" s="14"/>
      <c r="K604" s="38"/>
      <c r="L604" s="38"/>
      <c r="M604" s="17"/>
    </row>
    <row r="605" spans="2:13" ht="14.45" customHeight="1" x14ac:dyDescent="0.25">
      <c r="B605" s="17"/>
      <c r="C605" s="14"/>
      <c r="D605" s="14"/>
      <c r="E605" s="18"/>
      <c r="F605" s="61"/>
      <c r="G605" s="73"/>
      <c r="H605" s="79"/>
      <c r="I605" s="79"/>
      <c r="J605" s="14"/>
      <c r="K605" s="38"/>
      <c r="L605" s="38"/>
      <c r="M605" s="17"/>
    </row>
    <row r="606" spans="2:13" ht="14.45" customHeight="1" x14ac:dyDescent="0.25">
      <c r="B606" s="17"/>
      <c r="C606" s="14"/>
      <c r="D606" s="14"/>
      <c r="E606" s="18"/>
      <c r="F606" s="61"/>
      <c r="G606" s="73"/>
      <c r="H606" s="79"/>
      <c r="I606" s="79"/>
      <c r="J606" s="14"/>
      <c r="K606" s="38"/>
      <c r="L606" s="38"/>
      <c r="M606" s="17"/>
    </row>
    <row r="607" spans="2:13" ht="14.45" customHeight="1" x14ac:dyDescent="0.25">
      <c r="B607" s="17"/>
      <c r="C607" s="14"/>
      <c r="D607" s="14"/>
      <c r="E607" s="18"/>
      <c r="F607" s="61"/>
      <c r="G607" s="73"/>
      <c r="H607" s="79"/>
      <c r="I607" s="79"/>
      <c r="J607" s="14"/>
      <c r="K607" s="38"/>
      <c r="L607" s="38"/>
      <c r="M607" s="17"/>
    </row>
    <row r="608" spans="2:13" ht="14.45" customHeight="1" x14ac:dyDescent="0.25">
      <c r="B608" s="17"/>
      <c r="C608" s="14"/>
      <c r="D608" s="14"/>
      <c r="E608" s="18"/>
      <c r="F608" s="61"/>
      <c r="G608" s="73"/>
      <c r="H608" s="79"/>
      <c r="I608" s="79"/>
      <c r="J608" s="14"/>
      <c r="K608" s="38"/>
      <c r="L608" s="38"/>
      <c r="M608" s="17"/>
    </row>
    <row r="609" spans="2:13" ht="14.45" customHeight="1" x14ac:dyDescent="0.25">
      <c r="B609" s="17"/>
      <c r="C609" s="14"/>
      <c r="D609" s="14"/>
      <c r="E609" s="18"/>
      <c r="F609" s="61"/>
      <c r="G609" s="73"/>
      <c r="H609" s="79"/>
      <c r="I609" s="79"/>
      <c r="J609" s="14"/>
      <c r="K609" s="38"/>
      <c r="L609" s="38"/>
      <c r="M609" s="17"/>
    </row>
    <row r="610" spans="2:13" ht="14.45" customHeight="1" x14ac:dyDescent="0.25">
      <c r="B610" s="17"/>
      <c r="C610" s="14"/>
      <c r="D610" s="14"/>
      <c r="E610" s="18"/>
      <c r="F610" s="61"/>
      <c r="G610" s="73"/>
      <c r="H610" s="79"/>
      <c r="I610" s="79"/>
      <c r="J610" s="14"/>
      <c r="K610" s="38"/>
      <c r="L610" s="38"/>
      <c r="M610" s="17"/>
    </row>
    <row r="611" spans="2:13" ht="14.45" customHeight="1" x14ac:dyDescent="0.25">
      <c r="B611" s="17"/>
      <c r="C611" s="14"/>
      <c r="D611" s="14"/>
      <c r="E611" s="18"/>
      <c r="F611" s="61"/>
      <c r="G611" s="73"/>
      <c r="H611" s="79"/>
      <c r="I611" s="79"/>
      <c r="J611" s="14"/>
      <c r="K611" s="38"/>
      <c r="L611" s="38"/>
      <c r="M611" s="17"/>
    </row>
    <row r="612" spans="2:13" ht="14.45" customHeight="1" x14ac:dyDescent="0.25">
      <c r="B612" s="17"/>
      <c r="C612" s="14"/>
      <c r="D612" s="14"/>
      <c r="E612" s="18"/>
      <c r="F612" s="61"/>
      <c r="G612" s="73"/>
      <c r="H612" s="79"/>
      <c r="I612" s="79"/>
      <c r="J612" s="14"/>
      <c r="K612" s="38"/>
      <c r="L612" s="38"/>
      <c r="M612" s="17"/>
    </row>
    <row r="613" spans="2:13" ht="14.45" customHeight="1" x14ac:dyDescent="0.25">
      <c r="B613" s="17"/>
      <c r="C613" s="14"/>
      <c r="D613" s="14"/>
      <c r="E613" s="18"/>
      <c r="F613" s="61"/>
      <c r="G613" s="73"/>
      <c r="H613" s="79"/>
      <c r="I613" s="79"/>
      <c r="J613" s="14"/>
      <c r="K613" s="38"/>
      <c r="L613" s="38"/>
      <c r="M613" s="17"/>
    </row>
    <row r="614" spans="2:13" ht="14.45" customHeight="1" x14ac:dyDescent="0.25">
      <c r="B614" s="17"/>
      <c r="C614" s="14"/>
      <c r="D614" s="14"/>
      <c r="E614" s="18"/>
      <c r="F614" s="61"/>
      <c r="G614" s="73"/>
      <c r="H614" s="79"/>
      <c r="I614" s="79"/>
      <c r="J614" s="14"/>
      <c r="K614" s="38"/>
      <c r="L614" s="38"/>
      <c r="M614" s="17"/>
    </row>
    <row r="615" spans="2:13" ht="14.45" customHeight="1" x14ac:dyDescent="0.25">
      <c r="B615" s="17"/>
      <c r="C615" s="14"/>
      <c r="D615" s="14"/>
      <c r="E615" s="18"/>
      <c r="F615" s="61"/>
      <c r="G615" s="73"/>
      <c r="H615" s="79"/>
      <c r="I615" s="79"/>
      <c r="J615" s="14"/>
      <c r="K615" s="38"/>
      <c r="L615" s="38"/>
      <c r="M615" s="17"/>
    </row>
    <row r="616" spans="2:13" ht="14.45" customHeight="1" x14ac:dyDescent="0.25">
      <c r="B616" s="17"/>
      <c r="C616" s="14"/>
      <c r="D616" s="14"/>
      <c r="E616" s="18"/>
      <c r="F616" s="61"/>
      <c r="G616" s="73"/>
      <c r="H616" s="79"/>
      <c r="I616" s="79"/>
      <c r="J616" s="14"/>
      <c r="K616" s="38"/>
      <c r="L616" s="38"/>
      <c r="M616" s="17"/>
    </row>
    <row r="617" spans="2:13" ht="14.45" customHeight="1" x14ac:dyDescent="0.25">
      <c r="B617" s="17"/>
      <c r="C617" s="14"/>
      <c r="D617" s="14"/>
      <c r="E617" s="18"/>
      <c r="F617" s="61"/>
      <c r="G617" s="73"/>
      <c r="H617" s="79"/>
      <c r="I617" s="79"/>
      <c r="J617" s="14"/>
      <c r="K617" s="38"/>
      <c r="L617" s="38"/>
      <c r="M617" s="17"/>
    </row>
    <row r="618" spans="2:13" ht="14.45" customHeight="1" x14ac:dyDescent="0.25">
      <c r="B618" s="17"/>
      <c r="C618" s="14"/>
      <c r="D618" s="14"/>
      <c r="E618" s="18"/>
      <c r="F618" s="61"/>
      <c r="G618" s="73"/>
      <c r="H618" s="79"/>
      <c r="I618" s="79"/>
      <c r="J618" s="14"/>
      <c r="K618" s="38"/>
      <c r="L618" s="38"/>
      <c r="M618" s="17"/>
    </row>
    <row r="619" spans="2:13" ht="14.45" customHeight="1" x14ac:dyDescent="0.25">
      <c r="B619" s="17"/>
      <c r="C619" s="14"/>
      <c r="D619" s="14"/>
      <c r="E619" s="18"/>
      <c r="F619" s="61"/>
      <c r="G619" s="73"/>
      <c r="H619" s="79"/>
      <c r="I619" s="79"/>
      <c r="J619" s="14"/>
      <c r="K619" s="38"/>
      <c r="L619" s="38"/>
      <c r="M619" s="17"/>
    </row>
    <row r="620" spans="2:13" ht="14.45" customHeight="1" x14ac:dyDescent="0.25">
      <c r="B620" s="17"/>
      <c r="C620" s="14"/>
      <c r="D620" s="14"/>
      <c r="E620" s="18"/>
      <c r="F620" s="61"/>
      <c r="G620" s="73"/>
      <c r="H620" s="79"/>
      <c r="I620" s="79"/>
      <c r="J620" s="14"/>
      <c r="K620" s="38"/>
      <c r="L620" s="38"/>
      <c r="M620" s="17"/>
    </row>
    <row r="621" spans="2:13" ht="14.45" customHeight="1" x14ac:dyDescent="0.25">
      <c r="B621" s="17"/>
      <c r="C621" s="14"/>
      <c r="D621" s="14"/>
      <c r="E621" s="18"/>
      <c r="F621" s="61"/>
      <c r="G621" s="73"/>
      <c r="H621" s="79"/>
      <c r="I621" s="79"/>
      <c r="J621" s="14"/>
      <c r="K621" s="38"/>
      <c r="L621" s="38"/>
      <c r="M621" s="17"/>
    </row>
    <row r="622" spans="2:13" ht="14.45" customHeight="1" x14ac:dyDescent="0.25">
      <c r="B622" s="17"/>
      <c r="C622" s="14"/>
      <c r="D622" s="14"/>
      <c r="E622" s="18"/>
      <c r="F622" s="61"/>
      <c r="G622" s="73"/>
      <c r="H622" s="79"/>
      <c r="I622" s="79"/>
      <c r="J622" s="14"/>
      <c r="K622" s="38"/>
      <c r="L622" s="38"/>
      <c r="M622" s="17"/>
    </row>
    <row r="623" spans="2:13" ht="14.45" customHeight="1" x14ac:dyDescent="0.25">
      <c r="B623" s="17"/>
      <c r="C623" s="14"/>
      <c r="D623" s="14"/>
      <c r="E623" s="18"/>
      <c r="F623" s="61"/>
      <c r="G623" s="73"/>
      <c r="H623" s="79"/>
      <c r="I623" s="79"/>
      <c r="J623" s="14"/>
      <c r="K623" s="38"/>
      <c r="L623" s="38"/>
      <c r="M623" s="17"/>
    </row>
    <row r="624" spans="2:13" ht="14.45" customHeight="1" x14ac:dyDescent="0.25">
      <c r="B624" s="17"/>
      <c r="C624" s="14"/>
      <c r="D624" s="14"/>
      <c r="E624" s="18"/>
      <c r="F624" s="61"/>
      <c r="G624" s="73"/>
      <c r="H624" s="79"/>
      <c r="I624" s="79"/>
      <c r="J624" s="14"/>
      <c r="K624" s="38"/>
      <c r="L624" s="38"/>
      <c r="M624" s="17"/>
    </row>
    <row r="625" spans="2:13" ht="14.45" customHeight="1" x14ac:dyDescent="0.25">
      <c r="B625" s="17"/>
      <c r="C625" s="14"/>
      <c r="D625" s="14"/>
      <c r="E625" s="18"/>
      <c r="F625" s="61"/>
      <c r="G625" s="73"/>
      <c r="H625" s="79"/>
      <c r="I625" s="79"/>
      <c r="J625" s="14"/>
      <c r="K625" s="38"/>
      <c r="L625" s="38"/>
      <c r="M625" s="17"/>
    </row>
    <row r="626" spans="2:13" ht="14.45" customHeight="1" x14ac:dyDescent="0.25">
      <c r="B626" s="17"/>
      <c r="C626" s="14"/>
      <c r="D626" s="14"/>
      <c r="E626" s="18"/>
      <c r="F626" s="61"/>
      <c r="G626" s="73"/>
      <c r="H626" s="79"/>
      <c r="I626" s="79"/>
      <c r="J626" s="14"/>
      <c r="K626" s="38"/>
      <c r="L626" s="38"/>
      <c r="M626" s="17"/>
    </row>
    <row r="627" spans="2:13" ht="14.45" customHeight="1" x14ac:dyDescent="0.25">
      <c r="B627" s="17"/>
      <c r="C627" s="14"/>
      <c r="D627" s="14"/>
      <c r="E627" s="18"/>
      <c r="F627" s="61"/>
      <c r="G627" s="73"/>
      <c r="H627" s="79"/>
      <c r="I627" s="79"/>
      <c r="J627" s="14"/>
      <c r="K627" s="38"/>
      <c r="L627" s="38"/>
      <c r="M627" s="17"/>
    </row>
    <row r="628" spans="2:13" ht="14.45" customHeight="1" x14ac:dyDescent="0.25">
      <c r="B628" s="17"/>
      <c r="C628" s="14"/>
      <c r="D628" s="14"/>
      <c r="E628" s="18"/>
      <c r="F628" s="61"/>
      <c r="G628" s="73"/>
      <c r="H628" s="79"/>
      <c r="I628" s="79"/>
      <c r="J628" s="14"/>
      <c r="K628" s="38"/>
      <c r="L628" s="38"/>
      <c r="M628" s="17"/>
    </row>
    <row r="629" spans="2:13" ht="14.45" customHeight="1" x14ac:dyDescent="0.25">
      <c r="B629" s="17"/>
      <c r="C629" s="14"/>
      <c r="D629" s="14"/>
      <c r="E629" s="18"/>
      <c r="F629" s="61"/>
      <c r="G629" s="73"/>
      <c r="H629" s="79"/>
      <c r="I629" s="79"/>
      <c r="J629" s="14"/>
      <c r="K629" s="38"/>
      <c r="L629" s="38"/>
      <c r="M629" s="17"/>
    </row>
    <row r="630" spans="2:13" ht="14.45" customHeight="1" x14ac:dyDescent="0.25">
      <c r="B630" s="17"/>
      <c r="C630" s="14"/>
      <c r="D630" s="14"/>
      <c r="E630" s="18"/>
      <c r="F630" s="61"/>
      <c r="G630" s="73"/>
      <c r="H630" s="79"/>
      <c r="I630" s="79"/>
      <c r="J630" s="14"/>
      <c r="K630" s="38"/>
      <c r="L630" s="38"/>
      <c r="M630" s="17"/>
    </row>
    <row r="631" spans="2:13" ht="14.45" customHeight="1" x14ac:dyDescent="0.25">
      <c r="B631" s="17"/>
      <c r="C631" s="14"/>
      <c r="D631" s="14"/>
      <c r="E631" s="18"/>
      <c r="F631" s="61"/>
      <c r="G631" s="73"/>
      <c r="H631" s="79"/>
      <c r="I631" s="79"/>
      <c r="J631" s="14"/>
      <c r="K631" s="38"/>
      <c r="L631" s="38"/>
      <c r="M631" s="17"/>
    </row>
    <row r="632" spans="2:13" ht="14.45" customHeight="1" x14ac:dyDescent="0.25">
      <c r="B632" s="17"/>
      <c r="C632" s="14"/>
      <c r="D632" s="14"/>
      <c r="E632" s="18"/>
      <c r="F632" s="61"/>
      <c r="G632" s="73"/>
      <c r="H632" s="79"/>
      <c r="I632" s="79"/>
      <c r="J632" s="14"/>
      <c r="K632" s="38"/>
      <c r="L632" s="38"/>
      <c r="M632" s="17"/>
    </row>
    <row r="633" spans="2:13" ht="14.45" customHeight="1" x14ac:dyDescent="0.25">
      <c r="B633" s="17"/>
      <c r="C633" s="14"/>
      <c r="D633" s="14"/>
      <c r="E633" s="18"/>
      <c r="F633" s="61"/>
      <c r="G633" s="73"/>
      <c r="H633" s="79"/>
      <c r="I633" s="79"/>
      <c r="J633" s="14"/>
      <c r="K633" s="38"/>
      <c r="L633" s="38"/>
      <c r="M633" s="17"/>
    </row>
    <row r="634" spans="2:13" ht="14.45" customHeight="1" x14ac:dyDescent="0.25">
      <c r="B634" s="17"/>
      <c r="C634" s="14"/>
      <c r="D634" s="14"/>
      <c r="E634" s="18"/>
      <c r="F634" s="61"/>
      <c r="G634" s="73"/>
      <c r="H634" s="79"/>
      <c r="I634" s="79"/>
      <c r="J634" s="14"/>
      <c r="K634" s="38"/>
      <c r="L634" s="38"/>
      <c r="M634" s="17"/>
    </row>
    <row r="635" spans="2:13" ht="14.45" customHeight="1" x14ac:dyDescent="0.25">
      <c r="B635" s="17"/>
      <c r="C635" s="14"/>
      <c r="D635" s="14"/>
      <c r="E635" s="18"/>
      <c r="F635" s="61"/>
      <c r="G635" s="73"/>
      <c r="H635" s="79"/>
      <c r="I635" s="79"/>
      <c r="J635" s="14"/>
      <c r="K635" s="38"/>
      <c r="L635" s="38"/>
      <c r="M635" s="17"/>
    </row>
    <row r="636" spans="2:13" ht="14.45" customHeight="1" x14ac:dyDescent="0.25">
      <c r="B636" s="17"/>
      <c r="C636" s="14"/>
      <c r="D636" s="14"/>
      <c r="E636" s="18"/>
      <c r="F636" s="61"/>
      <c r="G636" s="73"/>
      <c r="H636" s="79"/>
      <c r="I636" s="79"/>
      <c r="J636" s="14"/>
      <c r="K636" s="38"/>
      <c r="L636" s="38"/>
      <c r="M636" s="17"/>
    </row>
    <row r="637" spans="2:13" ht="14.45" customHeight="1" x14ac:dyDescent="0.25">
      <c r="B637" s="17"/>
      <c r="C637" s="14"/>
      <c r="D637" s="14"/>
      <c r="E637" s="18"/>
      <c r="F637" s="61"/>
      <c r="G637" s="73"/>
      <c r="H637" s="79"/>
      <c r="I637" s="79"/>
      <c r="J637" s="14"/>
      <c r="K637" s="38"/>
      <c r="L637" s="38"/>
      <c r="M637" s="17"/>
    </row>
    <row r="638" spans="2:13" ht="14.45" customHeight="1" x14ac:dyDescent="0.25">
      <c r="B638" s="17"/>
      <c r="C638" s="14"/>
      <c r="D638" s="14"/>
      <c r="E638" s="18"/>
      <c r="F638" s="61"/>
      <c r="G638" s="73"/>
      <c r="H638" s="79"/>
      <c r="I638" s="79"/>
      <c r="J638" s="14"/>
      <c r="K638" s="38"/>
      <c r="L638" s="38"/>
      <c r="M638" s="17"/>
    </row>
    <row r="639" spans="2:13" ht="14.45" customHeight="1" x14ac:dyDescent="0.25">
      <c r="B639" s="17"/>
      <c r="C639" s="14"/>
      <c r="D639" s="14"/>
      <c r="E639" s="18"/>
      <c r="F639" s="61"/>
      <c r="G639" s="73"/>
      <c r="H639" s="79"/>
      <c r="I639" s="79"/>
      <c r="J639" s="14"/>
      <c r="K639" s="38"/>
      <c r="L639" s="38"/>
      <c r="M639" s="17"/>
    </row>
    <row r="640" spans="2:13" ht="14.45" customHeight="1" x14ac:dyDescent="0.25">
      <c r="B640" s="17"/>
      <c r="C640" s="14"/>
      <c r="D640" s="14"/>
      <c r="E640" s="18"/>
      <c r="F640" s="61"/>
      <c r="G640" s="73"/>
      <c r="H640" s="79"/>
      <c r="I640" s="79"/>
      <c r="J640" s="14"/>
      <c r="K640" s="38"/>
      <c r="L640" s="38"/>
      <c r="M640" s="17"/>
    </row>
    <row r="641" spans="2:13" ht="14.45" customHeight="1" x14ac:dyDescent="0.25">
      <c r="B641" s="17"/>
      <c r="C641" s="14"/>
      <c r="D641" s="14"/>
      <c r="E641" s="18"/>
      <c r="F641" s="61"/>
      <c r="G641" s="73"/>
      <c r="H641" s="79"/>
      <c r="I641" s="79"/>
      <c r="J641" s="14"/>
      <c r="K641" s="38"/>
      <c r="L641" s="38"/>
      <c r="M641" s="17"/>
    </row>
    <row r="642" spans="2:13" ht="14.45" customHeight="1" x14ac:dyDescent="0.25">
      <c r="B642" s="17"/>
      <c r="C642" s="14"/>
      <c r="D642" s="14"/>
      <c r="E642" s="18"/>
      <c r="F642" s="61"/>
      <c r="G642" s="73"/>
      <c r="H642" s="79"/>
      <c r="I642" s="79"/>
      <c r="J642" s="14"/>
      <c r="K642" s="38"/>
      <c r="L642" s="38"/>
      <c r="M642" s="17"/>
    </row>
    <row r="643" spans="2:13" ht="14.45" customHeight="1" x14ac:dyDescent="0.25">
      <c r="B643" s="17"/>
      <c r="C643" s="14"/>
      <c r="D643" s="14"/>
      <c r="E643" s="18"/>
      <c r="F643" s="61"/>
      <c r="G643" s="73"/>
      <c r="H643" s="79"/>
      <c r="I643" s="79"/>
      <c r="J643" s="14"/>
      <c r="K643" s="38"/>
      <c r="L643" s="38"/>
      <c r="M643" s="17"/>
    </row>
    <row r="644" spans="2:13" ht="14.45" customHeight="1" x14ac:dyDescent="0.25">
      <c r="B644" s="17"/>
      <c r="C644" s="14"/>
      <c r="D644" s="14"/>
      <c r="E644" s="18"/>
      <c r="F644" s="61"/>
      <c r="G644" s="73"/>
      <c r="H644" s="79"/>
      <c r="I644" s="79"/>
      <c r="J644" s="14"/>
      <c r="K644" s="38"/>
      <c r="L644" s="38"/>
      <c r="M644" s="17"/>
    </row>
    <row r="645" spans="2:13" ht="14.45" customHeight="1" x14ac:dyDescent="0.25">
      <c r="B645" s="17"/>
      <c r="C645" s="14"/>
      <c r="D645" s="14"/>
      <c r="E645" s="18"/>
      <c r="F645" s="61"/>
      <c r="G645" s="73"/>
      <c r="H645" s="79"/>
      <c r="I645" s="79"/>
      <c r="J645" s="14"/>
      <c r="K645" s="38"/>
      <c r="L645" s="38"/>
      <c r="M645" s="17"/>
    </row>
    <row r="646" spans="2:13" ht="14.45" customHeight="1" x14ac:dyDescent="0.25">
      <c r="B646" s="17"/>
      <c r="C646" s="14"/>
      <c r="D646" s="14"/>
      <c r="E646" s="18"/>
      <c r="F646" s="61"/>
      <c r="G646" s="73"/>
      <c r="H646" s="79"/>
      <c r="I646" s="79"/>
      <c r="J646" s="14"/>
      <c r="K646" s="38"/>
      <c r="L646" s="38"/>
      <c r="M646" s="17"/>
    </row>
    <row r="647" spans="2:13" ht="14.45" customHeight="1" x14ac:dyDescent="0.25">
      <c r="B647" s="17"/>
      <c r="C647" s="14"/>
      <c r="D647" s="14"/>
      <c r="E647" s="18"/>
      <c r="F647" s="61"/>
      <c r="G647" s="73"/>
      <c r="H647" s="79"/>
      <c r="I647" s="79"/>
      <c r="J647" s="14"/>
      <c r="K647" s="38"/>
      <c r="L647" s="38"/>
      <c r="M647" s="17"/>
    </row>
    <row r="648" spans="2:13" ht="14.45" customHeight="1" x14ac:dyDescent="0.25">
      <c r="B648" s="17"/>
      <c r="C648" s="14"/>
      <c r="D648" s="14"/>
      <c r="E648" s="18"/>
      <c r="F648" s="61"/>
      <c r="G648" s="73"/>
      <c r="H648" s="79"/>
      <c r="I648" s="79"/>
      <c r="J648" s="14"/>
      <c r="K648" s="38"/>
      <c r="L648" s="38"/>
      <c r="M648" s="17"/>
    </row>
    <row r="649" spans="2:13" ht="14.45" customHeight="1" x14ac:dyDescent="0.25">
      <c r="B649" s="17"/>
      <c r="C649" s="14"/>
      <c r="D649" s="14"/>
      <c r="E649" s="18"/>
      <c r="F649" s="61"/>
      <c r="G649" s="73"/>
      <c r="H649" s="79"/>
      <c r="I649" s="79"/>
      <c r="J649" s="14"/>
      <c r="K649" s="38"/>
      <c r="L649" s="38"/>
      <c r="M649" s="17"/>
    </row>
    <row r="650" spans="2:13" ht="14.45" customHeight="1" x14ac:dyDescent="0.25">
      <c r="B650" s="17"/>
      <c r="C650" s="14"/>
      <c r="D650" s="14"/>
      <c r="E650" s="18"/>
      <c r="F650" s="61"/>
      <c r="G650" s="73"/>
      <c r="H650" s="79"/>
      <c r="I650" s="79"/>
      <c r="J650" s="14"/>
      <c r="K650" s="38"/>
      <c r="L650" s="38"/>
      <c r="M650" s="17"/>
    </row>
    <row r="651" spans="2:13" ht="14.45" customHeight="1" x14ac:dyDescent="0.25">
      <c r="B651" s="17"/>
      <c r="C651" s="14"/>
      <c r="D651" s="14"/>
      <c r="E651" s="18"/>
      <c r="F651" s="61"/>
      <c r="G651" s="73"/>
      <c r="H651" s="79"/>
      <c r="I651" s="79"/>
      <c r="J651" s="14"/>
      <c r="K651" s="38"/>
      <c r="L651" s="38"/>
      <c r="M651" s="17"/>
    </row>
    <row r="652" spans="2:13" ht="14.45" customHeight="1" x14ac:dyDescent="0.25">
      <c r="B652" s="17"/>
      <c r="C652" s="14"/>
      <c r="D652" s="14"/>
      <c r="E652" s="18"/>
      <c r="F652" s="61"/>
      <c r="G652" s="73"/>
      <c r="H652" s="79"/>
      <c r="I652" s="79"/>
      <c r="J652" s="14"/>
      <c r="K652" s="38"/>
      <c r="L652" s="38"/>
      <c r="M652" s="17"/>
    </row>
    <row r="653" spans="2:13" ht="14.45" customHeight="1" x14ac:dyDescent="0.25">
      <c r="B653" s="17"/>
      <c r="C653" s="14"/>
      <c r="D653" s="14"/>
      <c r="E653" s="18"/>
      <c r="F653" s="61"/>
      <c r="G653" s="73"/>
      <c r="H653" s="79"/>
      <c r="I653" s="79"/>
      <c r="J653" s="14"/>
      <c r="K653" s="38"/>
      <c r="L653" s="38"/>
      <c r="M653" s="17"/>
    </row>
    <row r="654" spans="2:13" ht="14.45" customHeight="1" x14ac:dyDescent="0.25">
      <c r="B654" s="17"/>
      <c r="C654" s="14"/>
      <c r="D654" s="14"/>
      <c r="E654" s="18"/>
      <c r="F654" s="61"/>
      <c r="G654" s="73"/>
      <c r="H654" s="79"/>
      <c r="I654" s="79"/>
      <c r="J654" s="14"/>
      <c r="K654" s="38"/>
      <c r="L654" s="38"/>
      <c r="M654" s="17"/>
    </row>
    <row r="655" spans="2:13" ht="14.45" customHeight="1" x14ac:dyDescent="0.25">
      <c r="B655" s="17"/>
      <c r="C655" s="14"/>
      <c r="D655" s="14"/>
      <c r="E655" s="18"/>
      <c r="F655" s="61"/>
      <c r="G655" s="73"/>
      <c r="H655" s="79"/>
      <c r="I655" s="79"/>
      <c r="J655" s="14"/>
      <c r="K655" s="38"/>
      <c r="L655" s="38"/>
      <c r="M655" s="17"/>
    </row>
    <row r="656" spans="2:13" ht="14.45" customHeight="1" x14ac:dyDescent="0.25">
      <c r="B656" s="17"/>
      <c r="C656" s="14"/>
      <c r="D656" s="14"/>
      <c r="E656" s="18"/>
      <c r="F656" s="61"/>
      <c r="G656" s="73"/>
      <c r="H656" s="79"/>
      <c r="I656" s="79"/>
      <c r="J656" s="14"/>
      <c r="K656" s="38"/>
      <c r="L656" s="38"/>
      <c r="M656" s="17"/>
    </row>
    <row r="657" spans="2:13" ht="14.45" customHeight="1" x14ac:dyDescent="0.25">
      <c r="B657" s="17"/>
      <c r="C657" s="14"/>
      <c r="D657" s="14"/>
      <c r="E657" s="18"/>
      <c r="F657" s="61"/>
      <c r="G657" s="73"/>
      <c r="H657" s="79"/>
      <c r="I657" s="79"/>
      <c r="J657" s="14"/>
      <c r="K657" s="38"/>
      <c r="L657" s="38"/>
      <c r="M657" s="17"/>
    </row>
    <row r="658" spans="2:13" ht="14.45" customHeight="1" x14ac:dyDescent="0.25">
      <c r="B658" s="17"/>
      <c r="C658" s="14"/>
      <c r="D658" s="14"/>
      <c r="E658" s="18"/>
      <c r="F658" s="61"/>
      <c r="G658" s="73"/>
      <c r="H658" s="79"/>
      <c r="I658" s="79"/>
      <c r="J658" s="14"/>
      <c r="K658" s="38"/>
      <c r="L658" s="38"/>
      <c r="M658" s="17"/>
    </row>
    <row r="659" spans="2:13" ht="14.45" customHeight="1" x14ac:dyDescent="0.25">
      <c r="B659" s="17"/>
      <c r="C659" s="14"/>
      <c r="D659" s="14"/>
      <c r="E659" s="18"/>
      <c r="F659" s="61"/>
      <c r="G659" s="73"/>
      <c r="H659" s="79"/>
      <c r="I659" s="79"/>
      <c r="J659" s="14"/>
      <c r="K659" s="38"/>
      <c r="L659" s="38"/>
      <c r="M659" s="17"/>
    </row>
    <row r="660" spans="2:13" ht="14.45" customHeight="1" x14ac:dyDescent="0.25">
      <c r="B660" s="17"/>
      <c r="C660" s="14"/>
      <c r="D660" s="14"/>
      <c r="E660" s="18"/>
      <c r="F660" s="61"/>
      <c r="G660" s="73"/>
      <c r="H660" s="79"/>
      <c r="I660" s="79"/>
      <c r="J660" s="14"/>
      <c r="K660" s="38"/>
      <c r="L660" s="38"/>
      <c r="M660" s="17"/>
    </row>
    <row r="661" spans="2:13" ht="14.45" customHeight="1" x14ac:dyDescent="0.25">
      <c r="B661" s="17"/>
      <c r="C661" s="14"/>
      <c r="D661" s="14"/>
      <c r="E661" s="18"/>
      <c r="F661" s="61"/>
      <c r="G661" s="73"/>
      <c r="H661" s="79"/>
      <c r="I661" s="79"/>
      <c r="J661" s="14"/>
      <c r="K661" s="38"/>
      <c r="L661" s="38"/>
      <c r="M661" s="17"/>
    </row>
    <row r="662" spans="2:13" ht="14.45" customHeight="1" x14ac:dyDescent="0.25">
      <c r="B662" s="17"/>
      <c r="C662" s="14"/>
      <c r="D662" s="14"/>
      <c r="E662" s="18"/>
      <c r="F662" s="61"/>
      <c r="G662" s="73"/>
      <c r="H662" s="79"/>
      <c r="I662" s="79"/>
      <c r="J662" s="14"/>
      <c r="K662" s="38"/>
      <c r="L662" s="38"/>
      <c r="M662" s="17"/>
    </row>
    <row r="663" spans="2:13" ht="14.45" customHeight="1" x14ac:dyDescent="0.25">
      <c r="B663" s="17"/>
      <c r="C663" s="14"/>
      <c r="D663" s="14"/>
      <c r="E663" s="18"/>
      <c r="F663" s="61"/>
      <c r="G663" s="73"/>
      <c r="H663" s="79"/>
      <c r="I663" s="79"/>
      <c r="J663" s="14"/>
      <c r="K663" s="38"/>
      <c r="L663" s="38"/>
      <c r="M663" s="17"/>
    </row>
    <row r="664" spans="2:13" ht="14.45" customHeight="1" x14ac:dyDescent="0.25">
      <c r="B664" s="17"/>
      <c r="C664" s="14"/>
      <c r="D664" s="14"/>
      <c r="E664" s="18"/>
      <c r="F664" s="61"/>
      <c r="G664" s="73"/>
      <c r="H664" s="79"/>
      <c r="I664" s="79"/>
      <c r="J664" s="14"/>
      <c r="K664" s="38"/>
      <c r="L664" s="38"/>
      <c r="M664" s="17"/>
    </row>
    <row r="665" spans="2:13" ht="14.45" customHeight="1" x14ac:dyDescent="0.25">
      <c r="B665" s="17"/>
      <c r="C665" s="14"/>
      <c r="D665" s="14"/>
      <c r="E665" s="18"/>
      <c r="F665" s="61"/>
      <c r="G665" s="73"/>
      <c r="H665" s="79"/>
      <c r="I665" s="79"/>
      <c r="J665" s="14"/>
      <c r="K665" s="38"/>
      <c r="L665" s="38"/>
      <c r="M665" s="17"/>
    </row>
    <row r="666" spans="2:13" ht="14.45" customHeight="1" x14ac:dyDescent="0.25">
      <c r="B666" s="17"/>
      <c r="C666" s="14"/>
      <c r="D666" s="14"/>
      <c r="E666" s="18"/>
      <c r="F666" s="61"/>
      <c r="G666" s="73"/>
      <c r="H666" s="79"/>
      <c r="I666" s="79"/>
      <c r="J666" s="14"/>
      <c r="K666" s="38"/>
      <c r="L666" s="38"/>
      <c r="M666" s="17"/>
    </row>
    <row r="667" spans="2:13" ht="14.45" customHeight="1" x14ac:dyDescent="0.25">
      <c r="B667" s="17"/>
      <c r="C667" s="14"/>
      <c r="D667" s="14"/>
      <c r="E667" s="18"/>
      <c r="F667" s="61"/>
      <c r="G667" s="73"/>
      <c r="H667" s="79"/>
      <c r="I667" s="79"/>
      <c r="J667" s="14"/>
      <c r="K667" s="38"/>
      <c r="L667" s="38"/>
      <c r="M667" s="17"/>
    </row>
    <row r="668" spans="2:13" ht="14.45" customHeight="1" x14ac:dyDescent="0.25">
      <c r="B668" s="17"/>
      <c r="C668" s="14"/>
      <c r="D668" s="14"/>
      <c r="E668" s="18"/>
      <c r="F668" s="61"/>
      <c r="G668" s="73"/>
      <c r="H668" s="79"/>
      <c r="I668" s="79"/>
      <c r="J668" s="14"/>
      <c r="K668" s="38"/>
      <c r="L668" s="38"/>
      <c r="M668" s="17"/>
    </row>
    <row r="669" spans="2:13" ht="14.45" customHeight="1" x14ac:dyDescent="0.25">
      <c r="B669" s="17"/>
      <c r="C669" s="14"/>
      <c r="D669" s="14"/>
      <c r="E669" s="18"/>
      <c r="F669" s="61"/>
      <c r="G669" s="73"/>
      <c r="H669" s="79"/>
      <c r="I669" s="79"/>
      <c r="J669" s="14"/>
      <c r="K669" s="38"/>
      <c r="L669" s="38"/>
      <c r="M669" s="17"/>
    </row>
    <row r="670" spans="2:13" ht="14.45" customHeight="1" x14ac:dyDescent="0.25">
      <c r="B670" s="17"/>
      <c r="C670" s="14"/>
      <c r="D670" s="14"/>
      <c r="E670" s="18"/>
      <c r="F670" s="61"/>
      <c r="G670" s="73"/>
      <c r="H670" s="79"/>
      <c r="I670" s="79"/>
      <c r="J670" s="14"/>
      <c r="K670" s="38"/>
      <c r="L670" s="38"/>
      <c r="M670" s="17"/>
    </row>
    <row r="671" spans="2:13" ht="14.45" customHeight="1" x14ac:dyDescent="0.25">
      <c r="B671" s="17"/>
      <c r="C671" s="14"/>
      <c r="D671" s="14"/>
      <c r="E671" s="18"/>
      <c r="F671" s="61"/>
      <c r="G671" s="73"/>
      <c r="H671" s="79"/>
      <c r="I671" s="79"/>
      <c r="J671" s="14"/>
      <c r="K671" s="38"/>
      <c r="L671" s="38"/>
      <c r="M671" s="17"/>
    </row>
    <row r="672" spans="2:13" ht="14.45" customHeight="1" x14ac:dyDescent="0.25">
      <c r="B672" s="17"/>
      <c r="C672" s="14"/>
      <c r="D672" s="14"/>
      <c r="E672" s="18"/>
      <c r="F672" s="61"/>
      <c r="G672" s="73"/>
      <c r="H672" s="79"/>
      <c r="I672" s="79"/>
      <c r="J672" s="14"/>
      <c r="K672" s="38"/>
      <c r="L672" s="38"/>
      <c r="M672" s="17"/>
    </row>
    <row r="673" spans="2:13" ht="14.45" customHeight="1" x14ac:dyDescent="0.25">
      <c r="B673" s="17"/>
      <c r="C673" s="14"/>
      <c r="D673" s="14"/>
      <c r="E673" s="18"/>
      <c r="F673" s="61"/>
      <c r="G673" s="73"/>
      <c r="H673" s="79"/>
      <c r="I673" s="79"/>
      <c r="J673" s="14"/>
      <c r="K673" s="38"/>
      <c r="L673" s="38"/>
      <c r="M673" s="17"/>
    </row>
    <row r="674" spans="2:13" ht="14.45" customHeight="1" x14ac:dyDescent="0.25">
      <c r="B674" s="17"/>
      <c r="C674" s="14"/>
      <c r="D674" s="14"/>
      <c r="E674" s="18"/>
      <c r="F674" s="61"/>
      <c r="G674" s="73"/>
      <c r="H674" s="79"/>
      <c r="I674" s="79"/>
      <c r="J674" s="14"/>
      <c r="K674" s="38"/>
      <c r="L674" s="38"/>
      <c r="M674" s="17"/>
    </row>
    <row r="675" spans="2:13" ht="14.45" customHeight="1" x14ac:dyDescent="0.25">
      <c r="B675" s="17"/>
      <c r="C675" s="14"/>
      <c r="D675" s="14"/>
      <c r="E675" s="18"/>
      <c r="F675" s="61"/>
      <c r="G675" s="73"/>
      <c r="H675" s="79"/>
      <c r="I675" s="79"/>
      <c r="J675" s="14"/>
      <c r="K675" s="38"/>
      <c r="L675" s="38"/>
      <c r="M675" s="17"/>
    </row>
    <row r="676" spans="2:13" ht="14.45" customHeight="1" x14ac:dyDescent="0.25">
      <c r="B676" s="17"/>
      <c r="C676" s="14"/>
      <c r="D676" s="14"/>
      <c r="E676" s="18"/>
      <c r="F676" s="61"/>
      <c r="G676" s="73"/>
      <c r="H676" s="79"/>
      <c r="I676" s="79"/>
      <c r="J676" s="14"/>
      <c r="K676" s="38"/>
      <c r="L676" s="38"/>
      <c r="M676" s="17"/>
    </row>
    <row r="677" spans="2:13" ht="14.45" customHeight="1" x14ac:dyDescent="0.25">
      <c r="B677" s="17"/>
      <c r="C677" s="14"/>
      <c r="D677" s="14"/>
      <c r="E677" s="18"/>
      <c r="F677" s="61"/>
      <c r="G677" s="73"/>
      <c r="H677" s="79"/>
      <c r="I677" s="79"/>
      <c r="J677" s="14"/>
      <c r="K677" s="38"/>
      <c r="L677" s="38"/>
      <c r="M677" s="17"/>
    </row>
    <row r="678" spans="2:13" ht="14.45" customHeight="1" x14ac:dyDescent="0.25">
      <c r="B678" s="17"/>
      <c r="C678" s="14"/>
      <c r="D678" s="14"/>
      <c r="E678" s="18"/>
      <c r="F678" s="61"/>
      <c r="G678" s="73"/>
      <c r="H678" s="79"/>
      <c r="I678" s="79"/>
      <c r="J678" s="14"/>
      <c r="K678" s="38"/>
      <c r="L678" s="38"/>
      <c r="M678" s="17"/>
    </row>
    <row r="679" spans="2:13" ht="14.45" customHeight="1" x14ac:dyDescent="0.25">
      <c r="B679" s="17"/>
      <c r="C679" s="14"/>
      <c r="D679" s="14"/>
      <c r="E679" s="18"/>
      <c r="F679" s="61"/>
      <c r="G679" s="73"/>
      <c r="H679" s="79"/>
      <c r="I679" s="79"/>
      <c r="J679" s="14"/>
      <c r="K679" s="38"/>
      <c r="L679" s="38"/>
      <c r="M679" s="17"/>
    </row>
    <row r="680" spans="2:13" ht="14.45" customHeight="1" x14ac:dyDescent="0.25">
      <c r="B680" s="17"/>
      <c r="C680" s="14"/>
      <c r="D680" s="14"/>
      <c r="E680" s="18"/>
      <c r="F680" s="61"/>
      <c r="G680" s="73"/>
      <c r="H680" s="79"/>
      <c r="I680" s="79"/>
      <c r="J680" s="14"/>
      <c r="K680" s="38"/>
      <c r="L680" s="38"/>
      <c r="M680" s="17"/>
    </row>
    <row r="681" spans="2:13" ht="14.45" customHeight="1" x14ac:dyDescent="0.25">
      <c r="B681" s="17"/>
      <c r="C681" s="14"/>
      <c r="D681" s="14"/>
      <c r="E681" s="18"/>
      <c r="F681" s="61"/>
      <c r="G681" s="73"/>
      <c r="H681" s="79"/>
      <c r="I681" s="79"/>
      <c r="J681" s="14"/>
      <c r="K681" s="38"/>
      <c r="L681" s="38"/>
      <c r="M681" s="17"/>
    </row>
    <row r="682" spans="2:13" ht="14.45" customHeight="1" x14ac:dyDescent="0.25">
      <c r="B682" s="17"/>
      <c r="C682" s="14"/>
      <c r="D682" s="14"/>
      <c r="E682" s="18"/>
      <c r="F682" s="61"/>
      <c r="G682" s="73"/>
      <c r="H682" s="79"/>
      <c r="I682" s="79"/>
      <c r="J682" s="14"/>
      <c r="K682" s="38"/>
      <c r="L682" s="38"/>
      <c r="M682" s="17"/>
    </row>
    <row r="683" spans="2:13" ht="14.45" customHeight="1" x14ac:dyDescent="0.25">
      <c r="B683" s="17"/>
      <c r="C683" s="14"/>
      <c r="D683" s="14"/>
      <c r="E683" s="18"/>
      <c r="F683" s="61"/>
      <c r="G683" s="73"/>
      <c r="H683" s="79"/>
      <c r="I683" s="79"/>
      <c r="J683" s="14"/>
      <c r="K683" s="38"/>
      <c r="L683" s="38"/>
      <c r="M683" s="17"/>
    </row>
    <row r="684" spans="2:13" ht="14.45" customHeight="1" x14ac:dyDescent="0.25">
      <c r="B684" s="17"/>
      <c r="C684" s="14"/>
      <c r="D684" s="14"/>
      <c r="E684" s="18"/>
      <c r="F684" s="61"/>
      <c r="G684" s="73"/>
      <c r="H684" s="79"/>
      <c r="I684" s="79"/>
      <c r="J684" s="14"/>
      <c r="K684" s="38"/>
      <c r="L684" s="38"/>
      <c r="M684" s="17"/>
    </row>
    <row r="685" spans="2:13" ht="14.45" customHeight="1" x14ac:dyDescent="0.25">
      <c r="B685" s="17"/>
      <c r="C685" s="14"/>
      <c r="D685" s="14"/>
      <c r="E685" s="18"/>
      <c r="F685" s="61"/>
      <c r="G685" s="73"/>
      <c r="H685" s="79"/>
      <c r="I685" s="79"/>
      <c r="J685" s="14"/>
      <c r="K685" s="38"/>
      <c r="L685" s="38"/>
      <c r="M685" s="17"/>
    </row>
    <row r="686" spans="2:13" ht="14.45" customHeight="1" x14ac:dyDescent="0.25">
      <c r="B686" s="17"/>
      <c r="C686" s="14"/>
      <c r="D686" s="14"/>
      <c r="E686" s="18"/>
      <c r="F686" s="61"/>
      <c r="G686" s="73"/>
      <c r="H686" s="79"/>
      <c r="I686" s="79"/>
      <c r="J686" s="14"/>
      <c r="K686" s="38"/>
      <c r="L686" s="38"/>
      <c r="M686" s="17"/>
    </row>
    <row r="687" spans="2:13" ht="14.45" customHeight="1" x14ac:dyDescent="0.25">
      <c r="B687" s="17"/>
      <c r="C687" s="14"/>
      <c r="D687" s="14"/>
      <c r="E687" s="18"/>
      <c r="F687" s="61"/>
      <c r="G687" s="73"/>
      <c r="H687" s="79"/>
      <c r="I687" s="79"/>
      <c r="J687" s="14"/>
      <c r="K687" s="38"/>
      <c r="L687" s="38"/>
      <c r="M687" s="17"/>
    </row>
    <row r="688" spans="2:13" ht="14.45" customHeight="1" x14ac:dyDescent="0.25">
      <c r="B688" s="17"/>
      <c r="C688" s="14"/>
      <c r="D688" s="14"/>
      <c r="E688" s="18"/>
      <c r="F688" s="61"/>
      <c r="G688" s="73"/>
      <c r="H688" s="79"/>
      <c r="I688" s="79"/>
      <c r="J688" s="14"/>
      <c r="K688" s="38"/>
      <c r="L688" s="38"/>
      <c r="M688" s="17"/>
    </row>
    <row r="689" spans="2:13" ht="14.45" customHeight="1" x14ac:dyDescent="0.25">
      <c r="B689" s="17"/>
      <c r="C689" s="14"/>
      <c r="D689" s="14"/>
      <c r="E689" s="18"/>
      <c r="F689" s="61"/>
      <c r="G689" s="73"/>
      <c r="H689" s="79"/>
      <c r="I689" s="79"/>
      <c r="J689" s="14"/>
      <c r="K689" s="38"/>
      <c r="L689" s="38"/>
      <c r="M689" s="17"/>
    </row>
    <row r="690" spans="2:13" ht="14.45" customHeight="1" x14ac:dyDescent="0.25">
      <c r="B690" s="17"/>
      <c r="C690" s="14"/>
      <c r="D690" s="14"/>
      <c r="E690" s="18"/>
      <c r="F690" s="61"/>
      <c r="G690" s="73"/>
      <c r="H690" s="79"/>
      <c r="I690" s="79"/>
      <c r="J690" s="14"/>
      <c r="K690" s="38"/>
      <c r="L690" s="38"/>
      <c r="M690" s="17"/>
    </row>
    <row r="691" spans="2:13" ht="14.45" customHeight="1" x14ac:dyDescent="0.25">
      <c r="B691" s="17"/>
      <c r="C691" s="14"/>
      <c r="D691" s="14"/>
      <c r="E691" s="18"/>
      <c r="F691" s="61"/>
      <c r="G691" s="73"/>
      <c r="H691" s="79"/>
      <c r="I691" s="79"/>
      <c r="J691" s="14"/>
      <c r="K691" s="38"/>
      <c r="L691" s="38"/>
      <c r="M691" s="17"/>
    </row>
    <row r="692" spans="2:13" ht="14.45" customHeight="1" x14ac:dyDescent="0.25">
      <c r="B692" s="17"/>
      <c r="C692" s="14"/>
      <c r="D692" s="14"/>
      <c r="E692" s="18"/>
      <c r="F692" s="61"/>
      <c r="G692" s="73"/>
      <c r="H692" s="79"/>
      <c r="I692" s="79"/>
      <c r="J692" s="14"/>
      <c r="K692" s="38"/>
      <c r="L692" s="38"/>
      <c r="M692" s="17"/>
    </row>
    <row r="693" spans="2:13" ht="14.45" customHeight="1" x14ac:dyDescent="0.25">
      <c r="B693" s="17"/>
      <c r="C693" s="14"/>
      <c r="D693" s="14"/>
      <c r="E693" s="18"/>
      <c r="F693" s="61"/>
      <c r="G693" s="73"/>
      <c r="H693" s="79"/>
      <c r="I693" s="79"/>
      <c r="J693" s="14"/>
      <c r="K693" s="38"/>
      <c r="L693" s="38"/>
      <c r="M693" s="17"/>
    </row>
    <row r="694" spans="2:13" ht="14.45" customHeight="1" x14ac:dyDescent="0.25">
      <c r="B694" s="17"/>
      <c r="C694" s="14"/>
      <c r="D694" s="14"/>
      <c r="E694" s="18"/>
      <c r="F694" s="61"/>
      <c r="G694" s="73"/>
      <c r="H694" s="79"/>
      <c r="I694" s="79"/>
      <c r="J694" s="14"/>
      <c r="K694" s="38"/>
      <c r="L694" s="38"/>
      <c r="M694" s="17"/>
    </row>
    <row r="695" spans="2:13" ht="14.45" customHeight="1" x14ac:dyDescent="0.25">
      <c r="B695" s="17"/>
      <c r="C695" s="14"/>
      <c r="D695" s="14"/>
      <c r="E695" s="18"/>
      <c r="F695" s="61"/>
      <c r="G695" s="73"/>
      <c r="H695" s="79"/>
      <c r="I695" s="79"/>
      <c r="J695" s="14"/>
      <c r="K695" s="38"/>
      <c r="L695" s="38"/>
      <c r="M695" s="17"/>
    </row>
    <row r="696" spans="2:13" ht="14.45" customHeight="1" x14ac:dyDescent="0.25">
      <c r="B696" s="17"/>
      <c r="C696" s="14"/>
      <c r="D696" s="14"/>
      <c r="E696" s="18"/>
      <c r="F696" s="61"/>
      <c r="G696" s="73"/>
      <c r="H696" s="79"/>
      <c r="I696" s="79"/>
      <c r="J696" s="14"/>
      <c r="K696" s="38"/>
      <c r="L696" s="38"/>
      <c r="M696" s="17"/>
    </row>
    <row r="697" spans="2:13" ht="14.45" customHeight="1" x14ac:dyDescent="0.25">
      <c r="B697" s="17"/>
      <c r="C697" s="14"/>
      <c r="D697" s="14"/>
      <c r="E697" s="18"/>
      <c r="F697" s="61"/>
      <c r="G697" s="73"/>
      <c r="H697" s="79"/>
      <c r="I697" s="79"/>
      <c r="J697" s="14"/>
      <c r="K697" s="38"/>
      <c r="L697" s="38"/>
      <c r="M697" s="17"/>
    </row>
    <row r="698" spans="2:13" ht="14.45" customHeight="1" x14ac:dyDescent="0.25">
      <c r="B698" s="17"/>
      <c r="C698" s="14"/>
      <c r="D698" s="14"/>
      <c r="E698" s="18"/>
      <c r="F698" s="61"/>
      <c r="G698" s="73"/>
      <c r="H698" s="79"/>
      <c r="I698" s="79"/>
      <c r="J698" s="14"/>
      <c r="K698" s="38"/>
      <c r="L698" s="38"/>
      <c r="M698" s="17"/>
    </row>
    <row r="699" spans="2:13" ht="14.45" customHeight="1" x14ac:dyDescent="0.25">
      <c r="B699" s="17"/>
      <c r="C699" s="14"/>
      <c r="D699" s="14"/>
      <c r="E699" s="18"/>
      <c r="F699" s="61"/>
      <c r="G699" s="73"/>
      <c r="H699" s="79"/>
      <c r="I699" s="79"/>
      <c r="J699" s="14"/>
      <c r="K699" s="38"/>
      <c r="L699" s="38"/>
      <c r="M699" s="17"/>
    </row>
    <row r="700" spans="2:13" ht="14.45" customHeight="1" x14ac:dyDescent="0.25">
      <c r="B700" s="17"/>
      <c r="C700" s="14"/>
      <c r="D700" s="14"/>
      <c r="E700" s="18"/>
      <c r="F700" s="61"/>
      <c r="G700" s="73"/>
      <c r="H700" s="79"/>
      <c r="I700" s="79"/>
      <c r="J700" s="14"/>
      <c r="K700" s="38"/>
      <c r="L700" s="38"/>
      <c r="M700" s="17"/>
    </row>
    <row r="701" spans="2:13" ht="14.45" customHeight="1" x14ac:dyDescent="0.25">
      <c r="B701" s="17"/>
      <c r="C701" s="14"/>
      <c r="D701" s="14"/>
      <c r="E701" s="18"/>
      <c r="F701" s="61"/>
      <c r="G701" s="73"/>
      <c r="H701" s="79"/>
      <c r="I701" s="79"/>
      <c r="J701" s="14"/>
      <c r="K701" s="38"/>
      <c r="L701" s="38"/>
      <c r="M701" s="17"/>
    </row>
    <row r="702" spans="2:13" ht="14.45" customHeight="1" x14ac:dyDescent="0.25">
      <c r="B702" s="17"/>
      <c r="C702" s="14"/>
      <c r="D702" s="14"/>
      <c r="E702" s="18"/>
      <c r="F702" s="61"/>
      <c r="G702" s="73"/>
      <c r="H702" s="79"/>
      <c r="I702" s="79"/>
      <c r="J702" s="14"/>
      <c r="K702" s="38"/>
      <c r="L702" s="38"/>
      <c r="M702" s="17"/>
    </row>
    <row r="703" spans="2:13" ht="14.45" customHeight="1" x14ac:dyDescent="0.25">
      <c r="B703" s="17"/>
      <c r="C703" s="14"/>
      <c r="D703" s="14"/>
      <c r="E703" s="18"/>
      <c r="F703" s="61"/>
      <c r="G703" s="73"/>
      <c r="H703" s="79"/>
      <c r="I703" s="79"/>
      <c r="J703" s="14"/>
      <c r="K703" s="38"/>
      <c r="L703" s="38"/>
      <c r="M703" s="17"/>
    </row>
    <row r="704" spans="2:13" ht="14.45" customHeight="1" x14ac:dyDescent="0.25">
      <c r="B704" s="17"/>
      <c r="C704" s="14"/>
      <c r="D704" s="14"/>
      <c r="E704" s="18"/>
      <c r="F704" s="61"/>
      <c r="G704" s="73"/>
      <c r="H704" s="79"/>
      <c r="I704" s="79"/>
      <c r="J704" s="14"/>
      <c r="K704" s="38"/>
      <c r="L704" s="38"/>
      <c r="M704" s="17"/>
    </row>
    <row r="705" spans="2:13" ht="14.45" customHeight="1" x14ac:dyDescent="0.25">
      <c r="B705" s="17"/>
      <c r="C705" s="14"/>
      <c r="D705" s="14"/>
      <c r="E705" s="18"/>
      <c r="F705" s="61"/>
      <c r="G705" s="73"/>
      <c r="H705" s="79"/>
      <c r="I705" s="79"/>
      <c r="J705" s="14"/>
      <c r="K705" s="38"/>
      <c r="L705" s="38"/>
      <c r="M705" s="17"/>
    </row>
    <row r="706" spans="2:13" ht="14.45" customHeight="1" x14ac:dyDescent="0.25">
      <c r="B706" s="17"/>
      <c r="C706" s="14"/>
      <c r="D706" s="14"/>
      <c r="E706" s="18"/>
      <c r="F706" s="61"/>
      <c r="G706" s="73"/>
      <c r="H706" s="79"/>
      <c r="I706" s="79"/>
      <c r="J706" s="14"/>
      <c r="K706" s="38"/>
      <c r="L706" s="38"/>
      <c r="M706" s="17"/>
    </row>
    <row r="707" spans="2:13" ht="14.45" customHeight="1" x14ac:dyDescent="0.25">
      <c r="B707" s="17"/>
      <c r="C707" s="14"/>
      <c r="D707" s="14"/>
      <c r="E707" s="18"/>
      <c r="F707" s="61"/>
      <c r="G707" s="73"/>
      <c r="H707" s="79"/>
      <c r="I707" s="79"/>
      <c r="J707" s="14"/>
      <c r="K707" s="38"/>
      <c r="L707" s="38"/>
      <c r="M707" s="17"/>
    </row>
    <row r="708" spans="2:13" ht="14.45" customHeight="1" x14ac:dyDescent="0.25">
      <c r="B708" s="17"/>
      <c r="C708" s="14"/>
      <c r="D708" s="14"/>
      <c r="E708" s="18"/>
      <c r="F708" s="61"/>
      <c r="G708" s="73"/>
      <c r="H708" s="79"/>
      <c r="I708" s="79"/>
      <c r="J708" s="14"/>
      <c r="K708" s="38"/>
      <c r="L708" s="38"/>
      <c r="M708" s="17"/>
    </row>
    <row r="709" spans="2:13" ht="14.45" customHeight="1" x14ac:dyDescent="0.25">
      <c r="B709" s="17"/>
      <c r="C709" s="14"/>
      <c r="D709" s="14"/>
      <c r="E709" s="18"/>
      <c r="F709" s="61"/>
      <c r="G709" s="73"/>
      <c r="H709" s="79"/>
      <c r="I709" s="79"/>
      <c r="J709" s="14"/>
      <c r="K709" s="38"/>
      <c r="L709" s="38"/>
      <c r="M709" s="17"/>
    </row>
    <row r="710" spans="2:13" ht="14.45" customHeight="1" x14ac:dyDescent="0.25">
      <c r="B710" s="17"/>
      <c r="C710" s="14"/>
      <c r="D710" s="14"/>
      <c r="E710" s="18"/>
      <c r="F710" s="61"/>
      <c r="G710" s="73"/>
      <c r="H710" s="79"/>
      <c r="I710" s="79"/>
      <c r="J710" s="14"/>
      <c r="K710" s="38"/>
      <c r="L710" s="38"/>
      <c r="M710" s="17"/>
    </row>
    <row r="711" spans="2:13" ht="14.45" customHeight="1" x14ac:dyDescent="0.25">
      <c r="B711" s="17"/>
      <c r="C711" s="14"/>
      <c r="D711" s="14"/>
      <c r="E711" s="18"/>
      <c r="F711" s="61"/>
      <c r="G711" s="73"/>
      <c r="H711" s="79"/>
      <c r="I711" s="79"/>
      <c r="J711" s="14"/>
      <c r="K711" s="38"/>
      <c r="L711" s="38"/>
      <c r="M711" s="17"/>
    </row>
    <row r="712" spans="2:13" ht="14.45" customHeight="1" x14ac:dyDescent="0.25">
      <c r="B712" s="17"/>
      <c r="C712" s="14"/>
      <c r="D712" s="14"/>
      <c r="E712" s="18"/>
      <c r="F712" s="61"/>
      <c r="G712" s="73"/>
      <c r="H712" s="79"/>
      <c r="I712" s="79"/>
      <c r="J712" s="14"/>
      <c r="K712" s="38"/>
      <c r="L712" s="38"/>
      <c r="M712" s="17"/>
    </row>
    <row r="713" spans="2:13" ht="14.45" customHeight="1" x14ac:dyDescent="0.25">
      <c r="B713" s="17"/>
      <c r="C713" s="14"/>
      <c r="D713" s="14"/>
      <c r="E713" s="18"/>
      <c r="F713" s="61"/>
      <c r="G713" s="73"/>
      <c r="H713" s="79"/>
      <c r="I713" s="79"/>
      <c r="J713" s="14"/>
      <c r="K713" s="38"/>
      <c r="L713" s="38"/>
      <c r="M713" s="17"/>
    </row>
    <row r="714" spans="2:13" ht="14.45" customHeight="1" x14ac:dyDescent="0.25">
      <c r="B714" s="17"/>
      <c r="C714" s="14"/>
      <c r="D714" s="14"/>
      <c r="E714" s="18"/>
      <c r="F714" s="61"/>
      <c r="G714" s="73"/>
      <c r="H714" s="79"/>
      <c r="I714" s="79"/>
      <c r="J714" s="14"/>
      <c r="K714" s="38"/>
      <c r="L714" s="38"/>
      <c r="M714" s="17"/>
    </row>
    <row r="715" spans="2:13" ht="14.45" customHeight="1" x14ac:dyDescent="0.25">
      <c r="B715" s="17"/>
      <c r="C715" s="14"/>
      <c r="D715" s="14"/>
      <c r="E715" s="18"/>
      <c r="F715" s="61"/>
      <c r="G715" s="73"/>
      <c r="H715" s="79"/>
      <c r="I715" s="79"/>
      <c r="J715" s="14"/>
      <c r="K715" s="38"/>
      <c r="L715" s="38"/>
      <c r="M715" s="17"/>
    </row>
    <row r="716" spans="2:13" ht="14.45" customHeight="1" x14ac:dyDescent="0.25">
      <c r="B716" s="17"/>
      <c r="C716" s="14"/>
      <c r="D716" s="14"/>
      <c r="E716" s="18"/>
      <c r="F716" s="61"/>
      <c r="G716" s="73"/>
      <c r="H716" s="79"/>
      <c r="I716" s="79"/>
      <c r="J716" s="14"/>
      <c r="K716" s="38"/>
      <c r="L716" s="38"/>
      <c r="M716" s="17"/>
    </row>
    <row r="717" spans="2:13" ht="14.45" customHeight="1" x14ac:dyDescent="0.25">
      <c r="B717" s="17"/>
      <c r="C717" s="14"/>
      <c r="D717" s="14"/>
      <c r="E717" s="18"/>
      <c r="F717" s="61"/>
      <c r="G717" s="73"/>
      <c r="H717" s="79"/>
      <c r="I717" s="79"/>
      <c r="J717" s="14"/>
      <c r="K717" s="38"/>
      <c r="L717" s="38"/>
      <c r="M717" s="17"/>
    </row>
    <row r="718" spans="2:13" ht="14.45" customHeight="1" x14ac:dyDescent="0.25">
      <c r="B718" s="17"/>
      <c r="C718" s="14"/>
      <c r="D718" s="14"/>
      <c r="E718" s="18"/>
      <c r="F718" s="61"/>
      <c r="G718" s="73"/>
      <c r="H718" s="79"/>
      <c r="I718" s="79"/>
      <c r="J718" s="14"/>
      <c r="K718" s="38"/>
      <c r="L718" s="38"/>
      <c r="M718" s="17"/>
    </row>
    <row r="719" spans="2:13" ht="14.45" customHeight="1" x14ac:dyDescent="0.25">
      <c r="B719" s="17"/>
      <c r="C719" s="14"/>
      <c r="D719" s="14"/>
      <c r="E719" s="18"/>
      <c r="F719" s="61"/>
      <c r="G719" s="73"/>
      <c r="H719" s="79"/>
      <c r="I719" s="79"/>
      <c r="J719" s="14"/>
      <c r="K719" s="38"/>
      <c r="L719" s="38"/>
      <c r="M719" s="17"/>
    </row>
    <row r="720" spans="2:13" ht="14.45" customHeight="1" x14ac:dyDescent="0.25">
      <c r="B720" s="17"/>
      <c r="C720" s="14"/>
      <c r="D720" s="14"/>
      <c r="E720" s="18"/>
      <c r="F720" s="61"/>
      <c r="G720" s="73"/>
      <c r="H720" s="79"/>
      <c r="I720" s="79"/>
      <c r="J720" s="14"/>
      <c r="K720" s="38"/>
      <c r="L720" s="38"/>
      <c r="M720" s="17"/>
    </row>
    <row r="721" spans="2:13" ht="14.45" customHeight="1" x14ac:dyDescent="0.25">
      <c r="B721" s="17"/>
      <c r="C721" s="14"/>
      <c r="D721" s="14"/>
      <c r="E721" s="18"/>
      <c r="F721" s="61"/>
      <c r="G721" s="73"/>
      <c r="H721" s="79"/>
      <c r="I721" s="79"/>
      <c r="J721" s="14"/>
      <c r="K721" s="38"/>
      <c r="L721" s="38"/>
      <c r="M721" s="17"/>
    </row>
    <row r="722" spans="2:13" ht="14.45" customHeight="1" x14ac:dyDescent="0.25">
      <c r="B722" s="17"/>
      <c r="C722" s="14"/>
      <c r="D722" s="14"/>
      <c r="E722" s="18"/>
      <c r="F722" s="61"/>
      <c r="G722" s="73"/>
      <c r="H722" s="79"/>
      <c r="I722" s="79"/>
      <c r="J722" s="14"/>
      <c r="K722" s="38"/>
      <c r="L722" s="38"/>
      <c r="M722" s="17"/>
    </row>
    <row r="723" spans="2:13" ht="14.45" customHeight="1" x14ac:dyDescent="0.25">
      <c r="B723" s="17"/>
      <c r="C723" s="14"/>
      <c r="D723" s="14"/>
      <c r="E723" s="18"/>
      <c r="F723" s="61"/>
      <c r="G723" s="73"/>
      <c r="H723" s="79"/>
      <c r="I723" s="79"/>
      <c r="J723" s="14"/>
      <c r="K723" s="38"/>
      <c r="L723" s="38"/>
      <c r="M723" s="17"/>
    </row>
    <row r="724" spans="2:13" ht="14.45" customHeight="1" x14ac:dyDescent="0.25">
      <c r="B724" s="17"/>
      <c r="C724" s="14"/>
      <c r="D724" s="14"/>
      <c r="E724" s="18"/>
      <c r="F724" s="61"/>
      <c r="G724" s="73"/>
      <c r="H724" s="79"/>
      <c r="I724" s="79"/>
      <c r="J724" s="14"/>
      <c r="K724" s="38"/>
      <c r="L724" s="38"/>
      <c r="M724" s="17"/>
    </row>
    <row r="725" spans="2:13" ht="14.45" customHeight="1" x14ac:dyDescent="0.25">
      <c r="B725" s="17"/>
      <c r="C725" s="14"/>
      <c r="D725" s="14"/>
      <c r="E725" s="18"/>
      <c r="F725" s="61"/>
      <c r="G725" s="73"/>
      <c r="H725" s="79"/>
      <c r="I725" s="79"/>
      <c r="J725" s="14"/>
      <c r="K725" s="38"/>
      <c r="L725" s="38"/>
      <c r="M725" s="17"/>
    </row>
    <row r="726" spans="2:13" ht="14.45" customHeight="1" x14ac:dyDescent="0.25">
      <c r="B726" s="17"/>
      <c r="C726" s="14"/>
      <c r="D726" s="14"/>
      <c r="E726" s="18"/>
      <c r="F726" s="61"/>
      <c r="G726" s="73"/>
      <c r="H726" s="79"/>
      <c r="I726" s="79"/>
      <c r="J726" s="14"/>
      <c r="K726" s="38"/>
      <c r="L726" s="38"/>
      <c r="M726" s="17"/>
    </row>
    <row r="727" spans="2:13" ht="14.45" customHeight="1" x14ac:dyDescent="0.25">
      <c r="B727" s="17"/>
      <c r="C727" s="14"/>
      <c r="D727" s="14"/>
      <c r="E727" s="18"/>
      <c r="F727" s="61"/>
      <c r="G727" s="73"/>
      <c r="H727" s="79"/>
      <c r="I727" s="79"/>
      <c r="J727" s="14"/>
      <c r="K727" s="38"/>
      <c r="L727" s="38"/>
      <c r="M727" s="17"/>
    </row>
    <row r="728" spans="2:13" ht="14.45" customHeight="1" x14ac:dyDescent="0.25">
      <c r="B728" s="17"/>
      <c r="C728" s="14"/>
      <c r="D728" s="14"/>
      <c r="E728" s="18"/>
      <c r="F728" s="61"/>
      <c r="G728" s="73"/>
      <c r="H728" s="79"/>
      <c r="I728" s="79"/>
      <c r="J728" s="14"/>
      <c r="K728" s="38"/>
      <c r="L728" s="38"/>
      <c r="M728" s="17"/>
    </row>
    <row r="729" spans="2:13" ht="14.45" customHeight="1" x14ac:dyDescent="0.25">
      <c r="B729" s="17"/>
      <c r="C729" s="14"/>
      <c r="D729" s="14"/>
      <c r="E729" s="18"/>
      <c r="F729" s="61"/>
      <c r="G729" s="73"/>
      <c r="H729" s="79"/>
      <c r="I729" s="79"/>
      <c r="J729" s="14"/>
      <c r="K729" s="38"/>
      <c r="L729" s="38"/>
      <c r="M729" s="17"/>
    </row>
    <row r="730" spans="2:13" ht="14.45" customHeight="1" x14ac:dyDescent="0.25">
      <c r="B730" s="17"/>
      <c r="C730" s="14"/>
      <c r="D730" s="14"/>
      <c r="E730" s="18"/>
      <c r="F730" s="61"/>
      <c r="G730" s="73"/>
      <c r="H730" s="79"/>
      <c r="I730" s="79"/>
      <c r="J730" s="14"/>
      <c r="K730" s="38"/>
      <c r="L730" s="38"/>
      <c r="M730" s="17"/>
    </row>
    <row r="731" spans="2:13" ht="14.45" customHeight="1" x14ac:dyDescent="0.25">
      <c r="B731" s="17"/>
      <c r="C731" s="14"/>
      <c r="D731" s="14"/>
      <c r="E731" s="18"/>
      <c r="F731" s="61"/>
      <c r="G731" s="73"/>
      <c r="H731" s="79"/>
      <c r="I731" s="79"/>
      <c r="J731" s="14"/>
      <c r="K731" s="38"/>
      <c r="L731" s="38"/>
      <c r="M731" s="17"/>
    </row>
    <row r="732" spans="2:13" ht="14.45" customHeight="1" x14ac:dyDescent="0.25">
      <c r="B732" s="17"/>
      <c r="C732" s="14"/>
      <c r="D732" s="14"/>
      <c r="E732" s="18"/>
      <c r="F732" s="61"/>
      <c r="G732" s="73"/>
      <c r="H732" s="79"/>
      <c r="I732" s="79"/>
      <c r="J732" s="14"/>
      <c r="K732" s="38"/>
      <c r="L732" s="38"/>
      <c r="M732" s="17"/>
    </row>
    <row r="733" spans="2:13" ht="14.45" customHeight="1" x14ac:dyDescent="0.25">
      <c r="B733" s="17"/>
      <c r="C733" s="14"/>
      <c r="D733" s="14"/>
      <c r="E733" s="18"/>
      <c r="F733" s="61"/>
      <c r="G733" s="73"/>
      <c r="H733" s="79"/>
      <c r="I733" s="79"/>
      <c r="J733" s="14"/>
      <c r="K733" s="38"/>
      <c r="L733" s="38"/>
      <c r="M733" s="17"/>
    </row>
    <row r="734" spans="2:13" ht="14.45" customHeight="1" x14ac:dyDescent="0.25">
      <c r="B734" s="17"/>
      <c r="C734" s="14"/>
      <c r="D734" s="14"/>
      <c r="E734" s="18"/>
      <c r="F734" s="61"/>
      <c r="G734" s="73"/>
      <c r="H734" s="79"/>
      <c r="I734" s="79"/>
      <c r="J734" s="14"/>
      <c r="K734" s="38"/>
      <c r="L734" s="38"/>
      <c r="M734" s="17"/>
    </row>
    <row r="735" spans="2:13" ht="14.45" customHeight="1" x14ac:dyDescent="0.25">
      <c r="B735" s="17"/>
      <c r="C735" s="14"/>
      <c r="D735" s="14"/>
      <c r="E735" s="18"/>
      <c r="F735" s="61"/>
      <c r="G735" s="73"/>
      <c r="H735" s="79"/>
      <c r="I735" s="79"/>
      <c r="J735" s="14"/>
      <c r="K735" s="38"/>
      <c r="L735" s="38"/>
      <c r="M735" s="17"/>
    </row>
    <row r="736" spans="2:13" ht="14.45" customHeight="1" x14ac:dyDescent="0.25">
      <c r="B736" s="17"/>
      <c r="C736" s="14"/>
      <c r="D736" s="14"/>
      <c r="E736" s="18"/>
      <c r="F736" s="61"/>
      <c r="G736" s="73"/>
      <c r="H736" s="79"/>
      <c r="I736" s="79"/>
      <c r="J736" s="14"/>
      <c r="K736" s="38"/>
      <c r="L736" s="38"/>
      <c r="M736" s="17"/>
    </row>
    <row r="737" spans="2:13" ht="14.45" customHeight="1" x14ac:dyDescent="0.25">
      <c r="B737" s="17"/>
      <c r="C737" s="14"/>
      <c r="D737" s="14"/>
      <c r="E737" s="18"/>
      <c r="F737" s="61"/>
      <c r="G737" s="73"/>
      <c r="H737" s="79"/>
      <c r="I737" s="79"/>
      <c r="J737" s="14"/>
      <c r="K737" s="38"/>
      <c r="L737" s="38"/>
      <c r="M737" s="17"/>
    </row>
    <row r="738" spans="2:13" ht="14.45" customHeight="1" x14ac:dyDescent="0.25">
      <c r="B738" s="17"/>
      <c r="C738" s="14"/>
      <c r="D738" s="14"/>
      <c r="E738" s="18"/>
      <c r="F738" s="61"/>
      <c r="G738" s="73"/>
      <c r="H738" s="79"/>
      <c r="I738" s="79"/>
      <c r="J738" s="14"/>
      <c r="K738" s="38"/>
      <c r="L738" s="38"/>
      <c r="M738" s="17"/>
    </row>
    <row r="739" spans="2:13" ht="14.45" customHeight="1" x14ac:dyDescent="0.25">
      <c r="B739" s="17"/>
      <c r="C739" s="14"/>
      <c r="D739" s="14"/>
      <c r="E739" s="18"/>
      <c r="F739" s="61"/>
      <c r="G739" s="73"/>
      <c r="H739" s="79"/>
      <c r="I739" s="79"/>
      <c r="J739" s="14"/>
      <c r="K739" s="38"/>
      <c r="L739" s="38"/>
      <c r="M739" s="17"/>
    </row>
    <row r="740" spans="2:13" ht="14.45" customHeight="1" x14ac:dyDescent="0.25">
      <c r="B740" s="17"/>
      <c r="C740" s="14"/>
      <c r="D740" s="14"/>
      <c r="E740" s="18"/>
      <c r="F740" s="61"/>
      <c r="G740" s="73"/>
      <c r="H740" s="79"/>
      <c r="I740" s="79"/>
      <c r="J740" s="14"/>
      <c r="K740" s="38"/>
      <c r="L740" s="38"/>
      <c r="M740" s="17"/>
    </row>
    <row r="741" spans="2:13" ht="14.45" customHeight="1" x14ac:dyDescent="0.25">
      <c r="B741" s="17"/>
      <c r="C741" s="14"/>
      <c r="D741" s="14"/>
      <c r="E741" s="18"/>
      <c r="F741" s="61"/>
      <c r="G741" s="73"/>
      <c r="H741" s="79"/>
      <c r="I741" s="79"/>
      <c r="J741" s="14"/>
      <c r="K741" s="38"/>
      <c r="L741" s="38"/>
      <c r="M741" s="17"/>
    </row>
    <row r="742" spans="2:13" ht="14.45" customHeight="1" x14ac:dyDescent="0.25">
      <c r="B742" s="17"/>
      <c r="C742" s="14"/>
      <c r="D742" s="14"/>
      <c r="E742" s="18"/>
      <c r="F742" s="61"/>
      <c r="G742" s="73"/>
      <c r="H742" s="79"/>
      <c r="I742" s="79"/>
      <c r="J742" s="14"/>
      <c r="K742" s="38"/>
      <c r="L742" s="38"/>
      <c r="M742" s="17"/>
    </row>
    <row r="743" spans="2:13" ht="14.45" customHeight="1" x14ac:dyDescent="0.25">
      <c r="B743" s="17"/>
      <c r="C743" s="14"/>
      <c r="D743" s="14"/>
      <c r="E743" s="18"/>
      <c r="F743" s="61"/>
      <c r="G743" s="73"/>
      <c r="H743" s="79"/>
      <c r="I743" s="79"/>
      <c r="J743" s="14"/>
      <c r="K743" s="38"/>
      <c r="L743" s="38"/>
      <c r="M743" s="17"/>
    </row>
    <row r="744" spans="2:13" ht="14.45" customHeight="1" x14ac:dyDescent="0.25">
      <c r="B744" s="17"/>
      <c r="C744" s="14"/>
      <c r="D744" s="14"/>
      <c r="E744" s="18"/>
      <c r="F744" s="61"/>
      <c r="G744" s="73"/>
      <c r="H744" s="79"/>
      <c r="I744" s="79"/>
      <c r="J744" s="14"/>
      <c r="K744" s="38"/>
      <c r="L744" s="38"/>
      <c r="M744" s="17"/>
    </row>
    <row r="745" spans="2:13" ht="14.45" customHeight="1" x14ac:dyDescent="0.25">
      <c r="B745" s="17"/>
      <c r="C745" s="14"/>
      <c r="D745" s="14"/>
      <c r="E745" s="18"/>
      <c r="F745" s="61"/>
      <c r="G745" s="73"/>
      <c r="H745" s="79"/>
      <c r="I745" s="79"/>
      <c r="J745" s="14"/>
      <c r="K745" s="38"/>
      <c r="L745" s="38"/>
      <c r="M745" s="17"/>
    </row>
    <row r="746" spans="2:13" ht="14.45" customHeight="1" x14ac:dyDescent="0.25">
      <c r="B746" s="17"/>
      <c r="C746" s="14"/>
      <c r="D746" s="14"/>
      <c r="E746" s="18"/>
      <c r="F746" s="61"/>
      <c r="G746" s="73"/>
      <c r="H746" s="79"/>
      <c r="I746" s="79"/>
      <c r="J746" s="14"/>
      <c r="K746" s="38"/>
      <c r="L746" s="38"/>
      <c r="M746" s="17"/>
    </row>
    <row r="747" spans="2:13" ht="14.45" customHeight="1" x14ac:dyDescent="0.25">
      <c r="B747" s="17"/>
      <c r="C747" s="14"/>
      <c r="D747" s="14"/>
      <c r="E747" s="18"/>
      <c r="F747" s="61"/>
      <c r="G747" s="73"/>
      <c r="H747" s="79"/>
      <c r="I747" s="79"/>
      <c r="J747" s="14"/>
      <c r="K747" s="38"/>
      <c r="L747" s="38"/>
      <c r="M747" s="17"/>
    </row>
    <row r="748" spans="2:13" ht="14.45" customHeight="1" x14ac:dyDescent="0.25">
      <c r="B748" s="17"/>
      <c r="C748" s="14"/>
      <c r="D748" s="14"/>
      <c r="E748" s="18"/>
      <c r="F748" s="61"/>
      <c r="G748" s="73"/>
      <c r="H748" s="79"/>
      <c r="I748" s="79"/>
      <c r="J748" s="14"/>
      <c r="K748" s="38"/>
      <c r="L748" s="38"/>
      <c r="M748" s="17"/>
    </row>
    <row r="749" spans="2:13" ht="14.45" customHeight="1" x14ac:dyDescent="0.25">
      <c r="B749" s="17"/>
      <c r="C749" s="14"/>
      <c r="D749" s="14"/>
      <c r="E749" s="18"/>
      <c r="F749" s="61"/>
      <c r="G749" s="73"/>
      <c r="H749" s="79"/>
      <c r="I749" s="79"/>
      <c r="J749" s="14"/>
      <c r="K749" s="38"/>
      <c r="L749" s="38"/>
      <c r="M749" s="17"/>
    </row>
    <row r="750" spans="2:13" ht="14.45" customHeight="1" x14ac:dyDescent="0.25">
      <c r="B750" s="17"/>
      <c r="C750" s="14"/>
      <c r="D750" s="14"/>
      <c r="E750" s="18"/>
      <c r="F750" s="61"/>
      <c r="G750" s="73"/>
      <c r="H750" s="79"/>
      <c r="I750" s="79"/>
      <c r="J750" s="14"/>
      <c r="K750" s="38"/>
      <c r="L750" s="38"/>
      <c r="M750" s="17"/>
    </row>
    <row r="751" spans="2:13" ht="14.45" customHeight="1" x14ac:dyDescent="0.25">
      <c r="B751" s="17"/>
      <c r="C751" s="14"/>
      <c r="D751" s="14"/>
      <c r="E751" s="18"/>
      <c r="F751" s="61"/>
      <c r="G751" s="73"/>
      <c r="H751" s="79"/>
      <c r="I751" s="79"/>
      <c r="J751" s="14"/>
      <c r="K751" s="38"/>
      <c r="L751" s="38"/>
      <c r="M751" s="17"/>
    </row>
    <row r="752" spans="2:13" ht="14.45" customHeight="1" x14ac:dyDescent="0.25">
      <c r="B752" s="17"/>
      <c r="C752" s="14"/>
      <c r="D752" s="14"/>
      <c r="E752" s="18"/>
      <c r="F752" s="61"/>
      <c r="G752" s="73"/>
      <c r="H752" s="79"/>
      <c r="I752" s="79"/>
      <c r="J752" s="14"/>
      <c r="K752" s="38"/>
      <c r="L752" s="38"/>
      <c r="M752" s="17"/>
    </row>
    <row r="753" spans="2:13" ht="14.45" customHeight="1" x14ac:dyDescent="0.25">
      <c r="B753" s="17"/>
      <c r="C753" s="14"/>
      <c r="D753" s="14"/>
      <c r="E753" s="18"/>
      <c r="F753" s="61"/>
      <c r="G753" s="73"/>
      <c r="H753" s="79"/>
      <c r="I753" s="79"/>
      <c r="J753" s="14"/>
      <c r="K753" s="38"/>
      <c r="L753" s="38"/>
      <c r="M753" s="17"/>
    </row>
    <row r="754" spans="2:13" ht="14.45" customHeight="1" x14ac:dyDescent="0.25">
      <c r="B754" s="17"/>
      <c r="C754" s="14"/>
      <c r="D754" s="14"/>
      <c r="E754" s="18"/>
      <c r="F754" s="61"/>
      <c r="G754" s="73"/>
      <c r="H754" s="79"/>
      <c r="I754" s="79"/>
      <c r="J754" s="14"/>
      <c r="K754" s="38"/>
      <c r="L754" s="38"/>
      <c r="M754" s="17"/>
    </row>
    <row r="755" spans="2:13" ht="14.45" customHeight="1" x14ac:dyDescent="0.25">
      <c r="B755" s="17"/>
      <c r="C755" s="14"/>
      <c r="D755" s="14"/>
      <c r="E755" s="18"/>
      <c r="F755" s="61"/>
      <c r="G755" s="73"/>
      <c r="H755" s="79"/>
      <c r="I755" s="79"/>
      <c r="J755" s="14"/>
      <c r="K755" s="38"/>
      <c r="L755" s="38"/>
      <c r="M755" s="17"/>
    </row>
    <row r="756" spans="2:13" ht="14.45" customHeight="1" x14ac:dyDescent="0.25">
      <c r="B756" s="17"/>
      <c r="C756" s="14"/>
      <c r="D756" s="14"/>
      <c r="E756" s="18"/>
      <c r="F756" s="61"/>
      <c r="G756" s="73"/>
      <c r="H756" s="79"/>
      <c r="I756" s="79"/>
      <c r="J756" s="14"/>
      <c r="K756" s="38"/>
      <c r="L756" s="38"/>
      <c r="M756" s="17"/>
    </row>
    <row r="757" spans="2:13" ht="14.45" customHeight="1" x14ac:dyDescent="0.25">
      <c r="B757" s="17"/>
      <c r="C757" s="14"/>
      <c r="D757" s="14"/>
      <c r="E757" s="18"/>
      <c r="F757" s="61"/>
      <c r="G757" s="73"/>
      <c r="H757" s="79"/>
      <c r="I757" s="79"/>
      <c r="J757" s="14"/>
      <c r="K757" s="38"/>
      <c r="L757" s="38"/>
      <c r="M757" s="17"/>
    </row>
    <row r="758" spans="2:13" ht="14.45" customHeight="1" x14ac:dyDescent="0.25">
      <c r="B758" s="17"/>
      <c r="C758" s="14"/>
      <c r="D758" s="14"/>
      <c r="E758" s="18"/>
      <c r="F758" s="61"/>
      <c r="G758" s="73"/>
      <c r="H758" s="79"/>
      <c r="I758" s="79"/>
      <c r="J758" s="14"/>
      <c r="K758" s="38"/>
      <c r="L758" s="38"/>
      <c r="M758" s="17"/>
    </row>
    <row r="759" spans="2:13" ht="14.45" customHeight="1" x14ac:dyDescent="0.25">
      <c r="B759" s="17"/>
      <c r="C759" s="14"/>
      <c r="D759" s="14"/>
      <c r="E759" s="18"/>
      <c r="F759" s="61"/>
      <c r="G759" s="73"/>
      <c r="H759" s="79"/>
      <c r="I759" s="79"/>
      <c r="J759" s="14"/>
      <c r="K759" s="38"/>
      <c r="L759" s="38"/>
      <c r="M759" s="17"/>
    </row>
    <row r="760" spans="2:13" ht="14.45" customHeight="1" x14ac:dyDescent="0.25">
      <c r="B760" s="17"/>
      <c r="C760" s="14"/>
      <c r="D760" s="14"/>
      <c r="E760" s="18"/>
      <c r="F760" s="61"/>
      <c r="G760" s="73"/>
      <c r="H760" s="79"/>
      <c r="I760" s="79"/>
      <c r="J760" s="14"/>
      <c r="K760" s="38"/>
      <c r="L760" s="38"/>
      <c r="M760" s="17"/>
    </row>
    <row r="761" spans="2:13" ht="14.45" customHeight="1" x14ac:dyDescent="0.25">
      <c r="B761" s="17"/>
      <c r="C761" s="14"/>
      <c r="D761" s="14"/>
      <c r="E761" s="18"/>
      <c r="F761" s="61"/>
      <c r="G761" s="73"/>
      <c r="H761" s="79"/>
      <c r="I761" s="79"/>
      <c r="J761" s="14"/>
      <c r="K761" s="38"/>
      <c r="L761" s="38"/>
      <c r="M761" s="17"/>
    </row>
    <row r="762" spans="2:13" ht="14.45" customHeight="1" x14ac:dyDescent="0.25">
      <c r="B762" s="17"/>
      <c r="C762" s="14"/>
      <c r="D762" s="14"/>
      <c r="E762" s="18"/>
      <c r="F762" s="61"/>
      <c r="G762" s="73"/>
      <c r="H762" s="79"/>
      <c r="I762" s="79"/>
      <c r="J762" s="14"/>
      <c r="K762" s="38"/>
      <c r="L762" s="38"/>
      <c r="M762" s="17"/>
    </row>
    <row r="763" spans="2:13" ht="14.45" customHeight="1" x14ac:dyDescent="0.25">
      <c r="B763" s="17"/>
      <c r="C763" s="14"/>
      <c r="D763" s="14"/>
      <c r="E763" s="18"/>
      <c r="F763" s="61"/>
      <c r="G763" s="73"/>
      <c r="H763" s="79"/>
      <c r="I763" s="79"/>
      <c r="J763" s="14"/>
      <c r="K763" s="38"/>
      <c r="L763" s="38"/>
      <c r="M763" s="17"/>
    </row>
    <row r="764" spans="2:13" ht="14.45" customHeight="1" x14ac:dyDescent="0.25">
      <c r="B764" s="17"/>
      <c r="C764" s="14"/>
      <c r="D764" s="14"/>
      <c r="E764" s="18"/>
      <c r="F764" s="61"/>
      <c r="G764" s="73"/>
      <c r="H764" s="79"/>
      <c r="I764" s="79"/>
      <c r="J764" s="14"/>
      <c r="K764" s="38"/>
      <c r="L764" s="38"/>
      <c r="M764" s="17"/>
    </row>
    <row r="765" spans="2:13" ht="14.45" customHeight="1" x14ac:dyDescent="0.25">
      <c r="B765" s="17"/>
      <c r="C765" s="14"/>
      <c r="D765" s="14"/>
      <c r="E765" s="18"/>
      <c r="F765" s="61"/>
      <c r="G765" s="73"/>
      <c r="H765" s="79"/>
      <c r="I765" s="79"/>
      <c r="J765" s="14"/>
      <c r="K765" s="38"/>
      <c r="L765" s="38"/>
      <c r="M765" s="17"/>
    </row>
    <row r="766" spans="2:13" ht="14.45" customHeight="1" x14ac:dyDescent="0.25">
      <c r="B766" s="17"/>
      <c r="C766" s="14"/>
      <c r="D766" s="14"/>
      <c r="E766" s="18"/>
      <c r="F766" s="61"/>
      <c r="G766" s="73"/>
      <c r="H766" s="79"/>
      <c r="I766" s="79"/>
      <c r="J766" s="14"/>
      <c r="K766" s="38"/>
      <c r="L766" s="38"/>
      <c r="M766" s="17"/>
    </row>
    <row r="767" spans="2:13" ht="14.45" customHeight="1" x14ac:dyDescent="0.25">
      <c r="B767" s="17"/>
      <c r="C767" s="14"/>
      <c r="D767" s="14"/>
      <c r="E767" s="18"/>
      <c r="F767" s="61"/>
      <c r="G767" s="73"/>
      <c r="H767" s="79"/>
      <c r="I767" s="79"/>
      <c r="J767" s="14"/>
      <c r="K767" s="38"/>
      <c r="L767" s="38"/>
      <c r="M767" s="17"/>
    </row>
    <row r="768" spans="2:13" ht="14.45" customHeight="1" x14ac:dyDescent="0.25">
      <c r="B768" s="17"/>
      <c r="C768" s="14"/>
      <c r="D768" s="14"/>
      <c r="E768" s="18"/>
      <c r="F768" s="61"/>
      <c r="G768" s="73"/>
      <c r="H768" s="79"/>
      <c r="I768" s="79"/>
      <c r="J768" s="14"/>
      <c r="K768" s="38"/>
      <c r="L768" s="38"/>
      <c r="M768" s="17"/>
    </row>
    <row r="769" spans="2:13" ht="14.45" customHeight="1" x14ac:dyDescent="0.25">
      <c r="B769" s="17"/>
      <c r="C769" s="14"/>
      <c r="D769" s="14"/>
      <c r="E769" s="18"/>
      <c r="F769" s="61"/>
      <c r="G769" s="73"/>
      <c r="H769" s="79"/>
      <c r="I769" s="79"/>
      <c r="J769" s="14"/>
      <c r="K769" s="38"/>
      <c r="L769" s="38"/>
      <c r="M769" s="17"/>
    </row>
    <row r="770" spans="2:13" ht="14.45" customHeight="1" x14ac:dyDescent="0.25">
      <c r="B770" s="17"/>
      <c r="C770" s="14"/>
      <c r="D770" s="14"/>
      <c r="E770" s="18"/>
      <c r="F770" s="61"/>
      <c r="G770" s="73"/>
      <c r="H770" s="79"/>
      <c r="I770" s="79"/>
      <c r="J770" s="14"/>
      <c r="K770" s="38"/>
      <c r="L770" s="38"/>
      <c r="M770" s="17"/>
    </row>
    <row r="771" spans="2:13" ht="14.45" customHeight="1" x14ac:dyDescent="0.25">
      <c r="B771" s="17"/>
      <c r="C771" s="14"/>
      <c r="D771" s="14"/>
      <c r="E771" s="18"/>
      <c r="F771" s="61"/>
      <c r="G771" s="73"/>
      <c r="H771" s="79"/>
      <c r="I771" s="79"/>
      <c r="J771" s="14"/>
      <c r="K771" s="38"/>
      <c r="L771" s="38"/>
      <c r="M771" s="17"/>
    </row>
    <row r="772" spans="2:13" ht="14.45" customHeight="1" x14ac:dyDescent="0.25">
      <c r="B772" s="17"/>
      <c r="C772" s="14"/>
      <c r="D772" s="14"/>
      <c r="E772" s="18"/>
      <c r="F772" s="61"/>
      <c r="G772" s="73"/>
      <c r="H772" s="79"/>
      <c r="I772" s="79"/>
      <c r="J772" s="14"/>
      <c r="K772" s="38"/>
      <c r="L772" s="38"/>
      <c r="M772" s="17"/>
    </row>
    <row r="773" spans="2:13" ht="14.45" customHeight="1" x14ac:dyDescent="0.25">
      <c r="B773" s="17"/>
      <c r="C773" s="14"/>
      <c r="D773" s="14"/>
      <c r="E773" s="18"/>
      <c r="F773" s="61"/>
      <c r="G773" s="73"/>
      <c r="H773" s="79"/>
      <c r="I773" s="79"/>
      <c r="J773" s="14"/>
      <c r="K773" s="38"/>
      <c r="L773" s="38"/>
      <c r="M773" s="17"/>
    </row>
    <row r="774" spans="2:13" ht="14.45" customHeight="1" x14ac:dyDescent="0.25">
      <c r="B774" s="17"/>
      <c r="C774" s="14"/>
      <c r="D774" s="14"/>
      <c r="E774" s="18"/>
      <c r="F774" s="61"/>
      <c r="G774" s="73"/>
      <c r="H774" s="79"/>
      <c r="I774" s="79"/>
      <c r="J774" s="14"/>
      <c r="K774" s="38"/>
      <c r="L774" s="38"/>
      <c r="M774" s="17"/>
    </row>
    <row r="775" spans="2:13" ht="14.45" customHeight="1" x14ac:dyDescent="0.25">
      <c r="B775" s="17"/>
      <c r="C775" s="14"/>
      <c r="D775" s="14"/>
      <c r="E775" s="18"/>
      <c r="F775" s="61"/>
      <c r="G775" s="73"/>
      <c r="H775" s="79"/>
      <c r="I775" s="79"/>
      <c r="J775" s="14"/>
      <c r="K775" s="38"/>
      <c r="L775" s="38"/>
      <c r="M775" s="17"/>
    </row>
    <row r="776" spans="2:13" ht="14.45" customHeight="1" x14ac:dyDescent="0.25">
      <c r="B776" s="17"/>
      <c r="C776" s="14"/>
      <c r="D776" s="14"/>
      <c r="E776" s="18"/>
      <c r="F776" s="61"/>
      <c r="G776" s="73"/>
      <c r="H776" s="79"/>
      <c r="I776" s="79"/>
      <c r="J776" s="14"/>
      <c r="K776" s="38"/>
      <c r="L776" s="38"/>
      <c r="M776" s="17"/>
    </row>
    <row r="777" spans="2:13" ht="14.45" customHeight="1" x14ac:dyDescent="0.25">
      <c r="B777" s="17"/>
      <c r="C777" s="14"/>
      <c r="D777" s="14"/>
      <c r="E777" s="18"/>
      <c r="F777" s="61"/>
      <c r="G777" s="73"/>
      <c r="H777" s="79"/>
      <c r="I777" s="79"/>
      <c r="J777" s="14"/>
      <c r="K777" s="38"/>
      <c r="L777" s="38"/>
      <c r="M777" s="17"/>
    </row>
    <row r="778" spans="2:13" ht="14.45" customHeight="1" x14ac:dyDescent="0.25">
      <c r="B778" s="17"/>
      <c r="C778" s="14"/>
      <c r="D778" s="14"/>
      <c r="E778" s="18"/>
      <c r="F778" s="61"/>
      <c r="G778" s="73"/>
      <c r="H778" s="79"/>
      <c r="I778" s="79"/>
      <c r="J778" s="14"/>
      <c r="K778" s="38"/>
      <c r="L778" s="38"/>
      <c r="M778" s="17"/>
    </row>
    <row r="779" spans="2:13" ht="14.45" customHeight="1" x14ac:dyDescent="0.25">
      <c r="B779" s="17"/>
      <c r="C779" s="14"/>
      <c r="D779" s="14"/>
      <c r="E779" s="18"/>
      <c r="F779" s="61"/>
      <c r="G779" s="73"/>
      <c r="H779" s="79"/>
      <c r="I779" s="79"/>
      <c r="J779" s="14"/>
      <c r="K779" s="38"/>
      <c r="L779" s="38"/>
      <c r="M779" s="17"/>
    </row>
    <row r="780" spans="2:13" ht="14.45" customHeight="1" x14ac:dyDescent="0.25">
      <c r="B780" s="17"/>
      <c r="C780" s="14"/>
      <c r="D780" s="14"/>
      <c r="E780" s="18"/>
      <c r="F780" s="61"/>
      <c r="G780" s="73"/>
      <c r="H780" s="79"/>
      <c r="I780" s="79"/>
      <c r="J780" s="14"/>
      <c r="K780" s="38"/>
      <c r="L780" s="38"/>
      <c r="M780" s="17"/>
    </row>
    <row r="781" spans="2:13" ht="14.45" customHeight="1" x14ac:dyDescent="0.25">
      <c r="B781" s="17"/>
      <c r="C781" s="14"/>
      <c r="D781" s="14"/>
      <c r="E781" s="18"/>
      <c r="F781" s="61"/>
      <c r="G781" s="73"/>
      <c r="H781" s="79"/>
      <c r="I781" s="79"/>
      <c r="J781" s="14"/>
      <c r="K781" s="38"/>
      <c r="L781" s="38"/>
      <c r="M781" s="17"/>
    </row>
    <row r="782" spans="2:13" ht="14.45" customHeight="1" x14ac:dyDescent="0.25">
      <c r="B782" s="17"/>
      <c r="C782" s="14"/>
      <c r="D782" s="14"/>
      <c r="E782" s="18"/>
      <c r="F782" s="61"/>
      <c r="G782" s="73"/>
      <c r="H782" s="79"/>
      <c r="I782" s="79"/>
      <c r="J782" s="14"/>
      <c r="K782" s="38"/>
      <c r="L782" s="38"/>
      <c r="M782" s="17"/>
    </row>
    <row r="783" spans="2:13" ht="14.45" customHeight="1" x14ac:dyDescent="0.25">
      <c r="B783" s="17"/>
      <c r="C783" s="14"/>
      <c r="D783" s="14"/>
      <c r="E783" s="18"/>
      <c r="F783" s="61"/>
      <c r="G783" s="73"/>
      <c r="H783" s="79"/>
      <c r="I783" s="79"/>
      <c r="J783" s="14"/>
      <c r="K783" s="38"/>
      <c r="L783" s="38"/>
      <c r="M783" s="17"/>
    </row>
    <row r="784" spans="2:13" ht="14.45" customHeight="1" x14ac:dyDescent="0.25">
      <c r="B784" s="17"/>
      <c r="C784" s="14"/>
      <c r="D784" s="14"/>
      <c r="E784" s="18"/>
      <c r="F784" s="61"/>
      <c r="G784" s="73"/>
      <c r="H784" s="79"/>
      <c r="I784" s="79"/>
      <c r="J784" s="14"/>
      <c r="K784" s="38"/>
      <c r="L784" s="38"/>
      <c r="M784" s="17"/>
    </row>
    <row r="785" spans="2:13" ht="14.45" customHeight="1" x14ac:dyDescent="0.25">
      <c r="B785" s="17"/>
      <c r="C785" s="14"/>
      <c r="D785" s="14"/>
      <c r="E785" s="18"/>
      <c r="F785" s="61"/>
      <c r="G785" s="73"/>
      <c r="H785" s="79"/>
      <c r="I785" s="79"/>
      <c r="J785" s="14"/>
      <c r="K785" s="38"/>
      <c r="L785" s="38"/>
      <c r="M785" s="17"/>
    </row>
    <row r="786" spans="2:13" ht="14.45" customHeight="1" x14ac:dyDescent="0.25">
      <c r="B786" s="17"/>
      <c r="C786" s="14"/>
      <c r="D786" s="14"/>
      <c r="E786" s="18"/>
      <c r="F786" s="61"/>
      <c r="G786" s="73"/>
      <c r="H786" s="79"/>
      <c r="I786" s="79"/>
      <c r="J786" s="14"/>
      <c r="K786" s="38"/>
      <c r="L786" s="38"/>
      <c r="M786" s="17"/>
    </row>
    <row r="787" spans="2:13" ht="14.45" customHeight="1" x14ac:dyDescent="0.25">
      <c r="B787" s="17"/>
      <c r="C787" s="14"/>
      <c r="D787" s="14"/>
      <c r="E787" s="18"/>
      <c r="F787" s="61"/>
      <c r="G787" s="73"/>
      <c r="H787" s="79"/>
      <c r="I787" s="79"/>
      <c r="J787" s="14"/>
      <c r="K787" s="38"/>
      <c r="L787" s="38"/>
      <c r="M787" s="17"/>
    </row>
    <row r="788" spans="2:13" ht="14.45" customHeight="1" x14ac:dyDescent="0.25">
      <c r="B788" s="17"/>
      <c r="C788" s="14"/>
      <c r="D788" s="14"/>
      <c r="E788" s="18"/>
      <c r="F788" s="61"/>
      <c r="G788" s="73"/>
      <c r="H788" s="79"/>
      <c r="I788" s="79"/>
      <c r="J788" s="14"/>
      <c r="K788" s="38"/>
      <c r="L788" s="38"/>
      <c r="M788" s="17"/>
    </row>
    <row r="789" spans="2:13" ht="14.45" customHeight="1" x14ac:dyDescent="0.25">
      <c r="B789" s="17"/>
      <c r="C789" s="14"/>
      <c r="D789" s="14"/>
      <c r="E789" s="18"/>
      <c r="F789" s="61"/>
      <c r="G789" s="73"/>
      <c r="H789" s="79"/>
      <c r="I789" s="79"/>
      <c r="J789" s="14"/>
      <c r="K789" s="38"/>
      <c r="L789" s="38"/>
      <c r="M789" s="17"/>
    </row>
    <row r="790" spans="2:13" ht="14.45" customHeight="1" x14ac:dyDescent="0.25">
      <c r="B790" s="17"/>
      <c r="C790" s="14"/>
      <c r="D790" s="14"/>
      <c r="E790" s="18"/>
      <c r="F790" s="61"/>
      <c r="G790" s="73"/>
      <c r="H790" s="79"/>
      <c r="I790" s="79"/>
      <c r="J790" s="14"/>
      <c r="K790" s="38"/>
      <c r="L790" s="38"/>
      <c r="M790" s="17"/>
    </row>
    <row r="791" spans="2:13" ht="14.45" customHeight="1" x14ac:dyDescent="0.25">
      <c r="B791" s="17"/>
      <c r="C791" s="14"/>
      <c r="D791" s="14"/>
      <c r="E791" s="18"/>
      <c r="F791" s="61"/>
      <c r="G791" s="73"/>
      <c r="H791" s="79"/>
      <c r="I791" s="79"/>
      <c r="J791" s="14"/>
      <c r="K791" s="38"/>
      <c r="L791" s="38"/>
      <c r="M791" s="17"/>
    </row>
    <row r="792" spans="2:13" ht="14.45" customHeight="1" x14ac:dyDescent="0.25">
      <c r="B792" s="17"/>
      <c r="C792" s="14"/>
      <c r="D792" s="14"/>
      <c r="E792" s="18"/>
      <c r="F792" s="61"/>
      <c r="G792" s="73"/>
      <c r="H792" s="79"/>
      <c r="I792" s="79"/>
      <c r="J792" s="14"/>
      <c r="K792" s="38"/>
      <c r="L792" s="38"/>
      <c r="M792" s="17"/>
    </row>
    <row r="793" spans="2:13" ht="14.45" customHeight="1" x14ac:dyDescent="0.25">
      <c r="B793" s="17"/>
      <c r="C793" s="14"/>
      <c r="D793" s="14"/>
      <c r="E793" s="18"/>
      <c r="F793" s="61"/>
      <c r="G793" s="73"/>
      <c r="H793" s="79"/>
      <c r="I793" s="79"/>
      <c r="J793" s="14"/>
      <c r="K793" s="38"/>
      <c r="L793" s="38"/>
      <c r="M793" s="17"/>
    </row>
    <row r="794" spans="2:13" ht="14.45" customHeight="1" x14ac:dyDescent="0.25">
      <c r="B794" s="17"/>
      <c r="C794" s="14"/>
      <c r="D794" s="14"/>
      <c r="E794" s="18"/>
      <c r="F794" s="61"/>
      <c r="G794" s="73"/>
      <c r="H794" s="79"/>
      <c r="I794" s="79"/>
      <c r="J794" s="14"/>
      <c r="K794" s="38"/>
      <c r="L794" s="38"/>
      <c r="M794" s="17"/>
    </row>
    <row r="795" spans="2:13" ht="14.45" customHeight="1" x14ac:dyDescent="0.25">
      <c r="B795" s="17"/>
      <c r="C795" s="14"/>
      <c r="D795" s="14"/>
      <c r="E795" s="18"/>
      <c r="F795" s="61"/>
      <c r="G795" s="73"/>
      <c r="H795" s="79"/>
      <c r="I795" s="79"/>
      <c r="J795" s="14"/>
      <c r="K795" s="38"/>
      <c r="L795" s="38"/>
      <c r="M795" s="17"/>
    </row>
    <row r="796" spans="2:13" ht="14.45" customHeight="1" x14ac:dyDescent="0.25">
      <c r="B796" s="17"/>
      <c r="C796" s="14"/>
      <c r="D796" s="14"/>
      <c r="E796" s="18"/>
      <c r="F796" s="61"/>
      <c r="G796" s="73"/>
      <c r="H796" s="79"/>
      <c r="I796" s="79"/>
      <c r="J796" s="14"/>
      <c r="K796" s="38"/>
      <c r="L796" s="38"/>
      <c r="M796" s="17"/>
    </row>
    <row r="797" spans="2:13" ht="14.45" customHeight="1" x14ac:dyDescent="0.25">
      <c r="B797" s="17"/>
      <c r="C797" s="14"/>
      <c r="D797" s="14"/>
      <c r="E797" s="18"/>
      <c r="F797" s="61"/>
      <c r="G797" s="73"/>
      <c r="H797" s="79"/>
      <c r="I797" s="79"/>
      <c r="J797" s="14"/>
      <c r="K797" s="38"/>
      <c r="L797" s="38"/>
      <c r="M797" s="17"/>
    </row>
    <row r="798" spans="2:13" ht="14.45" customHeight="1" x14ac:dyDescent="0.25">
      <c r="B798" s="17"/>
      <c r="C798" s="14"/>
      <c r="D798" s="14"/>
      <c r="E798" s="18"/>
      <c r="F798" s="61"/>
      <c r="G798" s="73"/>
      <c r="H798" s="79"/>
      <c r="I798" s="79"/>
      <c r="J798" s="14"/>
      <c r="K798" s="38"/>
      <c r="L798" s="38"/>
      <c r="M798" s="17"/>
    </row>
    <row r="799" spans="2:13" ht="14.45" customHeight="1" x14ac:dyDescent="0.25">
      <c r="B799" s="17"/>
      <c r="C799" s="14"/>
      <c r="D799" s="14"/>
      <c r="E799" s="18"/>
      <c r="F799" s="61"/>
      <c r="G799" s="73"/>
      <c r="H799" s="79"/>
      <c r="I799" s="79"/>
      <c r="J799" s="14"/>
      <c r="K799" s="38"/>
      <c r="L799" s="38"/>
      <c r="M799" s="17"/>
    </row>
    <row r="800" spans="2:13" ht="14.45" customHeight="1" x14ac:dyDescent="0.25">
      <c r="B800" s="17"/>
      <c r="C800" s="14"/>
      <c r="D800" s="14"/>
      <c r="E800" s="18"/>
      <c r="F800" s="61"/>
      <c r="G800" s="73"/>
      <c r="H800" s="79"/>
      <c r="I800" s="79"/>
      <c r="J800" s="14"/>
      <c r="K800" s="38"/>
      <c r="L800" s="38"/>
      <c r="M800" s="17"/>
    </row>
    <row r="801" spans="2:13" ht="14.45" customHeight="1" x14ac:dyDescent="0.25">
      <c r="B801" s="17"/>
      <c r="C801" s="14"/>
      <c r="D801" s="14"/>
      <c r="E801" s="18"/>
      <c r="F801" s="61"/>
      <c r="G801" s="73"/>
      <c r="H801" s="79"/>
      <c r="I801" s="79"/>
      <c r="J801" s="14"/>
      <c r="K801" s="38"/>
      <c r="L801" s="38"/>
      <c r="M801" s="17"/>
    </row>
    <row r="802" spans="2:13" ht="14.45" customHeight="1" x14ac:dyDescent="0.25">
      <c r="B802" s="17"/>
      <c r="C802" s="14"/>
      <c r="D802" s="14"/>
      <c r="E802" s="18"/>
      <c r="F802" s="61"/>
      <c r="G802" s="73"/>
      <c r="H802" s="79"/>
      <c r="I802" s="79"/>
      <c r="J802" s="14"/>
      <c r="K802" s="38"/>
      <c r="L802" s="38"/>
      <c r="M802" s="17"/>
    </row>
    <row r="803" spans="2:13" ht="14.45" customHeight="1" x14ac:dyDescent="0.25">
      <c r="B803" s="17"/>
      <c r="C803" s="14"/>
      <c r="D803" s="14"/>
      <c r="E803" s="18"/>
      <c r="F803" s="61"/>
      <c r="G803" s="73"/>
      <c r="H803" s="79"/>
      <c r="I803" s="79"/>
      <c r="J803" s="14"/>
      <c r="K803" s="38"/>
      <c r="L803" s="38"/>
      <c r="M803" s="17"/>
    </row>
    <row r="804" spans="2:13" ht="14.45" customHeight="1" x14ac:dyDescent="0.25">
      <c r="B804" s="17"/>
      <c r="C804" s="14"/>
      <c r="D804" s="14"/>
      <c r="E804" s="18"/>
      <c r="F804" s="61"/>
      <c r="G804" s="73"/>
      <c r="H804" s="79"/>
      <c r="I804" s="79"/>
      <c r="J804" s="14"/>
      <c r="K804" s="38"/>
      <c r="L804" s="38"/>
      <c r="M804" s="17"/>
    </row>
    <row r="805" spans="2:13" ht="14.45" customHeight="1" x14ac:dyDescent="0.25">
      <c r="B805" s="17"/>
      <c r="C805" s="14"/>
      <c r="D805" s="14"/>
      <c r="E805" s="18"/>
      <c r="F805" s="61"/>
      <c r="G805" s="73"/>
      <c r="H805" s="79"/>
      <c r="I805" s="79"/>
      <c r="J805" s="14"/>
      <c r="K805" s="38"/>
      <c r="L805" s="38"/>
      <c r="M805" s="17"/>
    </row>
    <row r="806" spans="2:13" ht="14.45" customHeight="1" x14ac:dyDescent="0.25">
      <c r="B806" s="17"/>
      <c r="C806" s="14"/>
      <c r="D806" s="14"/>
      <c r="E806" s="18"/>
      <c r="F806" s="61"/>
      <c r="G806" s="73"/>
      <c r="H806" s="79"/>
      <c r="I806" s="79"/>
      <c r="J806" s="14"/>
      <c r="K806" s="38"/>
      <c r="L806" s="38"/>
      <c r="M806" s="17"/>
    </row>
    <row r="807" spans="2:13" ht="14.45" customHeight="1" x14ac:dyDescent="0.25">
      <c r="B807" s="17"/>
      <c r="C807" s="14"/>
      <c r="D807" s="14"/>
      <c r="E807" s="18"/>
      <c r="F807" s="61"/>
      <c r="G807" s="73"/>
      <c r="H807" s="79"/>
      <c r="I807" s="79"/>
      <c r="J807" s="14"/>
      <c r="K807" s="38"/>
      <c r="L807" s="38"/>
      <c r="M807" s="17"/>
    </row>
    <row r="808" spans="2:13" ht="14.45" customHeight="1" x14ac:dyDescent="0.25">
      <c r="B808" s="17"/>
      <c r="C808" s="14"/>
      <c r="D808" s="14"/>
      <c r="E808" s="18"/>
      <c r="F808" s="61"/>
      <c r="G808" s="73"/>
      <c r="H808" s="79"/>
      <c r="I808" s="79"/>
      <c r="J808" s="14"/>
      <c r="K808" s="38"/>
      <c r="L808" s="38"/>
      <c r="M808" s="17"/>
    </row>
    <row r="809" spans="2:13" ht="14.45" customHeight="1" x14ac:dyDescent="0.25">
      <c r="B809" s="17"/>
      <c r="C809" s="14"/>
      <c r="D809" s="14"/>
      <c r="E809" s="18"/>
      <c r="F809" s="61"/>
      <c r="G809" s="73"/>
      <c r="H809" s="79"/>
      <c r="I809" s="79"/>
      <c r="J809" s="14"/>
      <c r="K809" s="38"/>
      <c r="L809" s="38"/>
      <c r="M809" s="17"/>
    </row>
    <row r="810" spans="2:13" ht="14.45" customHeight="1" x14ac:dyDescent="0.25">
      <c r="B810" s="17"/>
      <c r="C810" s="14"/>
      <c r="D810" s="14"/>
      <c r="E810" s="18"/>
      <c r="F810" s="61"/>
      <c r="G810" s="73"/>
      <c r="H810" s="79"/>
      <c r="I810" s="79"/>
      <c r="J810" s="14"/>
      <c r="K810" s="38"/>
      <c r="L810" s="38"/>
      <c r="M810" s="17"/>
    </row>
    <row r="811" spans="2:13" ht="14.45" customHeight="1" x14ac:dyDescent="0.25">
      <c r="B811" s="17"/>
      <c r="C811" s="14"/>
      <c r="D811" s="14"/>
      <c r="E811" s="18"/>
      <c r="F811" s="61"/>
      <c r="G811" s="73"/>
      <c r="H811" s="79"/>
      <c r="I811" s="79"/>
      <c r="J811" s="14"/>
      <c r="K811" s="38"/>
      <c r="L811" s="38"/>
      <c r="M811" s="17"/>
    </row>
    <row r="812" spans="2:13" ht="14.45" customHeight="1" x14ac:dyDescent="0.25">
      <c r="B812" s="17"/>
      <c r="C812" s="14"/>
      <c r="D812" s="14"/>
      <c r="E812" s="18"/>
      <c r="F812" s="61"/>
      <c r="G812" s="73"/>
      <c r="H812" s="79"/>
      <c r="I812" s="79"/>
      <c r="J812" s="14"/>
      <c r="K812" s="38"/>
      <c r="L812" s="38"/>
      <c r="M812" s="17"/>
    </row>
    <row r="813" spans="2:13" ht="14.45" customHeight="1" x14ac:dyDescent="0.25">
      <c r="B813" s="17"/>
      <c r="C813" s="14"/>
      <c r="D813" s="14"/>
      <c r="E813" s="18"/>
      <c r="F813" s="61"/>
      <c r="G813" s="73"/>
      <c r="H813" s="79"/>
      <c r="I813" s="79"/>
      <c r="J813" s="14"/>
      <c r="K813" s="38"/>
      <c r="L813" s="38"/>
      <c r="M813" s="17"/>
    </row>
    <row r="814" spans="2:13" ht="14.45" customHeight="1" x14ac:dyDescent="0.25">
      <c r="B814" s="17"/>
      <c r="C814" s="14"/>
      <c r="D814" s="14"/>
      <c r="E814" s="18"/>
      <c r="F814" s="61"/>
      <c r="G814" s="73"/>
      <c r="H814" s="79"/>
      <c r="I814" s="79"/>
      <c r="J814" s="14"/>
      <c r="K814" s="38"/>
      <c r="L814" s="38"/>
      <c r="M814" s="17"/>
    </row>
    <row r="815" spans="2:13" ht="14.45" customHeight="1" x14ac:dyDescent="0.25">
      <c r="B815" s="17"/>
      <c r="C815" s="14"/>
      <c r="D815" s="14"/>
      <c r="E815" s="18"/>
      <c r="F815" s="61"/>
      <c r="G815" s="73"/>
      <c r="H815" s="79"/>
      <c r="I815" s="79"/>
      <c r="J815" s="14"/>
      <c r="K815" s="38"/>
      <c r="L815" s="38"/>
      <c r="M815" s="17"/>
    </row>
    <row r="816" spans="2:13" ht="14.45" customHeight="1" x14ac:dyDescent="0.25">
      <c r="B816" s="17"/>
      <c r="C816" s="14"/>
      <c r="D816" s="14"/>
      <c r="E816" s="18"/>
      <c r="F816" s="61"/>
      <c r="G816" s="73"/>
      <c r="H816" s="79"/>
      <c r="I816" s="79"/>
      <c r="J816" s="14"/>
      <c r="K816" s="38"/>
      <c r="L816" s="38"/>
      <c r="M816" s="17"/>
    </row>
    <row r="817" spans="2:13" ht="14.45" customHeight="1" x14ac:dyDescent="0.25">
      <c r="B817" s="17"/>
      <c r="C817" s="14"/>
      <c r="D817" s="14"/>
      <c r="E817" s="18"/>
      <c r="F817" s="61"/>
      <c r="G817" s="73"/>
      <c r="H817" s="79"/>
      <c r="I817" s="79"/>
      <c r="J817" s="14"/>
      <c r="K817" s="38"/>
      <c r="L817" s="38"/>
      <c r="M817" s="17"/>
    </row>
    <row r="818" spans="2:13" ht="14.45" customHeight="1" x14ac:dyDescent="0.25">
      <c r="B818" s="17"/>
      <c r="C818" s="14"/>
      <c r="D818" s="14"/>
      <c r="E818" s="18"/>
      <c r="F818" s="61"/>
      <c r="G818" s="73"/>
      <c r="H818" s="79"/>
      <c r="I818" s="79"/>
      <c r="J818" s="14"/>
      <c r="K818" s="38"/>
      <c r="L818" s="38"/>
      <c r="M818" s="17"/>
    </row>
    <row r="819" spans="2:13" ht="14.45" customHeight="1" x14ac:dyDescent="0.25">
      <c r="B819" s="17"/>
      <c r="C819" s="14"/>
      <c r="D819" s="14"/>
      <c r="E819" s="18"/>
      <c r="F819" s="61"/>
      <c r="G819" s="73"/>
      <c r="H819" s="79"/>
      <c r="I819" s="79"/>
      <c r="J819" s="14"/>
      <c r="K819" s="38"/>
      <c r="L819" s="38"/>
      <c r="M819" s="17"/>
    </row>
    <row r="820" spans="2:13" ht="14.45" customHeight="1" x14ac:dyDescent="0.25">
      <c r="B820" s="17"/>
      <c r="C820" s="14"/>
      <c r="D820" s="14"/>
      <c r="E820" s="18"/>
      <c r="F820" s="61"/>
      <c r="G820" s="73"/>
      <c r="H820" s="79"/>
      <c r="I820" s="79"/>
      <c r="J820" s="14"/>
      <c r="K820" s="38"/>
      <c r="L820" s="38"/>
      <c r="M820" s="17"/>
    </row>
    <row r="821" spans="2:13" ht="14.45" customHeight="1" x14ac:dyDescent="0.25">
      <c r="B821" s="17"/>
      <c r="C821" s="14"/>
      <c r="D821" s="14"/>
      <c r="E821" s="18"/>
      <c r="F821" s="61"/>
      <c r="G821" s="73"/>
      <c r="H821" s="79"/>
      <c r="I821" s="79"/>
      <c r="J821" s="14"/>
      <c r="K821" s="38"/>
      <c r="L821" s="38"/>
      <c r="M821" s="17"/>
    </row>
    <row r="822" spans="2:13" ht="14.45" customHeight="1" x14ac:dyDescent="0.25">
      <c r="B822" s="17"/>
      <c r="C822" s="14"/>
      <c r="D822" s="14"/>
      <c r="E822" s="18"/>
      <c r="F822" s="61"/>
      <c r="G822" s="73"/>
      <c r="H822" s="79"/>
      <c r="I822" s="79"/>
      <c r="J822" s="14"/>
      <c r="K822" s="38"/>
      <c r="L822" s="38"/>
      <c r="M822" s="17"/>
    </row>
    <row r="823" spans="2:13" ht="14.45" customHeight="1" x14ac:dyDescent="0.25">
      <c r="B823" s="17"/>
      <c r="C823" s="14"/>
      <c r="D823" s="14"/>
      <c r="E823" s="18"/>
      <c r="F823" s="61"/>
      <c r="G823" s="73"/>
      <c r="H823" s="79"/>
      <c r="I823" s="79"/>
      <c r="J823" s="14"/>
      <c r="K823" s="38"/>
      <c r="L823" s="38"/>
      <c r="M823" s="17"/>
    </row>
    <row r="824" spans="2:13" ht="14.45" customHeight="1" x14ac:dyDescent="0.25">
      <c r="B824" s="17"/>
      <c r="C824" s="14"/>
      <c r="D824" s="14"/>
      <c r="E824" s="18"/>
      <c r="F824" s="61"/>
      <c r="G824" s="73"/>
      <c r="H824" s="79"/>
      <c r="I824" s="79"/>
      <c r="J824" s="14"/>
      <c r="K824" s="38"/>
      <c r="L824" s="38"/>
      <c r="M824" s="17"/>
    </row>
    <row r="825" spans="2:13" ht="14.45" customHeight="1" x14ac:dyDescent="0.25">
      <c r="B825" s="17"/>
      <c r="C825" s="14"/>
      <c r="D825" s="14"/>
      <c r="E825" s="18"/>
      <c r="F825" s="61"/>
      <c r="G825" s="73"/>
      <c r="H825" s="79"/>
      <c r="I825" s="79"/>
      <c r="J825" s="14"/>
      <c r="K825" s="38"/>
      <c r="L825" s="38"/>
      <c r="M825" s="17"/>
    </row>
    <row r="826" spans="2:13" ht="14.45" customHeight="1" x14ac:dyDescent="0.25">
      <c r="B826" s="17"/>
      <c r="C826" s="14"/>
      <c r="D826" s="14"/>
      <c r="E826" s="18"/>
      <c r="F826" s="61"/>
      <c r="G826" s="73"/>
      <c r="H826" s="79"/>
      <c r="I826" s="79"/>
      <c r="J826" s="14"/>
      <c r="K826" s="38"/>
      <c r="L826" s="38"/>
      <c r="M826" s="17"/>
    </row>
    <row r="827" spans="2:13" ht="14.45" customHeight="1" x14ac:dyDescent="0.25">
      <c r="B827" s="17"/>
      <c r="C827" s="14"/>
      <c r="D827" s="14"/>
      <c r="E827" s="18"/>
      <c r="F827" s="61"/>
      <c r="G827" s="73"/>
      <c r="H827" s="79"/>
      <c r="I827" s="79"/>
      <c r="J827" s="14"/>
      <c r="K827" s="38"/>
      <c r="L827" s="38"/>
      <c r="M827" s="17"/>
    </row>
    <row r="828" spans="2:13" ht="14.45" customHeight="1" x14ac:dyDescent="0.25">
      <c r="B828" s="17"/>
      <c r="C828" s="14"/>
      <c r="D828" s="14"/>
      <c r="E828" s="18"/>
      <c r="F828" s="61"/>
      <c r="G828" s="73"/>
      <c r="H828" s="79"/>
      <c r="I828" s="79"/>
      <c r="J828" s="14"/>
      <c r="K828" s="38"/>
      <c r="L828" s="38"/>
      <c r="M828" s="17"/>
    </row>
    <row r="829" spans="2:13" ht="14.45" customHeight="1" x14ac:dyDescent="0.25">
      <c r="B829" s="17"/>
      <c r="C829" s="14"/>
      <c r="D829" s="14"/>
      <c r="E829" s="18"/>
      <c r="F829" s="61"/>
      <c r="G829" s="73"/>
      <c r="H829" s="79"/>
      <c r="I829" s="79"/>
      <c r="J829" s="14"/>
      <c r="K829" s="38"/>
      <c r="L829" s="38"/>
      <c r="M829" s="17"/>
    </row>
    <row r="830" spans="2:13" ht="14.45" customHeight="1" x14ac:dyDescent="0.25">
      <c r="B830" s="17"/>
      <c r="C830" s="14"/>
      <c r="D830" s="14"/>
      <c r="E830" s="18"/>
      <c r="F830" s="61"/>
      <c r="G830" s="73"/>
      <c r="H830" s="79"/>
      <c r="I830" s="79"/>
      <c r="J830" s="14"/>
      <c r="K830" s="38"/>
      <c r="L830" s="38"/>
      <c r="M830" s="17"/>
    </row>
    <row r="831" spans="2:13" ht="14.45" customHeight="1" x14ac:dyDescent="0.25">
      <c r="B831" s="17"/>
      <c r="C831" s="14"/>
      <c r="D831" s="14"/>
      <c r="E831" s="18"/>
      <c r="F831" s="61"/>
      <c r="G831" s="73"/>
      <c r="H831" s="79"/>
      <c r="I831" s="79"/>
      <c r="J831" s="14"/>
      <c r="K831" s="38"/>
      <c r="L831" s="38"/>
      <c r="M831" s="17"/>
    </row>
    <row r="832" spans="2:13" ht="14.45" customHeight="1" x14ac:dyDescent="0.25">
      <c r="B832" s="17"/>
      <c r="C832" s="14"/>
      <c r="D832" s="14"/>
      <c r="E832" s="18"/>
      <c r="F832" s="61"/>
      <c r="G832" s="73"/>
      <c r="H832" s="79"/>
      <c r="I832" s="79"/>
      <c r="J832" s="14"/>
      <c r="K832" s="38"/>
      <c r="L832" s="38"/>
      <c r="M832" s="17"/>
    </row>
    <row r="833" spans="2:13" ht="14.45" customHeight="1" x14ac:dyDescent="0.25">
      <c r="B833" s="17"/>
      <c r="C833" s="14"/>
      <c r="D833" s="14"/>
      <c r="E833" s="18"/>
      <c r="F833" s="61"/>
      <c r="G833" s="73"/>
      <c r="H833" s="79"/>
      <c r="I833" s="79"/>
      <c r="J833" s="14"/>
      <c r="K833" s="38"/>
      <c r="L833" s="38"/>
      <c r="M833" s="17"/>
    </row>
    <row r="834" spans="2:13" ht="14.45" customHeight="1" x14ac:dyDescent="0.25">
      <c r="B834" s="17"/>
      <c r="C834" s="14"/>
      <c r="D834" s="14"/>
      <c r="E834" s="18"/>
      <c r="F834" s="61"/>
      <c r="G834" s="73"/>
      <c r="H834" s="79"/>
      <c r="I834" s="79"/>
      <c r="J834" s="14"/>
      <c r="K834" s="38"/>
      <c r="L834" s="38"/>
      <c r="M834" s="17"/>
    </row>
    <row r="835" spans="2:13" ht="14.45" customHeight="1" x14ac:dyDescent="0.25">
      <c r="B835" s="17"/>
      <c r="C835" s="14"/>
      <c r="D835" s="14"/>
      <c r="E835" s="18"/>
      <c r="F835" s="61"/>
      <c r="G835" s="73"/>
      <c r="H835" s="79"/>
      <c r="I835" s="79"/>
      <c r="J835" s="14"/>
      <c r="K835" s="38"/>
      <c r="L835" s="38"/>
      <c r="M835" s="17"/>
    </row>
    <row r="836" spans="2:13" ht="14.45" customHeight="1" x14ac:dyDescent="0.25">
      <c r="B836" s="17"/>
      <c r="C836" s="14"/>
      <c r="D836" s="14"/>
      <c r="E836" s="18"/>
      <c r="F836" s="61"/>
      <c r="G836" s="73"/>
      <c r="H836" s="79"/>
      <c r="I836" s="79"/>
      <c r="J836" s="14"/>
      <c r="K836" s="38"/>
      <c r="L836" s="38"/>
      <c r="M836" s="17"/>
    </row>
    <row r="837" spans="2:13" ht="14.45" customHeight="1" x14ac:dyDescent="0.25">
      <c r="B837" s="17"/>
      <c r="C837" s="14"/>
      <c r="D837" s="14"/>
      <c r="E837" s="18"/>
      <c r="F837" s="61"/>
      <c r="G837" s="73"/>
      <c r="H837" s="79"/>
      <c r="I837" s="79"/>
      <c r="J837" s="14"/>
      <c r="K837" s="38"/>
      <c r="L837" s="38"/>
      <c r="M837" s="17"/>
    </row>
    <row r="838" spans="2:13" ht="14.45" customHeight="1" x14ac:dyDescent="0.25">
      <c r="B838" s="17"/>
      <c r="C838" s="14"/>
      <c r="D838" s="14"/>
      <c r="E838" s="18"/>
      <c r="F838" s="61"/>
      <c r="G838" s="73"/>
      <c r="H838" s="79"/>
      <c r="I838" s="79"/>
      <c r="J838" s="14"/>
      <c r="K838" s="38"/>
      <c r="L838" s="38"/>
      <c r="M838" s="17"/>
    </row>
    <row r="839" spans="2:13" ht="14.45" customHeight="1" x14ac:dyDescent="0.25">
      <c r="B839" s="17"/>
      <c r="C839" s="14"/>
      <c r="D839" s="14"/>
      <c r="E839" s="18"/>
      <c r="F839" s="61"/>
      <c r="G839" s="73"/>
      <c r="H839" s="79"/>
      <c r="I839" s="79"/>
      <c r="J839" s="14"/>
      <c r="K839" s="38"/>
      <c r="L839" s="38"/>
      <c r="M839" s="17"/>
    </row>
    <row r="840" spans="2:13" ht="14.45" customHeight="1" x14ac:dyDescent="0.25">
      <c r="B840" s="17"/>
      <c r="C840" s="14"/>
      <c r="D840" s="14"/>
      <c r="E840" s="18"/>
      <c r="F840" s="61"/>
      <c r="G840" s="73"/>
      <c r="H840" s="79"/>
      <c r="I840" s="79"/>
      <c r="J840" s="14"/>
      <c r="K840" s="38"/>
      <c r="L840" s="38"/>
      <c r="M840" s="17"/>
    </row>
    <row r="841" spans="2:13" ht="14.45" customHeight="1" x14ac:dyDescent="0.25">
      <c r="B841" s="17"/>
      <c r="C841" s="14"/>
      <c r="D841" s="14"/>
      <c r="E841" s="18"/>
      <c r="F841" s="61"/>
      <c r="G841" s="73"/>
      <c r="H841" s="79"/>
      <c r="I841" s="79"/>
      <c r="J841" s="14"/>
      <c r="K841" s="38"/>
      <c r="L841" s="38"/>
      <c r="M841" s="17"/>
    </row>
    <row r="842" spans="2:13" ht="14.45" customHeight="1" x14ac:dyDescent="0.25">
      <c r="B842" s="17"/>
      <c r="C842" s="14"/>
      <c r="D842" s="14"/>
      <c r="E842" s="18"/>
      <c r="F842" s="61"/>
      <c r="G842" s="73"/>
      <c r="H842" s="79"/>
      <c r="I842" s="79"/>
      <c r="J842" s="14"/>
      <c r="K842" s="38"/>
      <c r="L842" s="38"/>
      <c r="M842" s="17"/>
    </row>
    <row r="843" spans="2:13" ht="14.45" customHeight="1" x14ac:dyDescent="0.25">
      <c r="B843" s="17"/>
      <c r="C843" s="14"/>
      <c r="D843" s="14"/>
      <c r="E843" s="18"/>
      <c r="F843" s="61"/>
      <c r="G843" s="73"/>
      <c r="H843" s="79"/>
      <c r="I843" s="79"/>
      <c r="J843" s="14"/>
      <c r="K843" s="38"/>
      <c r="L843" s="38"/>
      <c r="M843" s="17"/>
    </row>
    <row r="844" spans="2:13" ht="14.45" customHeight="1" x14ac:dyDescent="0.25">
      <c r="B844" s="17"/>
      <c r="C844" s="14"/>
      <c r="D844" s="14"/>
      <c r="E844" s="18"/>
      <c r="F844" s="61"/>
      <c r="G844" s="73"/>
      <c r="H844" s="79"/>
      <c r="I844" s="79"/>
      <c r="J844" s="14"/>
      <c r="K844" s="38"/>
      <c r="L844" s="38"/>
      <c r="M844" s="17"/>
    </row>
    <row r="845" spans="2:13" ht="14.45" customHeight="1" x14ac:dyDescent="0.25">
      <c r="B845" s="17"/>
      <c r="C845" s="14"/>
      <c r="D845" s="14"/>
      <c r="E845" s="18"/>
      <c r="F845" s="61"/>
      <c r="G845" s="73"/>
      <c r="H845" s="79"/>
      <c r="I845" s="79"/>
      <c r="J845" s="14"/>
      <c r="K845" s="38"/>
      <c r="L845" s="38"/>
      <c r="M845" s="17"/>
    </row>
    <row r="846" spans="2:13" ht="14.45" customHeight="1" x14ac:dyDescent="0.25">
      <c r="B846" s="17"/>
      <c r="C846" s="14"/>
      <c r="D846" s="14"/>
      <c r="E846" s="18"/>
      <c r="F846" s="61"/>
      <c r="G846" s="73"/>
      <c r="H846" s="79"/>
      <c r="I846" s="79"/>
      <c r="J846" s="14"/>
      <c r="K846" s="38"/>
      <c r="L846" s="38"/>
      <c r="M846" s="17"/>
    </row>
    <row r="847" spans="2:13" ht="14.45" customHeight="1" x14ac:dyDescent="0.25">
      <c r="B847" s="17"/>
      <c r="C847" s="14"/>
      <c r="D847" s="14"/>
      <c r="E847" s="18"/>
      <c r="F847" s="61"/>
      <c r="G847" s="73"/>
      <c r="H847" s="79"/>
      <c r="I847" s="79"/>
      <c r="J847" s="14"/>
      <c r="K847" s="38"/>
      <c r="L847" s="38"/>
      <c r="M847" s="17"/>
    </row>
    <row r="848" spans="2:13" ht="14.45" customHeight="1" x14ac:dyDescent="0.25">
      <c r="B848" s="17"/>
      <c r="C848" s="14"/>
      <c r="D848" s="14"/>
      <c r="E848" s="18"/>
      <c r="F848" s="61"/>
      <c r="G848" s="73"/>
      <c r="H848" s="79"/>
      <c r="I848" s="79"/>
      <c r="J848" s="14"/>
      <c r="K848" s="38"/>
      <c r="L848" s="38"/>
      <c r="M848" s="17"/>
    </row>
    <row r="849" spans="2:13" ht="14.45" customHeight="1" x14ac:dyDescent="0.25">
      <c r="B849" s="17"/>
      <c r="C849" s="14"/>
      <c r="D849" s="14"/>
      <c r="E849" s="18"/>
      <c r="F849" s="61"/>
      <c r="G849" s="73"/>
      <c r="H849" s="79"/>
      <c r="I849" s="79"/>
      <c r="J849" s="14"/>
      <c r="K849" s="38"/>
      <c r="L849" s="38"/>
      <c r="M849" s="17"/>
    </row>
    <row r="850" spans="2:13" ht="14.45" customHeight="1" x14ac:dyDescent="0.25">
      <c r="B850" s="17"/>
      <c r="C850" s="14"/>
      <c r="D850" s="14"/>
      <c r="E850" s="18"/>
      <c r="F850" s="61"/>
      <c r="G850" s="73"/>
      <c r="H850" s="79"/>
      <c r="I850" s="79"/>
      <c r="J850" s="14"/>
      <c r="K850" s="38"/>
      <c r="L850" s="38"/>
      <c r="M850" s="17"/>
    </row>
    <row r="851" spans="2:13" ht="14.45" customHeight="1" x14ac:dyDescent="0.25">
      <c r="B851" s="17"/>
      <c r="C851" s="14"/>
      <c r="D851" s="14"/>
      <c r="E851" s="18"/>
      <c r="F851" s="61"/>
      <c r="G851" s="73"/>
      <c r="H851" s="79"/>
      <c r="I851" s="79"/>
      <c r="J851" s="14"/>
      <c r="K851" s="38"/>
      <c r="L851" s="38"/>
      <c r="M851" s="17"/>
    </row>
    <row r="852" spans="2:13" ht="14.45" customHeight="1" x14ac:dyDescent="0.25">
      <c r="B852" s="17"/>
      <c r="C852" s="14"/>
      <c r="D852" s="14"/>
      <c r="E852" s="18"/>
      <c r="F852" s="61"/>
      <c r="G852" s="73"/>
      <c r="H852" s="79"/>
      <c r="I852" s="79"/>
      <c r="J852" s="14"/>
      <c r="K852" s="38"/>
      <c r="L852" s="38"/>
      <c r="M852" s="17"/>
    </row>
    <row r="853" spans="2:13" ht="14.45" customHeight="1" x14ac:dyDescent="0.25">
      <c r="B853" s="17"/>
      <c r="C853" s="14"/>
      <c r="D853" s="14"/>
      <c r="E853" s="18"/>
      <c r="F853" s="61"/>
      <c r="G853" s="73"/>
      <c r="H853" s="79"/>
      <c r="I853" s="79"/>
      <c r="J853" s="14"/>
      <c r="K853" s="38"/>
      <c r="L853" s="38"/>
      <c r="M853" s="17"/>
    </row>
    <row r="854" spans="2:13" ht="14.45" customHeight="1" x14ac:dyDescent="0.25">
      <c r="B854" s="17"/>
      <c r="C854" s="14"/>
      <c r="D854" s="14"/>
      <c r="E854" s="18"/>
      <c r="F854" s="61"/>
      <c r="G854" s="73"/>
      <c r="H854" s="79"/>
      <c r="I854" s="79"/>
      <c r="J854" s="14"/>
      <c r="K854" s="38"/>
      <c r="L854" s="38"/>
      <c r="M854" s="17"/>
    </row>
    <row r="855" spans="2:13" ht="14.45" customHeight="1" x14ac:dyDescent="0.25">
      <c r="B855" s="17"/>
      <c r="C855" s="14"/>
      <c r="D855" s="14"/>
      <c r="E855" s="18"/>
      <c r="F855" s="61"/>
      <c r="G855" s="73"/>
      <c r="H855" s="79"/>
      <c r="I855" s="79"/>
      <c r="J855" s="14"/>
      <c r="K855" s="38"/>
      <c r="L855" s="38"/>
      <c r="M855" s="17"/>
    </row>
    <row r="856" spans="2:13" ht="14.45" customHeight="1" x14ac:dyDescent="0.25">
      <c r="B856" s="17"/>
      <c r="C856" s="14"/>
      <c r="D856" s="14"/>
      <c r="E856" s="18"/>
      <c r="F856" s="61"/>
      <c r="G856" s="73"/>
      <c r="H856" s="79"/>
      <c r="I856" s="79"/>
      <c r="J856" s="14"/>
      <c r="K856" s="38"/>
      <c r="L856" s="38"/>
      <c r="M856" s="17"/>
    </row>
    <row r="857" spans="2:13" ht="14.45" customHeight="1" x14ac:dyDescent="0.25">
      <c r="B857" s="17"/>
      <c r="C857" s="14"/>
      <c r="D857" s="14"/>
      <c r="E857" s="18"/>
      <c r="F857" s="61"/>
      <c r="G857" s="73"/>
      <c r="H857" s="79"/>
      <c r="I857" s="79"/>
      <c r="J857" s="14"/>
      <c r="K857" s="38"/>
      <c r="L857" s="38"/>
      <c r="M857" s="17"/>
    </row>
    <row r="858" spans="2:13" ht="14.45" customHeight="1" x14ac:dyDescent="0.25">
      <c r="B858" s="17"/>
      <c r="C858" s="14"/>
      <c r="D858" s="14"/>
      <c r="E858" s="18"/>
      <c r="F858" s="61"/>
      <c r="G858" s="73"/>
      <c r="H858" s="79"/>
      <c r="I858" s="79"/>
      <c r="J858" s="14"/>
      <c r="K858" s="38"/>
      <c r="L858" s="38"/>
      <c r="M858" s="17"/>
    </row>
    <row r="859" spans="2:13" ht="14.45" customHeight="1" x14ac:dyDescent="0.25">
      <c r="B859" s="17"/>
      <c r="C859" s="14"/>
      <c r="D859" s="14"/>
      <c r="E859" s="18"/>
      <c r="F859" s="61"/>
      <c r="G859" s="73"/>
      <c r="H859" s="79"/>
      <c r="I859" s="79"/>
      <c r="J859" s="14"/>
      <c r="K859" s="38"/>
      <c r="L859" s="38"/>
      <c r="M859" s="17"/>
    </row>
    <row r="860" spans="2:13" ht="14.45" customHeight="1" x14ac:dyDescent="0.25">
      <c r="B860" s="17"/>
      <c r="C860" s="14"/>
      <c r="D860" s="14"/>
      <c r="E860" s="18"/>
      <c r="F860" s="61"/>
      <c r="G860" s="73"/>
      <c r="H860" s="79"/>
      <c r="I860" s="79"/>
      <c r="J860" s="14"/>
      <c r="K860" s="38"/>
      <c r="L860" s="38"/>
      <c r="M860" s="17"/>
    </row>
    <row r="861" spans="2:13" ht="14.45" customHeight="1" x14ac:dyDescent="0.25">
      <c r="B861" s="17"/>
      <c r="C861" s="14"/>
      <c r="D861" s="14"/>
      <c r="E861" s="18"/>
      <c r="F861" s="61"/>
      <c r="G861" s="73"/>
      <c r="H861" s="79"/>
      <c r="I861" s="79"/>
      <c r="J861" s="14"/>
      <c r="K861" s="38"/>
      <c r="L861" s="38"/>
      <c r="M861" s="17"/>
    </row>
    <row r="862" spans="2:13" ht="14.45" customHeight="1" x14ac:dyDescent="0.25">
      <c r="B862" s="17"/>
      <c r="C862" s="14"/>
      <c r="D862" s="14"/>
      <c r="E862" s="18"/>
      <c r="F862" s="61"/>
      <c r="G862" s="73"/>
      <c r="H862" s="79"/>
      <c r="I862" s="79"/>
      <c r="J862" s="14"/>
      <c r="K862" s="38"/>
      <c r="L862" s="38"/>
      <c r="M862" s="17"/>
    </row>
    <row r="863" spans="2:13" ht="14.45" customHeight="1" x14ac:dyDescent="0.25">
      <c r="B863" s="17"/>
      <c r="C863" s="14"/>
      <c r="D863" s="14"/>
      <c r="E863" s="18"/>
      <c r="F863" s="61"/>
      <c r="G863" s="73"/>
      <c r="H863" s="79"/>
      <c r="I863" s="79"/>
      <c r="J863" s="14"/>
      <c r="K863" s="38"/>
      <c r="L863" s="38"/>
      <c r="M863" s="17"/>
    </row>
    <row r="864" spans="2:13" ht="14.45" customHeight="1" x14ac:dyDescent="0.25">
      <c r="B864" s="17"/>
      <c r="C864" s="14"/>
      <c r="D864" s="14"/>
      <c r="E864" s="18"/>
      <c r="F864" s="61"/>
      <c r="G864" s="73"/>
      <c r="H864" s="79"/>
      <c r="I864" s="79"/>
      <c r="J864" s="14"/>
      <c r="K864" s="38"/>
      <c r="L864" s="38"/>
      <c r="M864" s="17"/>
    </row>
    <row r="865" spans="2:13" ht="14.45" customHeight="1" x14ac:dyDescent="0.25">
      <c r="B865" s="17"/>
      <c r="C865" s="14"/>
      <c r="D865" s="14"/>
      <c r="E865" s="18"/>
      <c r="F865" s="61"/>
      <c r="G865" s="73"/>
      <c r="H865" s="79"/>
      <c r="I865" s="79"/>
      <c r="J865" s="14"/>
      <c r="K865" s="38"/>
      <c r="L865" s="38"/>
      <c r="M865" s="17"/>
    </row>
    <row r="866" spans="2:13" ht="14.45" customHeight="1" x14ac:dyDescent="0.25">
      <c r="B866" s="17"/>
      <c r="C866" s="14"/>
      <c r="D866" s="14"/>
      <c r="E866" s="18"/>
      <c r="F866" s="61"/>
      <c r="G866" s="73"/>
      <c r="H866" s="79"/>
      <c r="I866" s="79"/>
      <c r="J866" s="14"/>
      <c r="K866" s="38"/>
      <c r="L866" s="38"/>
      <c r="M866" s="17"/>
    </row>
    <row r="867" spans="2:13" ht="14.45" customHeight="1" x14ac:dyDescent="0.25">
      <c r="B867" s="17"/>
      <c r="C867" s="14"/>
      <c r="D867" s="14"/>
      <c r="E867" s="18"/>
      <c r="F867" s="61"/>
      <c r="G867" s="73"/>
      <c r="H867" s="79"/>
      <c r="I867" s="79"/>
      <c r="J867" s="14"/>
      <c r="K867" s="38"/>
      <c r="L867" s="38"/>
      <c r="M867" s="17"/>
    </row>
    <row r="868" spans="2:13" ht="14.45" customHeight="1" x14ac:dyDescent="0.25">
      <c r="B868" s="17"/>
      <c r="C868" s="14"/>
      <c r="D868" s="14"/>
      <c r="E868" s="18"/>
      <c r="F868" s="61"/>
      <c r="G868" s="73"/>
      <c r="H868" s="79"/>
      <c r="I868" s="79"/>
      <c r="J868" s="14"/>
      <c r="K868" s="38"/>
      <c r="L868" s="38"/>
      <c r="M868" s="17"/>
    </row>
    <row r="869" spans="2:13" ht="14.45" customHeight="1" x14ac:dyDescent="0.25">
      <c r="B869" s="17"/>
      <c r="C869" s="14"/>
      <c r="D869" s="14"/>
      <c r="E869" s="18"/>
      <c r="F869" s="61"/>
      <c r="G869" s="73"/>
      <c r="H869" s="79"/>
      <c r="I869" s="79"/>
      <c r="J869" s="14"/>
      <c r="K869" s="38"/>
      <c r="L869" s="38"/>
      <c r="M869" s="17"/>
    </row>
    <row r="870" spans="2:13" ht="14.45" customHeight="1" x14ac:dyDescent="0.25">
      <c r="B870" s="17"/>
      <c r="C870" s="14"/>
      <c r="D870" s="14"/>
      <c r="E870" s="18"/>
      <c r="F870" s="61"/>
      <c r="G870" s="73"/>
      <c r="H870" s="79"/>
      <c r="I870" s="79"/>
      <c r="J870" s="14"/>
      <c r="K870" s="38"/>
      <c r="L870" s="38"/>
      <c r="M870" s="17"/>
    </row>
    <row r="871" spans="2:13" ht="14.45" customHeight="1" x14ac:dyDescent="0.25">
      <c r="B871" s="17"/>
      <c r="C871" s="14"/>
      <c r="D871" s="14"/>
      <c r="E871" s="18"/>
      <c r="F871" s="61"/>
      <c r="G871" s="73"/>
      <c r="H871" s="79"/>
      <c r="I871" s="79"/>
      <c r="J871" s="14"/>
      <c r="K871" s="38"/>
      <c r="L871" s="38"/>
      <c r="M871" s="17"/>
    </row>
    <row r="872" spans="2:13" ht="14.45" customHeight="1" x14ac:dyDescent="0.25">
      <c r="B872" s="17"/>
      <c r="C872" s="14"/>
      <c r="D872" s="14"/>
      <c r="E872" s="18"/>
      <c r="F872" s="61"/>
      <c r="G872" s="73"/>
      <c r="H872" s="79"/>
      <c r="I872" s="79"/>
      <c r="J872" s="14"/>
      <c r="K872" s="38"/>
      <c r="L872" s="38"/>
      <c r="M872" s="17"/>
    </row>
    <row r="873" spans="2:13" ht="14.45" customHeight="1" x14ac:dyDescent="0.25">
      <c r="B873" s="17"/>
      <c r="C873" s="14"/>
      <c r="D873" s="14"/>
      <c r="E873" s="18"/>
      <c r="F873" s="61"/>
      <c r="G873" s="73"/>
      <c r="H873" s="79"/>
      <c r="I873" s="79"/>
      <c r="J873" s="14"/>
      <c r="K873" s="38"/>
      <c r="L873" s="38"/>
      <c r="M873" s="17"/>
    </row>
    <row r="874" spans="2:13" ht="14.45" customHeight="1" x14ac:dyDescent="0.25">
      <c r="B874" s="17"/>
      <c r="C874" s="14"/>
      <c r="D874" s="14"/>
      <c r="E874" s="18"/>
      <c r="F874" s="61"/>
      <c r="G874" s="73"/>
      <c r="H874" s="79"/>
      <c r="I874" s="79"/>
      <c r="J874" s="14"/>
      <c r="K874" s="38"/>
      <c r="L874" s="38"/>
      <c r="M874" s="17"/>
    </row>
    <row r="875" spans="2:13" ht="14.45" customHeight="1" x14ac:dyDescent="0.25">
      <c r="B875" s="17"/>
      <c r="C875" s="14"/>
      <c r="D875" s="14"/>
      <c r="E875" s="18"/>
      <c r="F875" s="61"/>
      <c r="G875" s="73"/>
      <c r="H875" s="79"/>
      <c r="I875" s="79"/>
      <c r="J875" s="14"/>
      <c r="K875" s="38"/>
      <c r="L875" s="38"/>
      <c r="M875" s="17"/>
    </row>
    <row r="876" spans="2:13" ht="14.45" customHeight="1" x14ac:dyDescent="0.25">
      <c r="B876" s="17"/>
      <c r="C876" s="14"/>
      <c r="D876" s="14"/>
      <c r="E876" s="18"/>
      <c r="F876" s="61"/>
      <c r="G876" s="73"/>
      <c r="H876" s="79"/>
      <c r="I876" s="79"/>
      <c r="J876" s="14"/>
      <c r="K876" s="38"/>
      <c r="L876" s="38"/>
      <c r="M876" s="17"/>
    </row>
    <row r="877" spans="2:13" ht="14.45" customHeight="1" x14ac:dyDescent="0.25">
      <c r="B877" s="17"/>
      <c r="C877" s="14"/>
      <c r="D877" s="14"/>
      <c r="E877" s="18"/>
      <c r="F877" s="61"/>
      <c r="G877" s="73"/>
      <c r="H877" s="79"/>
      <c r="I877" s="79"/>
      <c r="J877" s="14"/>
      <c r="K877" s="38"/>
      <c r="L877" s="38"/>
      <c r="M877" s="17"/>
    </row>
    <row r="878" spans="2:13" ht="14.45" customHeight="1" x14ac:dyDescent="0.25">
      <c r="B878" s="17"/>
      <c r="C878" s="14"/>
      <c r="D878" s="14"/>
      <c r="E878" s="18"/>
      <c r="F878" s="61"/>
      <c r="G878" s="73"/>
      <c r="H878" s="79"/>
      <c r="I878" s="79"/>
      <c r="J878" s="14"/>
      <c r="K878" s="38"/>
      <c r="L878" s="38"/>
      <c r="M878" s="17"/>
    </row>
    <row r="879" spans="2:13" ht="14.45" customHeight="1" x14ac:dyDescent="0.25">
      <c r="B879" s="17"/>
      <c r="C879" s="14"/>
      <c r="D879" s="14"/>
      <c r="E879" s="18"/>
      <c r="F879" s="61"/>
      <c r="G879" s="73"/>
      <c r="H879" s="79"/>
      <c r="I879" s="79"/>
      <c r="J879" s="14"/>
      <c r="K879" s="38"/>
      <c r="L879" s="38"/>
      <c r="M879" s="17"/>
    </row>
    <row r="880" spans="2:13" ht="14.45" customHeight="1" x14ac:dyDescent="0.25">
      <c r="B880" s="17"/>
      <c r="C880" s="14"/>
      <c r="D880" s="14"/>
      <c r="E880" s="18"/>
      <c r="F880" s="61"/>
      <c r="G880" s="73"/>
      <c r="H880" s="79"/>
      <c r="I880" s="79"/>
      <c r="J880" s="14"/>
      <c r="K880" s="38"/>
      <c r="L880" s="38"/>
      <c r="M880" s="17"/>
    </row>
    <row r="881" spans="2:13" ht="14.45" customHeight="1" x14ac:dyDescent="0.25">
      <c r="B881" s="17"/>
      <c r="C881" s="14"/>
      <c r="D881" s="14"/>
      <c r="E881" s="18"/>
      <c r="F881" s="61"/>
      <c r="G881" s="73"/>
      <c r="H881" s="79"/>
      <c r="I881" s="79"/>
      <c r="J881" s="14"/>
      <c r="K881" s="38"/>
      <c r="L881" s="38"/>
      <c r="M881" s="17"/>
    </row>
    <row r="882" spans="2:13" ht="14.45" customHeight="1" x14ac:dyDescent="0.25">
      <c r="B882" s="17"/>
      <c r="C882" s="14"/>
      <c r="D882" s="14"/>
      <c r="E882" s="18"/>
      <c r="F882" s="61"/>
      <c r="G882" s="73"/>
      <c r="H882" s="79"/>
      <c r="I882" s="79"/>
      <c r="J882" s="14"/>
      <c r="K882" s="38"/>
      <c r="L882" s="38"/>
      <c r="M882" s="17"/>
    </row>
    <row r="883" spans="2:13" ht="14.45" customHeight="1" x14ac:dyDescent="0.25">
      <c r="B883" s="17"/>
      <c r="C883" s="14"/>
      <c r="D883" s="14"/>
      <c r="E883" s="18"/>
      <c r="F883" s="61"/>
      <c r="G883" s="73"/>
      <c r="H883" s="79"/>
      <c r="I883" s="79"/>
      <c r="J883" s="14"/>
      <c r="K883" s="38"/>
      <c r="L883" s="38"/>
      <c r="M883" s="17"/>
    </row>
    <row r="884" spans="2:13" ht="14.45" customHeight="1" x14ac:dyDescent="0.25">
      <c r="B884" s="17"/>
      <c r="C884" s="14"/>
      <c r="D884" s="14"/>
      <c r="E884" s="18"/>
      <c r="F884" s="61"/>
      <c r="G884" s="73"/>
      <c r="H884" s="79"/>
      <c r="I884" s="79"/>
      <c r="J884" s="14"/>
      <c r="K884" s="38"/>
      <c r="L884" s="38"/>
      <c r="M884" s="17"/>
    </row>
    <row r="885" spans="2:13" ht="14.45" customHeight="1" x14ac:dyDescent="0.25">
      <c r="B885" s="17"/>
      <c r="C885" s="14"/>
      <c r="D885" s="14"/>
      <c r="E885" s="18"/>
      <c r="F885" s="61"/>
      <c r="G885" s="73"/>
      <c r="H885" s="79"/>
      <c r="I885" s="79"/>
      <c r="J885" s="14"/>
      <c r="K885" s="38"/>
      <c r="L885" s="38"/>
      <c r="M885" s="17"/>
    </row>
    <row r="886" spans="2:13" ht="14.45" customHeight="1" x14ac:dyDescent="0.25">
      <c r="B886" s="17"/>
      <c r="C886" s="14"/>
      <c r="D886" s="14"/>
      <c r="E886" s="18"/>
      <c r="F886" s="61"/>
      <c r="G886" s="73"/>
      <c r="H886" s="79"/>
      <c r="I886" s="79"/>
      <c r="J886" s="14"/>
      <c r="K886" s="38"/>
      <c r="L886" s="38"/>
      <c r="M886" s="17"/>
    </row>
    <row r="887" spans="2:13" ht="14.45" customHeight="1" x14ac:dyDescent="0.25">
      <c r="B887" s="17"/>
      <c r="C887" s="14"/>
      <c r="D887" s="14"/>
      <c r="E887" s="18"/>
      <c r="F887" s="61"/>
      <c r="G887" s="73"/>
      <c r="H887" s="79"/>
      <c r="I887" s="79"/>
      <c r="J887" s="14"/>
      <c r="K887" s="38"/>
      <c r="L887" s="38"/>
      <c r="M887" s="17"/>
    </row>
    <row r="888" spans="2:13" ht="14.45" customHeight="1" x14ac:dyDescent="0.25">
      <c r="B888" s="17"/>
      <c r="C888" s="14"/>
      <c r="D888" s="14"/>
      <c r="E888" s="18"/>
      <c r="F888" s="61"/>
      <c r="G888" s="73"/>
      <c r="H888" s="79"/>
      <c r="I888" s="79"/>
      <c r="J888" s="14"/>
      <c r="K888" s="38"/>
      <c r="L888" s="38"/>
      <c r="M888" s="17"/>
    </row>
    <row r="889" spans="2:13" ht="14.45" customHeight="1" x14ac:dyDescent="0.25">
      <c r="B889" s="17"/>
      <c r="C889" s="14"/>
      <c r="D889" s="14"/>
      <c r="E889" s="18"/>
      <c r="F889" s="61"/>
      <c r="G889" s="73"/>
      <c r="H889" s="79"/>
      <c r="I889" s="79"/>
      <c r="J889" s="14"/>
      <c r="K889" s="38"/>
      <c r="L889" s="38"/>
      <c r="M889" s="17"/>
    </row>
    <row r="890" spans="2:13" ht="14.45" customHeight="1" x14ac:dyDescent="0.25">
      <c r="B890" s="17"/>
      <c r="C890" s="14"/>
      <c r="D890" s="14"/>
      <c r="E890" s="18"/>
      <c r="F890" s="61"/>
      <c r="G890" s="73"/>
      <c r="H890" s="79"/>
      <c r="I890" s="79"/>
      <c r="J890" s="14"/>
      <c r="K890" s="38"/>
      <c r="L890" s="38"/>
      <c r="M890" s="17"/>
    </row>
    <row r="891" spans="2:13" ht="14.45" customHeight="1" x14ac:dyDescent="0.25">
      <c r="B891" s="17"/>
      <c r="C891" s="14"/>
      <c r="D891" s="14"/>
      <c r="E891" s="18"/>
      <c r="F891" s="61"/>
      <c r="G891" s="73"/>
      <c r="H891" s="79"/>
      <c r="I891" s="79"/>
      <c r="J891" s="14"/>
      <c r="K891" s="38"/>
      <c r="L891" s="38"/>
      <c r="M891" s="17"/>
    </row>
    <row r="892" spans="2:13" ht="14.45" customHeight="1" x14ac:dyDescent="0.25">
      <c r="B892" s="17"/>
      <c r="C892" s="14"/>
      <c r="D892" s="14"/>
      <c r="E892" s="18"/>
      <c r="F892" s="61"/>
      <c r="G892" s="73"/>
      <c r="H892" s="79"/>
      <c r="I892" s="79"/>
      <c r="J892" s="14"/>
      <c r="K892" s="38"/>
      <c r="L892" s="38"/>
      <c r="M892" s="17"/>
    </row>
    <row r="893" spans="2:13" ht="14.45" customHeight="1" x14ac:dyDescent="0.25">
      <c r="B893" s="17"/>
      <c r="C893" s="14"/>
      <c r="D893" s="14"/>
      <c r="E893" s="18"/>
      <c r="F893" s="61"/>
      <c r="G893" s="73"/>
      <c r="H893" s="79"/>
      <c r="I893" s="79"/>
      <c r="J893" s="14"/>
      <c r="K893" s="38"/>
      <c r="L893" s="38"/>
      <c r="M893" s="17"/>
    </row>
    <row r="894" spans="2:13" ht="14.45" customHeight="1" x14ac:dyDescent="0.25">
      <c r="B894" s="17"/>
      <c r="C894" s="14"/>
      <c r="D894" s="14"/>
      <c r="E894" s="18"/>
      <c r="F894" s="61"/>
      <c r="G894" s="73"/>
      <c r="H894" s="79"/>
      <c r="I894" s="79"/>
      <c r="J894" s="14"/>
      <c r="K894" s="38"/>
      <c r="L894" s="38"/>
      <c r="M894" s="17"/>
    </row>
    <row r="895" spans="2:13" ht="14.45" customHeight="1" x14ac:dyDescent="0.25">
      <c r="B895" s="17"/>
      <c r="C895" s="14"/>
      <c r="D895" s="14"/>
      <c r="E895" s="18"/>
      <c r="F895" s="61"/>
      <c r="G895" s="73"/>
      <c r="H895" s="79"/>
      <c r="I895" s="79"/>
      <c r="J895" s="14"/>
      <c r="K895" s="38"/>
      <c r="L895" s="38"/>
      <c r="M895" s="17"/>
    </row>
    <row r="896" spans="2:13" ht="14.45" customHeight="1" x14ac:dyDescent="0.25">
      <c r="B896" s="17"/>
      <c r="C896" s="14"/>
      <c r="D896" s="14"/>
      <c r="E896" s="18"/>
      <c r="F896" s="61"/>
      <c r="G896" s="73"/>
      <c r="H896" s="79"/>
      <c r="I896" s="79"/>
      <c r="J896" s="14"/>
      <c r="K896" s="38"/>
      <c r="L896" s="38"/>
      <c r="M896" s="17"/>
    </row>
    <row r="897" spans="2:13" ht="14.45" customHeight="1" x14ac:dyDescent="0.25">
      <c r="B897" s="17"/>
      <c r="C897" s="14"/>
      <c r="D897" s="14"/>
      <c r="E897" s="18"/>
      <c r="F897" s="61"/>
      <c r="G897" s="73"/>
      <c r="H897" s="79"/>
      <c r="I897" s="79"/>
      <c r="J897" s="14"/>
      <c r="K897" s="38"/>
      <c r="L897" s="38"/>
      <c r="M897" s="17"/>
    </row>
    <row r="898" spans="2:13" ht="14.45" customHeight="1" x14ac:dyDescent="0.25">
      <c r="B898" s="17"/>
      <c r="C898" s="14"/>
      <c r="D898" s="14"/>
      <c r="E898" s="18"/>
      <c r="F898" s="61"/>
      <c r="G898" s="73"/>
      <c r="H898" s="79"/>
      <c r="I898" s="79"/>
      <c r="J898" s="14"/>
      <c r="K898" s="38"/>
      <c r="L898" s="38"/>
      <c r="M898" s="17"/>
    </row>
    <row r="899" spans="2:13" ht="14.45" customHeight="1" x14ac:dyDescent="0.25">
      <c r="B899" s="17"/>
      <c r="C899" s="14"/>
      <c r="D899" s="14"/>
      <c r="E899" s="18"/>
      <c r="F899" s="61"/>
      <c r="G899" s="73"/>
      <c r="H899" s="79"/>
      <c r="I899" s="79"/>
      <c r="J899" s="14"/>
      <c r="K899" s="38"/>
      <c r="L899" s="38"/>
      <c r="M899" s="17"/>
    </row>
    <row r="900" spans="2:13" ht="14.45" customHeight="1" x14ac:dyDescent="0.25">
      <c r="B900" s="17"/>
      <c r="C900" s="14"/>
      <c r="D900" s="14"/>
      <c r="E900" s="18"/>
      <c r="F900" s="61"/>
      <c r="G900" s="73"/>
      <c r="H900" s="79"/>
      <c r="I900" s="79"/>
      <c r="J900" s="14"/>
      <c r="K900" s="38"/>
      <c r="L900" s="38"/>
      <c r="M900" s="17"/>
    </row>
    <row r="901" spans="2:13" ht="14.45" customHeight="1" x14ac:dyDescent="0.25">
      <c r="B901" s="17"/>
      <c r="C901" s="14"/>
      <c r="D901" s="14"/>
      <c r="E901" s="18"/>
      <c r="F901" s="61"/>
      <c r="G901" s="73"/>
      <c r="H901" s="79"/>
      <c r="I901" s="79"/>
      <c r="J901" s="14"/>
      <c r="K901" s="38"/>
      <c r="L901" s="38"/>
      <c r="M901" s="17"/>
    </row>
    <row r="902" spans="2:13" ht="14.45" customHeight="1" x14ac:dyDescent="0.25">
      <c r="B902" s="17"/>
      <c r="C902" s="14"/>
      <c r="D902" s="14"/>
      <c r="E902" s="18"/>
      <c r="F902" s="61"/>
      <c r="G902" s="73"/>
      <c r="H902" s="79"/>
      <c r="I902" s="79"/>
      <c r="J902" s="14"/>
      <c r="K902" s="38"/>
      <c r="L902" s="38"/>
      <c r="M902" s="17"/>
    </row>
    <row r="903" spans="2:13" ht="14.45" customHeight="1" x14ac:dyDescent="0.25">
      <c r="B903" s="17"/>
      <c r="C903" s="14"/>
      <c r="D903" s="14"/>
      <c r="E903" s="18"/>
      <c r="F903" s="61"/>
      <c r="G903" s="73"/>
      <c r="H903" s="79"/>
      <c r="I903" s="79"/>
      <c r="J903" s="14"/>
      <c r="K903" s="38"/>
      <c r="L903" s="38"/>
      <c r="M903" s="17"/>
    </row>
    <row r="904" spans="2:13" ht="14.45" customHeight="1" x14ac:dyDescent="0.25">
      <c r="B904" s="17"/>
      <c r="C904" s="14"/>
      <c r="D904" s="14"/>
      <c r="E904" s="18"/>
      <c r="F904" s="61"/>
      <c r="G904" s="73"/>
      <c r="H904" s="79"/>
      <c r="I904" s="79"/>
      <c r="J904" s="14"/>
      <c r="K904" s="38"/>
      <c r="L904" s="38"/>
      <c r="M904" s="17"/>
    </row>
    <row r="905" spans="2:13" ht="14.45" customHeight="1" x14ac:dyDescent="0.25">
      <c r="B905" s="17"/>
      <c r="C905" s="14"/>
      <c r="D905" s="14"/>
      <c r="E905" s="18"/>
      <c r="F905" s="61"/>
      <c r="G905" s="73"/>
      <c r="H905" s="79"/>
      <c r="I905" s="79"/>
      <c r="J905" s="14"/>
      <c r="K905" s="38"/>
      <c r="L905" s="38"/>
      <c r="M905" s="17"/>
    </row>
    <row r="906" spans="2:13" ht="14.45" customHeight="1" x14ac:dyDescent="0.25">
      <c r="B906" s="17"/>
      <c r="C906" s="14"/>
      <c r="D906" s="14"/>
      <c r="E906" s="18"/>
      <c r="F906" s="61"/>
      <c r="G906" s="73"/>
      <c r="H906" s="79"/>
      <c r="I906" s="79"/>
      <c r="J906" s="14"/>
      <c r="K906" s="38"/>
      <c r="L906" s="38"/>
      <c r="M906" s="17"/>
    </row>
    <row r="907" spans="2:13" ht="14.45" customHeight="1" x14ac:dyDescent="0.25">
      <c r="B907" s="17"/>
      <c r="C907" s="14"/>
      <c r="D907" s="14"/>
      <c r="E907" s="18"/>
      <c r="F907" s="61"/>
      <c r="G907" s="73"/>
      <c r="H907" s="79"/>
      <c r="I907" s="79"/>
      <c r="J907" s="14"/>
      <c r="K907" s="38"/>
      <c r="L907" s="38"/>
      <c r="M907" s="17"/>
    </row>
    <row r="908" spans="2:13" ht="14.45" customHeight="1" x14ac:dyDescent="0.25">
      <c r="B908" s="17"/>
      <c r="C908" s="14"/>
      <c r="D908" s="14"/>
      <c r="E908" s="18"/>
      <c r="F908" s="61"/>
      <c r="G908" s="73"/>
      <c r="H908" s="79"/>
      <c r="I908" s="79"/>
      <c r="J908" s="14"/>
      <c r="K908" s="38"/>
      <c r="L908" s="38"/>
      <c r="M908" s="17"/>
    </row>
    <row r="909" spans="2:13" ht="14.45" customHeight="1" x14ac:dyDescent="0.25">
      <c r="B909" s="17"/>
      <c r="C909" s="14"/>
      <c r="D909" s="14"/>
      <c r="E909" s="18"/>
      <c r="F909" s="61"/>
      <c r="G909" s="73"/>
      <c r="H909" s="79"/>
      <c r="I909" s="79"/>
      <c r="J909" s="14"/>
      <c r="K909" s="38"/>
      <c r="L909" s="38"/>
      <c r="M909" s="17"/>
    </row>
    <row r="910" spans="2:13" ht="14.45" customHeight="1" x14ac:dyDescent="0.25">
      <c r="B910" s="17"/>
      <c r="C910" s="14"/>
      <c r="D910" s="14"/>
      <c r="E910" s="18"/>
      <c r="F910" s="61"/>
      <c r="G910" s="73"/>
      <c r="H910" s="79"/>
      <c r="I910" s="79"/>
      <c r="J910" s="14"/>
      <c r="K910" s="38"/>
      <c r="L910" s="38"/>
      <c r="M910" s="17"/>
    </row>
    <row r="911" spans="2:13" ht="14.45" customHeight="1" x14ac:dyDescent="0.25">
      <c r="B911" s="17"/>
      <c r="C911" s="14"/>
      <c r="D911" s="14"/>
      <c r="E911" s="18"/>
      <c r="F911" s="61"/>
      <c r="G911" s="73"/>
      <c r="H911" s="79"/>
      <c r="I911" s="79"/>
      <c r="J911" s="14"/>
      <c r="K911" s="38"/>
      <c r="L911" s="38"/>
      <c r="M911" s="17"/>
    </row>
    <row r="912" spans="2:13" ht="14.45" customHeight="1" x14ac:dyDescent="0.25">
      <c r="B912" s="17"/>
      <c r="C912" s="14"/>
      <c r="D912" s="14"/>
      <c r="E912" s="18"/>
      <c r="F912" s="61"/>
      <c r="G912" s="73"/>
      <c r="H912" s="79"/>
      <c r="I912" s="79"/>
      <c r="J912" s="14"/>
      <c r="K912" s="38"/>
      <c r="L912" s="38"/>
      <c r="M912" s="17"/>
    </row>
    <row r="913" spans="2:13" ht="14.45" customHeight="1" x14ac:dyDescent="0.25">
      <c r="B913" s="17"/>
      <c r="C913" s="14"/>
      <c r="D913" s="14"/>
      <c r="E913" s="18"/>
      <c r="F913" s="61"/>
      <c r="G913" s="73"/>
      <c r="H913" s="79"/>
      <c r="I913" s="79"/>
      <c r="J913" s="14"/>
      <c r="K913" s="38"/>
      <c r="L913" s="38"/>
      <c r="M913" s="17"/>
    </row>
    <row r="914" spans="2:13" ht="14.45" customHeight="1" x14ac:dyDescent="0.25">
      <c r="B914" s="17"/>
      <c r="C914" s="14"/>
      <c r="D914" s="14"/>
      <c r="E914" s="18"/>
      <c r="F914" s="61"/>
      <c r="G914" s="73"/>
      <c r="H914" s="79"/>
      <c r="I914" s="79"/>
      <c r="J914" s="14"/>
      <c r="K914" s="38"/>
      <c r="L914" s="38"/>
      <c r="M914" s="17"/>
    </row>
    <row r="915" spans="2:13" ht="14.45" customHeight="1" x14ac:dyDescent="0.25">
      <c r="B915" s="17"/>
      <c r="C915" s="14"/>
      <c r="D915" s="14"/>
      <c r="E915" s="18"/>
      <c r="F915" s="61"/>
      <c r="G915" s="73"/>
      <c r="H915" s="79"/>
      <c r="I915" s="79"/>
      <c r="J915" s="14"/>
      <c r="K915" s="38"/>
      <c r="L915" s="38"/>
      <c r="M915" s="17"/>
    </row>
    <row r="916" spans="2:13" ht="14.45" customHeight="1" x14ac:dyDescent="0.25">
      <c r="B916" s="17"/>
      <c r="C916" s="14"/>
      <c r="D916" s="14"/>
      <c r="E916" s="18"/>
      <c r="F916" s="61"/>
      <c r="G916" s="73"/>
      <c r="H916" s="79"/>
      <c r="I916" s="79"/>
      <c r="J916" s="14"/>
      <c r="K916" s="38"/>
      <c r="L916" s="38"/>
      <c r="M916" s="17"/>
    </row>
    <row r="917" spans="2:13" ht="14.45" customHeight="1" x14ac:dyDescent="0.25">
      <c r="B917" s="17"/>
      <c r="C917" s="14"/>
      <c r="D917" s="14"/>
      <c r="E917" s="18"/>
      <c r="F917" s="61"/>
      <c r="G917" s="73"/>
      <c r="H917" s="79"/>
      <c r="I917" s="79"/>
      <c r="J917" s="14"/>
      <c r="K917" s="38"/>
      <c r="L917" s="38"/>
      <c r="M917" s="17"/>
    </row>
    <row r="918" spans="2:13" ht="14.45" customHeight="1" x14ac:dyDescent="0.25">
      <c r="B918" s="17"/>
      <c r="C918" s="14"/>
      <c r="D918" s="14"/>
      <c r="E918" s="18"/>
      <c r="F918" s="61"/>
      <c r="G918" s="73"/>
      <c r="H918" s="79"/>
      <c r="I918" s="79"/>
      <c r="J918" s="14"/>
      <c r="K918" s="38"/>
      <c r="L918" s="38"/>
      <c r="M918" s="17"/>
    </row>
    <row r="919" spans="2:13" ht="14.45" customHeight="1" x14ac:dyDescent="0.25">
      <c r="B919" s="17"/>
      <c r="C919" s="14"/>
      <c r="D919" s="14"/>
      <c r="E919" s="18"/>
      <c r="F919" s="61"/>
      <c r="G919" s="73"/>
      <c r="H919" s="79"/>
      <c r="I919" s="79"/>
      <c r="J919" s="14"/>
      <c r="K919" s="38"/>
      <c r="L919" s="38"/>
      <c r="M919" s="17"/>
    </row>
    <row r="920" spans="2:13" ht="14.45" customHeight="1" x14ac:dyDescent="0.25">
      <c r="B920" s="17"/>
      <c r="C920" s="14"/>
      <c r="D920" s="14"/>
      <c r="E920" s="18"/>
      <c r="F920" s="61"/>
      <c r="G920" s="73"/>
      <c r="H920" s="79"/>
      <c r="I920" s="79"/>
      <c r="J920" s="14"/>
      <c r="K920" s="38"/>
      <c r="L920" s="38"/>
      <c r="M920" s="17"/>
    </row>
    <row r="921" spans="2:13" ht="14.45" customHeight="1" x14ac:dyDescent="0.25">
      <c r="B921" s="17"/>
      <c r="C921" s="14"/>
      <c r="D921" s="14"/>
      <c r="E921" s="18"/>
      <c r="F921" s="61"/>
      <c r="G921" s="73"/>
      <c r="H921" s="79"/>
      <c r="I921" s="79"/>
      <c r="J921" s="14"/>
      <c r="K921" s="38"/>
      <c r="L921" s="38"/>
      <c r="M921" s="17"/>
    </row>
    <row r="922" spans="2:13" ht="14.45" customHeight="1" x14ac:dyDescent="0.25">
      <c r="B922" s="17"/>
      <c r="C922" s="14"/>
      <c r="D922" s="14"/>
      <c r="E922" s="18"/>
      <c r="F922" s="61"/>
      <c r="G922" s="73"/>
      <c r="H922" s="79"/>
      <c r="I922" s="79"/>
      <c r="J922" s="14"/>
      <c r="K922" s="38"/>
      <c r="L922" s="38"/>
      <c r="M922" s="17"/>
    </row>
    <row r="923" spans="2:13" ht="14.45" customHeight="1" x14ac:dyDescent="0.25">
      <c r="B923" s="17"/>
      <c r="C923" s="14"/>
      <c r="D923" s="14"/>
      <c r="E923" s="18"/>
      <c r="F923" s="61"/>
      <c r="G923" s="73"/>
      <c r="H923" s="79"/>
      <c r="I923" s="79"/>
      <c r="J923" s="14"/>
      <c r="K923" s="38"/>
      <c r="L923" s="38"/>
      <c r="M923" s="17"/>
    </row>
    <row r="924" spans="2:13" ht="14.45" customHeight="1" x14ac:dyDescent="0.25">
      <c r="B924" s="17"/>
      <c r="C924" s="14"/>
      <c r="D924" s="14"/>
      <c r="E924" s="18"/>
      <c r="F924" s="61"/>
      <c r="G924" s="73"/>
      <c r="H924" s="79"/>
      <c r="I924" s="79"/>
      <c r="J924" s="14"/>
      <c r="K924" s="38"/>
      <c r="L924" s="38"/>
      <c r="M924" s="17"/>
    </row>
    <row r="925" spans="2:13" ht="14.45" customHeight="1" x14ac:dyDescent="0.25">
      <c r="B925" s="17"/>
      <c r="C925" s="14"/>
      <c r="D925" s="14"/>
      <c r="E925" s="18"/>
      <c r="F925" s="61"/>
      <c r="G925" s="73"/>
      <c r="H925" s="79"/>
      <c r="I925" s="79"/>
      <c r="J925" s="14"/>
      <c r="K925" s="38"/>
      <c r="L925" s="38"/>
      <c r="M925" s="17"/>
    </row>
    <row r="926" spans="2:13" ht="14.45" customHeight="1" x14ac:dyDescent="0.25">
      <c r="B926" s="17"/>
      <c r="C926" s="14"/>
      <c r="D926" s="14"/>
      <c r="E926" s="18"/>
      <c r="F926" s="61"/>
      <c r="G926" s="73"/>
      <c r="H926" s="79"/>
      <c r="I926" s="79"/>
      <c r="J926" s="14"/>
      <c r="K926" s="38"/>
      <c r="L926" s="38"/>
      <c r="M926" s="17"/>
    </row>
    <row r="927" spans="2:13" ht="14.45" customHeight="1" x14ac:dyDescent="0.25">
      <c r="B927" s="17"/>
      <c r="C927" s="14"/>
      <c r="D927" s="14"/>
      <c r="E927" s="18"/>
      <c r="F927" s="61"/>
      <c r="G927" s="73"/>
      <c r="H927" s="79"/>
      <c r="I927" s="79"/>
      <c r="J927" s="14"/>
      <c r="K927" s="38"/>
      <c r="L927" s="38"/>
      <c r="M927" s="17"/>
    </row>
    <row r="928" spans="2:13" ht="14.45" customHeight="1" x14ac:dyDescent="0.25">
      <c r="B928" s="17"/>
      <c r="C928" s="14"/>
      <c r="D928" s="14"/>
      <c r="E928" s="18"/>
      <c r="F928" s="61"/>
      <c r="G928" s="73"/>
      <c r="H928" s="79"/>
      <c r="I928" s="79"/>
      <c r="J928" s="14"/>
      <c r="K928" s="38"/>
      <c r="L928" s="38"/>
      <c r="M928" s="17"/>
    </row>
    <row r="929" spans="2:13" ht="14.45" customHeight="1" x14ac:dyDescent="0.25">
      <c r="B929" s="17"/>
      <c r="C929" s="14"/>
      <c r="D929" s="14"/>
      <c r="E929" s="18"/>
      <c r="F929" s="61"/>
      <c r="G929" s="73"/>
      <c r="H929" s="79"/>
      <c r="I929" s="79"/>
      <c r="J929" s="14"/>
      <c r="K929" s="38"/>
      <c r="L929" s="38"/>
      <c r="M929" s="17"/>
    </row>
    <row r="930" spans="2:13" ht="14.45" customHeight="1" x14ac:dyDescent="0.25">
      <c r="B930" s="17"/>
      <c r="C930" s="14"/>
      <c r="D930" s="14"/>
      <c r="E930" s="18"/>
      <c r="F930" s="61"/>
      <c r="G930" s="73"/>
      <c r="H930" s="79"/>
      <c r="I930" s="79"/>
      <c r="J930" s="14"/>
      <c r="K930" s="38"/>
      <c r="L930" s="38"/>
      <c r="M930" s="17"/>
    </row>
    <row r="931" spans="2:13" ht="14.45" customHeight="1" x14ac:dyDescent="0.25">
      <c r="B931" s="17"/>
      <c r="C931" s="14"/>
      <c r="D931" s="14"/>
      <c r="E931" s="18"/>
      <c r="F931" s="61"/>
      <c r="G931" s="73"/>
      <c r="H931" s="79"/>
      <c r="I931" s="79"/>
      <c r="J931" s="14"/>
      <c r="K931" s="38"/>
      <c r="L931" s="38"/>
      <c r="M931" s="17"/>
    </row>
    <row r="932" spans="2:13" ht="14.45" customHeight="1" x14ac:dyDescent="0.25">
      <c r="B932" s="17"/>
      <c r="C932" s="14"/>
      <c r="D932" s="14"/>
      <c r="E932" s="18"/>
      <c r="F932" s="61"/>
      <c r="G932" s="73"/>
      <c r="H932" s="79"/>
      <c r="I932" s="79"/>
      <c r="J932" s="14"/>
      <c r="K932" s="38"/>
      <c r="L932" s="38"/>
      <c r="M932" s="17"/>
    </row>
    <row r="933" spans="2:13" ht="14.45" customHeight="1" x14ac:dyDescent="0.25">
      <c r="B933" s="17"/>
      <c r="C933" s="14"/>
      <c r="D933" s="14"/>
      <c r="E933" s="18"/>
      <c r="F933" s="61"/>
      <c r="G933" s="73"/>
      <c r="H933" s="79"/>
      <c r="I933" s="79"/>
      <c r="J933" s="14"/>
      <c r="K933" s="38"/>
      <c r="L933" s="38"/>
      <c r="M933" s="17"/>
    </row>
    <row r="934" spans="2:13" ht="14.45" customHeight="1" x14ac:dyDescent="0.25">
      <c r="B934" s="17"/>
      <c r="C934" s="14"/>
      <c r="D934" s="14"/>
      <c r="E934" s="18"/>
      <c r="F934" s="61"/>
      <c r="G934" s="73"/>
      <c r="H934" s="79"/>
      <c r="I934" s="79"/>
      <c r="J934" s="14"/>
      <c r="K934" s="38"/>
      <c r="L934" s="38"/>
      <c r="M934" s="17"/>
    </row>
    <row r="935" spans="2:13" ht="14.45" customHeight="1" x14ac:dyDescent="0.25">
      <c r="B935" s="17"/>
      <c r="C935" s="14"/>
      <c r="D935" s="14"/>
      <c r="E935" s="18"/>
      <c r="F935" s="61"/>
      <c r="G935" s="73"/>
      <c r="H935" s="79"/>
      <c r="I935" s="79"/>
      <c r="J935" s="14"/>
      <c r="K935" s="38"/>
      <c r="L935" s="38"/>
      <c r="M935" s="17"/>
    </row>
    <row r="936" spans="2:13" ht="14.45" customHeight="1" x14ac:dyDescent="0.25">
      <c r="B936" s="17"/>
      <c r="C936" s="14"/>
      <c r="D936" s="14"/>
      <c r="E936" s="18"/>
      <c r="F936" s="61"/>
      <c r="G936" s="73"/>
      <c r="H936" s="79"/>
      <c r="I936" s="79"/>
      <c r="J936" s="14"/>
      <c r="K936" s="38"/>
      <c r="L936" s="38"/>
      <c r="M936" s="17"/>
    </row>
    <row r="937" spans="2:13" ht="14.45" customHeight="1" x14ac:dyDescent="0.25">
      <c r="B937" s="17"/>
      <c r="C937" s="14"/>
      <c r="D937" s="14"/>
      <c r="E937" s="18"/>
      <c r="F937" s="61"/>
      <c r="G937" s="73"/>
      <c r="H937" s="79"/>
      <c r="I937" s="79"/>
      <c r="J937" s="14"/>
      <c r="K937" s="38"/>
      <c r="L937" s="38"/>
      <c r="M937" s="17"/>
    </row>
    <row r="938" spans="2:13" ht="14.45" customHeight="1" x14ac:dyDescent="0.25">
      <c r="B938" s="17"/>
      <c r="C938" s="14"/>
      <c r="D938" s="14"/>
      <c r="E938" s="18"/>
      <c r="F938" s="61"/>
      <c r="G938" s="73"/>
      <c r="H938" s="79"/>
      <c r="I938" s="79"/>
      <c r="J938" s="14"/>
      <c r="K938" s="38"/>
      <c r="L938" s="38"/>
      <c r="M938" s="17"/>
    </row>
    <row r="939" spans="2:13" ht="14.45" customHeight="1" x14ac:dyDescent="0.25">
      <c r="B939" s="17"/>
      <c r="C939" s="14"/>
      <c r="D939" s="14"/>
      <c r="E939" s="18"/>
      <c r="F939" s="61"/>
      <c r="G939" s="73"/>
      <c r="H939" s="79"/>
      <c r="I939" s="79"/>
      <c r="J939" s="14"/>
      <c r="K939" s="38"/>
      <c r="L939" s="38"/>
      <c r="M939" s="17"/>
    </row>
    <row r="940" spans="2:13" ht="14.45" customHeight="1" x14ac:dyDescent="0.25">
      <c r="B940" s="17"/>
      <c r="C940" s="14"/>
      <c r="D940" s="14"/>
      <c r="E940" s="18"/>
      <c r="F940" s="61"/>
      <c r="G940" s="73"/>
      <c r="H940" s="79"/>
      <c r="I940" s="79"/>
      <c r="J940" s="14"/>
      <c r="K940" s="38"/>
      <c r="L940" s="38"/>
      <c r="M940" s="17"/>
    </row>
    <row r="941" spans="2:13" ht="14.45" customHeight="1" x14ac:dyDescent="0.25">
      <c r="B941" s="17"/>
      <c r="C941" s="14"/>
      <c r="D941" s="14"/>
      <c r="E941" s="18"/>
      <c r="F941" s="61"/>
      <c r="G941" s="73"/>
      <c r="H941" s="79"/>
      <c r="I941" s="79"/>
      <c r="J941" s="14"/>
      <c r="K941" s="38"/>
      <c r="L941" s="38"/>
      <c r="M941" s="17"/>
    </row>
    <row r="942" spans="2:13" ht="14.45" customHeight="1" x14ac:dyDescent="0.25">
      <c r="B942" s="17"/>
      <c r="C942" s="14"/>
      <c r="D942" s="14"/>
      <c r="E942" s="18"/>
      <c r="F942" s="61"/>
      <c r="G942" s="73"/>
      <c r="H942" s="79"/>
      <c r="I942" s="79"/>
      <c r="J942" s="14"/>
      <c r="K942" s="38"/>
      <c r="L942" s="38"/>
      <c r="M942" s="17"/>
    </row>
    <row r="943" spans="2:13" ht="14.45" customHeight="1" x14ac:dyDescent="0.25">
      <c r="B943" s="17"/>
      <c r="C943" s="14"/>
      <c r="D943" s="14"/>
      <c r="E943" s="18"/>
      <c r="F943" s="61"/>
      <c r="G943" s="73"/>
      <c r="H943" s="79"/>
      <c r="I943" s="79"/>
      <c r="J943" s="14"/>
      <c r="K943" s="38"/>
      <c r="L943" s="38"/>
      <c r="M943" s="17"/>
    </row>
    <row r="944" spans="2:13" ht="14.45" customHeight="1" x14ac:dyDescent="0.25">
      <c r="B944" s="17"/>
      <c r="C944" s="14"/>
      <c r="D944" s="14"/>
      <c r="E944" s="18"/>
      <c r="F944" s="61"/>
      <c r="G944" s="73"/>
      <c r="H944" s="79"/>
      <c r="I944" s="79"/>
      <c r="J944" s="14"/>
      <c r="K944" s="38"/>
      <c r="L944" s="38"/>
      <c r="M944" s="17"/>
    </row>
    <row r="945" spans="2:13" ht="14.45" customHeight="1" x14ac:dyDescent="0.25">
      <c r="B945" s="17"/>
      <c r="C945" s="14"/>
      <c r="D945" s="14"/>
      <c r="E945" s="18"/>
      <c r="F945" s="61"/>
      <c r="G945" s="73"/>
      <c r="H945" s="79"/>
      <c r="I945" s="79"/>
      <c r="J945" s="14"/>
      <c r="K945" s="38"/>
      <c r="L945" s="38"/>
      <c r="M945" s="17"/>
    </row>
    <row r="946" spans="2:13" ht="14.45" customHeight="1" x14ac:dyDescent="0.25">
      <c r="B946" s="17"/>
      <c r="C946" s="14"/>
      <c r="D946" s="14"/>
      <c r="E946" s="18"/>
      <c r="F946" s="61"/>
      <c r="G946" s="73"/>
      <c r="H946" s="79"/>
      <c r="I946" s="79"/>
      <c r="J946" s="14"/>
      <c r="K946" s="38"/>
      <c r="L946" s="38"/>
      <c r="M946" s="17"/>
    </row>
    <row r="947" spans="2:13" ht="14.45" customHeight="1" x14ac:dyDescent="0.25">
      <c r="B947" s="17"/>
      <c r="C947" s="14"/>
      <c r="D947" s="14"/>
      <c r="E947" s="18"/>
      <c r="F947" s="61"/>
      <c r="G947" s="73"/>
      <c r="H947" s="79"/>
      <c r="I947" s="79"/>
      <c r="J947" s="14"/>
      <c r="K947" s="38"/>
      <c r="L947" s="38"/>
      <c r="M947" s="17"/>
    </row>
    <row r="948" spans="2:13" ht="14.45" customHeight="1" x14ac:dyDescent="0.25">
      <c r="B948" s="17"/>
      <c r="C948" s="14"/>
      <c r="D948" s="14"/>
      <c r="E948" s="18"/>
      <c r="F948" s="61"/>
      <c r="G948" s="73"/>
      <c r="H948" s="79"/>
      <c r="I948" s="79"/>
      <c r="J948" s="14"/>
      <c r="K948" s="38"/>
      <c r="L948" s="38"/>
      <c r="M948" s="17"/>
    </row>
    <row r="949" spans="2:13" ht="14.45" customHeight="1" x14ac:dyDescent="0.25">
      <c r="B949" s="17"/>
      <c r="C949" s="14"/>
      <c r="D949" s="14"/>
      <c r="E949" s="18"/>
      <c r="F949" s="61"/>
      <c r="G949" s="73"/>
      <c r="H949" s="79"/>
      <c r="I949" s="79"/>
      <c r="J949" s="14"/>
      <c r="K949" s="38"/>
      <c r="L949" s="38"/>
      <c r="M949" s="17"/>
    </row>
    <row r="950" spans="2:13" ht="14.45" customHeight="1" x14ac:dyDescent="0.25">
      <c r="B950" s="17"/>
      <c r="C950" s="14"/>
      <c r="D950" s="14"/>
      <c r="E950" s="18"/>
      <c r="F950" s="61"/>
      <c r="G950" s="73"/>
      <c r="H950" s="79"/>
      <c r="I950" s="79"/>
      <c r="J950" s="14"/>
      <c r="K950" s="38"/>
      <c r="L950" s="38"/>
      <c r="M950" s="17"/>
    </row>
    <row r="951" spans="2:13" ht="14.45" customHeight="1" x14ac:dyDescent="0.25">
      <c r="B951" s="17"/>
      <c r="C951" s="14"/>
      <c r="D951" s="14"/>
      <c r="E951" s="18"/>
      <c r="F951" s="61"/>
      <c r="G951" s="73"/>
      <c r="H951" s="79"/>
      <c r="I951" s="79"/>
      <c r="J951" s="14"/>
      <c r="K951" s="38"/>
      <c r="L951" s="38"/>
      <c r="M951" s="17"/>
    </row>
    <row r="952" spans="2:13" ht="14.45" customHeight="1" x14ac:dyDescent="0.25">
      <c r="B952" s="17"/>
      <c r="C952" s="14"/>
      <c r="D952" s="14"/>
      <c r="E952" s="18"/>
      <c r="F952" s="61"/>
      <c r="G952" s="73"/>
      <c r="H952" s="79"/>
      <c r="I952" s="79"/>
      <c r="J952" s="14"/>
      <c r="K952" s="38"/>
      <c r="L952" s="38"/>
      <c r="M952" s="17"/>
    </row>
    <row r="953" spans="2:13" ht="14.45" customHeight="1" x14ac:dyDescent="0.25">
      <c r="B953" s="17"/>
      <c r="C953" s="14"/>
      <c r="D953" s="14"/>
      <c r="E953" s="18"/>
      <c r="F953" s="61"/>
      <c r="G953" s="73"/>
      <c r="H953" s="79"/>
      <c r="I953" s="79"/>
      <c r="J953" s="14"/>
      <c r="K953" s="38"/>
      <c r="L953" s="38"/>
      <c r="M953" s="17"/>
    </row>
    <row r="954" spans="2:13" ht="14.45" customHeight="1" x14ac:dyDescent="0.25">
      <c r="B954" s="17"/>
      <c r="C954" s="14"/>
      <c r="D954" s="14"/>
      <c r="E954" s="18"/>
      <c r="F954" s="61"/>
      <c r="G954" s="73"/>
      <c r="H954" s="79"/>
      <c r="I954" s="79"/>
      <c r="J954" s="14"/>
      <c r="K954" s="38"/>
      <c r="L954" s="38"/>
      <c r="M954" s="17"/>
    </row>
    <row r="955" spans="2:13" ht="14.45" customHeight="1" x14ac:dyDescent="0.25">
      <c r="B955" s="17"/>
      <c r="C955" s="14"/>
      <c r="D955" s="14"/>
      <c r="E955" s="18"/>
      <c r="F955" s="61"/>
      <c r="G955" s="73"/>
      <c r="H955" s="79"/>
      <c r="I955" s="79"/>
      <c r="J955" s="14"/>
      <c r="K955" s="38"/>
      <c r="L955" s="38"/>
      <c r="M955" s="17"/>
    </row>
    <row r="956" spans="2:13" ht="14.45" customHeight="1" x14ac:dyDescent="0.25">
      <c r="B956" s="17"/>
      <c r="C956" s="14"/>
      <c r="D956" s="14"/>
      <c r="E956" s="18"/>
      <c r="F956" s="61"/>
      <c r="G956" s="73"/>
      <c r="H956" s="79"/>
      <c r="I956" s="79"/>
      <c r="J956" s="14"/>
      <c r="K956" s="38"/>
      <c r="L956" s="38"/>
      <c r="M956" s="17"/>
    </row>
    <row r="957" spans="2:13" ht="14.45" customHeight="1" x14ac:dyDescent="0.25">
      <c r="B957" s="17"/>
      <c r="C957" s="14"/>
      <c r="D957" s="14"/>
      <c r="E957" s="18"/>
      <c r="F957" s="61"/>
      <c r="G957" s="73"/>
      <c r="H957" s="79"/>
      <c r="I957" s="79"/>
      <c r="J957" s="14"/>
      <c r="K957" s="38"/>
      <c r="L957" s="38"/>
      <c r="M957" s="17"/>
    </row>
    <row r="958" spans="2:13" ht="14.45" customHeight="1" x14ac:dyDescent="0.25">
      <c r="B958" s="17"/>
      <c r="C958" s="14"/>
      <c r="D958" s="14"/>
      <c r="E958" s="18"/>
      <c r="F958" s="61"/>
      <c r="G958" s="73"/>
      <c r="H958" s="79"/>
      <c r="I958" s="79"/>
      <c r="J958" s="14"/>
      <c r="K958" s="38"/>
      <c r="L958" s="38"/>
      <c r="M958" s="17"/>
    </row>
    <row r="959" spans="2:13" ht="14.45" customHeight="1" x14ac:dyDescent="0.25">
      <c r="B959" s="17"/>
      <c r="C959" s="14"/>
      <c r="D959" s="14"/>
      <c r="E959" s="18"/>
      <c r="F959" s="61"/>
      <c r="G959" s="73"/>
      <c r="H959" s="79"/>
      <c r="I959" s="79"/>
      <c r="J959" s="14"/>
      <c r="K959" s="38"/>
      <c r="L959" s="38"/>
      <c r="M959" s="17"/>
    </row>
    <row r="960" spans="2:13" ht="14.45" customHeight="1" x14ac:dyDescent="0.25">
      <c r="B960" s="17"/>
      <c r="C960" s="14"/>
      <c r="D960" s="14"/>
      <c r="E960" s="18"/>
      <c r="F960" s="61"/>
      <c r="G960" s="73"/>
      <c r="H960" s="79"/>
      <c r="I960" s="79"/>
      <c r="J960" s="14"/>
      <c r="K960" s="38"/>
      <c r="L960" s="38"/>
      <c r="M960" s="17"/>
    </row>
    <row r="961" spans="2:13" ht="14.45" customHeight="1" x14ac:dyDescent="0.25">
      <c r="B961" s="17"/>
      <c r="C961" s="14"/>
      <c r="D961" s="14"/>
      <c r="E961" s="18"/>
      <c r="F961" s="61"/>
      <c r="G961" s="73"/>
      <c r="H961" s="79"/>
      <c r="I961" s="79"/>
      <c r="J961" s="14"/>
      <c r="K961" s="38"/>
      <c r="L961" s="38"/>
      <c r="M961" s="17"/>
    </row>
    <row r="962" spans="2:13" ht="14.45" customHeight="1" x14ac:dyDescent="0.25">
      <c r="B962" s="17"/>
      <c r="C962" s="14"/>
      <c r="D962" s="14"/>
      <c r="E962" s="18"/>
      <c r="F962" s="61"/>
      <c r="G962" s="73"/>
      <c r="H962" s="79"/>
      <c r="I962" s="79"/>
      <c r="J962" s="14"/>
      <c r="K962" s="38"/>
      <c r="L962" s="38"/>
      <c r="M962" s="17"/>
    </row>
    <row r="963" spans="2:13" ht="14.45" customHeight="1" x14ac:dyDescent="0.25">
      <c r="B963" s="17"/>
      <c r="C963" s="14"/>
      <c r="D963" s="14"/>
      <c r="E963" s="18"/>
      <c r="F963" s="61"/>
      <c r="G963" s="73"/>
      <c r="H963" s="79"/>
      <c r="I963" s="79"/>
      <c r="J963" s="14"/>
      <c r="K963" s="38"/>
      <c r="L963" s="38"/>
      <c r="M963" s="17"/>
    </row>
    <row r="964" spans="2:13" ht="14.45" customHeight="1" x14ac:dyDescent="0.25">
      <c r="B964" s="17"/>
      <c r="C964" s="14"/>
      <c r="D964" s="14"/>
      <c r="E964" s="18"/>
      <c r="F964" s="61"/>
      <c r="G964" s="73"/>
      <c r="H964" s="79"/>
      <c r="I964" s="79"/>
      <c r="J964" s="14"/>
      <c r="K964" s="38"/>
      <c r="L964" s="38"/>
      <c r="M964" s="17"/>
    </row>
    <row r="965" spans="2:13" ht="14.45" customHeight="1" x14ac:dyDescent="0.25">
      <c r="B965" s="17"/>
      <c r="C965" s="14"/>
      <c r="D965" s="14"/>
      <c r="E965" s="18"/>
      <c r="F965" s="61"/>
      <c r="G965" s="73"/>
      <c r="H965" s="79"/>
      <c r="I965" s="79"/>
      <c r="J965" s="14"/>
      <c r="K965" s="38"/>
      <c r="L965" s="38"/>
      <c r="M965" s="17"/>
    </row>
    <row r="966" spans="2:13" ht="14.45" customHeight="1" x14ac:dyDescent="0.25">
      <c r="B966" s="17"/>
      <c r="C966" s="14"/>
      <c r="D966" s="14"/>
      <c r="E966" s="18"/>
      <c r="F966" s="61"/>
      <c r="G966" s="73"/>
      <c r="H966" s="79"/>
      <c r="I966" s="79"/>
      <c r="J966" s="14"/>
      <c r="K966" s="38"/>
      <c r="L966" s="38"/>
      <c r="M966" s="17"/>
    </row>
    <row r="967" spans="2:13" ht="14.45" customHeight="1" x14ac:dyDescent="0.25">
      <c r="B967" s="17"/>
      <c r="C967" s="14"/>
      <c r="D967" s="14"/>
      <c r="E967" s="18"/>
      <c r="F967" s="61"/>
      <c r="G967" s="73"/>
      <c r="H967" s="79"/>
      <c r="I967" s="79"/>
      <c r="J967" s="14"/>
      <c r="K967" s="38"/>
      <c r="L967" s="38"/>
      <c r="M967" s="17"/>
    </row>
    <row r="968" spans="2:13" ht="14.45" customHeight="1" x14ac:dyDescent="0.25">
      <c r="B968" s="17"/>
      <c r="C968" s="14"/>
      <c r="D968" s="14"/>
      <c r="E968" s="18"/>
      <c r="F968" s="61"/>
      <c r="G968" s="73"/>
      <c r="H968" s="79"/>
      <c r="I968" s="79"/>
      <c r="J968" s="14"/>
      <c r="K968" s="38"/>
      <c r="L968" s="38"/>
      <c r="M968" s="17"/>
    </row>
    <row r="969" spans="2:13" ht="14.45" customHeight="1" x14ac:dyDescent="0.25">
      <c r="B969" s="17"/>
      <c r="C969" s="14"/>
      <c r="D969" s="14"/>
      <c r="E969" s="18"/>
      <c r="F969" s="61"/>
      <c r="G969" s="73"/>
      <c r="H969" s="79"/>
      <c r="I969" s="79"/>
      <c r="J969" s="14"/>
      <c r="K969" s="38"/>
      <c r="L969" s="38"/>
      <c r="M969" s="17"/>
    </row>
    <row r="970" spans="2:13" ht="14.45" customHeight="1" x14ac:dyDescent="0.25">
      <c r="B970" s="17"/>
      <c r="C970" s="14"/>
      <c r="D970" s="14"/>
      <c r="E970" s="18"/>
      <c r="F970" s="61"/>
      <c r="G970" s="73"/>
      <c r="H970" s="79"/>
      <c r="I970" s="79"/>
      <c r="J970" s="14"/>
      <c r="K970" s="38"/>
      <c r="L970" s="38"/>
      <c r="M970" s="17"/>
    </row>
    <row r="971" spans="2:13" ht="14.45" customHeight="1" x14ac:dyDescent="0.25">
      <c r="B971" s="17"/>
      <c r="C971" s="14"/>
      <c r="D971" s="14"/>
      <c r="E971" s="18"/>
      <c r="F971" s="61"/>
      <c r="G971" s="73"/>
      <c r="H971" s="79"/>
      <c r="I971" s="79"/>
      <c r="J971" s="14"/>
      <c r="K971" s="38"/>
      <c r="L971" s="38"/>
      <c r="M971" s="17"/>
    </row>
    <row r="972" spans="2:13" ht="14.45" customHeight="1" x14ac:dyDescent="0.25">
      <c r="B972" s="17"/>
      <c r="C972" s="14"/>
      <c r="D972" s="14"/>
      <c r="E972" s="18"/>
      <c r="F972" s="61"/>
      <c r="G972" s="73"/>
      <c r="H972" s="79"/>
      <c r="I972" s="79"/>
      <c r="J972" s="14"/>
      <c r="K972" s="38"/>
      <c r="L972" s="38"/>
      <c r="M972" s="17"/>
    </row>
    <row r="973" spans="2:13" ht="14.45" customHeight="1" x14ac:dyDescent="0.25">
      <c r="B973" s="17"/>
      <c r="C973" s="14"/>
      <c r="D973" s="14"/>
      <c r="E973" s="18"/>
      <c r="F973" s="61"/>
      <c r="G973" s="73"/>
      <c r="H973" s="79"/>
      <c r="I973" s="79"/>
      <c r="J973" s="14"/>
      <c r="K973" s="38"/>
      <c r="L973" s="38"/>
      <c r="M973" s="17"/>
    </row>
    <row r="974" spans="2:13" ht="14.45" customHeight="1" x14ac:dyDescent="0.25">
      <c r="B974" s="17"/>
      <c r="C974" s="14"/>
      <c r="D974" s="14"/>
      <c r="E974" s="18"/>
      <c r="F974" s="61"/>
      <c r="G974" s="73"/>
      <c r="H974" s="79"/>
      <c r="I974" s="79"/>
      <c r="J974" s="14"/>
      <c r="K974" s="38"/>
      <c r="L974" s="38"/>
      <c r="M974" s="17"/>
    </row>
    <row r="975" spans="2:13" ht="14.45" customHeight="1" x14ac:dyDescent="0.25">
      <c r="B975" s="17"/>
      <c r="C975" s="14"/>
      <c r="D975" s="14"/>
      <c r="E975" s="18"/>
      <c r="F975" s="61"/>
      <c r="G975" s="73"/>
      <c r="H975" s="79"/>
      <c r="I975" s="79"/>
      <c r="J975" s="14"/>
      <c r="K975" s="38"/>
      <c r="L975" s="38"/>
      <c r="M975" s="17"/>
    </row>
    <row r="976" spans="2:13" ht="14.45" customHeight="1" x14ac:dyDescent="0.25">
      <c r="B976" s="17"/>
      <c r="C976" s="14"/>
      <c r="D976" s="14"/>
      <c r="E976" s="18"/>
      <c r="F976" s="61"/>
      <c r="G976" s="73"/>
      <c r="H976" s="79"/>
      <c r="I976" s="79"/>
      <c r="J976" s="14"/>
      <c r="K976" s="38"/>
      <c r="L976" s="38"/>
      <c r="M976" s="17"/>
    </row>
    <row r="977" spans="2:13" ht="14.45" customHeight="1" x14ac:dyDescent="0.25">
      <c r="B977" s="17"/>
      <c r="C977" s="14"/>
      <c r="D977" s="14"/>
      <c r="E977" s="18"/>
      <c r="F977" s="61"/>
      <c r="G977" s="73"/>
      <c r="H977" s="79"/>
      <c r="I977" s="79"/>
      <c r="J977" s="14"/>
      <c r="K977" s="38"/>
      <c r="L977" s="38"/>
      <c r="M977" s="17"/>
    </row>
    <row r="978" spans="2:13" ht="14.45" customHeight="1" x14ac:dyDescent="0.25">
      <c r="B978" s="17"/>
      <c r="C978" s="14"/>
      <c r="D978" s="14"/>
      <c r="E978" s="18"/>
      <c r="F978" s="61"/>
      <c r="G978" s="73"/>
      <c r="H978" s="79"/>
      <c r="I978" s="79"/>
      <c r="J978" s="14"/>
      <c r="K978" s="38"/>
      <c r="L978" s="38"/>
      <c r="M978" s="17"/>
    </row>
    <row r="979" spans="2:13" ht="14.45" customHeight="1" x14ac:dyDescent="0.25">
      <c r="B979" s="17"/>
      <c r="C979" s="14"/>
      <c r="D979" s="14"/>
      <c r="E979" s="18"/>
      <c r="F979" s="61"/>
      <c r="G979" s="73"/>
      <c r="H979" s="79"/>
      <c r="I979" s="79"/>
      <c r="J979" s="14"/>
      <c r="K979" s="38"/>
      <c r="L979" s="38"/>
      <c r="M979" s="17"/>
    </row>
    <row r="980" spans="2:13" ht="14.45" customHeight="1" x14ac:dyDescent="0.25">
      <c r="B980" s="17"/>
      <c r="C980" s="14"/>
      <c r="D980" s="14"/>
      <c r="E980" s="18"/>
      <c r="F980" s="61"/>
      <c r="G980" s="73"/>
      <c r="H980" s="79"/>
      <c r="I980" s="79"/>
      <c r="J980" s="14"/>
      <c r="K980" s="38"/>
      <c r="L980" s="38"/>
      <c r="M980" s="17"/>
    </row>
    <row r="981" spans="2:13" ht="14.45" customHeight="1" x14ac:dyDescent="0.25">
      <c r="B981" s="17"/>
      <c r="C981" s="14"/>
      <c r="D981" s="14"/>
      <c r="E981" s="18"/>
      <c r="F981" s="61"/>
      <c r="G981" s="73"/>
      <c r="H981" s="79"/>
      <c r="I981" s="79"/>
      <c r="J981" s="14"/>
      <c r="K981" s="38"/>
      <c r="L981" s="38"/>
      <c r="M981" s="17"/>
    </row>
    <row r="982" spans="2:13" ht="14.45" customHeight="1" x14ac:dyDescent="0.25">
      <c r="B982" s="17"/>
      <c r="C982" s="14"/>
      <c r="D982" s="14"/>
      <c r="E982" s="18"/>
      <c r="F982" s="61"/>
      <c r="G982" s="73"/>
      <c r="H982" s="79"/>
      <c r="I982" s="79"/>
      <c r="J982" s="14"/>
      <c r="K982" s="38"/>
      <c r="L982" s="38"/>
      <c r="M982" s="17"/>
    </row>
    <row r="983" spans="2:13" ht="14.45" customHeight="1" x14ac:dyDescent="0.25">
      <c r="B983" s="17"/>
      <c r="C983" s="14"/>
      <c r="D983" s="14"/>
      <c r="E983" s="18"/>
      <c r="F983" s="61"/>
      <c r="G983" s="73"/>
      <c r="H983" s="79"/>
      <c r="I983" s="79"/>
      <c r="J983" s="14"/>
      <c r="K983" s="38"/>
      <c r="L983" s="38"/>
      <c r="M983" s="17"/>
    </row>
    <row r="984" spans="2:13" ht="14.45" customHeight="1" x14ac:dyDescent="0.25">
      <c r="B984" s="17"/>
      <c r="C984" s="14"/>
      <c r="D984" s="14"/>
      <c r="E984" s="18"/>
      <c r="F984" s="61"/>
      <c r="G984" s="73"/>
      <c r="H984" s="79"/>
      <c r="I984" s="79"/>
      <c r="J984" s="14"/>
      <c r="K984" s="38"/>
      <c r="L984" s="38"/>
      <c r="M984" s="17"/>
    </row>
    <row r="985" spans="2:13" ht="14.45" customHeight="1" x14ac:dyDescent="0.25">
      <c r="B985" s="17"/>
      <c r="C985" s="14"/>
      <c r="D985" s="14"/>
      <c r="E985" s="18"/>
      <c r="F985" s="61"/>
      <c r="G985" s="73"/>
      <c r="H985" s="79"/>
      <c r="I985" s="79"/>
      <c r="J985" s="14"/>
      <c r="K985" s="38"/>
      <c r="L985" s="38"/>
      <c r="M985" s="17"/>
    </row>
    <row r="986" spans="2:13" ht="14.45" customHeight="1" x14ac:dyDescent="0.25">
      <c r="B986" s="17"/>
      <c r="C986" s="14"/>
      <c r="D986" s="14"/>
      <c r="E986" s="18"/>
      <c r="F986" s="61"/>
      <c r="G986" s="73"/>
      <c r="H986" s="79"/>
      <c r="I986" s="79"/>
      <c r="J986" s="14"/>
      <c r="K986" s="38"/>
      <c r="L986" s="38"/>
      <c r="M986" s="17"/>
    </row>
    <row r="987" spans="2:13" ht="14.45" customHeight="1" x14ac:dyDescent="0.25">
      <c r="B987" s="17"/>
      <c r="C987" s="14"/>
      <c r="D987" s="14"/>
      <c r="E987" s="18"/>
      <c r="F987" s="61"/>
      <c r="G987" s="73"/>
      <c r="H987" s="79"/>
      <c r="I987" s="79"/>
      <c r="J987" s="14"/>
      <c r="K987" s="38"/>
      <c r="L987" s="38"/>
      <c r="M987" s="17"/>
    </row>
    <row r="988" spans="2:13" ht="14.45" customHeight="1" x14ac:dyDescent="0.25">
      <c r="B988" s="17"/>
      <c r="C988" s="14"/>
      <c r="D988" s="14"/>
      <c r="E988" s="18"/>
      <c r="F988" s="61"/>
      <c r="G988" s="73"/>
      <c r="H988" s="79"/>
      <c r="I988" s="79"/>
      <c r="J988" s="14"/>
      <c r="K988" s="38"/>
      <c r="L988" s="38"/>
      <c r="M988" s="17"/>
    </row>
    <row r="989" spans="2:13" ht="14.45" customHeight="1" x14ac:dyDescent="0.25">
      <c r="B989" s="17"/>
      <c r="C989" s="14"/>
      <c r="D989" s="14"/>
      <c r="E989" s="18"/>
      <c r="F989" s="61"/>
      <c r="G989" s="73"/>
      <c r="H989" s="79"/>
      <c r="I989" s="79"/>
      <c r="J989" s="14"/>
      <c r="K989" s="38"/>
      <c r="L989" s="38"/>
      <c r="M989" s="17"/>
    </row>
    <row r="990" spans="2:13" ht="14.45" customHeight="1" x14ac:dyDescent="0.25">
      <c r="B990" s="17"/>
      <c r="C990" s="14"/>
      <c r="D990" s="14"/>
      <c r="E990" s="18"/>
      <c r="F990" s="61"/>
      <c r="G990" s="73"/>
      <c r="H990" s="79"/>
      <c r="I990" s="79"/>
      <c r="J990" s="14"/>
      <c r="K990" s="38"/>
      <c r="L990" s="38"/>
      <c r="M990" s="17"/>
    </row>
    <row r="991" spans="2:13" ht="14.45" customHeight="1" x14ac:dyDescent="0.25">
      <c r="B991" s="17"/>
      <c r="C991" s="14"/>
      <c r="D991" s="14"/>
      <c r="E991" s="18"/>
      <c r="F991" s="61"/>
      <c r="G991" s="73"/>
      <c r="H991" s="79"/>
      <c r="I991" s="79"/>
      <c r="J991" s="14"/>
      <c r="K991" s="38"/>
      <c r="L991" s="38"/>
      <c r="M991" s="17"/>
    </row>
    <row r="992" spans="2:13" ht="14.45" customHeight="1" x14ac:dyDescent="0.25">
      <c r="B992" s="17"/>
      <c r="C992" s="14"/>
      <c r="D992" s="14"/>
      <c r="E992" s="18"/>
      <c r="F992" s="61"/>
      <c r="G992" s="73"/>
      <c r="H992" s="79"/>
      <c r="I992" s="79"/>
      <c r="J992" s="14"/>
      <c r="K992" s="38"/>
      <c r="L992" s="38"/>
      <c r="M992" s="17"/>
    </row>
    <row r="993" spans="2:13" ht="14.45" customHeight="1" x14ac:dyDescent="0.25">
      <c r="B993" s="17"/>
      <c r="C993" s="14"/>
      <c r="D993" s="14"/>
      <c r="E993" s="18"/>
      <c r="F993" s="61"/>
      <c r="G993" s="73"/>
      <c r="H993" s="79"/>
      <c r="I993" s="79"/>
      <c r="J993" s="14"/>
      <c r="K993" s="38"/>
      <c r="L993" s="38"/>
      <c r="M993" s="17"/>
    </row>
    <row r="994" spans="2:13" ht="14.45" customHeight="1" x14ac:dyDescent="0.25">
      <c r="B994" s="17"/>
      <c r="C994" s="14"/>
      <c r="D994" s="14"/>
      <c r="E994" s="18"/>
      <c r="F994" s="61"/>
      <c r="G994" s="73"/>
      <c r="H994" s="79"/>
      <c r="I994" s="79"/>
      <c r="J994" s="14"/>
      <c r="K994" s="38"/>
      <c r="L994" s="38"/>
      <c r="M994" s="17"/>
    </row>
    <row r="995" spans="2:13" ht="14.45" customHeight="1" x14ac:dyDescent="0.25">
      <c r="B995" s="17"/>
      <c r="C995" s="14"/>
      <c r="D995" s="14"/>
      <c r="E995" s="18"/>
      <c r="F995" s="61"/>
      <c r="G995" s="73"/>
      <c r="H995" s="79"/>
      <c r="I995" s="79"/>
      <c r="J995" s="14"/>
      <c r="K995" s="38"/>
      <c r="L995" s="38"/>
      <c r="M995" s="17"/>
    </row>
    <row r="996" spans="2:13" ht="14.45" customHeight="1" x14ac:dyDescent="0.25">
      <c r="B996" s="17"/>
      <c r="C996" s="14"/>
      <c r="D996" s="14"/>
      <c r="E996" s="18"/>
      <c r="F996" s="61"/>
      <c r="G996" s="73"/>
      <c r="H996" s="79"/>
      <c r="I996" s="79"/>
      <c r="J996" s="14"/>
      <c r="K996" s="38"/>
      <c r="L996" s="38"/>
      <c r="M996" s="17"/>
    </row>
    <row r="997" spans="2:13" ht="14.45" customHeight="1" x14ac:dyDescent="0.25">
      <c r="B997" s="17"/>
      <c r="C997" s="14"/>
      <c r="D997" s="14"/>
      <c r="E997" s="18"/>
      <c r="F997" s="61"/>
      <c r="G997" s="73"/>
      <c r="H997" s="79"/>
      <c r="I997" s="79"/>
      <c r="J997" s="14"/>
      <c r="K997" s="38"/>
      <c r="L997" s="38"/>
      <c r="M997" s="17"/>
    </row>
    <row r="998" spans="2:13" ht="14.45" customHeight="1" x14ac:dyDescent="0.25">
      <c r="B998" s="17"/>
      <c r="C998" s="14"/>
      <c r="D998" s="14"/>
      <c r="E998" s="18"/>
      <c r="F998" s="61"/>
      <c r="G998" s="73"/>
      <c r="H998" s="79"/>
      <c r="I998" s="79"/>
      <c r="J998" s="14"/>
      <c r="K998" s="38"/>
      <c r="L998" s="38"/>
      <c r="M998" s="17"/>
    </row>
    <row r="999" spans="2:13" ht="14.45" customHeight="1" x14ac:dyDescent="0.25">
      <c r="B999" s="17"/>
      <c r="C999" s="14"/>
      <c r="D999" s="14"/>
      <c r="E999" s="18"/>
      <c r="F999" s="61"/>
      <c r="G999" s="73"/>
      <c r="H999" s="79"/>
      <c r="I999" s="79"/>
      <c r="J999" s="14"/>
      <c r="K999" s="38"/>
      <c r="L999" s="38"/>
      <c r="M999" s="17"/>
    </row>
    <row r="1000" spans="2:13" ht="14.45" customHeight="1" x14ac:dyDescent="0.25">
      <c r="B1000" s="17"/>
      <c r="C1000" s="14"/>
      <c r="D1000" s="14"/>
      <c r="E1000" s="18"/>
      <c r="F1000" s="61"/>
      <c r="G1000" s="73"/>
      <c r="H1000" s="79"/>
      <c r="I1000" s="79"/>
      <c r="J1000" s="14"/>
      <c r="K1000" s="38"/>
      <c r="L1000" s="38"/>
      <c r="M1000" s="17"/>
    </row>
  </sheetData>
  <sheetProtection algorithmName="SHA-512" hashValue="Th2Ck2FNgegSYS17MQ351HjYTGfodX5xIg1hvceUROGFW7hVwreZbTHWnPSZCEZ6eC1T/NESopF+79IylbamIQ==" saltValue="II+ft6h6PE2YWwCDod0jDg==" spinCount="100000" sheet="1" objects="1" scenarios="1"/>
  <mergeCells count="2">
    <mergeCell ref="C10:F10"/>
    <mergeCell ref="H10:I10"/>
  </mergeCells>
  <conditionalFormatting sqref="M10 H10">
    <cfRule type="cellIs" dxfId="96" priority="2" operator="greaterThanOrEqual">
      <formula>6750</formula>
    </cfRule>
  </conditionalFormatting>
  <conditionalFormatting sqref="K13:K1000">
    <cfRule type="cellIs" dxfId="95" priority="1" operator="lessThan">
      <formula>0</formula>
    </cfRule>
  </conditionalFormatting>
  <dataValidations count="1">
    <dataValidation type="list" allowBlank="1" showInputMessage="1" showErrorMessage="1" sqref="H13:H1000" xr:uid="{AB2CC4F4-369D-4720-8DF8-AB54C273DCB0}">
      <formula1>"Ativa,Cancelada"</formula1>
    </dataValidation>
  </dataValidations>
  <printOptions horizontalCentered="1"/>
  <pageMargins left="0.19685039370078741" right="0.19685039370078741" top="0.39370078740157483" bottom="0.78740157480314965" header="0.31496062992125984" footer="0.31496062992125984"/>
  <pageSetup paperSize="9" scale="54" fitToHeight="50" orientation="portrait" r:id="rId1"/>
  <headerFooter>
    <oddHeader>&amp;L&amp;"Calibri"&amp;12&amp;K008000 Documento Público&amp;1#_x000D_</oddHeader>
    <oddFooter>Página &amp;P de &amp;N</oddFooter>
  </headerFooter>
  <rowBreaks count="1" manualBreakCount="1">
    <brk id="63" min="1" max="5" man="1"/>
  </rowBreaks>
  <drawing r:id="rId2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7EA456-4C3B-4CC4-9A08-201A8F52EC1C}">
  <sheetPr codeName="Planilha13">
    <tabColor theme="8" tint="-0.499984740745262"/>
    <pageSetUpPr fitToPage="1"/>
  </sheetPr>
  <dimension ref="A1:Q1000"/>
  <sheetViews>
    <sheetView showGridLines="0" showRowColHeaders="0" zoomScaleNormal="100" workbookViewId="0">
      <pane ySplit="12" topLeftCell="A13" activePane="bottomLeft" state="frozen"/>
      <selection activeCell="D23" sqref="D23"/>
      <selection pane="bottomLeft" activeCell="H10" sqref="H10:I10"/>
    </sheetView>
  </sheetViews>
  <sheetFormatPr defaultColWidth="0" defaultRowHeight="14.45" customHeight="1" x14ac:dyDescent="0.25"/>
  <cols>
    <col min="1" max="1" width="1.7109375" customWidth="1"/>
    <col min="2" max="2" width="15.28515625" customWidth="1"/>
    <col min="3" max="3" width="35.85546875" customWidth="1"/>
    <col min="4" max="4" width="20.7109375" customWidth="1"/>
    <col min="5" max="5" width="42.28515625" customWidth="1"/>
    <col min="6" max="6" width="25.7109375" customWidth="1"/>
    <col min="7" max="7" width="12.28515625" bestFit="1" customWidth="1"/>
    <col min="8" max="8" width="12.28515625" customWidth="1"/>
    <col min="9" max="9" width="21.42578125" bestFit="1" customWidth="1"/>
    <col min="10" max="10" width="16.140625" customWidth="1"/>
    <col min="11" max="11" width="13" customWidth="1"/>
    <col min="12" max="12" width="11.28515625" customWidth="1"/>
    <col min="13" max="13" width="18.28515625" customWidth="1"/>
    <col min="14" max="14" width="5.7109375" customWidth="1"/>
    <col min="15" max="15" width="25" hidden="1" customWidth="1"/>
    <col min="16" max="16" width="6.7109375" hidden="1" customWidth="1"/>
    <col min="17" max="17" width="3.85546875" hidden="1" customWidth="1"/>
    <col min="18" max="16384" width="8.85546875" hidden="1"/>
  </cols>
  <sheetData>
    <row r="1" spans="2:13" ht="15" x14ac:dyDescent="0.25"/>
    <row r="2" spans="2:13" ht="15" x14ac:dyDescent="0.25"/>
    <row r="3" spans="2:13" ht="15" x14ac:dyDescent="0.25">
      <c r="J3" s="9" t="str">
        <f>IF(H10&gt;=6750,"ATENÇÃO: Você atingiu o limite de faturamento mensal de R$ 6.750,00",IF(H10&gt;=6000,"O limite de faturamento mensal de R$ 6.750,00 está quase sendo atingido.",""))</f>
        <v/>
      </c>
    </row>
    <row r="4" spans="2:13" ht="1.9" customHeight="1" x14ac:dyDescent="0.25"/>
    <row r="5" spans="2:13" s="1" customFormat="1" ht="4.9000000000000004" customHeight="1" x14ac:dyDescent="0.25"/>
    <row r="6" spans="2:13" ht="3" customHeight="1" x14ac:dyDescent="0.25"/>
    <row r="7" spans="2:13" s="1" customFormat="1" ht="4.9000000000000004" customHeight="1" x14ac:dyDescent="0.25"/>
    <row r="8" spans="2:13" ht="1.9" customHeight="1" x14ac:dyDescent="0.25"/>
    <row r="9" spans="2:13" ht="30" customHeight="1" x14ac:dyDescent="0.25"/>
    <row r="10" spans="2:13" ht="34.9" customHeight="1" x14ac:dyDescent="0.25">
      <c r="B10" s="4" t="s">
        <v>0</v>
      </c>
      <c r="C10" s="94" t="str">
        <f>Menu!G26</f>
        <v>Empresa ABCDE</v>
      </c>
      <c r="D10" s="95"/>
      <c r="E10" s="95"/>
      <c r="F10" s="95"/>
      <c r="G10" s="87"/>
      <c r="H10" s="93">
        <f>SUMIF(SET[Status Nota Fiscal],"Ativa",SET[Valor da Parcela a Receber])</f>
        <v>0</v>
      </c>
      <c r="I10" s="93"/>
      <c r="J10" s="85"/>
      <c r="M10" s="86"/>
    </row>
    <row r="11" spans="2:13" ht="4.9000000000000004" customHeight="1" x14ac:dyDescent="0.25"/>
    <row r="12" spans="2:13" ht="30" customHeight="1" x14ac:dyDescent="0.25">
      <c r="B12" s="5" t="s">
        <v>2</v>
      </c>
      <c r="C12" s="6" t="s">
        <v>3</v>
      </c>
      <c r="D12" s="6" t="s">
        <v>4</v>
      </c>
      <c r="E12" s="6" t="s">
        <v>5</v>
      </c>
      <c r="F12" s="7" t="s">
        <v>6</v>
      </c>
      <c r="G12" s="7" t="s">
        <v>7</v>
      </c>
      <c r="H12" s="7" t="s">
        <v>8</v>
      </c>
      <c r="I12" s="7" t="s">
        <v>9</v>
      </c>
      <c r="J12" s="7" t="s">
        <v>10</v>
      </c>
      <c r="K12" s="7" t="s">
        <v>11</v>
      </c>
      <c r="L12" s="7" t="s">
        <v>12</v>
      </c>
      <c r="M12" s="8" t="s">
        <v>13</v>
      </c>
    </row>
    <row r="13" spans="2:13" ht="14.45" customHeight="1" x14ac:dyDescent="0.25">
      <c r="B13" s="24"/>
      <c r="C13" s="25"/>
      <c r="D13" s="25"/>
      <c r="E13" s="25"/>
      <c r="F13" s="26"/>
      <c r="G13" s="62"/>
      <c r="H13" s="62"/>
      <c r="I13" s="62"/>
      <c r="J13" s="27"/>
      <c r="K13" s="28"/>
      <c r="L13" s="28"/>
      <c r="M13" s="29"/>
    </row>
    <row r="14" spans="2:13" ht="14.45" customHeight="1" x14ac:dyDescent="0.25">
      <c r="B14" s="30"/>
      <c r="C14" s="31"/>
      <c r="D14" s="31"/>
      <c r="E14" s="31"/>
      <c r="F14" s="32"/>
      <c r="G14" s="63"/>
      <c r="H14" s="63"/>
      <c r="I14" s="63"/>
      <c r="J14" s="33"/>
      <c r="K14" s="34"/>
      <c r="L14" s="34"/>
      <c r="M14" s="35"/>
    </row>
    <row r="15" spans="2:13" ht="14.45" customHeight="1" x14ac:dyDescent="0.25">
      <c r="B15" s="36"/>
      <c r="C15" s="14"/>
      <c r="D15" s="14"/>
      <c r="E15" s="18"/>
      <c r="F15" s="20"/>
      <c r="G15" s="64"/>
      <c r="H15" s="68"/>
      <c r="I15" s="68"/>
      <c r="J15" s="37"/>
      <c r="K15" s="38"/>
      <c r="L15" s="38"/>
      <c r="M15" s="36"/>
    </row>
    <row r="16" spans="2:13" ht="14.45" customHeight="1" x14ac:dyDescent="0.25">
      <c r="B16" s="17"/>
      <c r="C16" s="14"/>
      <c r="D16" s="14"/>
      <c r="E16" s="18"/>
      <c r="F16" s="20"/>
      <c r="G16" s="64"/>
      <c r="H16" s="68"/>
      <c r="I16" s="68"/>
      <c r="J16" s="15"/>
      <c r="K16" s="38"/>
      <c r="L16" s="38"/>
      <c r="M16" s="17"/>
    </row>
    <row r="17" spans="2:13" ht="14.45" customHeight="1" x14ac:dyDescent="0.25">
      <c r="B17" s="17"/>
      <c r="C17" s="14"/>
      <c r="D17" s="14"/>
      <c r="E17" s="18"/>
      <c r="F17" s="20"/>
      <c r="G17" s="64"/>
      <c r="H17" s="68"/>
      <c r="I17" s="68"/>
      <c r="J17" s="15"/>
      <c r="K17" s="38"/>
      <c r="L17" s="38"/>
      <c r="M17" s="17"/>
    </row>
    <row r="18" spans="2:13" ht="14.45" customHeight="1" x14ac:dyDescent="0.25">
      <c r="B18" s="17"/>
      <c r="C18" s="14"/>
      <c r="D18" s="14"/>
      <c r="E18" s="18"/>
      <c r="F18" s="20"/>
      <c r="G18" s="64"/>
      <c r="H18" s="68"/>
      <c r="I18" s="68"/>
      <c r="J18" s="15"/>
      <c r="K18" s="38"/>
      <c r="L18" s="38"/>
      <c r="M18" s="17"/>
    </row>
    <row r="19" spans="2:13" ht="14.45" customHeight="1" x14ac:dyDescent="0.25">
      <c r="B19" s="17"/>
      <c r="C19" s="14"/>
      <c r="D19" s="14"/>
      <c r="E19" s="18"/>
      <c r="F19" s="20"/>
      <c r="G19" s="64"/>
      <c r="H19" s="68"/>
      <c r="I19" s="68"/>
      <c r="J19" s="15"/>
      <c r="K19" s="38"/>
      <c r="L19" s="38"/>
      <c r="M19" s="17"/>
    </row>
    <row r="20" spans="2:13" ht="14.45" customHeight="1" x14ac:dyDescent="0.25">
      <c r="B20" s="17"/>
      <c r="C20" s="14"/>
      <c r="D20" s="14"/>
      <c r="E20" s="18"/>
      <c r="F20" s="20"/>
      <c r="G20" s="64"/>
      <c r="H20" s="68"/>
      <c r="I20" s="68"/>
      <c r="J20" s="15"/>
      <c r="K20" s="38"/>
      <c r="L20" s="38"/>
      <c r="M20" s="17"/>
    </row>
    <row r="21" spans="2:13" ht="14.45" customHeight="1" x14ac:dyDescent="0.25">
      <c r="B21" s="17"/>
      <c r="C21" s="14"/>
      <c r="D21" s="14"/>
      <c r="E21" s="18"/>
      <c r="F21" s="20"/>
      <c r="G21" s="64"/>
      <c r="H21" s="68"/>
      <c r="I21" s="68"/>
      <c r="J21" s="15"/>
      <c r="K21" s="38"/>
      <c r="L21" s="38"/>
      <c r="M21" s="17"/>
    </row>
    <row r="22" spans="2:13" ht="14.45" customHeight="1" x14ac:dyDescent="0.25">
      <c r="B22" s="17"/>
      <c r="C22" s="14"/>
      <c r="D22" s="14"/>
      <c r="E22" s="18"/>
      <c r="F22" s="20"/>
      <c r="G22" s="64"/>
      <c r="H22" s="68"/>
      <c r="I22" s="68"/>
      <c r="J22" s="15"/>
      <c r="K22" s="38"/>
      <c r="L22" s="38"/>
      <c r="M22" s="17"/>
    </row>
    <row r="23" spans="2:13" ht="14.45" customHeight="1" x14ac:dyDescent="0.25">
      <c r="B23" s="17"/>
      <c r="C23" s="14"/>
      <c r="D23" s="14"/>
      <c r="E23" s="18"/>
      <c r="F23" s="20"/>
      <c r="G23" s="64"/>
      <c r="H23" s="68"/>
      <c r="I23" s="68"/>
      <c r="J23" s="15"/>
      <c r="K23" s="38"/>
      <c r="L23" s="38"/>
      <c r="M23" s="17"/>
    </row>
    <row r="24" spans="2:13" ht="14.45" customHeight="1" x14ac:dyDescent="0.25">
      <c r="B24" s="17"/>
      <c r="C24" s="14"/>
      <c r="D24" s="14"/>
      <c r="E24" s="18"/>
      <c r="F24" s="20"/>
      <c r="G24" s="64"/>
      <c r="H24" s="68"/>
      <c r="I24" s="68"/>
      <c r="J24" s="15"/>
      <c r="K24" s="38"/>
      <c r="L24" s="38"/>
      <c r="M24" s="17"/>
    </row>
    <row r="25" spans="2:13" ht="14.45" customHeight="1" x14ac:dyDescent="0.25">
      <c r="B25" s="17"/>
      <c r="C25" s="14"/>
      <c r="D25" s="14"/>
      <c r="E25" s="18"/>
      <c r="F25" s="20"/>
      <c r="G25" s="64"/>
      <c r="H25" s="68"/>
      <c r="I25" s="68"/>
      <c r="J25" s="15"/>
      <c r="K25" s="38"/>
      <c r="L25" s="38"/>
      <c r="M25" s="17"/>
    </row>
    <row r="26" spans="2:13" ht="14.45" customHeight="1" x14ac:dyDescent="0.25">
      <c r="B26" s="17"/>
      <c r="C26" s="14"/>
      <c r="D26" s="14"/>
      <c r="E26" s="18"/>
      <c r="F26" s="20"/>
      <c r="G26" s="64"/>
      <c r="H26" s="68"/>
      <c r="I26" s="68"/>
      <c r="J26" s="15"/>
      <c r="K26" s="38"/>
      <c r="L26" s="38"/>
      <c r="M26" s="17"/>
    </row>
    <row r="27" spans="2:13" ht="14.45" customHeight="1" x14ac:dyDescent="0.25">
      <c r="B27" s="17"/>
      <c r="C27" s="14"/>
      <c r="D27" s="14"/>
      <c r="E27" s="18"/>
      <c r="F27" s="20"/>
      <c r="G27" s="64"/>
      <c r="H27" s="68"/>
      <c r="I27" s="68"/>
      <c r="J27" s="15"/>
      <c r="K27" s="38"/>
      <c r="L27" s="38"/>
      <c r="M27" s="17"/>
    </row>
    <row r="28" spans="2:13" ht="14.45" customHeight="1" x14ac:dyDescent="0.25">
      <c r="B28" s="17"/>
      <c r="C28" s="14"/>
      <c r="D28" s="14"/>
      <c r="E28" s="18"/>
      <c r="F28" s="20"/>
      <c r="G28" s="64"/>
      <c r="H28" s="68"/>
      <c r="I28" s="68"/>
      <c r="J28" s="15"/>
      <c r="K28" s="38"/>
      <c r="L28" s="38"/>
      <c r="M28" s="17"/>
    </row>
    <row r="29" spans="2:13" ht="14.45" customHeight="1" x14ac:dyDescent="0.25">
      <c r="B29" s="17"/>
      <c r="C29" s="14"/>
      <c r="D29" s="14"/>
      <c r="E29" s="18"/>
      <c r="F29" s="20"/>
      <c r="G29" s="64"/>
      <c r="H29" s="68"/>
      <c r="I29" s="68"/>
      <c r="J29" s="15"/>
      <c r="K29" s="38"/>
      <c r="L29" s="38"/>
      <c r="M29" s="17"/>
    </row>
    <row r="30" spans="2:13" ht="14.45" customHeight="1" x14ac:dyDescent="0.25">
      <c r="B30" s="17"/>
      <c r="C30" s="14"/>
      <c r="D30" s="14"/>
      <c r="E30" s="18"/>
      <c r="F30" s="20"/>
      <c r="G30" s="64"/>
      <c r="H30" s="68"/>
      <c r="I30" s="68"/>
      <c r="J30" s="15"/>
      <c r="K30" s="38"/>
      <c r="L30" s="38"/>
      <c r="M30" s="17"/>
    </row>
    <row r="31" spans="2:13" ht="14.45" customHeight="1" x14ac:dyDescent="0.25">
      <c r="B31" s="17"/>
      <c r="C31" s="14"/>
      <c r="D31" s="14"/>
      <c r="E31" s="18"/>
      <c r="F31" s="20"/>
      <c r="G31" s="64"/>
      <c r="H31" s="68"/>
      <c r="I31" s="68"/>
      <c r="J31" s="15"/>
      <c r="K31" s="38"/>
      <c r="L31" s="38"/>
      <c r="M31" s="17"/>
    </row>
    <row r="32" spans="2:13" ht="14.45" customHeight="1" x14ac:dyDescent="0.25">
      <c r="B32" s="17"/>
      <c r="C32" s="14"/>
      <c r="D32" s="14"/>
      <c r="E32" s="18"/>
      <c r="F32" s="20"/>
      <c r="G32" s="64"/>
      <c r="H32" s="68"/>
      <c r="I32" s="68"/>
      <c r="J32" s="15"/>
      <c r="K32" s="38"/>
      <c r="L32" s="38"/>
      <c r="M32" s="17"/>
    </row>
    <row r="33" spans="2:13" ht="14.45" customHeight="1" x14ac:dyDescent="0.25">
      <c r="B33" s="17"/>
      <c r="C33" s="14"/>
      <c r="D33" s="14"/>
      <c r="E33" s="18"/>
      <c r="F33" s="20"/>
      <c r="G33" s="64"/>
      <c r="H33" s="68"/>
      <c r="I33" s="68"/>
      <c r="J33" s="15"/>
      <c r="K33" s="38"/>
      <c r="L33" s="38"/>
      <c r="M33" s="17"/>
    </row>
    <row r="34" spans="2:13" ht="14.45" customHeight="1" x14ac:dyDescent="0.25">
      <c r="B34" s="17"/>
      <c r="C34" s="14"/>
      <c r="D34" s="14"/>
      <c r="E34" s="18"/>
      <c r="F34" s="20"/>
      <c r="G34" s="64"/>
      <c r="H34" s="68"/>
      <c r="I34" s="68"/>
      <c r="J34" s="15"/>
      <c r="K34" s="38"/>
      <c r="L34" s="38"/>
      <c r="M34" s="17"/>
    </row>
    <row r="35" spans="2:13" ht="14.45" customHeight="1" x14ac:dyDescent="0.25">
      <c r="B35" s="39"/>
      <c r="C35" s="40"/>
      <c r="D35" s="40"/>
      <c r="E35" s="41"/>
      <c r="F35" s="42"/>
      <c r="G35" s="65"/>
      <c r="H35" s="70"/>
      <c r="I35" s="70"/>
      <c r="J35" s="43"/>
      <c r="K35" s="38"/>
      <c r="L35" s="38"/>
      <c r="M35" s="17"/>
    </row>
    <row r="36" spans="2:13" ht="14.45" customHeight="1" x14ac:dyDescent="0.25">
      <c r="B36" s="17"/>
      <c r="C36" s="14"/>
      <c r="D36" s="14"/>
      <c r="E36" s="18"/>
      <c r="F36" s="20"/>
      <c r="G36" s="64"/>
      <c r="H36" s="68"/>
      <c r="I36" s="68"/>
      <c r="J36" s="14"/>
      <c r="K36" s="38"/>
      <c r="L36" s="38"/>
      <c r="M36" s="17"/>
    </row>
    <row r="37" spans="2:13" ht="14.45" customHeight="1" x14ac:dyDescent="0.25">
      <c r="B37" s="39"/>
      <c r="C37" s="40"/>
      <c r="D37" s="40"/>
      <c r="E37" s="41"/>
      <c r="F37" s="42"/>
      <c r="G37" s="65"/>
      <c r="H37" s="70"/>
      <c r="I37" s="70"/>
      <c r="J37" s="40"/>
      <c r="K37" s="38"/>
      <c r="L37" s="38"/>
      <c r="M37" s="17"/>
    </row>
    <row r="38" spans="2:13" ht="14.45" customHeight="1" x14ac:dyDescent="0.25">
      <c r="B38" s="44"/>
      <c r="C38" s="45"/>
      <c r="D38" s="45"/>
      <c r="E38" s="46"/>
      <c r="F38" s="47"/>
      <c r="G38" s="66"/>
      <c r="H38" s="77"/>
      <c r="I38" s="77"/>
      <c r="J38" s="45"/>
      <c r="K38" s="38"/>
      <c r="L38" s="38"/>
      <c r="M38" s="17"/>
    </row>
    <row r="39" spans="2:13" ht="14.45" customHeight="1" x14ac:dyDescent="0.25">
      <c r="B39" s="39"/>
      <c r="C39" s="48"/>
      <c r="D39" s="48"/>
      <c r="E39" s="49"/>
      <c r="F39" s="50"/>
      <c r="G39" s="67"/>
      <c r="H39" s="67"/>
      <c r="I39" s="67"/>
      <c r="J39" s="51"/>
      <c r="K39" s="38"/>
      <c r="L39" s="38"/>
      <c r="M39" s="17"/>
    </row>
    <row r="40" spans="2:13" ht="14.45" customHeight="1" x14ac:dyDescent="0.25">
      <c r="B40" s="17"/>
      <c r="C40" s="14"/>
      <c r="D40" s="14"/>
      <c r="E40" s="19"/>
      <c r="F40" s="21"/>
      <c r="G40" s="68"/>
      <c r="H40" s="68"/>
      <c r="I40" s="68"/>
      <c r="J40" s="52"/>
      <c r="K40" s="38"/>
      <c r="L40" s="38"/>
      <c r="M40" s="17"/>
    </row>
    <row r="41" spans="2:13" ht="14.45" customHeight="1" x14ac:dyDescent="0.25">
      <c r="B41" s="17"/>
      <c r="C41" s="14"/>
      <c r="D41" s="14"/>
      <c r="E41" s="19"/>
      <c r="F41" s="21"/>
      <c r="G41" s="68"/>
      <c r="H41" s="68"/>
      <c r="I41" s="68"/>
      <c r="J41" s="52"/>
      <c r="K41" s="38"/>
      <c r="L41" s="38"/>
      <c r="M41" s="17"/>
    </row>
    <row r="42" spans="2:13" ht="14.45" customHeight="1" x14ac:dyDescent="0.25">
      <c r="B42" s="17"/>
      <c r="C42" s="14"/>
      <c r="D42" s="14"/>
      <c r="E42" s="19"/>
      <c r="F42" s="21"/>
      <c r="G42" s="68"/>
      <c r="H42" s="68"/>
      <c r="I42" s="68"/>
      <c r="J42" s="52"/>
      <c r="K42" s="38"/>
      <c r="L42" s="38"/>
      <c r="M42" s="17"/>
    </row>
    <row r="43" spans="2:13" ht="14.45" customHeight="1" x14ac:dyDescent="0.25">
      <c r="B43" s="17"/>
      <c r="C43" s="14"/>
      <c r="D43" s="14"/>
      <c r="E43" s="19"/>
      <c r="F43" s="21"/>
      <c r="G43" s="68"/>
      <c r="H43" s="68"/>
      <c r="I43" s="68"/>
      <c r="J43" s="52"/>
      <c r="K43" s="38"/>
      <c r="L43" s="38"/>
      <c r="M43" s="17"/>
    </row>
    <row r="44" spans="2:13" ht="14.45" customHeight="1" x14ac:dyDescent="0.25">
      <c r="B44" s="17"/>
      <c r="C44" s="14"/>
      <c r="D44" s="14"/>
      <c r="E44" s="19"/>
      <c r="F44" s="21"/>
      <c r="G44" s="68"/>
      <c r="H44" s="68"/>
      <c r="I44" s="68"/>
      <c r="J44" s="52"/>
      <c r="K44" s="38"/>
      <c r="L44" s="38"/>
      <c r="M44" s="17"/>
    </row>
    <row r="45" spans="2:13" ht="14.45" customHeight="1" x14ac:dyDescent="0.25">
      <c r="B45" s="17"/>
      <c r="C45" s="14"/>
      <c r="D45" s="14"/>
      <c r="E45" s="19"/>
      <c r="F45" s="21"/>
      <c r="G45" s="68"/>
      <c r="H45" s="68"/>
      <c r="I45" s="68"/>
      <c r="J45" s="52"/>
      <c r="K45" s="38"/>
      <c r="L45" s="38"/>
      <c r="M45" s="17"/>
    </row>
    <row r="46" spans="2:13" ht="14.45" customHeight="1" x14ac:dyDescent="0.25">
      <c r="B46" s="17"/>
      <c r="C46" s="14"/>
      <c r="D46" s="14"/>
      <c r="E46" s="19"/>
      <c r="F46" s="21"/>
      <c r="G46" s="68"/>
      <c r="H46" s="68"/>
      <c r="I46" s="68"/>
      <c r="J46" s="52"/>
      <c r="K46" s="38"/>
      <c r="L46" s="38"/>
      <c r="M46" s="17"/>
    </row>
    <row r="47" spans="2:13" ht="14.45" customHeight="1" x14ac:dyDescent="0.25">
      <c r="B47" s="17"/>
      <c r="C47" s="14"/>
      <c r="D47" s="14"/>
      <c r="E47" s="19"/>
      <c r="F47" s="21"/>
      <c r="G47" s="68"/>
      <c r="H47" s="68"/>
      <c r="I47" s="68"/>
      <c r="J47" s="52"/>
      <c r="K47" s="38"/>
      <c r="L47" s="38"/>
      <c r="M47" s="17"/>
    </row>
    <row r="48" spans="2:13" ht="14.45" customHeight="1" x14ac:dyDescent="0.25">
      <c r="B48" s="17"/>
      <c r="C48" s="14"/>
      <c r="D48" s="14"/>
      <c r="E48" s="19"/>
      <c r="F48" s="21"/>
      <c r="G48" s="68"/>
      <c r="H48" s="68"/>
      <c r="I48" s="68"/>
      <c r="J48" s="52"/>
      <c r="K48" s="38"/>
      <c r="L48" s="38"/>
      <c r="M48" s="17"/>
    </row>
    <row r="49" spans="2:13" ht="14.45" customHeight="1" x14ac:dyDescent="0.25">
      <c r="B49" s="17"/>
      <c r="C49" s="14"/>
      <c r="D49" s="14"/>
      <c r="E49" s="19"/>
      <c r="F49" s="21"/>
      <c r="G49" s="68"/>
      <c r="H49" s="68"/>
      <c r="I49" s="68"/>
      <c r="J49" s="52"/>
      <c r="K49" s="38"/>
      <c r="L49" s="38"/>
      <c r="M49" s="17"/>
    </row>
    <row r="50" spans="2:13" ht="14.45" customHeight="1" x14ac:dyDescent="0.25">
      <c r="B50" s="53"/>
      <c r="C50" s="40"/>
      <c r="D50" s="40"/>
      <c r="E50" s="54"/>
      <c r="F50" s="55"/>
      <c r="G50" s="69"/>
      <c r="H50" s="78"/>
      <c r="I50" s="78"/>
      <c r="J50" s="56"/>
      <c r="K50" s="38"/>
      <c r="L50" s="38"/>
      <c r="M50" s="17"/>
    </row>
    <row r="51" spans="2:13" ht="14.45" customHeight="1" x14ac:dyDescent="0.25">
      <c r="B51" s="44"/>
      <c r="C51" s="45"/>
      <c r="D51" s="45"/>
      <c r="E51" s="46"/>
      <c r="F51" s="47"/>
      <c r="G51" s="66"/>
      <c r="H51" s="77"/>
      <c r="I51" s="77"/>
      <c r="J51" s="45"/>
      <c r="K51" s="38"/>
      <c r="L51" s="38"/>
      <c r="M51" s="17"/>
    </row>
    <row r="52" spans="2:13" ht="14.45" customHeight="1" x14ac:dyDescent="0.25">
      <c r="B52" s="39"/>
      <c r="C52" s="48"/>
      <c r="D52" s="48"/>
      <c r="E52" s="49"/>
      <c r="F52" s="50"/>
      <c r="G52" s="67"/>
      <c r="H52" s="67"/>
      <c r="I52" s="67"/>
      <c r="J52" s="51"/>
      <c r="K52" s="38"/>
      <c r="L52" s="38"/>
      <c r="M52" s="17"/>
    </row>
    <row r="53" spans="2:13" ht="14.45" customHeight="1" x14ac:dyDescent="0.25">
      <c r="B53" s="17"/>
      <c r="C53" s="14"/>
      <c r="D53" s="14"/>
      <c r="E53" s="19"/>
      <c r="F53" s="21"/>
      <c r="G53" s="68"/>
      <c r="H53" s="68"/>
      <c r="I53" s="68"/>
      <c r="J53" s="52"/>
      <c r="K53" s="38"/>
      <c r="L53" s="38"/>
      <c r="M53" s="17"/>
    </row>
    <row r="54" spans="2:13" ht="14.45" customHeight="1" x14ac:dyDescent="0.25">
      <c r="B54" s="17"/>
      <c r="C54" s="14"/>
      <c r="D54" s="14"/>
      <c r="E54" s="19"/>
      <c r="F54" s="21"/>
      <c r="G54" s="68"/>
      <c r="H54" s="68"/>
      <c r="I54" s="68"/>
      <c r="J54" s="52"/>
      <c r="K54" s="38"/>
      <c r="L54" s="38"/>
      <c r="M54" s="17"/>
    </row>
    <row r="55" spans="2:13" ht="14.45" customHeight="1" x14ac:dyDescent="0.25">
      <c r="B55" s="17"/>
      <c r="C55" s="14"/>
      <c r="D55" s="14"/>
      <c r="E55" s="19"/>
      <c r="F55" s="21"/>
      <c r="G55" s="68"/>
      <c r="H55" s="68"/>
      <c r="I55" s="68"/>
      <c r="J55" s="52"/>
      <c r="K55" s="38"/>
      <c r="L55" s="38"/>
      <c r="M55" s="17"/>
    </row>
    <row r="56" spans="2:13" ht="14.45" customHeight="1" x14ac:dyDescent="0.25">
      <c r="B56" s="17"/>
      <c r="C56" s="14"/>
      <c r="D56" s="14"/>
      <c r="E56" s="19"/>
      <c r="F56" s="21"/>
      <c r="G56" s="68"/>
      <c r="H56" s="68"/>
      <c r="I56" s="68"/>
      <c r="J56" s="52"/>
      <c r="K56" s="38"/>
      <c r="L56" s="38"/>
      <c r="M56" s="17"/>
    </row>
    <row r="57" spans="2:13" ht="14.45" customHeight="1" x14ac:dyDescent="0.25">
      <c r="B57" s="17"/>
      <c r="C57" s="14"/>
      <c r="D57" s="14"/>
      <c r="E57" s="19"/>
      <c r="F57" s="21"/>
      <c r="G57" s="68"/>
      <c r="H57" s="68"/>
      <c r="I57" s="68"/>
      <c r="J57" s="52"/>
      <c r="K57" s="38"/>
      <c r="L57" s="38"/>
      <c r="M57" s="17"/>
    </row>
    <row r="58" spans="2:13" ht="14.45" customHeight="1" x14ac:dyDescent="0.25">
      <c r="B58" s="17"/>
      <c r="C58" s="14"/>
      <c r="D58" s="14"/>
      <c r="E58" s="19"/>
      <c r="F58" s="21"/>
      <c r="G58" s="68"/>
      <c r="H58" s="68"/>
      <c r="I58" s="68"/>
      <c r="J58" s="52"/>
      <c r="K58" s="38"/>
      <c r="L58" s="38"/>
      <c r="M58" s="17"/>
    </row>
    <row r="59" spans="2:13" ht="14.45" customHeight="1" x14ac:dyDescent="0.25">
      <c r="B59" s="17"/>
      <c r="C59" s="14"/>
      <c r="D59" s="14"/>
      <c r="E59" s="19"/>
      <c r="F59" s="21"/>
      <c r="G59" s="68"/>
      <c r="H59" s="68"/>
      <c r="I59" s="68"/>
      <c r="J59" s="52"/>
      <c r="K59" s="38"/>
      <c r="L59" s="38"/>
      <c r="M59" s="17"/>
    </row>
    <row r="60" spans="2:13" ht="14.45" customHeight="1" x14ac:dyDescent="0.25">
      <c r="B60" s="17"/>
      <c r="C60" s="14"/>
      <c r="D60" s="14"/>
      <c r="E60" s="19"/>
      <c r="F60" s="21"/>
      <c r="G60" s="68"/>
      <c r="H60" s="68"/>
      <c r="I60" s="68"/>
      <c r="J60" s="52"/>
      <c r="K60" s="38"/>
      <c r="L60" s="38"/>
      <c r="M60" s="17"/>
    </row>
    <row r="61" spans="2:13" ht="14.45" customHeight="1" x14ac:dyDescent="0.25">
      <c r="B61" s="17"/>
      <c r="C61" s="14"/>
      <c r="D61" s="14"/>
      <c r="E61" s="19"/>
      <c r="F61" s="21"/>
      <c r="G61" s="68"/>
      <c r="H61" s="68"/>
      <c r="I61" s="68"/>
      <c r="J61" s="52"/>
      <c r="K61" s="38"/>
      <c r="L61" s="38"/>
      <c r="M61" s="17"/>
    </row>
    <row r="62" spans="2:13" ht="14.45" customHeight="1" x14ac:dyDescent="0.25">
      <c r="B62" s="17"/>
      <c r="C62" s="14"/>
      <c r="D62" s="14"/>
      <c r="E62" s="19"/>
      <c r="F62" s="21"/>
      <c r="G62" s="68"/>
      <c r="H62" s="68"/>
      <c r="I62" s="68"/>
      <c r="J62" s="52"/>
      <c r="K62" s="38"/>
      <c r="L62" s="38"/>
      <c r="M62" s="17"/>
    </row>
    <row r="63" spans="2:13" ht="14.45" customHeight="1" x14ac:dyDescent="0.25">
      <c r="B63" s="53"/>
      <c r="C63" s="40"/>
      <c r="D63" s="40"/>
      <c r="E63" s="54"/>
      <c r="F63" s="55"/>
      <c r="G63" s="69"/>
      <c r="H63" s="78"/>
      <c r="I63" s="78"/>
      <c r="J63" s="56"/>
      <c r="K63" s="38"/>
      <c r="L63" s="38"/>
      <c r="M63" s="17"/>
    </row>
    <row r="64" spans="2:13" ht="14.45" customHeight="1" x14ac:dyDescent="0.25">
      <c r="B64" s="44"/>
      <c r="C64" s="45"/>
      <c r="D64" s="45"/>
      <c r="E64" s="46"/>
      <c r="F64" s="47"/>
      <c r="G64" s="66"/>
      <c r="H64" s="77"/>
      <c r="I64" s="77"/>
      <c r="J64" s="45"/>
      <c r="K64" s="38"/>
      <c r="L64" s="38"/>
      <c r="M64" s="17"/>
    </row>
    <row r="65" spans="2:13" ht="14.45" customHeight="1" x14ac:dyDescent="0.25">
      <c r="B65" s="53"/>
      <c r="C65" s="40"/>
      <c r="D65" s="40"/>
      <c r="E65" s="41"/>
      <c r="F65" s="57"/>
      <c r="G65" s="70"/>
      <c r="H65" s="70"/>
      <c r="I65" s="70"/>
      <c r="J65" s="16"/>
      <c r="K65" s="38"/>
      <c r="L65" s="38"/>
      <c r="M65" s="17"/>
    </row>
    <row r="66" spans="2:13" ht="14.45" customHeight="1" x14ac:dyDescent="0.25">
      <c r="B66" s="44"/>
      <c r="C66" s="45"/>
      <c r="D66" s="45"/>
      <c r="E66" s="46"/>
      <c r="F66" s="47"/>
      <c r="G66" s="66"/>
      <c r="H66" s="77"/>
      <c r="I66" s="77"/>
      <c r="J66" s="45"/>
      <c r="K66" s="38"/>
      <c r="L66" s="38"/>
      <c r="M66" s="17"/>
    </row>
    <row r="67" spans="2:13" ht="14.45" customHeight="1" x14ac:dyDescent="0.25">
      <c r="B67" s="39"/>
      <c r="C67" s="48"/>
      <c r="D67" s="48"/>
      <c r="E67" s="49"/>
      <c r="F67" s="57"/>
      <c r="G67" s="70"/>
      <c r="H67" s="70"/>
      <c r="I67" s="70"/>
      <c r="J67" s="58"/>
      <c r="K67" s="38"/>
      <c r="L67" s="38"/>
      <c r="M67" s="17"/>
    </row>
    <row r="68" spans="2:13" ht="14.45" customHeight="1" x14ac:dyDescent="0.25">
      <c r="B68" s="44"/>
      <c r="C68" s="45"/>
      <c r="D68" s="45"/>
      <c r="E68" s="46"/>
      <c r="F68" s="47"/>
      <c r="G68" s="66"/>
      <c r="H68" s="77"/>
      <c r="I68" s="77"/>
      <c r="J68" s="45"/>
      <c r="K68" s="38"/>
      <c r="L68" s="38"/>
      <c r="M68" s="17"/>
    </row>
    <row r="69" spans="2:13" ht="14.45" customHeight="1" x14ac:dyDescent="0.25">
      <c r="B69" s="53"/>
      <c r="C69" s="40"/>
      <c r="D69" s="40"/>
      <c r="E69" s="41"/>
      <c r="F69" s="42"/>
      <c r="G69" s="65"/>
      <c r="H69" s="70"/>
      <c r="I69" s="70"/>
      <c r="J69" s="40"/>
      <c r="K69" s="38"/>
      <c r="L69" s="38"/>
      <c r="M69" s="17"/>
    </row>
    <row r="70" spans="2:13" ht="14.45" customHeight="1" x14ac:dyDescent="0.25">
      <c r="B70" s="53"/>
      <c r="C70" s="40"/>
      <c r="D70" s="40"/>
      <c r="E70" s="41"/>
      <c r="F70" s="42"/>
      <c r="G70" s="65"/>
      <c r="H70" s="70"/>
      <c r="I70" s="70"/>
      <c r="J70" s="59"/>
      <c r="K70" s="38"/>
      <c r="L70" s="38"/>
      <c r="M70" s="17"/>
    </row>
    <row r="71" spans="2:13" ht="14.45" customHeight="1" x14ac:dyDescent="0.25">
      <c r="B71" s="17"/>
      <c r="C71" s="14"/>
      <c r="D71" s="14"/>
      <c r="E71" s="18"/>
      <c r="F71" s="22"/>
      <c r="G71" s="71"/>
      <c r="H71" s="68"/>
      <c r="I71" s="68"/>
      <c r="J71" s="15"/>
      <c r="K71" s="38"/>
      <c r="L71" s="38"/>
      <c r="M71" s="17"/>
    </row>
    <row r="72" spans="2:13" ht="14.45" customHeight="1" x14ac:dyDescent="0.25">
      <c r="B72" s="17"/>
      <c r="C72" s="14"/>
      <c r="D72" s="14"/>
      <c r="E72" s="18"/>
      <c r="F72" s="22"/>
      <c r="G72" s="71"/>
      <c r="H72" s="68"/>
      <c r="I72" s="68"/>
      <c r="J72" s="15"/>
      <c r="K72" s="38"/>
      <c r="L72" s="38"/>
      <c r="M72" s="17"/>
    </row>
    <row r="73" spans="2:13" ht="14.45" customHeight="1" x14ac:dyDescent="0.25">
      <c r="B73" s="17"/>
      <c r="C73" s="14"/>
      <c r="D73" s="14"/>
      <c r="E73" s="18"/>
      <c r="F73" s="22"/>
      <c r="G73" s="71"/>
      <c r="H73" s="68"/>
      <c r="I73" s="68"/>
      <c r="J73" s="15"/>
      <c r="K73" s="38"/>
      <c r="L73" s="38"/>
      <c r="M73" s="17"/>
    </row>
    <row r="74" spans="2:13" ht="14.45" customHeight="1" x14ac:dyDescent="0.25">
      <c r="B74" s="17"/>
      <c r="C74" s="14"/>
      <c r="D74" s="14"/>
      <c r="E74" s="18"/>
      <c r="F74" s="22"/>
      <c r="G74" s="71"/>
      <c r="H74" s="68"/>
      <c r="I74" s="68"/>
      <c r="J74" s="15"/>
      <c r="K74" s="38"/>
      <c r="L74" s="38"/>
      <c r="M74" s="17"/>
    </row>
    <row r="75" spans="2:13" ht="14.45" customHeight="1" x14ac:dyDescent="0.25">
      <c r="B75" s="17"/>
      <c r="C75" s="14"/>
      <c r="D75" s="14"/>
      <c r="E75" s="18"/>
      <c r="F75" s="22"/>
      <c r="G75" s="71"/>
      <c r="H75" s="68"/>
      <c r="I75" s="68"/>
      <c r="J75" s="15"/>
      <c r="K75" s="38"/>
      <c r="L75" s="38"/>
      <c r="M75" s="17"/>
    </row>
    <row r="76" spans="2:13" ht="14.45" customHeight="1" x14ac:dyDescent="0.25">
      <c r="B76" s="17"/>
      <c r="C76" s="14"/>
      <c r="D76" s="14"/>
      <c r="E76" s="18"/>
      <c r="F76" s="22"/>
      <c r="G76" s="71"/>
      <c r="H76" s="68"/>
      <c r="I76" s="68"/>
      <c r="J76" s="15"/>
      <c r="K76" s="38"/>
      <c r="L76" s="38"/>
      <c r="M76" s="17"/>
    </row>
    <row r="77" spans="2:13" ht="14.45" customHeight="1" x14ac:dyDescent="0.25">
      <c r="B77" s="17"/>
      <c r="C77" s="14"/>
      <c r="D77" s="14"/>
      <c r="E77" s="18"/>
      <c r="F77" s="22"/>
      <c r="G77" s="71"/>
      <c r="H77" s="68"/>
      <c r="I77" s="68"/>
      <c r="J77" s="15"/>
      <c r="K77" s="38"/>
      <c r="L77" s="38"/>
      <c r="M77" s="17"/>
    </row>
    <row r="78" spans="2:13" ht="14.45" customHeight="1" x14ac:dyDescent="0.25">
      <c r="B78" s="17"/>
      <c r="C78" s="14"/>
      <c r="D78" s="14"/>
      <c r="E78" s="18"/>
      <c r="F78" s="22"/>
      <c r="G78" s="71"/>
      <c r="H78" s="68"/>
      <c r="I78" s="68"/>
      <c r="J78" s="15"/>
      <c r="K78" s="38"/>
      <c r="L78" s="38"/>
      <c r="M78" s="17"/>
    </row>
    <row r="79" spans="2:13" ht="14.45" customHeight="1" x14ac:dyDescent="0.25">
      <c r="B79" s="17"/>
      <c r="C79" s="14"/>
      <c r="D79" s="14"/>
      <c r="E79" s="18"/>
      <c r="F79" s="22"/>
      <c r="G79" s="71"/>
      <c r="H79" s="68"/>
      <c r="I79" s="68"/>
      <c r="J79" s="15"/>
      <c r="K79" s="38"/>
      <c r="L79" s="38"/>
      <c r="M79" s="17"/>
    </row>
    <row r="80" spans="2:13" ht="14.45" customHeight="1" x14ac:dyDescent="0.25">
      <c r="B80" s="17"/>
      <c r="C80" s="14"/>
      <c r="D80" s="14"/>
      <c r="E80" s="18"/>
      <c r="F80" s="22"/>
      <c r="G80" s="71"/>
      <c r="H80" s="68"/>
      <c r="I80" s="68"/>
      <c r="J80" s="15"/>
      <c r="K80" s="38"/>
      <c r="L80" s="38"/>
      <c r="M80" s="17"/>
    </row>
    <row r="81" spans="2:13" ht="14.45" customHeight="1" x14ac:dyDescent="0.25">
      <c r="B81" s="53"/>
      <c r="C81" s="40"/>
      <c r="D81" s="40"/>
      <c r="E81" s="41"/>
      <c r="F81" s="42"/>
      <c r="G81" s="65"/>
      <c r="H81" s="70"/>
      <c r="I81" s="70"/>
      <c r="J81" s="43"/>
      <c r="K81" s="38"/>
      <c r="L81" s="38"/>
      <c r="M81" s="17"/>
    </row>
    <row r="82" spans="2:13" ht="14.45" customHeight="1" x14ac:dyDescent="0.25">
      <c r="B82" s="53"/>
      <c r="C82" s="40"/>
      <c r="D82" s="40"/>
      <c r="E82" s="41"/>
      <c r="F82" s="42"/>
      <c r="G82" s="65"/>
      <c r="H82" s="70"/>
      <c r="I82" s="70"/>
      <c r="J82" s="43"/>
      <c r="K82" s="38"/>
      <c r="L82" s="38"/>
      <c r="M82" s="17"/>
    </row>
    <row r="83" spans="2:13" ht="14.45" customHeight="1" x14ac:dyDescent="0.25">
      <c r="B83" s="44"/>
      <c r="C83" s="45"/>
      <c r="D83" s="45"/>
      <c r="E83" s="46"/>
      <c r="F83" s="47"/>
      <c r="G83" s="66"/>
      <c r="H83" s="77"/>
      <c r="I83" s="77"/>
      <c r="J83" s="45"/>
      <c r="K83" s="38"/>
      <c r="L83" s="38"/>
      <c r="M83" s="17"/>
    </row>
    <row r="84" spans="2:13" ht="14.45" customHeight="1" x14ac:dyDescent="0.25">
      <c r="B84" s="39"/>
      <c r="C84" s="48"/>
      <c r="D84" s="48"/>
      <c r="E84" s="49"/>
      <c r="F84" s="60"/>
      <c r="G84" s="72"/>
      <c r="H84" s="67"/>
      <c r="I84" s="67"/>
      <c r="J84" s="43"/>
      <c r="K84" s="38"/>
      <c r="L84" s="38"/>
      <c r="M84" s="17"/>
    </row>
    <row r="85" spans="2:13" ht="14.45" customHeight="1" x14ac:dyDescent="0.25">
      <c r="B85" s="17"/>
      <c r="C85" s="14"/>
      <c r="D85" s="14"/>
      <c r="E85" s="18"/>
      <c r="F85" s="20"/>
      <c r="G85" s="64"/>
      <c r="H85" s="68"/>
      <c r="I85" s="68"/>
      <c r="J85" s="14"/>
      <c r="K85" s="38"/>
      <c r="L85" s="38"/>
      <c r="M85" s="17"/>
    </row>
    <row r="86" spans="2:13" ht="14.45" customHeight="1" x14ac:dyDescent="0.25">
      <c r="B86" s="39"/>
      <c r="C86" s="40"/>
      <c r="D86" s="40"/>
      <c r="E86" s="41"/>
      <c r="F86" s="42"/>
      <c r="G86" s="65"/>
      <c r="H86" s="70"/>
      <c r="I86" s="70"/>
      <c r="J86" s="40"/>
      <c r="K86" s="38"/>
      <c r="L86" s="38"/>
      <c r="M86" s="17"/>
    </row>
    <row r="87" spans="2:13" ht="14.45" customHeight="1" x14ac:dyDescent="0.25">
      <c r="B87" s="53"/>
      <c r="C87" s="40"/>
      <c r="D87" s="40"/>
      <c r="E87" s="41"/>
      <c r="F87" s="42"/>
      <c r="G87" s="65"/>
      <c r="H87" s="70"/>
      <c r="I87" s="70"/>
      <c r="J87" s="43"/>
      <c r="K87" s="38"/>
      <c r="L87" s="38"/>
      <c r="M87" s="17"/>
    </row>
    <row r="88" spans="2:13" ht="14.45" customHeight="1" x14ac:dyDescent="0.25">
      <c r="B88" s="17"/>
      <c r="C88" s="14"/>
      <c r="D88" s="14"/>
      <c r="E88" s="18"/>
      <c r="F88" s="61"/>
      <c r="G88" s="73"/>
      <c r="H88" s="79"/>
      <c r="I88" s="79"/>
      <c r="J88" s="14"/>
      <c r="K88" s="38"/>
      <c r="L88" s="38"/>
      <c r="M88" s="17"/>
    </row>
    <row r="89" spans="2:13" ht="14.45" customHeight="1" x14ac:dyDescent="0.25">
      <c r="B89" s="17"/>
      <c r="C89" s="14"/>
      <c r="D89" s="14"/>
      <c r="E89" s="18"/>
      <c r="F89" s="61"/>
      <c r="G89" s="73"/>
      <c r="H89" s="79"/>
      <c r="I89" s="79"/>
      <c r="J89" s="14"/>
      <c r="K89" s="38"/>
      <c r="L89" s="38"/>
      <c r="M89" s="17"/>
    </row>
    <row r="90" spans="2:13" ht="14.45" customHeight="1" x14ac:dyDescent="0.25">
      <c r="B90" s="17"/>
      <c r="C90" s="14"/>
      <c r="D90" s="14"/>
      <c r="E90" s="18"/>
      <c r="F90" s="61"/>
      <c r="G90" s="73"/>
      <c r="H90" s="79"/>
      <c r="I90" s="79"/>
      <c r="J90" s="14"/>
      <c r="K90" s="38"/>
      <c r="L90" s="38"/>
      <c r="M90" s="17"/>
    </row>
    <row r="91" spans="2:13" ht="14.45" customHeight="1" x14ac:dyDescent="0.25">
      <c r="B91" s="17"/>
      <c r="C91" s="14"/>
      <c r="D91" s="14"/>
      <c r="E91" s="18"/>
      <c r="F91" s="61"/>
      <c r="G91" s="73"/>
      <c r="H91" s="79"/>
      <c r="I91" s="79"/>
      <c r="J91" s="14"/>
      <c r="K91" s="38"/>
      <c r="L91" s="38"/>
      <c r="M91" s="17"/>
    </row>
    <row r="92" spans="2:13" ht="14.45" customHeight="1" x14ac:dyDescent="0.25">
      <c r="B92" s="17"/>
      <c r="C92" s="14"/>
      <c r="D92" s="14"/>
      <c r="E92" s="18"/>
      <c r="F92" s="61"/>
      <c r="G92" s="73"/>
      <c r="H92" s="79"/>
      <c r="I92" s="79"/>
      <c r="J92" s="14"/>
      <c r="K92" s="38"/>
      <c r="L92" s="38"/>
      <c r="M92" s="17"/>
    </row>
    <row r="93" spans="2:13" ht="14.45" customHeight="1" x14ac:dyDescent="0.25">
      <c r="B93" s="17"/>
      <c r="C93" s="14"/>
      <c r="D93" s="14"/>
      <c r="E93" s="18"/>
      <c r="F93" s="61"/>
      <c r="G93" s="73"/>
      <c r="H93" s="79"/>
      <c r="I93" s="79"/>
      <c r="J93" s="14"/>
      <c r="K93" s="38"/>
      <c r="L93" s="38"/>
      <c r="M93" s="17"/>
    </row>
    <row r="94" spans="2:13" ht="14.45" customHeight="1" x14ac:dyDescent="0.25">
      <c r="B94" s="17"/>
      <c r="C94" s="14"/>
      <c r="D94" s="14"/>
      <c r="E94" s="18"/>
      <c r="F94" s="61"/>
      <c r="G94" s="73"/>
      <c r="H94" s="79"/>
      <c r="I94" s="79"/>
      <c r="J94" s="14"/>
      <c r="K94" s="38"/>
      <c r="L94" s="38"/>
      <c r="M94" s="17"/>
    </row>
    <row r="95" spans="2:13" ht="14.45" customHeight="1" x14ac:dyDescent="0.25">
      <c r="B95" s="17"/>
      <c r="C95" s="14"/>
      <c r="D95" s="14"/>
      <c r="E95" s="18"/>
      <c r="F95" s="61"/>
      <c r="G95" s="73"/>
      <c r="H95" s="79"/>
      <c r="I95" s="79"/>
      <c r="J95" s="14"/>
      <c r="K95" s="38"/>
      <c r="L95" s="38"/>
      <c r="M95" s="17"/>
    </row>
    <row r="96" spans="2:13" ht="14.45" customHeight="1" x14ac:dyDescent="0.25">
      <c r="B96" s="17"/>
      <c r="C96" s="14"/>
      <c r="D96" s="14"/>
      <c r="E96" s="18"/>
      <c r="F96" s="61"/>
      <c r="G96" s="73"/>
      <c r="H96" s="79"/>
      <c r="I96" s="79"/>
      <c r="J96" s="14"/>
      <c r="K96" s="38"/>
      <c r="L96" s="38"/>
      <c r="M96" s="17"/>
    </row>
    <row r="97" spans="2:13" ht="14.45" customHeight="1" x14ac:dyDescent="0.25">
      <c r="B97" s="17"/>
      <c r="C97" s="14"/>
      <c r="D97" s="14"/>
      <c r="E97" s="18"/>
      <c r="F97" s="61"/>
      <c r="G97" s="73"/>
      <c r="H97" s="79"/>
      <c r="I97" s="79"/>
      <c r="J97" s="14"/>
      <c r="K97" s="38"/>
      <c r="L97" s="38"/>
      <c r="M97" s="17"/>
    </row>
    <row r="98" spans="2:13" ht="14.45" customHeight="1" x14ac:dyDescent="0.25">
      <c r="B98" s="17"/>
      <c r="C98" s="14"/>
      <c r="D98" s="14"/>
      <c r="E98" s="18"/>
      <c r="F98" s="61"/>
      <c r="G98" s="73"/>
      <c r="H98" s="79"/>
      <c r="I98" s="79"/>
      <c r="J98" s="14"/>
      <c r="K98" s="38"/>
      <c r="L98" s="38"/>
      <c r="M98" s="17"/>
    </row>
    <row r="99" spans="2:13" ht="14.45" customHeight="1" x14ac:dyDescent="0.25">
      <c r="B99" s="17"/>
      <c r="C99" s="14"/>
      <c r="D99" s="14"/>
      <c r="E99" s="18"/>
      <c r="F99" s="61"/>
      <c r="G99" s="73"/>
      <c r="H99" s="79"/>
      <c r="I99" s="79"/>
      <c r="J99" s="14"/>
      <c r="K99" s="38"/>
      <c r="L99" s="38"/>
      <c r="M99" s="17"/>
    </row>
    <row r="100" spans="2:13" ht="14.45" customHeight="1" x14ac:dyDescent="0.25">
      <c r="B100" s="17"/>
      <c r="C100" s="14"/>
      <c r="D100" s="14"/>
      <c r="E100" s="18"/>
      <c r="F100" s="61"/>
      <c r="G100" s="73"/>
      <c r="H100" s="79"/>
      <c r="I100" s="79"/>
      <c r="J100" s="14"/>
      <c r="K100" s="38"/>
      <c r="L100" s="38"/>
      <c r="M100" s="17"/>
    </row>
    <row r="101" spans="2:13" ht="14.45" customHeight="1" x14ac:dyDescent="0.25">
      <c r="B101" s="17"/>
      <c r="C101" s="14"/>
      <c r="D101" s="14"/>
      <c r="E101" s="18"/>
      <c r="F101" s="61"/>
      <c r="G101" s="73"/>
      <c r="H101" s="79"/>
      <c r="I101" s="79"/>
      <c r="J101" s="14"/>
      <c r="K101" s="38"/>
      <c r="L101" s="38"/>
      <c r="M101" s="17"/>
    </row>
    <row r="102" spans="2:13" ht="14.45" customHeight="1" x14ac:dyDescent="0.25">
      <c r="B102" s="17"/>
      <c r="C102" s="14"/>
      <c r="D102" s="14"/>
      <c r="E102" s="18"/>
      <c r="F102" s="61"/>
      <c r="G102" s="73"/>
      <c r="H102" s="79"/>
      <c r="I102" s="79"/>
      <c r="J102" s="14"/>
      <c r="K102" s="38"/>
      <c r="L102" s="38"/>
      <c r="M102" s="17"/>
    </row>
    <row r="103" spans="2:13" ht="14.45" customHeight="1" x14ac:dyDescent="0.25">
      <c r="B103" s="17"/>
      <c r="C103" s="14"/>
      <c r="D103" s="14"/>
      <c r="E103" s="18"/>
      <c r="F103" s="61"/>
      <c r="G103" s="73"/>
      <c r="H103" s="79"/>
      <c r="I103" s="79"/>
      <c r="J103" s="14"/>
      <c r="K103" s="38"/>
      <c r="L103" s="38"/>
      <c r="M103" s="17"/>
    </row>
    <row r="104" spans="2:13" ht="14.45" customHeight="1" x14ac:dyDescent="0.25">
      <c r="B104" s="17"/>
      <c r="C104" s="14"/>
      <c r="D104" s="14"/>
      <c r="E104" s="18"/>
      <c r="F104" s="61"/>
      <c r="G104" s="73"/>
      <c r="H104" s="79"/>
      <c r="I104" s="79"/>
      <c r="J104" s="14"/>
      <c r="K104" s="38"/>
      <c r="L104" s="38"/>
      <c r="M104" s="17"/>
    </row>
    <row r="105" spans="2:13" ht="14.45" customHeight="1" x14ac:dyDescent="0.25">
      <c r="B105" s="17"/>
      <c r="C105" s="14"/>
      <c r="D105" s="14"/>
      <c r="E105" s="18"/>
      <c r="F105" s="61"/>
      <c r="G105" s="73"/>
      <c r="H105" s="79"/>
      <c r="I105" s="79"/>
      <c r="J105" s="14"/>
      <c r="K105" s="38"/>
      <c r="L105" s="38"/>
      <c r="M105" s="17"/>
    </row>
    <row r="106" spans="2:13" ht="14.45" customHeight="1" x14ac:dyDescent="0.25">
      <c r="B106" s="17"/>
      <c r="C106" s="14"/>
      <c r="D106" s="14"/>
      <c r="E106" s="18"/>
      <c r="F106" s="61"/>
      <c r="G106" s="73"/>
      <c r="H106" s="79"/>
      <c r="I106" s="79"/>
      <c r="J106" s="14"/>
      <c r="K106" s="38"/>
      <c r="L106" s="38"/>
      <c r="M106" s="17"/>
    </row>
    <row r="107" spans="2:13" ht="14.45" customHeight="1" x14ac:dyDescent="0.25">
      <c r="B107" s="17"/>
      <c r="C107" s="14"/>
      <c r="D107" s="14"/>
      <c r="E107" s="18"/>
      <c r="F107" s="61"/>
      <c r="G107" s="73"/>
      <c r="H107" s="79"/>
      <c r="I107" s="79"/>
      <c r="J107" s="14"/>
      <c r="K107" s="38"/>
      <c r="L107" s="38"/>
      <c r="M107" s="17"/>
    </row>
    <row r="108" spans="2:13" ht="14.45" customHeight="1" x14ac:dyDescent="0.25">
      <c r="B108" s="17"/>
      <c r="C108" s="14"/>
      <c r="D108" s="14"/>
      <c r="E108" s="18"/>
      <c r="F108" s="61"/>
      <c r="G108" s="73"/>
      <c r="H108" s="79"/>
      <c r="I108" s="79"/>
      <c r="J108" s="14"/>
      <c r="K108" s="38"/>
      <c r="L108" s="38"/>
      <c r="M108" s="17"/>
    </row>
    <row r="109" spans="2:13" ht="14.45" customHeight="1" x14ac:dyDescent="0.25">
      <c r="B109" s="17"/>
      <c r="C109" s="14"/>
      <c r="D109" s="14"/>
      <c r="E109" s="18"/>
      <c r="F109" s="61"/>
      <c r="G109" s="73"/>
      <c r="H109" s="79"/>
      <c r="I109" s="79"/>
      <c r="J109" s="14"/>
      <c r="K109" s="38"/>
      <c r="L109" s="38"/>
      <c r="M109" s="17"/>
    </row>
    <row r="110" spans="2:13" ht="14.45" customHeight="1" x14ac:dyDescent="0.25">
      <c r="B110" s="17"/>
      <c r="C110" s="14"/>
      <c r="D110" s="14"/>
      <c r="E110" s="18"/>
      <c r="F110" s="61"/>
      <c r="G110" s="73"/>
      <c r="H110" s="79"/>
      <c r="I110" s="79"/>
      <c r="J110" s="14"/>
      <c r="K110" s="38"/>
      <c r="L110" s="38"/>
      <c r="M110" s="17"/>
    </row>
    <row r="111" spans="2:13" ht="14.45" customHeight="1" x14ac:dyDescent="0.25">
      <c r="B111" s="17"/>
      <c r="C111" s="14"/>
      <c r="D111" s="14"/>
      <c r="E111" s="18"/>
      <c r="F111" s="61"/>
      <c r="G111" s="73"/>
      <c r="H111" s="79"/>
      <c r="I111" s="79"/>
      <c r="J111" s="14"/>
      <c r="K111" s="38"/>
      <c r="L111" s="38"/>
      <c r="M111" s="17"/>
    </row>
    <row r="112" spans="2:13" ht="14.45" customHeight="1" x14ac:dyDescent="0.25">
      <c r="B112" s="17"/>
      <c r="C112" s="14"/>
      <c r="D112" s="14"/>
      <c r="E112" s="18"/>
      <c r="F112" s="61"/>
      <c r="G112" s="73"/>
      <c r="H112" s="79"/>
      <c r="I112" s="79"/>
      <c r="J112" s="14"/>
      <c r="K112" s="38"/>
      <c r="L112" s="38"/>
      <c r="M112" s="17"/>
    </row>
    <row r="113" spans="2:13" ht="14.45" customHeight="1" x14ac:dyDescent="0.25">
      <c r="B113" s="17"/>
      <c r="C113" s="14"/>
      <c r="D113" s="14"/>
      <c r="E113" s="18"/>
      <c r="F113" s="61"/>
      <c r="G113" s="73"/>
      <c r="H113" s="79"/>
      <c r="I113" s="79"/>
      <c r="J113" s="14"/>
      <c r="K113" s="38"/>
      <c r="L113" s="38"/>
      <c r="M113" s="17"/>
    </row>
    <row r="114" spans="2:13" ht="14.45" customHeight="1" x14ac:dyDescent="0.25">
      <c r="B114" s="17"/>
      <c r="C114" s="14"/>
      <c r="D114" s="14"/>
      <c r="E114" s="18"/>
      <c r="F114" s="61"/>
      <c r="G114" s="73"/>
      <c r="H114" s="79"/>
      <c r="I114" s="79"/>
      <c r="J114" s="14"/>
      <c r="K114" s="38"/>
      <c r="L114" s="38"/>
      <c r="M114" s="17"/>
    </row>
    <row r="115" spans="2:13" ht="14.45" customHeight="1" x14ac:dyDescent="0.25">
      <c r="B115" s="17"/>
      <c r="C115" s="14"/>
      <c r="D115" s="14"/>
      <c r="E115" s="18"/>
      <c r="F115" s="61"/>
      <c r="G115" s="73"/>
      <c r="H115" s="79"/>
      <c r="I115" s="79"/>
      <c r="J115" s="14"/>
      <c r="K115" s="38"/>
      <c r="L115" s="38"/>
      <c r="M115" s="17"/>
    </row>
    <row r="116" spans="2:13" ht="14.45" customHeight="1" x14ac:dyDescent="0.25">
      <c r="B116" s="17"/>
      <c r="C116" s="14"/>
      <c r="D116" s="14"/>
      <c r="E116" s="18"/>
      <c r="F116" s="61"/>
      <c r="G116" s="73"/>
      <c r="H116" s="79"/>
      <c r="I116" s="79"/>
      <c r="J116" s="14"/>
      <c r="K116" s="38"/>
      <c r="L116" s="38"/>
      <c r="M116" s="17"/>
    </row>
    <row r="117" spans="2:13" ht="14.45" customHeight="1" x14ac:dyDescent="0.25">
      <c r="B117" s="17"/>
      <c r="C117" s="14"/>
      <c r="D117" s="14"/>
      <c r="E117" s="18"/>
      <c r="F117" s="61"/>
      <c r="G117" s="73"/>
      <c r="H117" s="79"/>
      <c r="I117" s="79"/>
      <c r="J117" s="14"/>
      <c r="K117" s="38"/>
      <c r="L117" s="38"/>
      <c r="M117" s="17"/>
    </row>
    <row r="118" spans="2:13" ht="14.45" customHeight="1" x14ac:dyDescent="0.25">
      <c r="B118" s="17"/>
      <c r="C118" s="14"/>
      <c r="D118" s="14"/>
      <c r="E118" s="18"/>
      <c r="F118" s="61"/>
      <c r="G118" s="73"/>
      <c r="H118" s="79"/>
      <c r="I118" s="79"/>
      <c r="J118" s="14"/>
      <c r="K118" s="38"/>
      <c r="L118" s="38"/>
      <c r="M118" s="17"/>
    </row>
    <row r="119" spans="2:13" ht="14.45" customHeight="1" x14ac:dyDescent="0.25">
      <c r="B119" s="17"/>
      <c r="C119" s="14"/>
      <c r="D119" s="14"/>
      <c r="E119" s="18"/>
      <c r="F119" s="61"/>
      <c r="G119" s="73"/>
      <c r="H119" s="79"/>
      <c r="I119" s="79"/>
      <c r="J119" s="14"/>
      <c r="K119" s="38"/>
      <c r="L119" s="38"/>
      <c r="M119" s="17"/>
    </row>
    <row r="120" spans="2:13" ht="14.45" customHeight="1" x14ac:dyDescent="0.25">
      <c r="B120" s="17"/>
      <c r="C120" s="14"/>
      <c r="D120" s="14"/>
      <c r="E120" s="18"/>
      <c r="F120" s="61"/>
      <c r="G120" s="73"/>
      <c r="H120" s="79"/>
      <c r="I120" s="79"/>
      <c r="J120" s="14"/>
      <c r="K120" s="38"/>
      <c r="L120" s="38"/>
      <c r="M120" s="17"/>
    </row>
    <row r="121" spans="2:13" ht="14.45" customHeight="1" x14ac:dyDescent="0.25">
      <c r="B121" s="17"/>
      <c r="C121" s="14"/>
      <c r="D121" s="14"/>
      <c r="E121" s="18"/>
      <c r="F121" s="61"/>
      <c r="G121" s="73"/>
      <c r="H121" s="79"/>
      <c r="I121" s="79"/>
      <c r="J121" s="14"/>
      <c r="K121" s="38"/>
      <c r="L121" s="38"/>
      <c r="M121" s="17"/>
    </row>
    <row r="122" spans="2:13" ht="14.45" customHeight="1" x14ac:dyDescent="0.25">
      <c r="B122" s="17"/>
      <c r="C122" s="14"/>
      <c r="D122" s="14"/>
      <c r="E122" s="18"/>
      <c r="F122" s="61"/>
      <c r="G122" s="73"/>
      <c r="H122" s="79"/>
      <c r="I122" s="79"/>
      <c r="J122" s="14"/>
      <c r="K122" s="38"/>
      <c r="L122" s="38"/>
      <c r="M122" s="17"/>
    </row>
    <row r="123" spans="2:13" ht="14.45" customHeight="1" x14ac:dyDescent="0.25">
      <c r="B123" s="17"/>
      <c r="C123" s="14"/>
      <c r="D123" s="14"/>
      <c r="E123" s="18"/>
      <c r="F123" s="61"/>
      <c r="G123" s="73"/>
      <c r="H123" s="79"/>
      <c r="I123" s="79"/>
      <c r="J123" s="14"/>
      <c r="K123" s="38"/>
      <c r="L123" s="38"/>
      <c r="M123" s="17"/>
    </row>
    <row r="124" spans="2:13" ht="14.45" customHeight="1" x14ac:dyDescent="0.25">
      <c r="B124" s="17"/>
      <c r="C124" s="14"/>
      <c r="D124" s="14"/>
      <c r="E124" s="18"/>
      <c r="F124" s="61"/>
      <c r="G124" s="73"/>
      <c r="H124" s="79"/>
      <c r="I124" s="79"/>
      <c r="J124" s="14"/>
      <c r="K124" s="38"/>
      <c r="L124" s="38"/>
      <c r="M124" s="17"/>
    </row>
    <row r="125" spans="2:13" ht="14.45" customHeight="1" x14ac:dyDescent="0.25">
      <c r="B125" s="17"/>
      <c r="C125" s="14"/>
      <c r="D125" s="14"/>
      <c r="E125" s="18"/>
      <c r="F125" s="61"/>
      <c r="G125" s="73"/>
      <c r="H125" s="79"/>
      <c r="I125" s="79"/>
      <c r="J125" s="14"/>
      <c r="K125" s="38"/>
      <c r="L125" s="38"/>
      <c r="M125" s="17"/>
    </row>
    <row r="126" spans="2:13" ht="14.45" customHeight="1" x14ac:dyDescent="0.25">
      <c r="B126" s="17"/>
      <c r="C126" s="14"/>
      <c r="D126" s="14"/>
      <c r="E126" s="18"/>
      <c r="F126" s="61"/>
      <c r="G126" s="73"/>
      <c r="H126" s="79"/>
      <c r="I126" s="79"/>
      <c r="J126" s="14"/>
      <c r="K126" s="38"/>
      <c r="L126" s="38"/>
      <c r="M126" s="17"/>
    </row>
    <row r="127" spans="2:13" ht="14.45" customHeight="1" x14ac:dyDescent="0.25">
      <c r="B127" s="17"/>
      <c r="C127" s="14"/>
      <c r="D127" s="14"/>
      <c r="E127" s="18"/>
      <c r="F127" s="61"/>
      <c r="G127" s="73"/>
      <c r="H127" s="79"/>
      <c r="I127" s="79"/>
      <c r="J127" s="14"/>
      <c r="K127" s="38"/>
      <c r="L127" s="38"/>
      <c r="M127" s="17"/>
    </row>
    <row r="128" spans="2:13" ht="14.45" customHeight="1" x14ac:dyDescent="0.25">
      <c r="B128" s="17"/>
      <c r="C128" s="14"/>
      <c r="D128" s="14"/>
      <c r="E128" s="18"/>
      <c r="F128" s="61"/>
      <c r="G128" s="73"/>
      <c r="H128" s="79"/>
      <c r="I128" s="79"/>
      <c r="J128" s="14"/>
      <c r="K128" s="38"/>
      <c r="L128" s="38"/>
      <c r="M128" s="17"/>
    </row>
    <row r="129" spans="2:13" ht="14.45" customHeight="1" x14ac:dyDescent="0.25">
      <c r="B129" s="17"/>
      <c r="C129" s="14"/>
      <c r="D129" s="14"/>
      <c r="E129" s="18"/>
      <c r="F129" s="61"/>
      <c r="G129" s="73"/>
      <c r="H129" s="79"/>
      <c r="I129" s="79"/>
      <c r="J129" s="14"/>
      <c r="K129" s="38"/>
      <c r="L129" s="38"/>
      <c r="M129" s="17"/>
    </row>
    <row r="130" spans="2:13" ht="14.45" customHeight="1" x14ac:dyDescent="0.25">
      <c r="B130" s="17"/>
      <c r="C130" s="14"/>
      <c r="D130" s="14"/>
      <c r="E130" s="18"/>
      <c r="F130" s="61"/>
      <c r="G130" s="73"/>
      <c r="H130" s="79"/>
      <c r="I130" s="79"/>
      <c r="J130" s="14"/>
      <c r="K130" s="38"/>
      <c r="L130" s="38"/>
      <c r="M130" s="17"/>
    </row>
    <row r="131" spans="2:13" ht="14.45" customHeight="1" x14ac:dyDescent="0.25">
      <c r="B131" s="17"/>
      <c r="C131" s="14"/>
      <c r="D131" s="14"/>
      <c r="E131" s="18"/>
      <c r="F131" s="61"/>
      <c r="G131" s="73"/>
      <c r="H131" s="79"/>
      <c r="I131" s="79"/>
      <c r="J131" s="14"/>
      <c r="K131" s="38"/>
      <c r="L131" s="38"/>
      <c r="M131" s="17"/>
    </row>
    <row r="132" spans="2:13" ht="14.45" customHeight="1" x14ac:dyDescent="0.25">
      <c r="B132" s="17"/>
      <c r="C132" s="14"/>
      <c r="D132" s="14"/>
      <c r="E132" s="18"/>
      <c r="F132" s="61"/>
      <c r="G132" s="73"/>
      <c r="H132" s="79"/>
      <c r="I132" s="79"/>
      <c r="J132" s="14"/>
      <c r="K132" s="38"/>
      <c r="L132" s="38"/>
      <c r="M132" s="17"/>
    </row>
    <row r="133" spans="2:13" ht="14.45" customHeight="1" x14ac:dyDescent="0.25">
      <c r="B133" s="17"/>
      <c r="C133" s="14"/>
      <c r="D133" s="14"/>
      <c r="E133" s="18"/>
      <c r="F133" s="61"/>
      <c r="G133" s="73"/>
      <c r="H133" s="79"/>
      <c r="I133" s="79"/>
      <c r="J133" s="14"/>
      <c r="K133" s="38"/>
      <c r="L133" s="38"/>
      <c r="M133" s="17"/>
    </row>
    <row r="134" spans="2:13" ht="14.45" customHeight="1" x14ac:dyDescent="0.25">
      <c r="B134" s="17"/>
      <c r="C134" s="14"/>
      <c r="D134" s="14"/>
      <c r="E134" s="18"/>
      <c r="F134" s="61"/>
      <c r="G134" s="73"/>
      <c r="H134" s="79"/>
      <c r="I134" s="79"/>
      <c r="J134" s="14"/>
      <c r="K134" s="38"/>
      <c r="L134" s="38"/>
      <c r="M134" s="17"/>
    </row>
    <row r="135" spans="2:13" ht="14.45" customHeight="1" x14ac:dyDescent="0.25">
      <c r="B135" s="17"/>
      <c r="C135" s="14"/>
      <c r="D135" s="14"/>
      <c r="E135" s="18"/>
      <c r="F135" s="61"/>
      <c r="G135" s="73"/>
      <c r="H135" s="79"/>
      <c r="I135" s="79"/>
      <c r="J135" s="14"/>
      <c r="K135" s="38"/>
      <c r="L135" s="38"/>
      <c r="M135" s="17"/>
    </row>
    <row r="136" spans="2:13" ht="14.45" customHeight="1" x14ac:dyDescent="0.25">
      <c r="B136" s="17"/>
      <c r="C136" s="14"/>
      <c r="D136" s="14"/>
      <c r="E136" s="18"/>
      <c r="F136" s="61"/>
      <c r="G136" s="73"/>
      <c r="H136" s="79"/>
      <c r="I136" s="79"/>
      <c r="J136" s="14"/>
      <c r="K136" s="38"/>
      <c r="L136" s="38"/>
      <c r="M136" s="17"/>
    </row>
    <row r="137" spans="2:13" ht="14.45" customHeight="1" x14ac:dyDescent="0.25">
      <c r="B137" s="17"/>
      <c r="C137" s="14"/>
      <c r="D137" s="14"/>
      <c r="E137" s="18"/>
      <c r="F137" s="61"/>
      <c r="G137" s="73"/>
      <c r="H137" s="79"/>
      <c r="I137" s="79"/>
      <c r="J137" s="14"/>
      <c r="K137" s="38"/>
      <c r="L137" s="38"/>
      <c r="M137" s="17"/>
    </row>
    <row r="138" spans="2:13" ht="14.45" customHeight="1" x14ac:dyDescent="0.25">
      <c r="B138" s="17"/>
      <c r="C138" s="14"/>
      <c r="D138" s="14"/>
      <c r="E138" s="18"/>
      <c r="F138" s="61"/>
      <c r="G138" s="73"/>
      <c r="H138" s="79"/>
      <c r="I138" s="79"/>
      <c r="J138" s="14"/>
      <c r="K138" s="38"/>
      <c r="L138" s="38"/>
      <c r="M138" s="17"/>
    </row>
    <row r="139" spans="2:13" ht="14.45" customHeight="1" x14ac:dyDescent="0.25">
      <c r="B139" s="17"/>
      <c r="C139" s="14"/>
      <c r="D139" s="14"/>
      <c r="E139" s="18"/>
      <c r="F139" s="61"/>
      <c r="G139" s="73"/>
      <c r="H139" s="79"/>
      <c r="I139" s="79"/>
      <c r="J139" s="14"/>
      <c r="K139" s="38"/>
      <c r="L139" s="38"/>
      <c r="M139" s="17"/>
    </row>
    <row r="140" spans="2:13" ht="14.45" customHeight="1" x14ac:dyDescent="0.25">
      <c r="B140" s="17"/>
      <c r="C140" s="14"/>
      <c r="D140" s="14"/>
      <c r="E140" s="18"/>
      <c r="F140" s="61"/>
      <c r="G140" s="73"/>
      <c r="H140" s="79"/>
      <c r="I140" s="79"/>
      <c r="J140" s="14"/>
      <c r="K140" s="38"/>
      <c r="L140" s="38"/>
      <c r="M140" s="17"/>
    </row>
    <row r="141" spans="2:13" ht="14.45" customHeight="1" x14ac:dyDescent="0.25">
      <c r="B141" s="17"/>
      <c r="C141" s="14"/>
      <c r="D141" s="14"/>
      <c r="E141" s="18"/>
      <c r="F141" s="61"/>
      <c r="G141" s="73"/>
      <c r="H141" s="79"/>
      <c r="I141" s="79"/>
      <c r="J141" s="14"/>
      <c r="K141" s="38"/>
      <c r="L141" s="38"/>
      <c r="M141" s="17"/>
    </row>
    <row r="142" spans="2:13" ht="14.45" customHeight="1" x14ac:dyDescent="0.25">
      <c r="B142" s="17"/>
      <c r="C142" s="14"/>
      <c r="D142" s="14"/>
      <c r="E142" s="18"/>
      <c r="F142" s="61"/>
      <c r="G142" s="73"/>
      <c r="H142" s="79"/>
      <c r="I142" s="79"/>
      <c r="J142" s="14"/>
      <c r="K142" s="38"/>
      <c r="L142" s="38"/>
      <c r="M142" s="17"/>
    </row>
    <row r="143" spans="2:13" ht="14.45" customHeight="1" x14ac:dyDescent="0.25">
      <c r="B143" s="17"/>
      <c r="C143" s="14"/>
      <c r="D143" s="14"/>
      <c r="E143" s="18"/>
      <c r="F143" s="61"/>
      <c r="G143" s="73"/>
      <c r="H143" s="79"/>
      <c r="I143" s="79"/>
      <c r="J143" s="14"/>
      <c r="K143" s="38"/>
      <c r="L143" s="38"/>
      <c r="M143" s="17"/>
    </row>
    <row r="144" spans="2:13" ht="14.45" customHeight="1" x14ac:dyDescent="0.25">
      <c r="B144" s="17"/>
      <c r="C144" s="14"/>
      <c r="D144" s="14"/>
      <c r="E144" s="18"/>
      <c r="F144" s="61"/>
      <c r="G144" s="73"/>
      <c r="H144" s="79"/>
      <c r="I144" s="79"/>
      <c r="J144" s="14"/>
      <c r="K144" s="38"/>
      <c r="L144" s="38"/>
      <c r="M144" s="17"/>
    </row>
    <row r="145" spans="2:13" ht="14.45" customHeight="1" x14ac:dyDescent="0.25">
      <c r="B145" s="17"/>
      <c r="C145" s="14"/>
      <c r="D145" s="14"/>
      <c r="E145" s="18"/>
      <c r="F145" s="61"/>
      <c r="G145" s="73"/>
      <c r="H145" s="79"/>
      <c r="I145" s="79"/>
      <c r="J145" s="14"/>
      <c r="K145" s="38"/>
      <c r="L145" s="38"/>
      <c r="M145" s="17"/>
    </row>
    <row r="146" spans="2:13" ht="14.45" customHeight="1" x14ac:dyDescent="0.25">
      <c r="B146" s="17"/>
      <c r="C146" s="14"/>
      <c r="D146" s="14"/>
      <c r="E146" s="18"/>
      <c r="F146" s="61"/>
      <c r="G146" s="73"/>
      <c r="H146" s="79"/>
      <c r="I146" s="79"/>
      <c r="J146" s="14"/>
      <c r="K146" s="38"/>
      <c r="L146" s="38"/>
      <c r="M146" s="17"/>
    </row>
    <row r="147" spans="2:13" ht="14.45" customHeight="1" x14ac:dyDescent="0.25">
      <c r="B147" s="17"/>
      <c r="C147" s="14"/>
      <c r="D147" s="14"/>
      <c r="E147" s="18"/>
      <c r="F147" s="61"/>
      <c r="G147" s="73"/>
      <c r="H147" s="79"/>
      <c r="I147" s="79"/>
      <c r="J147" s="14"/>
      <c r="K147" s="38"/>
      <c r="L147" s="38"/>
      <c r="M147" s="17"/>
    </row>
    <row r="148" spans="2:13" ht="14.45" customHeight="1" x14ac:dyDescent="0.25">
      <c r="B148" s="17"/>
      <c r="C148" s="14"/>
      <c r="D148" s="14"/>
      <c r="E148" s="18"/>
      <c r="F148" s="61"/>
      <c r="G148" s="73"/>
      <c r="H148" s="79"/>
      <c r="I148" s="79"/>
      <c r="J148" s="14"/>
      <c r="K148" s="38"/>
      <c r="L148" s="38"/>
      <c r="M148" s="17"/>
    </row>
    <row r="149" spans="2:13" ht="14.45" customHeight="1" x14ac:dyDescent="0.25">
      <c r="B149" s="17"/>
      <c r="C149" s="14"/>
      <c r="D149" s="14"/>
      <c r="E149" s="18"/>
      <c r="F149" s="61"/>
      <c r="G149" s="73"/>
      <c r="H149" s="79"/>
      <c r="I149" s="79"/>
      <c r="J149" s="14"/>
      <c r="K149" s="38"/>
      <c r="L149" s="38"/>
      <c r="M149" s="17"/>
    </row>
    <row r="150" spans="2:13" ht="14.45" customHeight="1" x14ac:dyDescent="0.25">
      <c r="B150" s="17"/>
      <c r="C150" s="14"/>
      <c r="D150" s="14"/>
      <c r="E150" s="18"/>
      <c r="F150" s="61"/>
      <c r="G150" s="73"/>
      <c r="H150" s="79"/>
      <c r="I150" s="79"/>
      <c r="J150" s="14"/>
      <c r="K150" s="38"/>
      <c r="L150" s="38"/>
      <c r="M150" s="17"/>
    </row>
    <row r="151" spans="2:13" ht="14.45" customHeight="1" x14ac:dyDescent="0.25">
      <c r="B151" s="17"/>
      <c r="C151" s="14"/>
      <c r="D151" s="14"/>
      <c r="E151" s="18"/>
      <c r="F151" s="61"/>
      <c r="G151" s="73"/>
      <c r="H151" s="79"/>
      <c r="I151" s="79"/>
      <c r="J151" s="14"/>
      <c r="K151" s="38"/>
      <c r="L151" s="38"/>
      <c r="M151" s="17"/>
    </row>
    <row r="152" spans="2:13" ht="14.45" customHeight="1" x14ac:dyDescent="0.25">
      <c r="B152" s="17"/>
      <c r="C152" s="14"/>
      <c r="D152" s="14"/>
      <c r="E152" s="18"/>
      <c r="F152" s="61"/>
      <c r="G152" s="73"/>
      <c r="H152" s="79"/>
      <c r="I152" s="79"/>
      <c r="J152" s="14"/>
      <c r="K152" s="38"/>
      <c r="L152" s="38"/>
      <c r="M152" s="17"/>
    </row>
    <row r="153" spans="2:13" ht="14.45" customHeight="1" x14ac:dyDescent="0.25">
      <c r="B153" s="17"/>
      <c r="C153" s="14"/>
      <c r="D153" s="14"/>
      <c r="E153" s="18"/>
      <c r="F153" s="61"/>
      <c r="G153" s="73"/>
      <c r="H153" s="79"/>
      <c r="I153" s="79"/>
      <c r="J153" s="14"/>
      <c r="K153" s="38"/>
      <c r="L153" s="38"/>
      <c r="M153" s="17"/>
    </row>
    <row r="154" spans="2:13" ht="14.45" customHeight="1" x14ac:dyDescent="0.25">
      <c r="B154" s="17"/>
      <c r="C154" s="14"/>
      <c r="D154" s="14"/>
      <c r="E154" s="18"/>
      <c r="F154" s="61"/>
      <c r="G154" s="73"/>
      <c r="H154" s="79"/>
      <c r="I154" s="79"/>
      <c r="J154" s="14"/>
      <c r="K154" s="38"/>
      <c r="L154" s="38"/>
      <c r="M154" s="17"/>
    </row>
    <row r="155" spans="2:13" ht="14.45" customHeight="1" x14ac:dyDescent="0.25">
      <c r="B155" s="17"/>
      <c r="C155" s="14"/>
      <c r="D155" s="14"/>
      <c r="E155" s="18"/>
      <c r="F155" s="61"/>
      <c r="G155" s="73"/>
      <c r="H155" s="79"/>
      <c r="I155" s="79"/>
      <c r="J155" s="14"/>
      <c r="K155" s="38"/>
      <c r="L155" s="38"/>
      <c r="M155" s="17"/>
    </row>
    <row r="156" spans="2:13" ht="14.45" customHeight="1" x14ac:dyDescent="0.25">
      <c r="B156" s="17"/>
      <c r="C156" s="14"/>
      <c r="D156" s="14"/>
      <c r="E156" s="18"/>
      <c r="F156" s="61"/>
      <c r="G156" s="73"/>
      <c r="H156" s="79"/>
      <c r="I156" s="79"/>
      <c r="J156" s="14"/>
      <c r="K156" s="38"/>
      <c r="L156" s="38"/>
      <c r="M156" s="17"/>
    </row>
    <row r="157" spans="2:13" ht="14.45" customHeight="1" x14ac:dyDescent="0.25">
      <c r="B157" s="17"/>
      <c r="C157" s="14"/>
      <c r="D157" s="14"/>
      <c r="E157" s="18"/>
      <c r="F157" s="61"/>
      <c r="G157" s="73"/>
      <c r="H157" s="79"/>
      <c r="I157" s="79"/>
      <c r="J157" s="14"/>
      <c r="K157" s="38"/>
      <c r="L157" s="38"/>
      <c r="M157" s="17"/>
    </row>
    <row r="158" spans="2:13" ht="14.45" customHeight="1" x14ac:dyDescent="0.25">
      <c r="B158" s="17"/>
      <c r="C158" s="14"/>
      <c r="D158" s="14"/>
      <c r="E158" s="18"/>
      <c r="F158" s="61"/>
      <c r="G158" s="73"/>
      <c r="H158" s="79"/>
      <c r="I158" s="79"/>
      <c r="J158" s="14"/>
      <c r="K158" s="38"/>
      <c r="L158" s="38"/>
      <c r="M158" s="17"/>
    </row>
    <row r="159" spans="2:13" ht="14.45" customHeight="1" x14ac:dyDescent="0.25">
      <c r="B159" s="17"/>
      <c r="C159" s="14"/>
      <c r="D159" s="14"/>
      <c r="E159" s="18"/>
      <c r="F159" s="61"/>
      <c r="G159" s="73"/>
      <c r="H159" s="79"/>
      <c r="I159" s="79"/>
      <c r="J159" s="14"/>
      <c r="K159" s="38"/>
      <c r="L159" s="38"/>
      <c r="M159" s="17"/>
    </row>
    <row r="160" spans="2:13" ht="14.45" customHeight="1" x14ac:dyDescent="0.25">
      <c r="B160" s="17"/>
      <c r="C160" s="14"/>
      <c r="D160" s="14"/>
      <c r="E160" s="18"/>
      <c r="F160" s="61"/>
      <c r="G160" s="73"/>
      <c r="H160" s="79"/>
      <c r="I160" s="79"/>
      <c r="J160" s="14"/>
      <c r="K160" s="38"/>
      <c r="L160" s="38"/>
      <c r="M160" s="17"/>
    </row>
    <row r="161" spans="2:13" ht="14.45" customHeight="1" x14ac:dyDescent="0.25">
      <c r="B161" s="17"/>
      <c r="C161" s="14"/>
      <c r="D161" s="14"/>
      <c r="E161" s="18"/>
      <c r="F161" s="61"/>
      <c r="G161" s="73"/>
      <c r="H161" s="79"/>
      <c r="I161" s="79"/>
      <c r="J161" s="14"/>
      <c r="K161" s="38"/>
      <c r="L161" s="38"/>
      <c r="M161" s="17"/>
    </row>
    <row r="162" spans="2:13" ht="14.45" customHeight="1" x14ac:dyDescent="0.25">
      <c r="B162" s="17"/>
      <c r="C162" s="14"/>
      <c r="D162" s="14"/>
      <c r="E162" s="18"/>
      <c r="F162" s="61"/>
      <c r="G162" s="73"/>
      <c r="H162" s="79"/>
      <c r="I162" s="79"/>
      <c r="J162" s="14"/>
      <c r="K162" s="38"/>
      <c r="L162" s="38"/>
      <c r="M162" s="17"/>
    </row>
    <row r="163" spans="2:13" ht="14.45" customHeight="1" x14ac:dyDescent="0.25">
      <c r="B163" s="17"/>
      <c r="C163" s="14"/>
      <c r="D163" s="14"/>
      <c r="E163" s="18"/>
      <c r="F163" s="61"/>
      <c r="G163" s="73"/>
      <c r="H163" s="79"/>
      <c r="I163" s="79"/>
      <c r="J163" s="14"/>
      <c r="K163" s="38"/>
      <c r="L163" s="38"/>
      <c r="M163" s="17"/>
    </row>
    <row r="164" spans="2:13" ht="14.45" customHeight="1" x14ac:dyDescent="0.25">
      <c r="B164" s="17"/>
      <c r="C164" s="14"/>
      <c r="D164" s="14"/>
      <c r="E164" s="18"/>
      <c r="F164" s="61"/>
      <c r="G164" s="73"/>
      <c r="H164" s="79"/>
      <c r="I164" s="79"/>
      <c r="J164" s="14"/>
      <c r="K164" s="38"/>
      <c r="L164" s="38"/>
      <c r="M164" s="17"/>
    </row>
    <row r="165" spans="2:13" ht="14.45" customHeight="1" x14ac:dyDescent="0.25">
      <c r="B165" s="17"/>
      <c r="C165" s="14"/>
      <c r="D165" s="14"/>
      <c r="E165" s="18"/>
      <c r="F165" s="61"/>
      <c r="G165" s="73"/>
      <c r="H165" s="79"/>
      <c r="I165" s="79"/>
      <c r="J165" s="14"/>
      <c r="K165" s="38"/>
      <c r="L165" s="38"/>
      <c r="M165" s="17"/>
    </row>
    <row r="166" spans="2:13" ht="14.45" customHeight="1" x14ac:dyDescent="0.25">
      <c r="B166" s="17"/>
      <c r="C166" s="14"/>
      <c r="D166" s="14"/>
      <c r="E166" s="18"/>
      <c r="F166" s="61"/>
      <c r="G166" s="73"/>
      <c r="H166" s="79"/>
      <c r="I166" s="79"/>
      <c r="J166" s="14"/>
      <c r="K166" s="38"/>
      <c r="L166" s="38"/>
      <c r="M166" s="17"/>
    </row>
    <row r="167" spans="2:13" ht="14.45" customHeight="1" x14ac:dyDescent="0.25">
      <c r="B167" s="17"/>
      <c r="C167" s="14"/>
      <c r="D167" s="14"/>
      <c r="E167" s="18"/>
      <c r="F167" s="61"/>
      <c r="G167" s="73"/>
      <c r="H167" s="79"/>
      <c r="I167" s="79"/>
      <c r="J167" s="14"/>
      <c r="K167" s="38"/>
      <c r="L167" s="38"/>
      <c r="M167" s="17"/>
    </row>
    <row r="168" spans="2:13" ht="14.45" customHeight="1" x14ac:dyDescent="0.25">
      <c r="B168" s="17"/>
      <c r="C168" s="14"/>
      <c r="D168" s="14"/>
      <c r="E168" s="18"/>
      <c r="F168" s="61"/>
      <c r="G168" s="73"/>
      <c r="H168" s="79"/>
      <c r="I168" s="79"/>
      <c r="J168" s="14"/>
      <c r="K168" s="38"/>
      <c r="L168" s="38"/>
      <c r="M168" s="17"/>
    </row>
    <row r="169" spans="2:13" ht="14.45" customHeight="1" x14ac:dyDescent="0.25">
      <c r="B169" s="17"/>
      <c r="C169" s="14"/>
      <c r="D169" s="14"/>
      <c r="E169" s="18"/>
      <c r="F169" s="61"/>
      <c r="G169" s="73"/>
      <c r="H169" s="79"/>
      <c r="I169" s="79"/>
      <c r="J169" s="14"/>
      <c r="K169" s="38"/>
      <c r="L169" s="38"/>
      <c r="M169" s="17"/>
    </row>
    <row r="170" spans="2:13" ht="14.45" customHeight="1" x14ac:dyDescent="0.25">
      <c r="B170" s="17"/>
      <c r="C170" s="14"/>
      <c r="D170" s="14"/>
      <c r="E170" s="18"/>
      <c r="F170" s="61"/>
      <c r="G170" s="73"/>
      <c r="H170" s="79"/>
      <c r="I170" s="79"/>
      <c r="J170" s="14"/>
      <c r="K170" s="38"/>
      <c r="L170" s="38"/>
      <c r="M170" s="17"/>
    </row>
    <row r="171" spans="2:13" ht="14.45" customHeight="1" x14ac:dyDescent="0.25">
      <c r="B171" s="17"/>
      <c r="C171" s="14"/>
      <c r="D171" s="14"/>
      <c r="E171" s="18"/>
      <c r="F171" s="61"/>
      <c r="G171" s="73"/>
      <c r="H171" s="79"/>
      <c r="I171" s="79"/>
      <c r="J171" s="14"/>
      <c r="K171" s="38"/>
      <c r="L171" s="38"/>
      <c r="M171" s="17"/>
    </row>
    <row r="172" spans="2:13" ht="14.45" customHeight="1" x14ac:dyDescent="0.25">
      <c r="B172" s="17"/>
      <c r="C172" s="14"/>
      <c r="D172" s="14"/>
      <c r="E172" s="18"/>
      <c r="F172" s="61"/>
      <c r="G172" s="73"/>
      <c r="H172" s="79"/>
      <c r="I172" s="79"/>
      <c r="J172" s="14"/>
      <c r="K172" s="38"/>
      <c r="L172" s="38"/>
      <c r="M172" s="17"/>
    </row>
    <row r="173" spans="2:13" ht="14.45" customHeight="1" x14ac:dyDescent="0.25">
      <c r="B173" s="17"/>
      <c r="C173" s="14"/>
      <c r="D173" s="14"/>
      <c r="E173" s="18"/>
      <c r="F173" s="61"/>
      <c r="G173" s="73"/>
      <c r="H173" s="79"/>
      <c r="I173" s="79"/>
      <c r="J173" s="14"/>
      <c r="K173" s="38"/>
      <c r="L173" s="38"/>
      <c r="M173" s="17"/>
    </row>
    <row r="174" spans="2:13" ht="14.45" customHeight="1" x14ac:dyDescent="0.25">
      <c r="B174" s="17"/>
      <c r="C174" s="14"/>
      <c r="D174" s="14"/>
      <c r="E174" s="18"/>
      <c r="F174" s="61"/>
      <c r="G174" s="73"/>
      <c r="H174" s="79"/>
      <c r="I174" s="79"/>
      <c r="J174" s="14"/>
      <c r="K174" s="38"/>
      <c r="L174" s="38"/>
      <c r="M174" s="17"/>
    </row>
    <row r="175" spans="2:13" ht="14.45" customHeight="1" x14ac:dyDescent="0.25">
      <c r="B175" s="17"/>
      <c r="C175" s="14"/>
      <c r="D175" s="14"/>
      <c r="E175" s="18"/>
      <c r="F175" s="61"/>
      <c r="G175" s="73"/>
      <c r="H175" s="79"/>
      <c r="I175" s="79"/>
      <c r="J175" s="14"/>
      <c r="K175" s="38"/>
      <c r="L175" s="38"/>
      <c r="M175" s="17"/>
    </row>
    <row r="176" spans="2:13" ht="14.45" customHeight="1" x14ac:dyDescent="0.25">
      <c r="B176" s="17"/>
      <c r="C176" s="14"/>
      <c r="D176" s="14"/>
      <c r="E176" s="18"/>
      <c r="F176" s="61"/>
      <c r="G176" s="73"/>
      <c r="H176" s="79"/>
      <c r="I176" s="79"/>
      <c r="J176" s="14"/>
      <c r="K176" s="38"/>
      <c r="L176" s="38"/>
      <c r="M176" s="17"/>
    </row>
    <row r="177" spans="2:13" ht="14.45" customHeight="1" x14ac:dyDescent="0.25">
      <c r="B177" s="17"/>
      <c r="C177" s="14"/>
      <c r="D177" s="14"/>
      <c r="E177" s="18"/>
      <c r="F177" s="61"/>
      <c r="G177" s="73"/>
      <c r="H177" s="79"/>
      <c r="I177" s="79"/>
      <c r="J177" s="14"/>
      <c r="K177" s="38"/>
      <c r="L177" s="38"/>
      <c r="M177" s="17"/>
    </row>
    <row r="178" spans="2:13" ht="14.45" customHeight="1" x14ac:dyDescent="0.25">
      <c r="B178" s="17"/>
      <c r="C178" s="14"/>
      <c r="D178" s="14"/>
      <c r="E178" s="18"/>
      <c r="F178" s="61"/>
      <c r="G178" s="73"/>
      <c r="H178" s="79"/>
      <c r="I178" s="79"/>
      <c r="J178" s="14"/>
      <c r="K178" s="38"/>
      <c r="L178" s="38"/>
      <c r="M178" s="17"/>
    </row>
    <row r="179" spans="2:13" ht="14.45" customHeight="1" x14ac:dyDescent="0.25">
      <c r="B179" s="17"/>
      <c r="C179" s="14"/>
      <c r="D179" s="14"/>
      <c r="E179" s="18"/>
      <c r="F179" s="61"/>
      <c r="G179" s="73"/>
      <c r="H179" s="79"/>
      <c r="I179" s="79"/>
      <c r="J179" s="14"/>
      <c r="K179" s="38"/>
      <c r="L179" s="38"/>
      <c r="M179" s="17"/>
    </row>
    <row r="180" spans="2:13" ht="14.45" customHeight="1" x14ac:dyDescent="0.25">
      <c r="B180" s="17"/>
      <c r="C180" s="14"/>
      <c r="D180" s="14"/>
      <c r="E180" s="18"/>
      <c r="F180" s="61"/>
      <c r="G180" s="73"/>
      <c r="H180" s="79"/>
      <c r="I180" s="79"/>
      <c r="J180" s="14"/>
      <c r="K180" s="38"/>
      <c r="L180" s="38"/>
      <c r="M180" s="17"/>
    </row>
    <row r="181" spans="2:13" ht="14.45" customHeight="1" x14ac:dyDescent="0.25">
      <c r="B181" s="17"/>
      <c r="C181" s="14"/>
      <c r="D181" s="14"/>
      <c r="E181" s="18"/>
      <c r="F181" s="61"/>
      <c r="G181" s="73"/>
      <c r="H181" s="79"/>
      <c r="I181" s="79"/>
      <c r="J181" s="14"/>
      <c r="K181" s="38"/>
      <c r="L181" s="38"/>
      <c r="M181" s="17"/>
    </row>
    <row r="182" spans="2:13" ht="14.45" customHeight="1" x14ac:dyDescent="0.25">
      <c r="B182" s="17"/>
      <c r="C182" s="14"/>
      <c r="D182" s="14"/>
      <c r="E182" s="18"/>
      <c r="F182" s="61"/>
      <c r="G182" s="73"/>
      <c r="H182" s="79"/>
      <c r="I182" s="79"/>
      <c r="J182" s="14"/>
      <c r="K182" s="38"/>
      <c r="L182" s="38"/>
      <c r="M182" s="17"/>
    </row>
    <row r="183" spans="2:13" ht="14.45" customHeight="1" x14ac:dyDescent="0.25">
      <c r="B183" s="17"/>
      <c r="C183" s="14"/>
      <c r="D183" s="14"/>
      <c r="E183" s="18"/>
      <c r="F183" s="61"/>
      <c r="G183" s="73"/>
      <c r="H183" s="79"/>
      <c r="I183" s="79"/>
      <c r="J183" s="14"/>
      <c r="K183" s="38"/>
      <c r="L183" s="38"/>
      <c r="M183" s="17"/>
    </row>
    <row r="184" spans="2:13" ht="14.45" customHeight="1" x14ac:dyDescent="0.25">
      <c r="B184" s="17"/>
      <c r="C184" s="14"/>
      <c r="D184" s="14"/>
      <c r="E184" s="18"/>
      <c r="F184" s="61"/>
      <c r="G184" s="73"/>
      <c r="H184" s="79"/>
      <c r="I184" s="79"/>
      <c r="J184" s="14"/>
      <c r="K184" s="38"/>
      <c r="L184" s="38"/>
      <c r="M184" s="17"/>
    </row>
    <row r="185" spans="2:13" ht="14.45" customHeight="1" x14ac:dyDescent="0.25">
      <c r="B185" s="17"/>
      <c r="C185" s="14"/>
      <c r="D185" s="14"/>
      <c r="E185" s="18"/>
      <c r="F185" s="61"/>
      <c r="G185" s="73"/>
      <c r="H185" s="79"/>
      <c r="I185" s="79"/>
      <c r="J185" s="14"/>
      <c r="K185" s="38"/>
      <c r="L185" s="38"/>
      <c r="M185" s="17"/>
    </row>
    <row r="186" spans="2:13" ht="14.45" customHeight="1" x14ac:dyDescent="0.25">
      <c r="B186" s="17"/>
      <c r="C186" s="14"/>
      <c r="D186" s="14"/>
      <c r="E186" s="18"/>
      <c r="F186" s="61"/>
      <c r="G186" s="73"/>
      <c r="H186" s="79"/>
      <c r="I186" s="79"/>
      <c r="J186" s="14"/>
      <c r="K186" s="38"/>
      <c r="L186" s="38"/>
      <c r="M186" s="17"/>
    </row>
    <row r="187" spans="2:13" ht="14.45" customHeight="1" x14ac:dyDescent="0.25">
      <c r="B187" s="17"/>
      <c r="C187" s="14"/>
      <c r="D187" s="14"/>
      <c r="E187" s="18"/>
      <c r="F187" s="61"/>
      <c r="G187" s="73"/>
      <c r="H187" s="79"/>
      <c r="I187" s="79"/>
      <c r="J187" s="14"/>
      <c r="K187" s="38"/>
      <c r="L187" s="38"/>
      <c r="M187" s="17"/>
    </row>
    <row r="188" spans="2:13" ht="14.45" customHeight="1" x14ac:dyDescent="0.25">
      <c r="B188" s="17"/>
      <c r="C188" s="14"/>
      <c r="D188" s="14"/>
      <c r="E188" s="18"/>
      <c r="F188" s="61"/>
      <c r="G188" s="73"/>
      <c r="H188" s="79"/>
      <c r="I188" s="79"/>
      <c r="J188" s="14"/>
      <c r="K188" s="38"/>
      <c r="L188" s="38"/>
      <c r="M188" s="17"/>
    </row>
    <row r="189" spans="2:13" ht="14.45" customHeight="1" x14ac:dyDescent="0.25">
      <c r="B189" s="17"/>
      <c r="C189" s="14"/>
      <c r="D189" s="14"/>
      <c r="E189" s="18"/>
      <c r="F189" s="61"/>
      <c r="G189" s="73"/>
      <c r="H189" s="79"/>
      <c r="I189" s="79"/>
      <c r="J189" s="14"/>
      <c r="K189" s="38"/>
      <c r="L189" s="38"/>
      <c r="M189" s="17"/>
    </row>
    <row r="190" spans="2:13" ht="14.45" customHeight="1" x14ac:dyDescent="0.25">
      <c r="B190" s="17"/>
      <c r="C190" s="14"/>
      <c r="D190" s="14"/>
      <c r="E190" s="18"/>
      <c r="F190" s="61"/>
      <c r="G190" s="73"/>
      <c r="H190" s="79"/>
      <c r="I190" s="79"/>
      <c r="J190" s="14"/>
      <c r="K190" s="38"/>
      <c r="L190" s="38"/>
      <c r="M190" s="17"/>
    </row>
    <row r="191" spans="2:13" ht="14.45" customHeight="1" x14ac:dyDescent="0.25">
      <c r="B191" s="17"/>
      <c r="C191" s="14"/>
      <c r="D191" s="14"/>
      <c r="E191" s="18"/>
      <c r="F191" s="61"/>
      <c r="G191" s="73"/>
      <c r="H191" s="79"/>
      <c r="I191" s="79"/>
      <c r="J191" s="14"/>
      <c r="K191" s="38"/>
      <c r="L191" s="38"/>
      <c r="M191" s="17"/>
    </row>
    <row r="192" spans="2:13" ht="14.45" customHeight="1" x14ac:dyDescent="0.25">
      <c r="B192" s="17"/>
      <c r="C192" s="14"/>
      <c r="D192" s="14"/>
      <c r="E192" s="18"/>
      <c r="F192" s="61"/>
      <c r="G192" s="73"/>
      <c r="H192" s="79"/>
      <c r="I192" s="79"/>
      <c r="J192" s="14"/>
      <c r="K192" s="38"/>
      <c r="L192" s="38"/>
      <c r="M192" s="17"/>
    </row>
    <row r="193" spans="2:13" ht="14.45" customHeight="1" x14ac:dyDescent="0.25">
      <c r="B193" s="17"/>
      <c r="C193" s="14"/>
      <c r="D193" s="14"/>
      <c r="E193" s="18"/>
      <c r="F193" s="61"/>
      <c r="G193" s="73"/>
      <c r="H193" s="79"/>
      <c r="I193" s="79"/>
      <c r="J193" s="14"/>
      <c r="K193" s="38"/>
      <c r="L193" s="38"/>
      <c r="M193" s="17"/>
    </row>
    <row r="194" spans="2:13" ht="14.45" customHeight="1" x14ac:dyDescent="0.25">
      <c r="B194" s="17"/>
      <c r="C194" s="14"/>
      <c r="D194" s="14"/>
      <c r="E194" s="18"/>
      <c r="F194" s="61"/>
      <c r="G194" s="73"/>
      <c r="H194" s="79"/>
      <c r="I194" s="79"/>
      <c r="J194" s="14"/>
      <c r="K194" s="38"/>
      <c r="L194" s="38"/>
      <c r="M194" s="17"/>
    </row>
    <row r="195" spans="2:13" ht="14.45" customHeight="1" x14ac:dyDescent="0.25">
      <c r="B195" s="17"/>
      <c r="C195" s="14"/>
      <c r="D195" s="14"/>
      <c r="E195" s="18"/>
      <c r="F195" s="61"/>
      <c r="G195" s="73"/>
      <c r="H195" s="79"/>
      <c r="I195" s="79"/>
      <c r="J195" s="14"/>
      <c r="K195" s="38"/>
      <c r="L195" s="38"/>
      <c r="M195" s="17"/>
    </row>
    <row r="196" spans="2:13" ht="14.45" customHeight="1" x14ac:dyDescent="0.25">
      <c r="B196" s="17"/>
      <c r="C196" s="14"/>
      <c r="D196" s="14"/>
      <c r="E196" s="18"/>
      <c r="F196" s="61"/>
      <c r="G196" s="73"/>
      <c r="H196" s="79"/>
      <c r="I196" s="79"/>
      <c r="J196" s="14"/>
      <c r="K196" s="38"/>
      <c r="L196" s="38"/>
      <c r="M196" s="17"/>
    </row>
    <row r="197" spans="2:13" ht="14.45" customHeight="1" x14ac:dyDescent="0.25">
      <c r="B197" s="17"/>
      <c r="C197" s="14"/>
      <c r="D197" s="14"/>
      <c r="E197" s="18"/>
      <c r="F197" s="61"/>
      <c r="G197" s="73"/>
      <c r="H197" s="79"/>
      <c r="I197" s="79"/>
      <c r="J197" s="14"/>
      <c r="K197" s="38"/>
      <c r="L197" s="38"/>
      <c r="M197" s="17"/>
    </row>
    <row r="198" spans="2:13" ht="14.45" customHeight="1" x14ac:dyDescent="0.25">
      <c r="B198" s="17"/>
      <c r="C198" s="14"/>
      <c r="D198" s="14"/>
      <c r="E198" s="18"/>
      <c r="F198" s="61"/>
      <c r="G198" s="73"/>
      <c r="H198" s="79"/>
      <c r="I198" s="79"/>
      <c r="J198" s="14"/>
      <c r="K198" s="38"/>
      <c r="L198" s="38"/>
      <c r="M198" s="17"/>
    </row>
    <row r="199" spans="2:13" ht="14.45" customHeight="1" x14ac:dyDescent="0.25">
      <c r="B199" s="17"/>
      <c r="C199" s="14"/>
      <c r="D199" s="14"/>
      <c r="E199" s="18"/>
      <c r="F199" s="61"/>
      <c r="G199" s="73"/>
      <c r="H199" s="79"/>
      <c r="I199" s="79"/>
      <c r="J199" s="14"/>
      <c r="K199" s="38"/>
      <c r="L199" s="38"/>
      <c r="M199" s="17"/>
    </row>
    <row r="200" spans="2:13" ht="14.45" customHeight="1" x14ac:dyDescent="0.25">
      <c r="B200" s="17"/>
      <c r="C200" s="14"/>
      <c r="D200" s="14"/>
      <c r="E200" s="18"/>
      <c r="F200" s="61"/>
      <c r="G200" s="73"/>
      <c r="H200" s="79"/>
      <c r="I200" s="79"/>
      <c r="J200" s="14"/>
      <c r="K200" s="38"/>
      <c r="L200" s="38"/>
      <c r="M200" s="17"/>
    </row>
    <row r="201" spans="2:13" ht="14.45" customHeight="1" x14ac:dyDescent="0.25">
      <c r="B201" s="17"/>
      <c r="C201" s="14"/>
      <c r="D201" s="14"/>
      <c r="E201" s="18"/>
      <c r="F201" s="61"/>
      <c r="G201" s="73"/>
      <c r="H201" s="79"/>
      <c r="I201" s="79"/>
      <c r="J201" s="14"/>
      <c r="K201" s="38"/>
      <c r="L201" s="38"/>
      <c r="M201" s="17"/>
    </row>
    <row r="202" spans="2:13" ht="14.45" customHeight="1" x14ac:dyDescent="0.25">
      <c r="B202" s="17"/>
      <c r="C202" s="14"/>
      <c r="D202" s="14"/>
      <c r="E202" s="18"/>
      <c r="F202" s="61"/>
      <c r="G202" s="73"/>
      <c r="H202" s="79"/>
      <c r="I202" s="79"/>
      <c r="J202" s="14"/>
      <c r="K202" s="38"/>
      <c r="L202" s="38"/>
      <c r="M202" s="17"/>
    </row>
    <row r="203" spans="2:13" ht="14.45" customHeight="1" x14ac:dyDescent="0.25">
      <c r="B203" s="17"/>
      <c r="C203" s="14"/>
      <c r="D203" s="14"/>
      <c r="E203" s="18"/>
      <c r="F203" s="61"/>
      <c r="G203" s="73"/>
      <c r="H203" s="79"/>
      <c r="I203" s="79"/>
      <c r="J203" s="14"/>
      <c r="K203" s="38"/>
      <c r="L203" s="38"/>
      <c r="M203" s="17"/>
    </row>
    <row r="204" spans="2:13" ht="14.45" customHeight="1" x14ac:dyDescent="0.25">
      <c r="B204" s="17"/>
      <c r="C204" s="14"/>
      <c r="D204" s="14"/>
      <c r="E204" s="18"/>
      <c r="F204" s="61"/>
      <c r="G204" s="73"/>
      <c r="H204" s="79"/>
      <c r="I204" s="79"/>
      <c r="J204" s="14"/>
      <c r="K204" s="38"/>
      <c r="L204" s="38"/>
      <c r="M204" s="17"/>
    </row>
    <row r="205" spans="2:13" ht="14.45" customHeight="1" x14ac:dyDescent="0.25">
      <c r="B205" s="17"/>
      <c r="C205" s="14"/>
      <c r="D205" s="14"/>
      <c r="E205" s="18"/>
      <c r="F205" s="61"/>
      <c r="G205" s="73"/>
      <c r="H205" s="79"/>
      <c r="I205" s="79"/>
      <c r="J205" s="14"/>
      <c r="K205" s="38"/>
      <c r="L205" s="38"/>
      <c r="M205" s="17"/>
    </row>
    <row r="206" spans="2:13" ht="14.45" customHeight="1" x14ac:dyDescent="0.25">
      <c r="B206" s="17"/>
      <c r="C206" s="14"/>
      <c r="D206" s="14"/>
      <c r="E206" s="18"/>
      <c r="F206" s="61"/>
      <c r="G206" s="73"/>
      <c r="H206" s="79"/>
      <c r="I206" s="79"/>
      <c r="J206" s="14"/>
      <c r="K206" s="38"/>
      <c r="L206" s="38"/>
      <c r="M206" s="17"/>
    </row>
    <row r="207" spans="2:13" ht="14.45" customHeight="1" x14ac:dyDescent="0.25">
      <c r="B207" s="17"/>
      <c r="C207" s="14"/>
      <c r="D207" s="14"/>
      <c r="E207" s="18"/>
      <c r="F207" s="61"/>
      <c r="G207" s="73"/>
      <c r="H207" s="79"/>
      <c r="I207" s="79"/>
      <c r="J207" s="14"/>
      <c r="K207" s="38"/>
      <c r="L207" s="38"/>
      <c r="M207" s="17"/>
    </row>
    <row r="208" spans="2:13" ht="14.45" customHeight="1" x14ac:dyDescent="0.25">
      <c r="B208" s="17"/>
      <c r="C208" s="14"/>
      <c r="D208" s="14"/>
      <c r="E208" s="18"/>
      <c r="F208" s="61"/>
      <c r="G208" s="73"/>
      <c r="H208" s="79"/>
      <c r="I208" s="79"/>
      <c r="J208" s="14"/>
      <c r="K208" s="38"/>
      <c r="L208" s="38"/>
      <c r="M208" s="17"/>
    </row>
    <row r="209" spans="2:13" ht="14.45" customHeight="1" x14ac:dyDescent="0.25">
      <c r="B209" s="17"/>
      <c r="C209" s="14"/>
      <c r="D209" s="14"/>
      <c r="E209" s="18"/>
      <c r="F209" s="61"/>
      <c r="G209" s="73"/>
      <c r="H209" s="79"/>
      <c r="I209" s="79"/>
      <c r="J209" s="14"/>
      <c r="K209" s="38"/>
      <c r="L209" s="38"/>
      <c r="M209" s="17"/>
    </row>
    <row r="210" spans="2:13" ht="14.45" customHeight="1" x14ac:dyDescent="0.25">
      <c r="B210" s="17"/>
      <c r="C210" s="14"/>
      <c r="D210" s="14"/>
      <c r="E210" s="18"/>
      <c r="F210" s="61"/>
      <c r="G210" s="73"/>
      <c r="H210" s="79"/>
      <c r="I210" s="79"/>
      <c r="J210" s="14"/>
      <c r="K210" s="38"/>
      <c r="L210" s="38"/>
      <c r="M210" s="17"/>
    </row>
    <row r="211" spans="2:13" ht="14.45" customHeight="1" x14ac:dyDescent="0.25">
      <c r="B211" s="17"/>
      <c r="C211" s="14"/>
      <c r="D211" s="14"/>
      <c r="E211" s="18"/>
      <c r="F211" s="61"/>
      <c r="G211" s="73"/>
      <c r="H211" s="79"/>
      <c r="I211" s="79"/>
      <c r="J211" s="14"/>
      <c r="K211" s="38"/>
      <c r="L211" s="38"/>
      <c r="M211" s="17"/>
    </row>
    <row r="212" spans="2:13" ht="14.45" customHeight="1" x14ac:dyDescent="0.25">
      <c r="B212" s="17"/>
      <c r="C212" s="14"/>
      <c r="D212" s="14"/>
      <c r="E212" s="18"/>
      <c r="F212" s="61"/>
      <c r="G212" s="73"/>
      <c r="H212" s="79"/>
      <c r="I212" s="79"/>
      <c r="J212" s="14"/>
      <c r="K212" s="38"/>
      <c r="L212" s="38"/>
      <c r="M212" s="17"/>
    </row>
    <row r="213" spans="2:13" ht="14.45" customHeight="1" x14ac:dyDescent="0.25">
      <c r="B213" s="17"/>
      <c r="C213" s="14"/>
      <c r="D213" s="14"/>
      <c r="E213" s="18"/>
      <c r="F213" s="61"/>
      <c r="G213" s="73"/>
      <c r="H213" s="79"/>
      <c r="I213" s="79"/>
      <c r="J213" s="14"/>
      <c r="K213" s="38"/>
      <c r="L213" s="38"/>
      <c r="M213" s="17"/>
    </row>
    <row r="214" spans="2:13" ht="14.45" customHeight="1" x14ac:dyDescent="0.25">
      <c r="B214" s="17"/>
      <c r="C214" s="14"/>
      <c r="D214" s="14"/>
      <c r="E214" s="18"/>
      <c r="F214" s="61"/>
      <c r="G214" s="73"/>
      <c r="H214" s="79"/>
      <c r="I214" s="79"/>
      <c r="J214" s="14"/>
      <c r="K214" s="38"/>
      <c r="L214" s="38"/>
      <c r="M214" s="17"/>
    </row>
    <row r="215" spans="2:13" ht="14.45" customHeight="1" x14ac:dyDescent="0.25">
      <c r="B215" s="17"/>
      <c r="C215" s="14"/>
      <c r="D215" s="14"/>
      <c r="E215" s="18"/>
      <c r="F215" s="61"/>
      <c r="G215" s="73"/>
      <c r="H215" s="79"/>
      <c r="I215" s="79"/>
      <c r="J215" s="14"/>
      <c r="K215" s="38"/>
      <c r="L215" s="38"/>
      <c r="M215" s="17"/>
    </row>
    <row r="216" spans="2:13" ht="14.45" customHeight="1" x14ac:dyDescent="0.25">
      <c r="B216" s="17"/>
      <c r="C216" s="14"/>
      <c r="D216" s="14"/>
      <c r="E216" s="18"/>
      <c r="F216" s="61"/>
      <c r="G216" s="73"/>
      <c r="H216" s="79"/>
      <c r="I216" s="79"/>
      <c r="J216" s="14"/>
      <c r="K216" s="38"/>
      <c r="L216" s="38"/>
      <c r="M216" s="17"/>
    </row>
    <row r="217" spans="2:13" ht="14.45" customHeight="1" x14ac:dyDescent="0.25">
      <c r="B217" s="17"/>
      <c r="C217" s="14"/>
      <c r="D217" s="14"/>
      <c r="E217" s="18"/>
      <c r="F217" s="61"/>
      <c r="G217" s="73"/>
      <c r="H217" s="79"/>
      <c r="I217" s="79"/>
      <c r="J217" s="14"/>
      <c r="K217" s="38"/>
      <c r="L217" s="38"/>
      <c r="M217" s="17"/>
    </row>
    <row r="218" spans="2:13" ht="14.45" customHeight="1" x14ac:dyDescent="0.25">
      <c r="B218" s="17"/>
      <c r="C218" s="14"/>
      <c r="D218" s="14"/>
      <c r="E218" s="18"/>
      <c r="F218" s="61"/>
      <c r="G218" s="73"/>
      <c r="H218" s="79"/>
      <c r="I218" s="79"/>
      <c r="J218" s="14"/>
      <c r="K218" s="38"/>
      <c r="L218" s="38"/>
      <c r="M218" s="17"/>
    </row>
    <row r="219" spans="2:13" ht="14.45" customHeight="1" x14ac:dyDescent="0.25">
      <c r="B219" s="17"/>
      <c r="C219" s="14"/>
      <c r="D219" s="14"/>
      <c r="E219" s="18"/>
      <c r="F219" s="61"/>
      <c r="G219" s="73"/>
      <c r="H219" s="79"/>
      <c r="I219" s="79"/>
      <c r="J219" s="14"/>
      <c r="K219" s="38"/>
      <c r="L219" s="38"/>
      <c r="M219" s="17"/>
    </row>
    <row r="220" spans="2:13" ht="14.45" customHeight="1" x14ac:dyDescent="0.25">
      <c r="B220" s="17"/>
      <c r="C220" s="14"/>
      <c r="D220" s="14"/>
      <c r="E220" s="18"/>
      <c r="F220" s="61"/>
      <c r="G220" s="73"/>
      <c r="H220" s="79"/>
      <c r="I220" s="79"/>
      <c r="J220" s="14"/>
      <c r="K220" s="38"/>
      <c r="L220" s="38"/>
      <c r="M220" s="17"/>
    </row>
    <row r="221" spans="2:13" ht="14.45" customHeight="1" x14ac:dyDescent="0.25">
      <c r="B221" s="17"/>
      <c r="C221" s="14"/>
      <c r="D221" s="14"/>
      <c r="E221" s="18"/>
      <c r="F221" s="61"/>
      <c r="G221" s="73"/>
      <c r="H221" s="79"/>
      <c r="I221" s="79"/>
      <c r="J221" s="14"/>
      <c r="K221" s="38"/>
      <c r="L221" s="38"/>
      <c r="M221" s="17"/>
    </row>
    <row r="222" spans="2:13" ht="14.45" customHeight="1" x14ac:dyDescent="0.25">
      <c r="B222" s="17"/>
      <c r="C222" s="14"/>
      <c r="D222" s="14"/>
      <c r="E222" s="18"/>
      <c r="F222" s="61"/>
      <c r="G222" s="73"/>
      <c r="H222" s="79"/>
      <c r="I222" s="79"/>
      <c r="J222" s="14"/>
      <c r="K222" s="38"/>
      <c r="L222" s="38"/>
      <c r="M222" s="17"/>
    </row>
    <row r="223" spans="2:13" ht="14.45" customHeight="1" x14ac:dyDescent="0.25">
      <c r="B223" s="17"/>
      <c r="C223" s="14"/>
      <c r="D223" s="14"/>
      <c r="E223" s="18"/>
      <c r="F223" s="61"/>
      <c r="G223" s="73"/>
      <c r="H223" s="79"/>
      <c r="I223" s="79"/>
      <c r="J223" s="14"/>
      <c r="K223" s="38"/>
      <c r="L223" s="38"/>
      <c r="M223" s="17"/>
    </row>
    <row r="224" spans="2:13" ht="14.45" customHeight="1" x14ac:dyDescent="0.25">
      <c r="B224" s="17"/>
      <c r="C224" s="14"/>
      <c r="D224" s="14"/>
      <c r="E224" s="18"/>
      <c r="F224" s="61"/>
      <c r="G224" s="73"/>
      <c r="H224" s="79"/>
      <c r="I224" s="79"/>
      <c r="J224" s="14"/>
      <c r="K224" s="38"/>
      <c r="L224" s="38"/>
      <c r="M224" s="17"/>
    </row>
    <row r="225" spans="2:13" ht="14.45" customHeight="1" x14ac:dyDescent="0.25">
      <c r="B225" s="17"/>
      <c r="C225" s="14"/>
      <c r="D225" s="14"/>
      <c r="E225" s="18"/>
      <c r="F225" s="61"/>
      <c r="G225" s="73"/>
      <c r="H225" s="79"/>
      <c r="I225" s="79"/>
      <c r="J225" s="14"/>
      <c r="K225" s="38"/>
      <c r="L225" s="38"/>
      <c r="M225" s="17"/>
    </row>
    <row r="226" spans="2:13" ht="14.45" customHeight="1" x14ac:dyDescent="0.25">
      <c r="B226" s="17"/>
      <c r="C226" s="14"/>
      <c r="D226" s="14"/>
      <c r="E226" s="18"/>
      <c r="F226" s="61"/>
      <c r="G226" s="73"/>
      <c r="H226" s="79"/>
      <c r="I226" s="79"/>
      <c r="J226" s="14"/>
      <c r="K226" s="38"/>
      <c r="L226" s="38"/>
      <c r="M226" s="17"/>
    </row>
    <row r="227" spans="2:13" ht="14.45" customHeight="1" x14ac:dyDescent="0.25">
      <c r="B227" s="17"/>
      <c r="C227" s="14"/>
      <c r="D227" s="14"/>
      <c r="E227" s="18"/>
      <c r="F227" s="61"/>
      <c r="G227" s="73"/>
      <c r="H227" s="79"/>
      <c r="I227" s="79"/>
      <c r="J227" s="14"/>
      <c r="K227" s="38"/>
      <c r="L227" s="38"/>
      <c r="M227" s="17"/>
    </row>
    <row r="228" spans="2:13" ht="14.45" customHeight="1" x14ac:dyDescent="0.25">
      <c r="B228" s="17"/>
      <c r="C228" s="14"/>
      <c r="D228" s="14"/>
      <c r="E228" s="18"/>
      <c r="F228" s="61"/>
      <c r="G228" s="73"/>
      <c r="H228" s="79"/>
      <c r="I228" s="79"/>
      <c r="J228" s="14"/>
      <c r="K228" s="38"/>
      <c r="L228" s="38"/>
      <c r="M228" s="17"/>
    </row>
    <row r="229" spans="2:13" ht="14.45" customHeight="1" x14ac:dyDescent="0.25">
      <c r="B229" s="17"/>
      <c r="C229" s="14"/>
      <c r="D229" s="14"/>
      <c r="E229" s="18"/>
      <c r="F229" s="61"/>
      <c r="G229" s="73"/>
      <c r="H229" s="79"/>
      <c r="I229" s="79"/>
      <c r="J229" s="14"/>
      <c r="K229" s="38"/>
      <c r="L229" s="38"/>
      <c r="M229" s="17"/>
    </row>
    <row r="230" spans="2:13" ht="14.45" customHeight="1" x14ac:dyDescent="0.25">
      <c r="B230" s="17"/>
      <c r="C230" s="14"/>
      <c r="D230" s="14"/>
      <c r="E230" s="18"/>
      <c r="F230" s="61"/>
      <c r="G230" s="73"/>
      <c r="H230" s="79"/>
      <c r="I230" s="79"/>
      <c r="J230" s="14"/>
      <c r="K230" s="38"/>
      <c r="L230" s="38"/>
      <c r="M230" s="17"/>
    </row>
    <row r="231" spans="2:13" ht="14.45" customHeight="1" x14ac:dyDescent="0.25">
      <c r="B231" s="17"/>
      <c r="C231" s="14"/>
      <c r="D231" s="14"/>
      <c r="E231" s="18"/>
      <c r="F231" s="61"/>
      <c r="G231" s="73"/>
      <c r="H231" s="79"/>
      <c r="I231" s="79"/>
      <c r="J231" s="14"/>
      <c r="K231" s="38"/>
      <c r="L231" s="38"/>
      <c r="M231" s="17"/>
    </row>
    <row r="232" spans="2:13" ht="14.45" customHeight="1" x14ac:dyDescent="0.25">
      <c r="B232" s="17"/>
      <c r="C232" s="14"/>
      <c r="D232" s="14"/>
      <c r="E232" s="18"/>
      <c r="F232" s="61"/>
      <c r="G232" s="73"/>
      <c r="H232" s="79"/>
      <c r="I232" s="79"/>
      <c r="J232" s="14"/>
      <c r="K232" s="38"/>
      <c r="L232" s="38"/>
      <c r="M232" s="17"/>
    </row>
    <row r="233" spans="2:13" ht="14.45" customHeight="1" x14ac:dyDescent="0.25">
      <c r="B233" s="17"/>
      <c r="C233" s="14"/>
      <c r="D233" s="14"/>
      <c r="E233" s="18"/>
      <c r="F233" s="61"/>
      <c r="G233" s="73"/>
      <c r="H233" s="79"/>
      <c r="I233" s="79"/>
      <c r="J233" s="14"/>
      <c r="K233" s="38"/>
      <c r="L233" s="38"/>
      <c r="M233" s="17"/>
    </row>
    <row r="234" spans="2:13" ht="14.45" customHeight="1" x14ac:dyDescent="0.25">
      <c r="B234" s="17"/>
      <c r="C234" s="14"/>
      <c r="D234" s="14"/>
      <c r="E234" s="18"/>
      <c r="F234" s="61"/>
      <c r="G234" s="73"/>
      <c r="H234" s="79"/>
      <c r="I234" s="79"/>
      <c r="J234" s="14"/>
      <c r="K234" s="38"/>
      <c r="L234" s="38"/>
      <c r="M234" s="17"/>
    </row>
    <row r="235" spans="2:13" ht="14.45" customHeight="1" x14ac:dyDescent="0.25">
      <c r="B235" s="17"/>
      <c r="C235" s="14"/>
      <c r="D235" s="14"/>
      <c r="E235" s="18"/>
      <c r="F235" s="61"/>
      <c r="G235" s="73"/>
      <c r="H235" s="79"/>
      <c r="I235" s="79"/>
      <c r="J235" s="14"/>
      <c r="K235" s="38"/>
      <c r="L235" s="38"/>
      <c r="M235" s="17"/>
    </row>
    <row r="236" spans="2:13" ht="14.45" customHeight="1" x14ac:dyDescent="0.25">
      <c r="B236" s="17"/>
      <c r="C236" s="14"/>
      <c r="D236" s="14"/>
      <c r="E236" s="18"/>
      <c r="F236" s="61"/>
      <c r="G236" s="73"/>
      <c r="H236" s="79"/>
      <c r="I236" s="79"/>
      <c r="J236" s="14"/>
      <c r="K236" s="38"/>
      <c r="L236" s="38"/>
      <c r="M236" s="17"/>
    </row>
    <row r="237" spans="2:13" ht="14.45" customHeight="1" x14ac:dyDescent="0.25">
      <c r="B237" s="17"/>
      <c r="C237" s="14"/>
      <c r="D237" s="14"/>
      <c r="E237" s="18"/>
      <c r="F237" s="61"/>
      <c r="G237" s="73"/>
      <c r="H237" s="79"/>
      <c r="I237" s="79"/>
      <c r="J237" s="14"/>
      <c r="K237" s="38"/>
      <c r="L237" s="38"/>
      <c r="M237" s="17"/>
    </row>
    <row r="238" spans="2:13" ht="14.45" customHeight="1" x14ac:dyDescent="0.25">
      <c r="B238" s="17"/>
      <c r="C238" s="14"/>
      <c r="D238" s="14"/>
      <c r="E238" s="18"/>
      <c r="F238" s="61"/>
      <c r="G238" s="73"/>
      <c r="H238" s="79"/>
      <c r="I238" s="79"/>
      <c r="J238" s="14"/>
      <c r="K238" s="38"/>
      <c r="L238" s="38"/>
      <c r="M238" s="17"/>
    </row>
    <row r="239" spans="2:13" ht="14.45" customHeight="1" x14ac:dyDescent="0.25">
      <c r="B239" s="17"/>
      <c r="C239" s="14"/>
      <c r="D239" s="14"/>
      <c r="E239" s="18"/>
      <c r="F239" s="61"/>
      <c r="G239" s="73"/>
      <c r="H239" s="79"/>
      <c r="I239" s="79"/>
      <c r="J239" s="14"/>
      <c r="K239" s="38"/>
      <c r="L239" s="38"/>
      <c r="M239" s="17"/>
    </row>
    <row r="240" spans="2:13" ht="14.45" customHeight="1" x14ac:dyDescent="0.25">
      <c r="B240" s="17"/>
      <c r="C240" s="14"/>
      <c r="D240" s="14"/>
      <c r="E240" s="18"/>
      <c r="F240" s="61"/>
      <c r="G240" s="73"/>
      <c r="H240" s="79"/>
      <c r="I240" s="79"/>
      <c r="J240" s="14"/>
      <c r="K240" s="38"/>
      <c r="L240" s="38"/>
      <c r="M240" s="17"/>
    </row>
    <row r="241" spans="2:13" ht="14.45" customHeight="1" x14ac:dyDescent="0.25">
      <c r="B241" s="17"/>
      <c r="C241" s="14"/>
      <c r="D241" s="14"/>
      <c r="E241" s="18"/>
      <c r="F241" s="61"/>
      <c r="G241" s="73"/>
      <c r="H241" s="79"/>
      <c r="I241" s="79"/>
      <c r="J241" s="14"/>
      <c r="K241" s="38"/>
      <c r="L241" s="38"/>
      <c r="M241" s="17"/>
    </row>
    <row r="242" spans="2:13" ht="14.45" customHeight="1" x14ac:dyDescent="0.25">
      <c r="B242" s="17"/>
      <c r="C242" s="14"/>
      <c r="D242" s="14"/>
      <c r="E242" s="18"/>
      <c r="F242" s="61"/>
      <c r="G242" s="73"/>
      <c r="H242" s="79"/>
      <c r="I242" s="79"/>
      <c r="J242" s="14"/>
      <c r="K242" s="38"/>
      <c r="L242" s="38"/>
      <c r="M242" s="17"/>
    </row>
    <row r="243" spans="2:13" ht="14.45" customHeight="1" x14ac:dyDescent="0.25">
      <c r="B243" s="17"/>
      <c r="C243" s="14"/>
      <c r="D243" s="14"/>
      <c r="E243" s="18"/>
      <c r="F243" s="61"/>
      <c r="G243" s="73"/>
      <c r="H243" s="79"/>
      <c r="I243" s="79"/>
      <c r="J243" s="14"/>
      <c r="K243" s="38"/>
      <c r="L243" s="38"/>
      <c r="M243" s="17"/>
    </row>
    <row r="244" spans="2:13" ht="14.45" customHeight="1" x14ac:dyDescent="0.25">
      <c r="B244" s="17"/>
      <c r="C244" s="14"/>
      <c r="D244" s="14"/>
      <c r="E244" s="18"/>
      <c r="F244" s="61"/>
      <c r="G244" s="73"/>
      <c r="H244" s="79"/>
      <c r="I244" s="79"/>
      <c r="J244" s="14"/>
      <c r="K244" s="38"/>
      <c r="L244" s="38"/>
      <c r="M244" s="17"/>
    </row>
    <row r="245" spans="2:13" ht="14.45" customHeight="1" x14ac:dyDescent="0.25">
      <c r="B245" s="17"/>
      <c r="C245" s="14"/>
      <c r="D245" s="14"/>
      <c r="E245" s="18"/>
      <c r="F245" s="61"/>
      <c r="G245" s="73"/>
      <c r="H245" s="79"/>
      <c r="I245" s="79"/>
      <c r="J245" s="14"/>
      <c r="K245" s="38"/>
      <c r="L245" s="38"/>
      <c r="M245" s="17"/>
    </row>
    <row r="246" spans="2:13" ht="14.45" customHeight="1" x14ac:dyDescent="0.25">
      <c r="B246" s="17"/>
      <c r="C246" s="14"/>
      <c r="D246" s="14"/>
      <c r="E246" s="18"/>
      <c r="F246" s="61"/>
      <c r="G246" s="73"/>
      <c r="H246" s="79"/>
      <c r="I246" s="79"/>
      <c r="J246" s="14"/>
      <c r="K246" s="38"/>
      <c r="L246" s="38"/>
      <c r="M246" s="17"/>
    </row>
    <row r="247" spans="2:13" ht="14.45" customHeight="1" x14ac:dyDescent="0.25">
      <c r="B247" s="17"/>
      <c r="C247" s="14"/>
      <c r="D247" s="14"/>
      <c r="E247" s="18"/>
      <c r="F247" s="61"/>
      <c r="G247" s="73"/>
      <c r="H247" s="79"/>
      <c r="I247" s="79"/>
      <c r="J247" s="14"/>
      <c r="K247" s="38"/>
      <c r="L247" s="38"/>
      <c r="M247" s="17"/>
    </row>
    <row r="248" spans="2:13" ht="14.45" customHeight="1" x14ac:dyDescent="0.25">
      <c r="B248" s="17"/>
      <c r="C248" s="14"/>
      <c r="D248" s="14"/>
      <c r="E248" s="18"/>
      <c r="F248" s="61"/>
      <c r="G248" s="73"/>
      <c r="H248" s="79"/>
      <c r="I248" s="79"/>
      <c r="J248" s="14"/>
      <c r="K248" s="38"/>
      <c r="L248" s="38"/>
      <c r="M248" s="17"/>
    </row>
    <row r="249" spans="2:13" ht="14.45" customHeight="1" x14ac:dyDescent="0.25">
      <c r="B249" s="17"/>
      <c r="C249" s="14"/>
      <c r="D249" s="14"/>
      <c r="E249" s="18"/>
      <c r="F249" s="61"/>
      <c r="G249" s="73"/>
      <c r="H249" s="79"/>
      <c r="I249" s="79"/>
      <c r="J249" s="14"/>
      <c r="K249" s="38"/>
      <c r="L249" s="38"/>
      <c r="M249" s="17"/>
    </row>
    <row r="250" spans="2:13" ht="14.45" customHeight="1" x14ac:dyDescent="0.25">
      <c r="B250" s="17"/>
      <c r="C250" s="14"/>
      <c r="D250" s="14"/>
      <c r="E250" s="18"/>
      <c r="F250" s="61"/>
      <c r="G250" s="73"/>
      <c r="H250" s="79"/>
      <c r="I250" s="79"/>
      <c r="J250" s="14"/>
      <c r="K250" s="38"/>
      <c r="L250" s="38"/>
      <c r="M250" s="17"/>
    </row>
    <row r="251" spans="2:13" ht="14.45" customHeight="1" x14ac:dyDescent="0.25">
      <c r="B251" s="17"/>
      <c r="C251" s="14"/>
      <c r="D251" s="14"/>
      <c r="E251" s="18"/>
      <c r="F251" s="61"/>
      <c r="G251" s="73"/>
      <c r="H251" s="79"/>
      <c r="I251" s="79"/>
      <c r="J251" s="14"/>
      <c r="K251" s="38"/>
      <c r="L251" s="38"/>
      <c r="M251" s="17"/>
    </row>
    <row r="252" spans="2:13" ht="14.45" customHeight="1" x14ac:dyDescent="0.25">
      <c r="B252" s="17"/>
      <c r="C252" s="14"/>
      <c r="D252" s="14"/>
      <c r="E252" s="18"/>
      <c r="F252" s="61"/>
      <c r="G252" s="73"/>
      <c r="H252" s="79"/>
      <c r="I252" s="79"/>
      <c r="J252" s="14"/>
      <c r="K252" s="38"/>
      <c r="L252" s="38"/>
      <c r="M252" s="17"/>
    </row>
    <row r="253" spans="2:13" ht="14.45" customHeight="1" x14ac:dyDescent="0.25">
      <c r="B253" s="17"/>
      <c r="C253" s="14"/>
      <c r="D253" s="14"/>
      <c r="E253" s="18"/>
      <c r="F253" s="61"/>
      <c r="G253" s="73"/>
      <c r="H253" s="79"/>
      <c r="I253" s="79"/>
      <c r="J253" s="14"/>
      <c r="K253" s="38"/>
      <c r="L253" s="38"/>
      <c r="M253" s="17"/>
    </row>
    <row r="254" spans="2:13" ht="14.45" customHeight="1" x14ac:dyDescent="0.25">
      <c r="B254" s="17"/>
      <c r="C254" s="14"/>
      <c r="D254" s="14"/>
      <c r="E254" s="18"/>
      <c r="F254" s="61"/>
      <c r="G254" s="73"/>
      <c r="H254" s="79"/>
      <c r="I254" s="79"/>
      <c r="J254" s="14"/>
      <c r="K254" s="38"/>
      <c r="L254" s="38"/>
      <c r="M254" s="17"/>
    </row>
    <row r="255" spans="2:13" ht="14.45" customHeight="1" x14ac:dyDescent="0.25">
      <c r="B255" s="17"/>
      <c r="C255" s="14"/>
      <c r="D255" s="14"/>
      <c r="E255" s="18"/>
      <c r="F255" s="61"/>
      <c r="G255" s="73"/>
      <c r="H255" s="79"/>
      <c r="I255" s="79"/>
      <c r="J255" s="14"/>
      <c r="K255" s="38"/>
      <c r="L255" s="38"/>
      <c r="M255" s="17"/>
    </row>
    <row r="256" spans="2:13" ht="14.45" customHeight="1" x14ac:dyDescent="0.25">
      <c r="B256" s="17"/>
      <c r="C256" s="14"/>
      <c r="D256" s="14"/>
      <c r="E256" s="18"/>
      <c r="F256" s="61"/>
      <c r="G256" s="73"/>
      <c r="H256" s="79"/>
      <c r="I256" s="79"/>
      <c r="J256" s="14"/>
      <c r="K256" s="38"/>
      <c r="L256" s="38"/>
      <c r="M256" s="17"/>
    </row>
    <row r="257" spans="2:13" ht="14.45" customHeight="1" x14ac:dyDescent="0.25">
      <c r="B257" s="17"/>
      <c r="C257" s="14"/>
      <c r="D257" s="14"/>
      <c r="E257" s="18"/>
      <c r="F257" s="61"/>
      <c r="G257" s="73"/>
      <c r="H257" s="79"/>
      <c r="I257" s="79"/>
      <c r="J257" s="14"/>
      <c r="K257" s="38"/>
      <c r="L257" s="38"/>
      <c r="M257" s="17"/>
    </row>
    <row r="258" spans="2:13" ht="14.45" customHeight="1" x14ac:dyDescent="0.25">
      <c r="B258" s="17"/>
      <c r="C258" s="14"/>
      <c r="D258" s="14"/>
      <c r="E258" s="18"/>
      <c r="F258" s="61"/>
      <c r="G258" s="73"/>
      <c r="H258" s="79"/>
      <c r="I258" s="79"/>
      <c r="J258" s="14"/>
      <c r="K258" s="38"/>
      <c r="L258" s="38"/>
      <c r="M258" s="17"/>
    </row>
    <row r="259" spans="2:13" ht="14.45" customHeight="1" x14ac:dyDescent="0.25">
      <c r="B259" s="17"/>
      <c r="C259" s="14"/>
      <c r="D259" s="14"/>
      <c r="E259" s="18"/>
      <c r="F259" s="61"/>
      <c r="G259" s="73"/>
      <c r="H259" s="79"/>
      <c r="I259" s="79"/>
      <c r="J259" s="14"/>
      <c r="K259" s="38"/>
      <c r="L259" s="38"/>
      <c r="M259" s="17"/>
    </row>
    <row r="260" spans="2:13" ht="14.45" customHeight="1" x14ac:dyDescent="0.25">
      <c r="B260" s="17"/>
      <c r="C260" s="14"/>
      <c r="D260" s="14"/>
      <c r="E260" s="18"/>
      <c r="F260" s="61"/>
      <c r="G260" s="73"/>
      <c r="H260" s="79"/>
      <c r="I260" s="79"/>
      <c r="J260" s="14"/>
      <c r="K260" s="38"/>
      <c r="L260" s="38"/>
      <c r="M260" s="17"/>
    </row>
    <row r="261" spans="2:13" ht="14.45" customHeight="1" x14ac:dyDescent="0.25">
      <c r="B261" s="17"/>
      <c r="C261" s="14"/>
      <c r="D261" s="14"/>
      <c r="E261" s="18"/>
      <c r="F261" s="61"/>
      <c r="G261" s="73"/>
      <c r="H261" s="79"/>
      <c r="I261" s="79"/>
      <c r="J261" s="14"/>
      <c r="K261" s="38"/>
      <c r="L261" s="38"/>
      <c r="M261" s="17"/>
    </row>
    <row r="262" spans="2:13" ht="14.45" customHeight="1" x14ac:dyDescent="0.25">
      <c r="B262" s="17"/>
      <c r="C262" s="14"/>
      <c r="D262" s="14"/>
      <c r="E262" s="18"/>
      <c r="F262" s="61"/>
      <c r="G262" s="73"/>
      <c r="H262" s="79"/>
      <c r="I262" s="79"/>
      <c r="J262" s="14"/>
      <c r="K262" s="38"/>
      <c r="L262" s="38"/>
      <c r="M262" s="17"/>
    </row>
    <row r="263" spans="2:13" ht="14.45" customHeight="1" x14ac:dyDescent="0.25">
      <c r="B263" s="17"/>
      <c r="C263" s="14"/>
      <c r="D263" s="14"/>
      <c r="E263" s="18"/>
      <c r="F263" s="61"/>
      <c r="G263" s="73"/>
      <c r="H263" s="79"/>
      <c r="I263" s="79"/>
      <c r="J263" s="14"/>
      <c r="K263" s="38"/>
      <c r="L263" s="38"/>
      <c r="M263" s="17"/>
    </row>
    <row r="264" spans="2:13" ht="14.45" customHeight="1" x14ac:dyDescent="0.25">
      <c r="B264" s="17"/>
      <c r="C264" s="14"/>
      <c r="D264" s="14"/>
      <c r="E264" s="18"/>
      <c r="F264" s="61"/>
      <c r="G264" s="73"/>
      <c r="H264" s="79"/>
      <c r="I264" s="79"/>
      <c r="J264" s="14"/>
      <c r="K264" s="38"/>
      <c r="L264" s="38"/>
      <c r="M264" s="17"/>
    </row>
    <row r="265" spans="2:13" ht="14.45" customHeight="1" x14ac:dyDescent="0.25">
      <c r="B265" s="17"/>
      <c r="C265" s="14"/>
      <c r="D265" s="14"/>
      <c r="E265" s="18"/>
      <c r="F265" s="61"/>
      <c r="G265" s="73"/>
      <c r="H265" s="79"/>
      <c r="I265" s="79"/>
      <c r="J265" s="14"/>
      <c r="K265" s="38"/>
      <c r="L265" s="38"/>
      <c r="M265" s="17"/>
    </row>
    <row r="266" spans="2:13" ht="14.45" customHeight="1" x14ac:dyDescent="0.25">
      <c r="B266" s="17"/>
      <c r="C266" s="14"/>
      <c r="D266" s="14"/>
      <c r="E266" s="18"/>
      <c r="F266" s="61"/>
      <c r="G266" s="73"/>
      <c r="H266" s="79"/>
      <c r="I266" s="79"/>
      <c r="J266" s="14"/>
      <c r="K266" s="38"/>
      <c r="L266" s="38"/>
      <c r="M266" s="17"/>
    </row>
    <row r="267" spans="2:13" ht="14.45" customHeight="1" x14ac:dyDescent="0.25">
      <c r="B267" s="17"/>
      <c r="C267" s="14"/>
      <c r="D267" s="14"/>
      <c r="E267" s="18"/>
      <c r="F267" s="61"/>
      <c r="G267" s="73"/>
      <c r="H267" s="79"/>
      <c r="I267" s="79"/>
      <c r="J267" s="14"/>
      <c r="K267" s="38"/>
      <c r="L267" s="38"/>
      <c r="M267" s="17"/>
    </row>
    <row r="268" spans="2:13" ht="14.45" customHeight="1" x14ac:dyDescent="0.25">
      <c r="B268" s="17"/>
      <c r="C268" s="14"/>
      <c r="D268" s="14"/>
      <c r="E268" s="18"/>
      <c r="F268" s="61"/>
      <c r="G268" s="73"/>
      <c r="H268" s="79"/>
      <c r="I268" s="79"/>
      <c r="J268" s="14"/>
      <c r="K268" s="38"/>
      <c r="L268" s="38"/>
      <c r="M268" s="17"/>
    </row>
    <row r="269" spans="2:13" ht="14.45" customHeight="1" x14ac:dyDescent="0.25">
      <c r="B269" s="17"/>
      <c r="C269" s="14"/>
      <c r="D269" s="14"/>
      <c r="E269" s="18"/>
      <c r="F269" s="61"/>
      <c r="G269" s="73"/>
      <c r="H269" s="79"/>
      <c r="I269" s="79"/>
      <c r="J269" s="14"/>
      <c r="K269" s="38"/>
      <c r="L269" s="38"/>
      <c r="M269" s="17"/>
    </row>
    <row r="270" spans="2:13" ht="14.45" customHeight="1" x14ac:dyDescent="0.25">
      <c r="B270" s="17"/>
      <c r="C270" s="14"/>
      <c r="D270" s="14"/>
      <c r="E270" s="18"/>
      <c r="F270" s="61"/>
      <c r="G270" s="73"/>
      <c r="H270" s="79"/>
      <c r="I270" s="79"/>
      <c r="J270" s="14"/>
      <c r="K270" s="38"/>
      <c r="L270" s="38"/>
      <c r="M270" s="17"/>
    </row>
    <row r="271" spans="2:13" ht="14.45" customHeight="1" x14ac:dyDescent="0.25">
      <c r="B271" s="17"/>
      <c r="C271" s="14"/>
      <c r="D271" s="14"/>
      <c r="E271" s="18"/>
      <c r="F271" s="61"/>
      <c r="G271" s="73"/>
      <c r="H271" s="79"/>
      <c r="I271" s="79"/>
      <c r="J271" s="14"/>
      <c r="K271" s="38"/>
      <c r="L271" s="38"/>
      <c r="M271" s="17"/>
    </row>
    <row r="272" spans="2:13" ht="14.45" customHeight="1" x14ac:dyDescent="0.25">
      <c r="B272" s="17"/>
      <c r="C272" s="14"/>
      <c r="D272" s="14"/>
      <c r="E272" s="18"/>
      <c r="F272" s="61"/>
      <c r="G272" s="73"/>
      <c r="H272" s="79"/>
      <c r="I272" s="79"/>
      <c r="J272" s="14"/>
      <c r="K272" s="38"/>
      <c r="L272" s="38"/>
      <c r="M272" s="17"/>
    </row>
    <row r="273" spans="2:13" ht="14.45" customHeight="1" x14ac:dyDescent="0.25">
      <c r="B273" s="17"/>
      <c r="C273" s="14"/>
      <c r="D273" s="14"/>
      <c r="E273" s="18"/>
      <c r="F273" s="61"/>
      <c r="G273" s="73"/>
      <c r="H273" s="79"/>
      <c r="I273" s="79"/>
      <c r="J273" s="14"/>
      <c r="K273" s="38"/>
      <c r="L273" s="38"/>
      <c r="M273" s="17"/>
    </row>
    <row r="274" spans="2:13" ht="14.45" customHeight="1" x14ac:dyDescent="0.25">
      <c r="B274" s="17"/>
      <c r="C274" s="14"/>
      <c r="D274" s="14"/>
      <c r="E274" s="18"/>
      <c r="F274" s="61"/>
      <c r="G274" s="73"/>
      <c r="H274" s="79"/>
      <c r="I274" s="79"/>
      <c r="J274" s="14"/>
      <c r="K274" s="38"/>
      <c r="L274" s="38"/>
      <c r="M274" s="17"/>
    </row>
    <row r="275" spans="2:13" ht="14.45" customHeight="1" x14ac:dyDescent="0.25">
      <c r="B275" s="17"/>
      <c r="C275" s="14"/>
      <c r="D275" s="14"/>
      <c r="E275" s="18"/>
      <c r="F275" s="61"/>
      <c r="G275" s="73"/>
      <c r="H275" s="79"/>
      <c r="I275" s="79"/>
      <c r="J275" s="14"/>
      <c r="K275" s="38"/>
      <c r="L275" s="38"/>
      <c r="M275" s="17"/>
    </row>
    <row r="276" spans="2:13" ht="14.45" customHeight="1" x14ac:dyDescent="0.25">
      <c r="B276" s="17"/>
      <c r="C276" s="14"/>
      <c r="D276" s="14"/>
      <c r="E276" s="18"/>
      <c r="F276" s="61"/>
      <c r="G276" s="73"/>
      <c r="H276" s="79"/>
      <c r="I276" s="79"/>
      <c r="J276" s="14"/>
      <c r="K276" s="38"/>
      <c r="L276" s="38"/>
      <c r="M276" s="17"/>
    </row>
    <row r="277" spans="2:13" ht="14.45" customHeight="1" x14ac:dyDescent="0.25">
      <c r="B277" s="17"/>
      <c r="C277" s="14"/>
      <c r="D277" s="14"/>
      <c r="E277" s="18"/>
      <c r="F277" s="61"/>
      <c r="G277" s="73"/>
      <c r="H277" s="79"/>
      <c r="I277" s="79"/>
      <c r="J277" s="14"/>
      <c r="K277" s="38"/>
      <c r="L277" s="38"/>
      <c r="M277" s="17"/>
    </row>
    <row r="278" spans="2:13" ht="14.45" customHeight="1" x14ac:dyDescent="0.25">
      <c r="B278" s="17"/>
      <c r="C278" s="14"/>
      <c r="D278" s="14"/>
      <c r="E278" s="18"/>
      <c r="F278" s="61"/>
      <c r="G278" s="73"/>
      <c r="H278" s="79"/>
      <c r="I278" s="79"/>
      <c r="J278" s="14"/>
      <c r="K278" s="38"/>
      <c r="L278" s="38"/>
      <c r="M278" s="17"/>
    </row>
    <row r="279" spans="2:13" ht="14.45" customHeight="1" x14ac:dyDescent="0.25">
      <c r="B279" s="17"/>
      <c r="C279" s="14"/>
      <c r="D279" s="14"/>
      <c r="E279" s="18"/>
      <c r="F279" s="61"/>
      <c r="G279" s="73"/>
      <c r="H279" s="79"/>
      <c r="I279" s="79"/>
      <c r="J279" s="14"/>
      <c r="K279" s="38"/>
      <c r="L279" s="38"/>
      <c r="M279" s="17"/>
    </row>
    <row r="280" spans="2:13" ht="14.45" customHeight="1" x14ac:dyDescent="0.25">
      <c r="B280" s="17"/>
      <c r="C280" s="14"/>
      <c r="D280" s="14"/>
      <c r="E280" s="18"/>
      <c r="F280" s="61"/>
      <c r="G280" s="73"/>
      <c r="H280" s="79"/>
      <c r="I280" s="79"/>
      <c r="J280" s="14"/>
      <c r="K280" s="38"/>
      <c r="L280" s="38"/>
      <c r="M280" s="17"/>
    </row>
    <row r="281" spans="2:13" ht="14.45" customHeight="1" x14ac:dyDescent="0.25">
      <c r="B281" s="17"/>
      <c r="C281" s="14"/>
      <c r="D281" s="14"/>
      <c r="E281" s="18"/>
      <c r="F281" s="61"/>
      <c r="G281" s="73"/>
      <c r="H281" s="79"/>
      <c r="I281" s="79"/>
      <c r="J281" s="14"/>
      <c r="K281" s="38"/>
      <c r="L281" s="38"/>
      <c r="M281" s="17"/>
    </row>
    <row r="282" spans="2:13" ht="14.45" customHeight="1" x14ac:dyDescent="0.25">
      <c r="B282" s="17"/>
      <c r="C282" s="14"/>
      <c r="D282" s="14"/>
      <c r="E282" s="18"/>
      <c r="F282" s="61"/>
      <c r="G282" s="73"/>
      <c r="H282" s="79"/>
      <c r="I282" s="79"/>
      <c r="J282" s="14"/>
      <c r="K282" s="38"/>
      <c r="L282" s="38"/>
      <c r="M282" s="17"/>
    </row>
    <row r="283" spans="2:13" ht="14.45" customHeight="1" x14ac:dyDescent="0.25">
      <c r="B283" s="17"/>
      <c r="C283" s="14"/>
      <c r="D283" s="14"/>
      <c r="E283" s="18"/>
      <c r="F283" s="61"/>
      <c r="G283" s="73"/>
      <c r="H283" s="79"/>
      <c r="I283" s="79"/>
      <c r="J283" s="14"/>
      <c r="K283" s="38"/>
      <c r="L283" s="38"/>
      <c r="M283" s="17"/>
    </row>
    <row r="284" spans="2:13" ht="14.45" customHeight="1" x14ac:dyDescent="0.25">
      <c r="B284" s="17"/>
      <c r="C284" s="14"/>
      <c r="D284" s="14"/>
      <c r="E284" s="18"/>
      <c r="F284" s="61"/>
      <c r="G284" s="73"/>
      <c r="H284" s="79"/>
      <c r="I284" s="79"/>
      <c r="J284" s="14"/>
      <c r="K284" s="38"/>
      <c r="L284" s="38"/>
      <c r="M284" s="17"/>
    </row>
    <row r="285" spans="2:13" ht="14.45" customHeight="1" x14ac:dyDescent="0.25">
      <c r="B285" s="17"/>
      <c r="C285" s="14"/>
      <c r="D285" s="14"/>
      <c r="E285" s="18"/>
      <c r="F285" s="61"/>
      <c r="G285" s="73"/>
      <c r="H285" s="79"/>
      <c r="I285" s="79"/>
      <c r="J285" s="14"/>
      <c r="K285" s="38"/>
      <c r="L285" s="38"/>
      <c r="M285" s="17"/>
    </row>
    <row r="286" spans="2:13" ht="14.45" customHeight="1" x14ac:dyDescent="0.25">
      <c r="B286" s="17"/>
      <c r="C286" s="14"/>
      <c r="D286" s="14"/>
      <c r="E286" s="18"/>
      <c r="F286" s="61"/>
      <c r="G286" s="73"/>
      <c r="H286" s="79"/>
      <c r="I286" s="79"/>
      <c r="J286" s="14"/>
      <c r="K286" s="38"/>
      <c r="L286" s="38"/>
      <c r="M286" s="17"/>
    </row>
    <row r="287" spans="2:13" ht="14.45" customHeight="1" x14ac:dyDescent="0.25">
      <c r="B287" s="17"/>
      <c r="C287" s="14"/>
      <c r="D287" s="14"/>
      <c r="E287" s="18"/>
      <c r="F287" s="61"/>
      <c r="G287" s="73"/>
      <c r="H287" s="79"/>
      <c r="I287" s="79"/>
      <c r="J287" s="14"/>
      <c r="K287" s="38"/>
      <c r="L287" s="38"/>
      <c r="M287" s="17"/>
    </row>
    <row r="288" spans="2:13" ht="14.45" customHeight="1" x14ac:dyDescent="0.25">
      <c r="B288" s="17"/>
      <c r="C288" s="14"/>
      <c r="D288" s="14"/>
      <c r="E288" s="18"/>
      <c r="F288" s="61"/>
      <c r="G288" s="73"/>
      <c r="H288" s="79"/>
      <c r="I288" s="79"/>
      <c r="J288" s="14"/>
      <c r="K288" s="38"/>
      <c r="L288" s="38"/>
      <c r="M288" s="17"/>
    </row>
    <row r="289" spans="2:13" ht="14.45" customHeight="1" x14ac:dyDescent="0.25">
      <c r="B289" s="17"/>
      <c r="C289" s="14"/>
      <c r="D289" s="14"/>
      <c r="E289" s="18"/>
      <c r="F289" s="61"/>
      <c r="G289" s="73"/>
      <c r="H289" s="79"/>
      <c r="I289" s="79"/>
      <c r="J289" s="14"/>
      <c r="K289" s="38"/>
      <c r="L289" s="38"/>
      <c r="M289" s="17"/>
    </row>
    <row r="290" spans="2:13" ht="14.45" customHeight="1" x14ac:dyDescent="0.25">
      <c r="B290" s="17"/>
      <c r="C290" s="14"/>
      <c r="D290" s="14"/>
      <c r="E290" s="18"/>
      <c r="F290" s="61"/>
      <c r="G290" s="73"/>
      <c r="H290" s="79"/>
      <c r="I290" s="79"/>
      <c r="J290" s="14"/>
      <c r="K290" s="38"/>
      <c r="L290" s="38"/>
      <c r="M290" s="17"/>
    </row>
    <row r="291" spans="2:13" ht="14.45" customHeight="1" x14ac:dyDescent="0.25">
      <c r="B291" s="17"/>
      <c r="C291" s="14"/>
      <c r="D291" s="14"/>
      <c r="E291" s="18"/>
      <c r="F291" s="61"/>
      <c r="G291" s="73"/>
      <c r="H291" s="79"/>
      <c r="I291" s="79"/>
      <c r="J291" s="14"/>
      <c r="K291" s="38"/>
      <c r="L291" s="38"/>
      <c r="M291" s="17"/>
    </row>
    <row r="292" spans="2:13" ht="14.45" customHeight="1" x14ac:dyDescent="0.25">
      <c r="B292" s="17"/>
      <c r="C292" s="14"/>
      <c r="D292" s="14"/>
      <c r="E292" s="18"/>
      <c r="F292" s="61"/>
      <c r="G292" s="73"/>
      <c r="H292" s="79"/>
      <c r="I292" s="79"/>
      <c r="J292" s="14"/>
      <c r="K292" s="38"/>
      <c r="L292" s="38"/>
      <c r="M292" s="17"/>
    </row>
    <row r="293" spans="2:13" ht="14.45" customHeight="1" x14ac:dyDescent="0.25">
      <c r="B293" s="17"/>
      <c r="C293" s="14"/>
      <c r="D293" s="14"/>
      <c r="E293" s="18"/>
      <c r="F293" s="61"/>
      <c r="G293" s="73"/>
      <c r="H293" s="79"/>
      <c r="I293" s="79"/>
      <c r="J293" s="14"/>
      <c r="K293" s="38"/>
      <c r="L293" s="38"/>
      <c r="M293" s="17"/>
    </row>
    <row r="294" spans="2:13" ht="14.45" customHeight="1" x14ac:dyDescent="0.25">
      <c r="B294" s="17"/>
      <c r="C294" s="14"/>
      <c r="D294" s="14"/>
      <c r="E294" s="18"/>
      <c r="F294" s="61"/>
      <c r="G294" s="73"/>
      <c r="H294" s="79"/>
      <c r="I294" s="79"/>
      <c r="J294" s="14"/>
      <c r="K294" s="38"/>
      <c r="L294" s="38"/>
      <c r="M294" s="17"/>
    </row>
    <row r="295" spans="2:13" ht="14.45" customHeight="1" x14ac:dyDescent="0.25">
      <c r="B295" s="17"/>
      <c r="C295" s="14"/>
      <c r="D295" s="14"/>
      <c r="E295" s="18"/>
      <c r="F295" s="61"/>
      <c r="G295" s="73"/>
      <c r="H295" s="79"/>
      <c r="I295" s="79"/>
      <c r="J295" s="14"/>
      <c r="K295" s="38"/>
      <c r="L295" s="38"/>
      <c r="M295" s="17"/>
    </row>
    <row r="296" spans="2:13" ht="14.45" customHeight="1" x14ac:dyDescent="0.25">
      <c r="B296" s="17"/>
      <c r="C296" s="14"/>
      <c r="D296" s="14"/>
      <c r="E296" s="18"/>
      <c r="F296" s="61"/>
      <c r="G296" s="73"/>
      <c r="H296" s="79"/>
      <c r="I296" s="79"/>
      <c r="J296" s="14"/>
      <c r="K296" s="38"/>
      <c r="L296" s="38"/>
      <c r="M296" s="17"/>
    </row>
    <row r="297" spans="2:13" ht="14.45" customHeight="1" x14ac:dyDescent="0.25">
      <c r="B297" s="17"/>
      <c r="C297" s="14"/>
      <c r="D297" s="14"/>
      <c r="E297" s="18"/>
      <c r="F297" s="61"/>
      <c r="G297" s="73"/>
      <c r="H297" s="79"/>
      <c r="I297" s="79"/>
      <c r="J297" s="14"/>
      <c r="K297" s="38"/>
      <c r="L297" s="38"/>
      <c r="M297" s="17"/>
    </row>
    <row r="298" spans="2:13" ht="14.45" customHeight="1" x14ac:dyDescent="0.25">
      <c r="B298" s="17"/>
      <c r="C298" s="14"/>
      <c r="D298" s="14"/>
      <c r="E298" s="18"/>
      <c r="F298" s="61"/>
      <c r="G298" s="73"/>
      <c r="H298" s="79"/>
      <c r="I298" s="79"/>
      <c r="J298" s="14"/>
      <c r="K298" s="38"/>
      <c r="L298" s="38"/>
      <c r="M298" s="17"/>
    </row>
    <row r="299" spans="2:13" ht="14.45" customHeight="1" x14ac:dyDescent="0.25">
      <c r="B299" s="17"/>
      <c r="C299" s="14"/>
      <c r="D299" s="14"/>
      <c r="E299" s="18"/>
      <c r="F299" s="61"/>
      <c r="G299" s="73"/>
      <c r="H299" s="79"/>
      <c r="I299" s="79"/>
      <c r="J299" s="14"/>
      <c r="K299" s="38"/>
      <c r="L299" s="38"/>
      <c r="M299" s="17"/>
    </row>
    <row r="300" spans="2:13" ht="14.45" customHeight="1" x14ac:dyDescent="0.25">
      <c r="B300" s="17"/>
      <c r="C300" s="14"/>
      <c r="D300" s="14"/>
      <c r="E300" s="18"/>
      <c r="F300" s="61"/>
      <c r="G300" s="73"/>
      <c r="H300" s="79"/>
      <c r="I300" s="79"/>
      <c r="J300" s="14"/>
      <c r="K300" s="38"/>
      <c r="L300" s="38"/>
      <c r="M300" s="17"/>
    </row>
    <row r="301" spans="2:13" ht="14.45" customHeight="1" x14ac:dyDescent="0.25">
      <c r="B301" s="17"/>
      <c r="C301" s="14"/>
      <c r="D301" s="14"/>
      <c r="E301" s="18"/>
      <c r="F301" s="61"/>
      <c r="G301" s="73"/>
      <c r="H301" s="79"/>
      <c r="I301" s="79"/>
      <c r="J301" s="14"/>
      <c r="K301" s="38"/>
      <c r="L301" s="38"/>
      <c r="M301" s="17"/>
    </row>
    <row r="302" spans="2:13" ht="14.45" customHeight="1" x14ac:dyDescent="0.25">
      <c r="B302" s="17"/>
      <c r="C302" s="14"/>
      <c r="D302" s="14"/>
      <c r="E302" s="18"/>
      <c r="F302" s="61"/>
      <c r="G302" s="73"/>
      <c r="H302" s="79"/>
      <c r="I302" s="79"/>
      <c r="J302" s="14"/>
      <c r="K302" s="38"/>
      <c r="L302" s="38"/>
      <c r="M302" s="17"/>
    </row>
    <row r="303" spans="2:13" ht="14.45" customHeight="1" x14ac:dyDescent="0.25">
      <c r="B303" s="17"/>
      <c r="C303" s="14"/>
      <c r="D303" s="14"/>
      <c r="E303" s="18"/>
      <c r="F303" s="61"/>
      <c r="G303" s="73"/>
      <c r="H303" s="79"/>
      <c r="I303" s="79"/>
      <c r="J303" s="14"/>
      <c r="K303" s="38"/>
      <c r="L303" s="38"/>
      <c r="M303" s="17"/>
    </row>
    <row r="304" spans="2:13" ht="14.45" customHeight="1" x14ac:dyDescent="0.25">
      <c r="B304" s="17"/>
      <c r="C304" s="14"/>
      <c r="D304" s="14"/>
      <c r="E304" s="18"/>
      <c r="F304" s="61"/>
      <c r="G304" s="73"/>
      <c r="H304" s="79"/>
      <c r="I304" s="79"/>
      <c r="J304" s="14"/>
      <c r="K304" s="38"/>
      <c r="L304" s="38"/>
      <c r="M304" s="17"/>
    </row>
    <row r="305" spans="2:13" ht="14.45" customHeight="1" x14ac:dyDescent="0.25">
      <c r="B305" s="17"/>
      <c r="C305" s="14"/>
      <c r="D305" s="14"/>
      <c r="E305" s="18"/>
      <c r="F305" s="61"/>
      <c r="G305" s="73"/>
      <c r="H305" s="79"/>
      <c r="I305" s="79"/>
      <c r="J305" s="14"/>
      <c r="K305" s="38"/>
      <c r="L305" s="38"/>
      <c r="M305" s="17"/>
    </row>
    <row r="306" spans="2:13" ht="14.45" customHeight="1" x14ac:dyDescent="0.25">
      <c r="B306" s="17"/>
      <c r="C306" s="14"/>
      <c r="D306" s="14"/>
      <c r="E306" s="18"/>
      <c r="F306" s="61"/>
      <c r="G306" s="73"/>
      <c r="H306" s="79"/>
      <c r="I306" s="79"/>
      <c r="J306" s="14"/>
      <c r="K306" s="38"/>
      <c r="L306" s="38"/>
      <c r="M306" s="17"/>
    </row>
    <row r="307" spans="2:13" ht="14.45" customHeight="1" x14ac:dyDescent="0.25">
      <c r="B307" s="17"/>
      <c r="C307" s="14"/>
      <c r="D307" s="14"/>
      <c r="E307" s="18"/>
      <c r="F307" s="61"/>
      <c r="G307" s="73"/>
      <c r="H307" s="79"/>
      <c r="I307" s="79"/>
      <c r="J307" s="14"/>
      <c r="K307" s="38"/>
      <c r="L307" s="38"/>
      <c r="M307" s="17"/>
    </row>
    <row r="308" spans="2:13" ht="14.45" customHeight="1" x14ac:dyDescent="0.25">
      <c r="B308" s="17"/>
      <c r="C308" s="14"/>
      <c r="D308" s="14"/>
      <c r="E308" s="18"/>
      <c r="F308" s="61"/>
      <c r="G308" s="73"/>
      <c r="H308" s="79"/>
      <c r="I308" s="79"/>
      <c r="J308" s="14"/>
      <c r="K308" s="38"/>
      <c r="L308" s="38"/>
      <c r="M308" s="17"/>
    </row>
    <row r="309" spans="2:13" ht="14.45" customHeight="1" x14ac:dyDescent="0.25">
      <c r="B309" s="17"/>
      <c r="C309" s="14"/>
      <c r="D309" s="14"/>
      <c r="E309" s="18"/>
      <c r="F309" s="61"/>
      <c r="G309" s="73"/>
      <c r="H309" s="79"/>
      <c r="I309" s="79"/>
      <c r="J309" s="14"/>
      <c r="K309" s="38"/>
      <c r="L309" s="38"/>
      <c r="M309" s="17"/>
    </row>
    <row r="310" spans="2:13" ht="14.45" customHeight="1" x14ac:dyDescent="0.25">
      <c r="B310" s="17"/>
      <c r="C310" s="14"/>
      <c r="D310" s="14"/>
      <c r="E310" s="18"/>
      <c r="F310" s="61"/>
      <c r="G310" s="73"/>
      <c r="H310" s="79"/>
      <c r="I310" s="79"/>
      <c r="J310" s="14"/>
      <c r="K310" s="38"/>
      <c r="L310" s="38"/>
      <c r="M310" s="17"/>
    </row>
    <row r="311" spans="2:13" ht="14.45" customHeight="1" x14ac:dyDescent="0.25">
      <c r="B311" s="17"/>
      <c r="C311" s="14"/>
      <c r="D311" s="14"/>
      <c r="E311" s="18"/>
      <c r="F311" s="61"/>
      <c r="G311" s="73"/>
      <c r="H311" s="79"/>
      <c r="I311" s="79"/>
      <c r="J311" s="14"/>
      <c r="K311" s="38"/>
      <c r="L311" s="38"/>
      <c r="M311" s="17"/>
    </row>
    <row r="312" spans="2:13" ht="14.45" customHeight="1" x14ac:dyDescent="0.25">
      <c r="B312" s="17"/>
      <c r="C312" s="14"/>
      <c r="D312" s="14"/>
      <c r="E312" s="18"/>
      <c r="F312" s="61"/>
      <c r="G312" s="73"/>
      <c r="H312" s="79"/>
      <c r="I312" s="79"/>
      <c r="J312" s="14"/>
      <c r="K312" s="38"/>
      <c r="L312" s="38"/>
      <c r="M312" s="17"/>
    </row>
    <row r="313" spans="2:13" ht="14.45" customHeight="1" x14ac:dyDescent="0.25">
      <c r="B313" s="17"/>
      <c r="C313" s="14"/>
      <c r="D313" s="14"/>
      <c r="E313" s="18"/>
      <c r="F313" s="61"/>
      <c r="G313" s="73"/>
      <c r="H313" s="79"/>
      <c r="I313" s="79"/>
      <c r="J313" s="14"/>
      <c r="K313" s="38"/>
      <c r="L313" s="38"/>
      <c r="M313" s="17"/>
    </row>
    <row r="314" spans="2:13" ht="14.45" customHeight="1" x14ac:dyDescent="0.25">
      <c r="B314" s="17"/>
      <c r="C314" s="14"/>
      <c r="D314" s="14"/>
      <c r="E314" s="18"/>
      <c r="F314" s="61"/>
      <c r="G314" s="73"/>
      <c r="H314" s="79"/>
      <c r="I314" s="79"/>
      <c r="J314" s="14"/>
      <c r="K314" s="38"/>
      <c r="L314" s="38"/>
      <c r="M314" s="17"/>
    </row>
    <row r="315" spans="2:13" ht="14.45" customHeight="1" x14ac:dyDescent="0.25">
      <c r="B315" s="17"/>
      <c r="C315" s="14"/>
      <c r="D315" s="14"/>
      <c r="E315" s="18"/>
      <c r="F315" s="61"/>
      <c r="G315" s="73"/>
      <c r="H315" s="79"/>
      <c r="I315" s="79"/>
      <c r="J315" s="14"/>
      <c r="K315" s="38"/>
      <c r="L315" s="38"/>
      <c r="M315" s="17"/>
    </row>
    <row r="316" spans="2:13" ht="14.45" customHeight="1" x14ac:dyDescent="0.25">
      <c r="B316" s="17"/>
      <c r="C316" s="14"/>
      <c r="D316" s="14"/>
      <c r="E316" s="18"/>
      <c r="F316" s="61"/>
      <c r="G316" s="73"/>
      <c r="H316" s="79"/>
      <c r="I316" s="79"/>
      <c r="J316" s="14"/>
      <c r="K316" s="38"/>
      <c r="L316" s="38"/>
      <c r="M316" s="17"/>
    </row>
    <row r="317" spans="2:13" ht="14.45" customHeight="1" x14ac:dyDescent="0.25">
      <c r="B317" s="17"/>
      <c r="C317" s="14"/>
      <c r="D317" s="14"/>
      <c r="E317" s="18"/>
      <c r="F317" s="61"/>
      <c r="G317" s="73"/>
      <c r="H317" s="79"/>
      <c r="I317" s="79"/>
      <c r="J317" s="14"/>
      <c r="K317" s="38"/>
      <c r="L317" s="38"/>
      <c r="M317" s="17"/>
    </row>
    <row r="318" spans="2:13" ht="14.45" customHeight="1" x14ac:dyDescent="0.25">
      <c r="B318" s="17"/>
      <c r="C318" s="14"/>
      <c r="D318" s="14"/>
      <c r="E318" s="18"/>
      <c r="F318" s="61"/>
      <c r="G318" s="73"/>
      <c r="H318" s="79"/>
      <c r="I318" s="79"/>
      <c r="J318" s="14"/>
      <c r="K318" s="38"/>
      <c r="L318" s="38"/>
      <c r="M318" s="17"/>
    </row>
    <row r="319" spans="2:13" ht="14.45" customHeight="1" x14ac:dyDescent="0.25">
      <c r="B319" s="17"/>
      <c r="C319" s="14"/>
      <c r="D319" s="14"/>
      <c r="E319" s="18"/>
      <c r="F319" s="61"/>
      <c r="G319" s="73"/>
      <c r="H319" s="79"/>
      <c r="I319" s="79"/>
      <c r="J319" s="14"/>
      <c r="K319" s="38"/>
      <c r="L319" s="38"/>
      <c r="M319" s="17"/>
    </row>
    <row r="320" spans="2:13" ht="14.45" customHeight="1" x14ac:dyDescent="0.25">
      <c r="B320" s="17"/>
      <c r="C320" s="14"/>
      <c r="D320" s="14"/>
      <c r="E320" s="18"/>
      <c r="F320" s="61"/>
      <c r="G320" s="73"/>
      <c r="H320" s="79"/>
      <c r="I320" s="79"/>
      <c r="J320" s="14"/>
      <c r="K320" s="38"/>
      <c r="L320" s="38"/>
      <c r="M320" s="17"/>
    </row>
    <row r="321" spans="2:13" ht="14.45" customHeight="1" x14ac:dyDescent="0.25">
      <c r="B321" s="17"/>
      <c r="C321" s="14"/>
      <c r="D321" s="14"/>
      <c r="E321" s="18"/>
      <c r="F321" s="61"/>
      <c r="G321" s="73"/>
      <c r="H321" s="79"/>
      <c r="I321" s="79"/>
      <c r="J321" s="14"/>
      <c r="K321" s="38"/>
      <c r="L321" s="38"/>
      <c r="M321" s="17"/>
    </row>
    <row r="322" spans="2:13" ht="14.45" customHeight="1" x14ac:dyDescent="0.25">
      <c r="B322" s="17"/>
      <c r="C322" s="14"/>
      <c r="D322" s="14"/>
      <c r="E322" s="18"/>
      <c r="F322" s="61"/>
      <c r="G322" s="73"/>
      <c r="H322" s="79"/>
      <c r="I322" s="79"/>
      <c r="J322" s="14"/>
      <c r="K322" s="38"/>
      <c r="L322" s="38"/>
      <c r="M322" s="17"/>
    </row>
    <row r="323" spans="2:13" ht="14.45" customHeight="1" x14ac:dyDescent="0.25">
      <c r="B323" s="17"/>
      <c r="C323" s="14"/>
      <c r="D323" s="14"/>
      <c r="E323" s="18"/>
      <c r="F323" s="61"/>
      <c r="G323" s="73"/>
      <c r="H323" s="79"/>
      <c r="I323" s="79"/>
      <c r="J323" s="14"/>
      <c r="K323" s="38"/>
      <c r="L323" s="38"/>
      <c r="M323" s="17"/>
    </row>
    <row r="324" spans="2:13" ht="14.45" customHeight="1" x14ac:dyDescent="0.25">
      <c r="B324" s="17"/>
      <c r="C324" s="14"/>
      <c r="D324" s="14"/>
      <c r="E324" s="18"/>
      <c r="F324" s="61"/>
      <c r="G324" s="73"/>
      <c r="H324" s="79"/>
      <c r="I324" s="79"/>
      <c r="J324" s="14"/>
      <c r="K324" s="38"/>
      <c r="L324" s="38"/>
      <c r="M324" s="17"/>
    </row>
    <row r="325" spans="2:13" ht="14.45" customHeight="1" x14ac:dyDescent="0.25">
      <c r="B325" s="17"/>
      <c r="C325" s="14"/>
      <c r="D325" s="14"/>
      <c r="E325" s="18"/>
      <c r="F325" s="61"/>
      <c r="G325" s="73"/>
      <c r="H325" s="79"/>
      <c r="I325" s="79"/>
      <c r="J325" s="14"/>
      <c r="K325" s="38"/>
      <c r="L325" s="38"/>
      <c r="M325" s="17"/>
    </row>
    <row r="326" spans="2:13" ht="14.45" customHeight="1" x14ac:dyDescent="0.25">
      <c r="B326" s="17"/>
      <c r="C326" s="14"/>
      <c r="D326" s="14"/>
      <c r="E326" s="18"/>
      <c r="F326" s="61"/>
      <c r="G326" s="73"/>
      <c r="H326" s="79"/>
      <c r="I326" s="79"/>
      <c r="J326" s="14"/>
      <c r="K326" s="38"/>
      <c r="L326" s="38"/>
      <c r="M326" s="17"/>
    </row>
    <row r="327" spans="2:13" ht="14.45" customHeight="1" x14ac:dyDescent="0.25">
      <c r="B327" s="17"/>
      <c r="C327" s="14"/>
      <c r="D327" s="14"/>
      <c r="E327" s="18"/>
      <c r="F327" s="61"/>
      <c r="G327" s="73"/>
      <c r="H327" s="79"/>
      <c r="I327" s="79"/>
      <c r="J327" s="14"/>
      <c r="K327" s="38"/>
      <c r="L327" s="38"/>
      <c r="M327" s="17"/>
    </row>
    <row r="328" spans="2:13" ht="14.45" customHeight="1" x14ac:dyDescent="0.25">
      <c r="B328" s="17"/>
      <c r="C328" s="14"/>
      <c r="D328" s="14"/>
      <c r="E328" s="18"/>
      <c r="F328" s="61"/>
      <c r="G328" s="73"/>
      <c r="H328" s="79"/>
      <c r="I328" s="79"/>
      <c r="J328" s="14"/>
      <c r="K328" s="38"/>
      <c r="L328" s="38"/>
      <c r="M328" s="17"/>
    </row>
    <row r="329" spans="2:13" ht="14.45" customHeight="1" x14ac:dyDescent="0.25">
      <c r="B329" s="17"/>
      <c r="C329" s="14"/>
      <c r="D329" s="14"/>
      <c r="E329" s="18"/>
      <c r="F329" s="61"/>
      <c r="G329" s="73"/>
      <c r="H329" s="79"/>
      <c r="I329" s="79"/>
      <c r="J329" s="14"/>
      <c r="K329" s="38"/>
      <c r="L329" s="38"/>
      <c r="M329" s="17"/>
    </row>
    <row r="330" spans="2:13" ht="14.45" customHeight="1" x14ac:dyDescent="0.25">
      <c r="B330" s="17"/>
      <c r="C330" s="14"/>
      <c r="D330" s="14"/>
      <c r="E330" s="18"/>
      <c r="F330" s="61"/>
      <c r="G330" s="73"/>
      <c r="H330" s="79"/>
      <c r="I330" s="79"/>
      <c r="J330" s="14"/>
      <c r="K330" s="38"/>
      <c r="L330" s="38"/>
      <c r="M330" s="17"/>
    </row>
    <row r="331" spans="2:13" ht="14.45" customHeight="1" x14ac:dyDescent="0.25">
      <c r="B331" s="17"/>
      <c r="C331" s="14"/>
      <c r="D331" s="14"/>
      <c r="E331" s="18"/>
      <c r="F331" s="61"/>
      <c r="G331" s="73"/>
      <c r="H331" s="79"/>
      <c r="I331" s="79"/>
      <c r="J331" s="14"/>
      <c r="K331" s="38"/>
      <c r="L331" s="38"/>
      <c r="M331" s="17"/>
    </row>
    <row r="332" spans="2:13" ht="14.45" customHeight="1" x14ac:dyDescent="0.25">
      <c r="B332" s="17"/>
      <c r="C332" s="14"/>
      <c r="D332" s="14"/>
      <c r="E332" s="18"/>
      <c r="F332" s="61"/>
      <c r="G332" s="73"/>
      <c r="H332" s="79"/>
      <c r="I332" s="79"/>
      <c r="J332" s="14"/>
      <c r="K332" s="38"/>
      <c r="L332" s="38"/>
      <c r="M332" s="17"/>
    </row>
    <row r="333" spans="2:13" ht="14.45" customHeight="1" x14ac:dyDescent="0.25">
      <c r="B333" s="17"/>
      <c r="C333" s="14"/>
      <c r="D333" s="14"/>
      <c r="E333" s="18"/>
      <c r="F333" s="61"/>
      <c r="G333" s="73"/>
      <c r="H333" s="79"/>
      <c r="I333" s="79"/>
      <c r="J333" s="14"/>
      <c r="K333" s="38"/>
      <c r="L333" s="38"/>
      <c r="M333" s="17"/>
    </row>
    <row r="334" spans="2:13" ht="14.45" customHeight="1" x14ac:dyDescent="0.25">
      <c r="B334" s="17"/>
      <c r="C334" s="14"/>
      <c r="D334" s="14"/>
      <c r="E334" s="18"/>
      <c r="F334" s="61"/>
      <c r="G334" s="73"/>
      <c r="H334" s="79"/>
      <c r="I334" s="79"/>
      <c r="J334" s="14"/>
      <c r="K334" s="38"/>
      <c r="L334" s="38"/>
      <c r="M334" s="17"/>
    </row>
    <row r="335" spans="2:13" ht="14.45" customHeight="1" x14ac:dyDescent="0.25">
      <c r="B335" s="17"/>
      <c r="C335" s="14"/>
      <c r="D335" s="14"/>
      <c r="E335" s="18"/>
      <c r="F335" s="61"/>
      <c r="G335" s="73"/>
      <c r="H335" s="79"/>
      <c r="I335" s="79"/>
      <c r="J335" s="14"/>
      <c r="K335" s="38"/>
      <c r="L335" s="38"/>
      <c r="M335" s="17"/>
    </row>
    <row r="336" spans="2:13" ht="14.45" customHeight="1" x14ac:dyDescent="0.25">
      <c r="B336" s="17"/>
      <c r="C336" s="14"/>
      <c r="D336" s="14"/>
      <c r="E336" s="18"/>
      <c r="F336" s="61"/>
      <c r="G336" s="73"/>
      <c r="H336" s="79"/>
      <c r="I336" s="79"/>
      <c r="J336" s="14"/>
      <c r="K336" s="38"/>
      <c r="L336" s="38"/>
      <c r="M336" s="17"/>
    </row>
    <row r="337" spans="2:13" ht="14.45" customHeight="1" x14ac:dyDescent="0.25">
      <c r="B337" s="17"/>
      <c r="C337" s="14"/>
      <c r="D337" s="14"/>
      <c r="E337" s="18"/>
      <c r="F337" s="61"/>
      <c r="G337" s="73"/>
      <c r="H337" s="79"/>
      <c r="I337" s="79"/>
      <c r="J337" s="14"/>
      <c r="K337" s="38"/>
      <c r="L337" s="38"/>
      <c r="M337" s="17"/>
    </row>
    <row r="338" spans="2:13" ht="14.45" customHeight="1" x14ac:dyDescent="0.25">
      <c r="B338" s="17"/>
      <c r="C338" s="14"/>
      <c r="D338" s="14"/>
      <c r="E338" s="18"/>
      <c r="F338" s="61"/>
      <c r="G338" s="73"/>
      <c r="H338" s="79"/>
      <c r="I338" s="79"/>
      <c r="J338" s="14"/>
      <c r="K338" s="38"/>
      <c r="L338" s="38"/>
      <c r="M338" s="17"/>
    </row>
    <row r="339" spans="2:13" ht="14.45" customHeight="1" x14ac:dyDescent="0.25">
      <c r="B339" s="17"/>
      <c r="C339" s="14"/>
      <c r="D339" s="14"/>
      <c r="E339" s="18"/>
      <c r="F339" s="61"/>
      <c r="G339" s="73"/>
      <c r="H339" s="79"/>
      <c r="I339" s="79"/>
      <c r="J339" s="14"/>
      <c r="K339" s="38"/>
      <c r="L339" s="38"/>
      <c r="M339" s="17"/>
    </row>
    <row r="340" spans="2:13" ht="14.45" customHeight="1" x14ac:dyDescent="0.25">
      <c r="B340" s="17"/>
      <c r="C340" s="14"/>
      <c r="D340" s="14"/>
      <c r="E340" s="18"/>
      <c r="F340" s="61"/>
      <c r="G340" s="73"/>
      <c r="H340" s="79"/>
      <c r="I340" s="79"/>
      <c r="J340" s="14"/>
      <c r="K340" s="38"/>
      <c r="L340" s="38"/>
      <c r="M340" s="17"/>
    </row>
    <row r="341" spans="2:13" ht="14.45" customHeight="1" x14ac:dyDescent="0.25">
      <c r="B341" s="17"/>
      <c r="C341" s="14"/>
      <c r="D341" s="14"/>
      <c r="E341" s="18"/>
      <c r="F341" s="61"/>
      <c r="G341" s="73"/>
      <c r="H341" s="79"/>
      <c r="I341" s="79"/>
      <c r="J341" s="14"/>
      <c r="K341" s="38"/>
      <c r="L341" s="38"/>
      <c r="M341" s="17"/>
    </row>
    <row r="342" spans="2:13" ht="14.45" customHeight="1" x14ac:dyDescent="0.25">
      <c r="B342" s="17"/>
      <c r="C342" s="14"/>
      <c r="D342" s="14"/>
      <c r="E342" s="18"/>
      <c r="F342" s="61"/>
      <c r="G342" s="73"/>
      <c r="H342" s="79"/>
      <c r="I342" s="79"/>
      <c r="J342" s="14"/>
      <c r="K342" s="38"/>
      <c r="L342" s="38"/>
      <c r="M342" s="17"/>
    </row>
    <row r="343" spans="2:13" ht="14.45" customHeight="1" x14ac:dyDescent="0.25">
      <c r="B343" s="17"/>
      <c r="C343" s="14"/>
      <c r="D343" s="14"/>
      <c r="E343" s="18"/>
      <c r="F343" s="61"/>
      <c r="G343" s="73"/>
      <c r="H343" s="79"/>
      <c r="I343" s="79"/>
      <c r="J343" s="14"/>
      <c r="K343" s="38"/>
      <c r="L343" s="38"/>
      <c r="M343" s="17"/>
    </row>
    <row r="344" spans="2:13" ht="14.45" customHeight="1" x14ac:dyDescent="0.25">
      <c r="B344" s="17"/>
      <c r="C344" s="14"/>
      <c r="D344" s="14"/>
      <c r="E344" s="18"/>
      <c r="F344" s="61"/>
      <c r="G344" s="73"/>
      <c r="H344" s="79"/>
      <c r="I344" s="79"/>
      <c r="J344" s="14"/>
      <c r="K344" s="38"/>
      <c r="L344" s="38"/>
      <c r="M344" s="17"/>
    </row>
    <row r="345" spans="2:13" ht="14.45" customHeight="1" x14ac:dyDescent="0.25">
      <c r="B345" s="17"/>
      <c r="C345" s="14"/>
      <c r="D345" s="14"/>
      <c r="E345" s="18"/>
      <c r="F345" s="61"/>
      <c r="G345" s="73"/>
      <c r="H345" s="79"/>
      <c r="I345" s="79"/>
      <c r="J345" s="14"/>
      <c r="K345" s="38"/>
      <c r="L345" s="38"/>
      <c r="M345" s="17"/>
    </row>
    <row r="346" spans="2:13" ht="14.45" customHeight="1" x14ac:dyDescent="0.25">
      <c r="B346" s="17"/>
      <c r="C346" s="14"/>
      <c r="D346" s="14"/>
      <c r="E346" s="18"/>
      <c r="F346" s="61"/>
      <c r="G346" s="73"/>
      <c r="H346" s="79"/>
      <c r="I346" s="79"/>
      <c r="J346" s="14"/>
      <c r="K346" s="38"/>
      <c r="L346" s="38"/>
      <c r="M346" s="17"/>
    </row>
    <row r="347" spans="2:13" ht="14.45" customHeight="1" x14ac:dyDescent="0.25">
      <c r="B347" s="17"/>
      <c r="C347" s="14"/>
      <c r="D347" s="14"/>
      <c r="E347" s="18"/>
      <c r="F347" s="61"/>
      <c r="G347" s="73"/>
      <c r="H347" s="79"/>
      <c r="I347" s="79"/>
      <c r="J347" s="14"/>
      <c r="K347" s="38"/>
      <c r="L347" s="38"/>
      <c r="M347" s="17"/>
    </row>
    <row r="348" spans="2:13" ht="14.45" customHeight="1" x14ac:dyDescent="0.25">
      <c r="B348" s="17"/>
      <c r="C348" s="14"/>
      <c r="D348" s="14"/>
      <c r="E348" s="18"/>
      <c r="F348" s="61"/>
      <c r="G348" s="73"/>
      <c r="H348" s="79"/>
      <c r="I348" s="79"/>
      <c r="J348" s="14"/>
      <c r="K348" s="38"/>
      <c r="L348" s="38"/>
      <c r="M348" s="17"/>
    </row>
    <row r="349" spans="2:13" ht="14.45" customHeight="1" x14ac:dyDescent="0.25">
      <c r="B349" s="17"/>
      <c r="C349" s="14"/>
      <c r="D349" s="14"/>
      <c r="E349" s="18"/>
      <c r="F349" s="61"/>
      <c r="G349" s="73"/>
      <c r="H349" s="79"/>
      <c r="I349" s="79"/>
      <c r="J349" s="14"/>
      <c r="K349" s="38"/>
      <c r="L349" s="38"/>
      <c r="M349" s="17"/>
    </row>
    <row r="350" spans="2:13" ht="14.45" customHeight="1" x14ac:dyDescent="0.25">
      <c r="B350" s="17"/>
      <c r="C350" s="14"/>
      <c r="D350" s="14"/>
      <c r="E350" s="18"/>
      <c r="F350" s="61"/>
      <c r="G350" s="73"/>
      <c r="H350" s="79"/>
      <c r="I350" s="79"/>
      <c r="J350" s="14"/>
      <c r="K350" s="38"/>
      <c r="L350" s="38"/>
      <c r="M350" s="17"/>
    </row>
    <row r="351" spans="2:13" ht="14.45" customHeight="1" x14ac:dyDescent="0.25">
      <c r="B351" s="17"/>
      <c r="C351" s="14"/>
      <c r="D351" s="14"/>
      <c r="E351" s="18"/>
      <c r="F351" s="61"/>
      <c r="G351" s="73"/>
      <c r="H351" s="79"/>
      <c r="I351" s="79"/>
      <c r="J351" s="14"/>
      <c r="K351" s="38"/>
      <c r="L351" s="38"/>
      <c r="M351" s="17"/>
    </row>
    <row r="352" spans="2:13" ht="14.45" customHeight="1" x14ac:dyDescent="0.25">
      <c r="B352" s="17"/>
      <c r="C352" s="14"/>
      <c r="D352" s="14"/>
      <c r="E352" s="18"/>
      <c r="F352" s="61"/>
      <c r="G352" s="73"/>
      <c r="H352" s="79"/>
      <c r="I352" s="79"/>
      <c r="J352" s="14"/>
      <c r="K352" s="38"/>
      <c r="L352" s="38"/>
      <c r="M352" s="17"/>
    </row>
    <row r="353" spans="2:13" ht="14.45" customHeight="1" x14ac:dyDescent="0.25">
      <c r="B353" s="17"/>
      <c r="C353" s="14"/>
      <c r="D353" s="14"/>
      <c r="E353" s="18"/>
      <c r="F353" s="61"/>
      <c r="G353" s="73"/>
      <c r="H353" s="79"/>
      <c r="I353" s="79"/>
      <c r="J353" s="14"/>
      <c r="K353" s="38"/>
      <c r="L353" s="38"/>
      <c r="M353" s="17"/>
    </row>
    <row r="354" spans="2:13" ht="14.45" customHeight="1" x14ac:dyDescent="0.25">
      <c r="B354" s="17"/>
      <c r="C354" s="14"/>
      <c r="D354" s="14"/>
      <c r="E354" s="18"/>
      <c r="F354" s="61"/>
      <c r="G354" s="73"/>
      <c r="H354" s="79"/>
      <c r="I354" s="79"/>
      <c r="J354" s="14"/>
      <c r="K354" s="38"/>
      <c r="L354" s="38"/>
      <c r="M354" s="17"/>
    </row>
    <row r="355" spans="2:13" ht="14.45" customHeight="1" x14ac:dyDescent="0.25">
      <c r="B355" s="17"/>
      <c r="C355" s="14"/>
      <c r="D355" s="14"/>
      <c r="E355" s="18"/>
      <c r="F355" s="61"/>
      <c r="G355" s="73"/>
      <c r="H355" s="79"/>
      <c r="I355" s="79"/>
      <c r="J355" s="14"/>
      <c r="K355" s="38"/>
      <c r="L355" s="38"/>
      <c r="M355" s="17"/>
    </row>
    <row r="356" spans="2:13" ht="14.45" customHeight="1" x14ac:dyDescent="0.25">
      <c r="B356" s="17"/>
      <c r="C356" s="14"/>
      <c r="D356" s="14"/>
      <c r="E356" s="18"/>
      <c r="F356" s="61"/>
      <c r="G356" s="73"/>
      <c r="H356" s="79"/>
      <c r="I356" s="79"/>
      <c r="J356" s="14"/>
      <c r="K356" s="38"/>
      <c r="L356" s="38"/>
      <c r="M356" s="17"/>
    </row>
    <row r="357" spans="2:13" ht="14.45" customHeight="1" x14ac:dyDescent="0.25">
      <c r="B357" s="17"/>
      <c r="C357" s="14"/>
      <c r="D357" s="14"/>
      <c r="E357" s="18"/>
      <c r="F357" s="61"/>
      <c r="G357" s="73"/>
      <c r="H357" s="79"/>
      <c r="I357" s="79"/>
      <c r="J357" s="14"/>
      <c r="K357" s="38"/>
      <c r="L357" s="38"/>
      <c r="M357" s="17"/>
    </row>
    <row r="358" spans="2:13" ht="14.45" customHeight="1" x14ac:dyDescent="0.25">
      <c r="B358" s="17"/>
      <c r="C358" s="14"/>
      <c r="D358" s="14"/>
      <c r="E358" s="18"/>
      <c r="F358" s="61"/>
      <c r="G358" s="73"/>
      <c r="H358" s="79"/>
      <c r="I358" s="79"/>
      <c r="J358" s="14"/>
      <c r="K358" s="38"/>
      <c r="L358" s="38"/>
      <c r="M358" s="17"/>
    </row>
    <row r="359" spans="2:13" ht="14.45" customHeight="1" x14ac:dyDescent="0.25">
      <c r="B359" s="17"/>
      <c r="C359" s="14"/>
      <c r="D359" s="14"/>
      <c r="E359" s="18"/>
      <c r="F359" s="61"/>
      <c r="G359" s="73"/>
      <c r="H359" s="79"/>
      <c r="I359" s="79"/>
      <c r="J359" s="14"/>
      <c r="K359" s="38"/>
      <c r="L359" s="38"/>
      <c r="M359" s="17"/>
    </row>
    <row r="360" spans="2:13" ht="14.45" customHeight="1" x14ac:dyDescent="0.25">
      <c r="B360" s="17"/>
      <c r="C360" s="14"/>
      <c r="D360" s="14"/>
      <c r="E360" s="18"/>
      <c r="F360" s="61"/>
      <c r="G360" s="73"/>
      <c r="H360" s="79"/>
      <c r="I360" s="79"/>
      <c r="J360" s="14"/>
      <c r="K360" s="38"/>
      <c r="L360" s="38"/>
      <c r="M360" s="17"/>
    </row>
    <row r="361" spans="2:13" ht="14.45" customHeight="1" x14ac:dyDescent="0.25">
      <c r="B361" s="17"/>
      <c r="C361" s="14"/>
      <c r="D361" s="14"/>
      <c r="E361" s="18"/>
      <c r="F361" s="61"/>
      <c r="G361" s="73"/>
      <c r="H361" s="79"/>
      <c r="I361" s="79"/>
      <c r="J361" s="14"/>
      <c r="K361" s="38"/>
      <c r="L361" s="38"/>
      <c r="M361" s="17"/>
    </row>
    <row r="362" spans="2:13" ht="14.45" customHeight="1" x14ac:dyDescent="0.25">
      <c r="B362" s="17"/>
      <c r="C362" s="14"/>
      <c r="D362" s="14"/>
      <c r="E362" s="18"/>
      <c r="F362" s="61"/>
      <c r="G362" s="73"/>
      <c r="H362" s="79"/>
      <c r="I362" s="79"/>
      <c r="J362" s="14"/>
      <c r="K362" s="38"/>
      <c r="L362" s="38"/>
      <c r="M362" s="17"/>
    </row>
    <row r="363" spans="2:13" ht="14.45" customHeight="1" x14ac:dyDescent="0.25">
      <c r="B363" s="17"/>
      <c r="C363" s="14"/>
      <c r="D363" s="14"/>
      <c r="E363" s="18"/>
      <c r="F363" s="61"/>
      <c r="G363" s="73"/>
      <c r="H363" s="79"/>
      <c r="I363" s="79"/>
      <c r="J363" s="14"/>
      <c r="K363" s="38"/>
      <c r="L363" s="38"/>
      <c r="M363" s="17"/>
    </row>
    <row r="364" spans="2:13" ht="14.45" customHeight="1" x14ac:dyDescent="0.25">
      <c r="B364" s="17"/>
      <c r="C364" s="14"/>
      <c r="D364" s="14"/>
      <c r="E364" s="18"/>
      <c r="F364" s="61"/>
      <c r="G364" s="73"/>
      <c r="H364" s="79"/>
      <c r="I364" s="79"/>
      <c r="J364" s="14"/>
      <c r="K364" s="38"/>
      <c r="L364" s="38"/>
      <c r="M364" s="17"/>
    </row>
    <row r="365" spans="2:13" ht="14.45" customHeight="1" x14ac:dyDescent="0.25">
      <c r="B365" s="17"/>
      <c r="C365" s="14"/>
      <c r="D365" s="14"/>
      <c r="E365" s="18"/>
      <c r="F365" s="61"/>
      <c r="G365" s="73"/>
      <c r="H365" s="79"/>
      <c r="I365" s="79"/>
      <c r="J365" s="14"/>
      <c r="K365" s="38"/>
      <c r="L365" s="38"/>
      <c r="M365" s="17"/>
    </row>
    <row r="366" spans="2:13" ht="14.45" customHeight="1" x14ac:dyDescent="0.25">
      <c r="B366" s="17"/>
      <c r="C366" s="14"/>
      <c r="D366" s="14"/>
      <c r="E366" s="18"/>
      <c r="F366" s="61"/>
      <c r="G366" s="73"/>
      <c r="H366" s="79"/>
      <c r="I366" s="79"/>
      <c r="J366" s="14"/>
      <c r="K366" s="38"/>
      <c r="L366" s="38"/>
      <c r="M366" s="17"/>
    </row>
    <row r="367" spans="2:13" ht="14.45" customHeight="1" x14ac:dyDescent="0.25">
      <c r="B367" s="17"/>
      <c r="C367" s="14"/>
      <c r="D367" s="14"/>
      <c r="E367" s="18"/>
      <c r="F367" s="61"/>
      <c r="G367" s="73"/>
      <c r="H367" s="79"/>
      <c r="I367" s="79"/>
      <c r="J367" s="14"/>
      <c r="K367" s="38"/>
      <c r="L367" s="38"/>
      <c r="M367" s="17"/>
    </row>
    <row r="368" spans="2:13" ht="14.45" customHeight="1" x14ac:dyDescent="0.25">
      <c r="B368" s="17"/>
      <c r="C368" s="14"/>
      <c r="D368" s="14"/>
      <c r="E368" s="18"/>
      <c r="F368" s="61"/>
      <c r="G368" s="73"/>
      <c r="H368" s="79"/>
      <c r="I368" s="79"/>
      <c r="J368" s="14"/>
      <c r="K368" s="38"/>
      <c r="L368" s="38"/>
      <c r="M368" s="17"/>
    </row>
    <row r="369" spans="2:13" ht="14.45" customHeight="1" x14ac:dyDescent="0.25">
      <c r="B369" s="17"/>
      <c r="C369" s="14"/>
      <c r="D369" s="14"/>
      <c r="E369" s="18"/>
      <c r="F369" s="61"/>
      <c r="G369" s="73"/>
      <c r="H369" s="79"/>
      <c r="I369" s="79"/>
      <c r="J369" s="14"/>
      <c r="K369" s="38"/>
      <c r="L369" s="38"/>
      <c r="M369" s="17"/>
    </row>
    <row r="370" spans="2:13" ht="14.45" customHeight="1" x14ac:dyDescent="0.25">
      <c r="B370" s="17"/>
      <c r="C370" s="14"/>
      <c r="D370" s="14"/>
      <c r="E370" s="18"/>
      <c r="F370" s="61"/>
      <c r="G370" s="73"/>
      <c r="H370" s="79"/>
      <c r="I370" s="79"/>
      <c r="J370" s="14"/>
      <c r="K370" s="38"/>
      <c r="L370" s="38"/>
      <c r="M370" s="17"/>
    </row>
    <row r="371" spans="2:13" ht="14.45" customHeight="1" x14ac:dyDescent="0.25">
      <c r="B371" s="17"/>
      <c r="C371" s="14"/>
      <c r="D371" s="14"/>
      <c r="E371" s="18"/>
      <c r="F371" s="61"/>
      <c r="G371" s="73"/>
      <c r="H371" s="79"/>
      <c r="I371" s="79"/>
      <c r="J371" s="14"/>
      <c r="K371" s="38"/>
      <c r="L371" s="38"/>
      <c r="M371" s="17"/>
    </row>
    <row r="372" spans="2:13" ht="14.45" customHeight="1" x14ac:dyDescent="0.25">
      <c r="B372" s="17"/>
      <c r="C372" s="14"/>
      <c r="D372" s="14"/>
      <c r="E372" s="18"/>
      <c r="F372" s="61"/>
      <c r="G372" s="73"/>
      <c r="H372" s="79"/>
      <c r="I372" s="79"/>
      <c r="J372" s="14"/>
      <c r="K372" s="38"/>
      <c r="L372" s="38"/>
      <c r="M372" s="17"/>
    </row>
    <row r="373" spans="2:13" ht="14.45" customHeight="1" x14ac:dyDescent="0.25">
      <c r="B373" s="17"/>
      <c r="C373" s="14"/>
      <c r="D373" s="14"/>
      <c r="E373" s="18"/>
      <c r="F373" s="61"/>
      <c r="G373" s="73"/>
      <c r="H373" s="79"/>
      <c r="I373" s="79"/>
      <c r="J373" s="14"/>
      <c r="K373" s="38"/>
      <c r="L373" s="38"/>
      <c r="M373" s="17"/>
    </row>
    <row r="374" spans="2:13" ht="14.45" customHeight="1" x14ac:dyDescent="0.25">
      <c r="B374" s="17"/>
      <c r="C374" s="14"/>
      <c r="D374" s="14"/>
      <c r="E374" s="18"/>
      <c r="F374" s="61"/>
      <c r="G374" s="73"/>
      <c r="H374" s="79"/>
      <c r="I374" s="79"/>
      <c r="J374" s="14"/>
      <c r="K374" s="38"/>
      <c r="L374" s="38"/>
      <c r="M374" s="17"/>
    </row>
    <row r="375" spans="2:13" ht="14.45" customHeight="1" x14ac:dyDescent="0.25">
      <c r="B375" s="17"/>
      <c r="C375" s="14"/>
      <c r="D375" s="14"/>
      <c r="E375" s="18"/>
      <c r="F375" s="61"/>
      <c r="G375" s="73"/>
      <c r="H375" s="79"/>
      <c r="I375" s="79"/>
      <c r="J375" s="14"/>
      <c r="K375" s="38"/>
      <c r="L375" s="38"/>
      <c r="M375" s="17"/>
    </row>
    <row r="376" spans="2:13" ht="14.45" customHeight="1" x14ac:dyDescent="0.25">
      <c r="B376" s="17"/>
      <c r="C376" s="14"/>
      <c r="D376" s="14"/>
      <c r="E376" s="18"/>
      <c r="F376" s="61"/>
      <c r="G376" s="73"/>
      <c r="H376" s="79"/>
      <c r="I376" s="79"/>
      <c r="J376" s="14"/>
      <c r="K376" s="38"/>
      <c r="L376" s="38"/>
      <c r="M376" s="17"/>
    </row>
    <row r="377" spans="2:13" ht="14.45" customHeight="1" x14ac:dyDescent="0.25">
      <c r="B377" s="17"/>
      <c r="C377" s="14"/>
      <c r="D377" s="14"/>
      <c r="E377" s="18"/>
      <c r="F377" s="61"/>
      <c r="G377" s="73"/>
      <c r="H377" s="79"/>
      <c r="I377" s="79"/>
      <c r="J377" s="14"/>
      <c r="K377" s="38"/>
      <c r="L377" s="38"/>
      <c r="M377" s="17"/>
    </row>
    <row r="378" spans="2:13" ht="14.45" customHeight="1" x14ac:dyDescent="0.25">
      <c r="B378" s="17"/>
      <c r="C378" s="14"/>
      <c r="D378" s="14"/>
      <c r="E378" s="18"/>
      <c r="F378" s="61"/>
      <c r="G378" s="73"/>
      <c r="H378" s="79"/>
      <c r="I378" s="79"/>
      <c r="J378" s="14"/>
      <c r="K378" s="38"/>
      <c r="L378" s="38"/>
      <c r="M378" s="17"/>
    </row>
    <row r="379" spans="2:13" ht="14.45" customHeight="1" x14ac:dyDescent="0.25">
      <c r="B379" s="17"/>
      <c r="C379" s="14"/>
      <c r="D379" s="14"/>
      <c r="E379" s="18"/>
      <c r="F379" s="61"/>
      <c r="G379" s="73"/>
      <c r="H379" s="79"/>
      <c r="I379" s="79"/>
      <c r="J379" s="14"/>
      <c r="K379" s="38"/>
      <c r="L379" s="38"/>
      <c r="M379" s="17"/>
    </row>
    <row r="380" spans="2:13" ht="14.45" customHeight="1" x14ac:dyDescent="0.25">
      <c r="B380" s="17"/>
      <c r="C380" s="14"/>
      <c r="D380" s="14"/>
      <c r="E380" s="18"/>
      <c r="F380" s="61"/>
      <c r="G380" s="73"/>
      <c r="H380" s="79"/>
      <c r="I380" s="79"/>
      <c r="J380" s="14"/>
      <c r="K380" s="38"/>
      <c r="L380" s="38"/>
      <c r="M380" s="17"/>
    </row>
    <row r="381" spans="2:13" ht="14.45" customHeight="1" x14ac:dyDescent="0.25">
      <c r="B381" s="17"/>
      <c r="C381" s="14"/>
      <c r="D381" s="14"/>
      <c r="E381" s="18"/>
      <c r="F381" s="61"/>
      <c r="G381" s="73"/>
      <c r="H381" s="79"/>
      <c r="I381" s="79"/>
      <c r="J381" s="14"/>
      <c r="K381" s="38"/>
      <c r="L381" s="38"/>
      <c r="M381" s="17"/>
    </row>
    <row r="382" spans="2:13" ht="14.45" customHeight="1" x14ac:dyDescent="0.25">
      <c r="B382" s="17"/>
      <c r="C382" s="14"/>
      <c r="D382" s="14"/>
      <c r="E382" s="18"/>
      <c r="F382" s="61"/>
      <c r="G382" s="73"/>
      <c r="H382" s="79"/>
      <c r="I382" s="79"/>
      <c r="J382" s="14"/>
      <c r="K382" s="38"/>
      <c r="L382" s="38"/>
      <c r="M382" s="17"/>
    </row>
    <row r="383" spans="2:13" ht="14.45" customHeight="1" x14ac:dyDescent="0.25">
      <c r="B383" s="17"/>
      <c r="C383" s="14"/>
      <c r="D383" s="14"/>
      <c r="E383" s="18"/>
      <c r="F383" s="61"/>
      <c r="G383" s="73"/>
      <c r="H383" s="79"/>
      <c r="I383" s="79"/>
      <c r="J383" s="14"/>
      <c r="K383" s="38"/>
      <c r="L383" s="38"/>
      <c r="M383" s="17"/>
    </row>
    <row r="384" spans="2:13" ht="14.45" customHeight="1" x14ac:dyDescent="0.25">
      <c r="B384" s="17"/>
      <c r="C384" s="14"/>
      <c r="D384" s="14"/>
      <c r="E384" s="18"/>
      <c r="F384" s="61"/>
      <c r="G384" s="73"/>
      <c r="H384" s="79"/>
      <c r="I384" s="79"/>
      <c r="J384" s="14"/>
      <c r="K384" s="38"/>
      <c r="L384" s="38"/>
      <c r="M384" s="17"/>
    </row>
    <row r="385" spans="2:13" ht="14.45" customHeight="1" x14ac:dyDescent="0.25">
      <c r="B385" s="17"/>
      <c r="C385" s="14"/>
      <c r="D385" s="14"/>
      <c r="E385" s="18"/>
      <c r="F385" s="61"/>
      <c r="G385" s="73"/>
      <c r="H385" s="79"/>
      <c r="I385" s="79"/>
      <c r="J385" s="14"/>
      <c r="K385" s="38"/>
      <c r="L385" s="38"/>
      <c r="M385" s="17"/>
    </row>
    <row r="386" spans="2:13" ht="14.45" customHeight="1" x14ac:dyDescent="0.25">
      <c r="B386" s="17"/>
      <c r="C386" s="14"/>
      <c r="D386" s="14"/>
      <c r="E386" s="18"/>
      <c r="F386" s="61"/>
      <c r="G386" s="73"/>
      <c r="H386" s="79"/>
      <c r="I386" s="79"/>
      <c r="J386" s="14"/>
      <c r="K386" s="38"/>
      <c r="L386" s="38"/>
      <c r="M386" s="17"/>
    </row>
    <row r="387" spans="2:13" ht="14.45" customHeight="1" x14ac:dyDescent="0.25">
      <c r="B387" s="17"/>
      <c r="C387" s="14"/>
      <c r="D387" s="14"/>
      <c r="E387" s="18"/>
      <c r="F387" s="61"/>
      <c r="G387" s="73"/>
      <c r="H387" s="79"/>
      <c r="I387" s="79"/>
      <c r="J387" s="14"/>
      <c r="K387" s="38"/>
      <c r="L387" s="38"/>
      <c r="M387" s="17"/>
    </row>
    <row r="388" spans="2:13" ht="14.45" customHeight="1" x14ac:dyDescent="0.25">
      <c r="B388" s="17"/>
      <c r="C388" s="14"/>
      <c r="D388" s="14"/>
      <c r="E388" s="18"/>
      <c r="F388" s="61"/>
      <c r="G388" s="73"/>
      <c r="H388" s="79"/>
      <c r="I388" s="79"/>
      <c r="J388" s="14"/>
      <c r="K388" s="38"/>
      <c r="L388" s="38"/>
      <c r="M388" s="17"/>
    </row>
    <row r="389" spans="2:13" ht="14.45" customHeight="1" x14ac:dyDescent="0.25">
      <c r="B389" s="17"/>
      <c r="C389" s="14"/>
      <c r="D389" s="14"/>
      <c r="E389" s="18"/>
      <c r="F389" s="61"/>
      <c r="G389" s="73"/>
      <c r="H389" s="79"/>
      <c r="I389" s="79"/>
      <c r="J389" s="14"/>
      <c r="K389" s="38"/>
      <c r="L389" s="38"/>
      <c r="M389" s="17"/>
    </row>
    <row r="390" spans="2:13" ht="14.45" customHeight="1" x14ac:dyDescent="0.25">
      <c r="B390" s="17"/>
      <c r="C390" s="14"/>
      <c r="D390" s="14"/>
      <c r="E390" s="18"/>
      <c r="F390" s="61"/>
      <c r="G390" s="73"/>
      <c r="H390" s="79"/>
      <c r="I390" s="79"/>
      <c r="J390" s="14"/>
      <c r="K390" s="38"/>
      <c r="L390" s="38"/>
      <c r="M390" s="17"/>
    </row>
    <row r="391" spans="2:13" ht="14.45" customHeight="1" x14ac:dyDescent="0.25">
      <c r="B391" s="17"/>
      <c r="C391" s="14"/>
      <c r="D391" s="14"/>
      <c r="E391" s="18"/>
      <c r="F391" s="61"/>
      <c r="G391" s="73"/>
      <c r="H391" s="79"/>
      <c r="I391" s="79"/>
      <c r="J391" s="14"/>
      <c r="K391" s="38"/>
      <c r="L391" s="38"/>
      <c r="M391" s="17"/>
    </row>
    <row r="392" spans="2:13" ht="14.45" customHeight="1" x14ac:dyDescent="0.25">
      <c r="B392" s="17"/>
      <c r="C392" s="14"/>
      <c r="D392" s="14"/>
      <c r="E392" s="18"/>
      <c r="F392" s="61"/>
      <c r="G392" s="73"/>
      <c r="H392" s="79"/>
      <c r="I392" s="79"/>
      <c r="J392" s="14"/>
      <c r="K392" s="38"/>
      <c r="L392" s="38"/>
      <c r="M392" s="17"/>
    </row>
    <row r="393" spans="2:13" ht="14.45" customHeight="1" x14ac:dyDescent="0.25">
      <c r="B393" s="17"/>
      <c r="C393" s="14"/>
      <c r="D393" s="14"/>
      <c r="E393" s="18"/>
      <c r="F393" s="61"/>
      <c r="G393" s="73"/>
      <c r="H393" s="79"/>
      <c r="I393" s="79"/>
      <c r="J393" s="14"/>
      <c r="K393" s="38"/>
      <c r="L393" s="38"/>
      <c r="M393" s="17"/>
    </row>
    <row r="394" spans="2:13" ht="14.45" customHeight="1" x14ac:dyDescent="0.25">
      <c r="B394" s="17"/>
      <c r="C394" s="14"/>
      <c r="D394" s="14"/>
      <c r="E394" s="18"/>
      <c r="F394" s="61"/>
      <c r="G394" s="73"/>
      <c r="H394" s="79"/>
      <c r="I394" s="79"/>
      <c r="J394" s="14"/>
      <c r="K394" s="38"/>
      <c r="L394" s="38"/>
      <c r="M394" s="17"/>
    </row>
    <row r="395" spans="2:13" ht="14.45" customHeight="1" x14ac:dyDescent="0.25">
      <c r="B395" s="17"/>
      <c r="C395" s="14"/>
      <c r="D395" s="14"/>
      <c r="E395" s="18"/>
      <c r="F395" s="61"/>
      <c r="G395" s="73"/>
      <c r="H395" s="79"/>
      <c r="I395" s="79"/>
      <c r="J395" s="14"/>
      <c r="K395" s="38"/>
      <c r="L395" s="38"/>
      <c r="M395" s="17"/>
    </row>
    <row r="396" spans="2:13" ht="14.45" customHeight="1" x14ac:dyDescent="0.25">
      <c r="B396" s="17"/>
      <c r="C396" s="14"/>
      <c r="D396" s="14"/>
      <c r="E396" s="18"/>
      <c r="F396" s="61"/>
      <c r="G396" s="73"/>
      <c r="H396" s="79"/>
      <c r="I396" s="79"/>
      <c r="J396" s="14"/>
      <c r="K396" s="38"/>
      <c r="L396" s="38"/>
      <c r="M396" s="17"/>
    </row>
    <row r="397" spans="2:13" ht="14.45" customHeight="1" x14ac:dyDescent="0.25">
      <c r="B397" s="17"/>
      <c r="C397" s="14"/>
      <c r="D397" s="14"/>
      <c r="E397" s="18"/>
      <c r="F397" s="61"/>
      <c r="G397" s="73"/>
      <c r="H397" s="79"/>
      <c r="I397" s="79"/>
      <c r="J397" s="14"/>
      <c r="K397" s="38"/>
      <c r="L397" s="38"/>
      <c r="M397" s="17"/>
    </row>
    <row r="398" spans="2:13" ht="14.45" customHeight="1" x14ac:dyDescent="0.25">
      <c r="B398" s="17"/>
      <c r="C398" s="14"/>
      <c r="D398" s="14"/>
      <c r="E398" s="18"/>
      <c r="F398" s="61"/>
      <c r="G398" s="73"/>
      <c r="H398" s="79"/>
      <c r="I398" s="79"/>
      <c r="J398" s="14"/>
      <c r="K398" s="38"/>
      <c r="L398" s="38"/>
      <c r="M398" s="17"/>
    </row>
    <row r="399" spans="2:13" ht="14.45" customHeight="1" x14ac:dyDescent="0.25">
      <c r="B399" s="17"/>
      <c r="C399" s="14"/>
      <c r="D399" s="14"/>
      <c r="E399" s="18"/>
      <c r="F399" s="61"/>
      <c r="G399" s="73"/>
      <c r="H399" s="79"/>
      <c r="I399" s="79"/>
      <c r="J399" s="14"/>
      <c r="K399" s="38"/>
      <c r="L399" s="38"/>
      <c r="M399" s="17"/>
    </row>
    <row r="400" spans="2:13" ht="14.45" customHeight="1" x14ac:dyDescent="0.25">
      <c r="B400" s="17"/>
      <c r="C400" s="14"/>
      <c r="D400" s="14"/>
      <c r="E400" s="18"/>
      <c r="F400" s="61"/>
      <c r="G400" s="73"/>
      <c r="H400" s="79"/>
      <c r="I400" s="79"/>
      <c r="J400" s="14"/>
      <c r="K400" s="38"/>
      <c r="L400" s="38"/>
      <c r="M400" s="17"/>
    </row>
    <row r="401" spans="2:13" ht="14.45" customHeight="1" x14ac:dyDescent="0.25">
      <c r="B401" s="17"/>
      <c r="C401" s="14"/>
      <c r="D401" s="14"/>
      <c r="E401" s="18"/>
      <c r="F401" s="61"/>
      <c r="G401" s="73"/>
      <c r="H401" s="79"/>
      <c r="I401" s="79"/>
      <c r="J401" s="14"/>
      <c r="K401" s="38"/>
      <c r="L401" s="38"/>
      <c r="M401" s="17"/>
    </row>
    <row r="402" spans="2:13" ht="14.45" customHeight="1" x14ac:dyDescent="0.25">
      <c r="B402" s="17"/>
      <c r="C402" s="14"/>
      <c r="D402" s="14"/>
      <c r="E402" s="18"/>
      <c r="F402" s="61"/>
      <c r="G402" s="73"/>
      <c r="H402" s="79"/>
      <c r="I402" s="79"/>
      <c r="J402" s="14"/>
      <c r="K402" s="38"/>
      <c r="L402" s="38"/>
      <c r="M402" s="17"/>
    </row>
    <row r="403" spans="2:13" ht="14.45" customHeight="1" x14ac:dyDescent="0.25">
      <c r="B403" s="17"/>
      <c r="C403" s="14"/>
      <c r="D403" s="14"/>
      <c r="E403" s="18"/>
      <c r="F403" s="61"/>
      <c r="G403" s="73"/>
      <c r="H403" s="79"/>
      <c r="I403" s="79"/>
      <c r="J403" s="14"/>
      <c r="K403" s="38"/>
      <c r="L403" s="38"/>
      <c r="M403" s="17"/>
    </row>
    <row r="404" spans="2:13" ht="14.45" customHeight="1" x14ac:dyDescent="0.25">
      <c r="B404" s="17"/>
      <c r="C404" s="14"/>
      <c r="D404" s="14"/>
      <c r="E404" s="18"/>
      <c r="F404" s="61"/>
      <c r="G404" s="73"/>
      <c r="H404" s="79"/>
      <c r="I404" s="79"/>
      <c r="J404" s="14"/>
      <c r="K404" s="38"/>
      <c r="L404" s="38"/>
      <c r="M404" s="17"/>
    </row>
    <row r="405" spans="2:13" ht="14.45" customHeight="1" x14ac:dyDescent="0.25">
      <c r="B405" s="17"/>
      <c r="C405" s="14"/>
      <c r="D405" s="14"/>
      <c r="E405" s="18"/>
      <c r="F405" s="61"/>
      <c r="G405" s="73"/>
      <c r="H405" s="79"/>
      <c r="I405" s="79"/>
      <c r="J405" s="14"/>
      <c r="K405" s="38"/>
      <c r="L405" s="38"/>
      <c r="M405" s="17"/>
    </row>
    <row r="406" spans="2:13" ht="14.45" customHeight="1" x14ac:dyDescent="0.25">
      <c r="B406" s="17"/>
      <c r="C406" s="14"/>
      <c r="D406" s="14"/>
      <c r="E406" s="18"/>
      <c r="F406" s="61"/>
      <c r="G406" s="73"/>
      <c r="H406" s="79"/>
      <c r="I406" s="79"/>
      <c r="J406" s="14"/>
      <c r="K406" s="38"/>
      <c r="L406" s="38"/>
      <c r="M406" s="17"/>
    </row>
    <row r="407" spans="2:13" ht="14.45" customHeight="1" x14ac:dyDescent="0.25">
      <c r="B407" s="17"/>
      <c r="C407" s="14"/>
      <c r="D407" s="14"/>
      <c r="E407" s="18"/>
      <c r="F407" s="61"/>
      <c r="G407" s="73"/>
      <c r="H407" s="79"/>
      <c r="I407" s="79"/>
      <c r="J407" s="14"/>
      <c r="K407" s="38"/>
      <c r="L407" s="38"/>
      <c r="M407" s="17"/>
    </row>
    <row r="408" spans="2:13" ht="14.45" customHeight="1" x14ac:dyDescent="0.25">
      <c r="B408" s="17"/>
      <c r="C408" s="14"/>
      <c r="D408" s="14"/>
      <c r="E408" s="18"/>
      <c r="F408" s="61"/>
      <c r="G408" s="73"/>
      <c r="H408" s="79"/>
      <c r="I408" s="79"/>
      <c r="J408" s="14"/>
      <c r="K408" s="38"/>
      <c r="L408" s="38"/>
      <c r="M408" s="17"/>
    </row>
    <row r="409" spans="2:13" ht="14.45" customHeight="1" x14ac:dyDescent="0.25">
      <c r="B409" s="17"/>
      <c r="C409" s="14"/>
      <c r="D409" s="14"/>
      <c r="E409" s="18"/>
      <c r="F409" s="61"/>
      <c r="G409" s="73"/>
      <c r="H409" s="79"/>
      <c r="I409" s="79"/>
      <c r="J409" s="14"/>
      <c r="K409" s="38"/>
      <c r="L409" s="38"/>
      <c r="M409" s="17"/>
    </row>
    <row r="410" spans="2:13" ht="14.45" customHeight="1" x14ac:dyDescent="0.25">
      <c r="B410" s="17"/>
      <c r="C410" s="14"/>
      <c r="D410" s="14"/>
      <c r="E410" s="18"/>
      <c r="F410" s="61"/>
      <c r="G410" s="73"/>
      <c r="H410" s="79"/>
      <c r="I410" s="79"/>
      <c r="J410" s="14"/>
      <c r="K410" s="38"/>
      <c r="L410" s="38"/>
      <c r="M410" s="17"/>
    </row>
    <row r="411" spans="2:13" ht="14.45" customHeight="1" x14ac:dyDescent="0.25">
      <c r="B411" s="17"/>
      <c r="C411" s="14"/>
      <c r="D411" s="14"/>
      <c r="E411" s="18"/>
      <c r="F411" s="61"/>
      <c r="G411" s="73"/>
      <c r="H411" s="79"/>
      <c r="I411" s="79"/>
      <c r="J411" s="14"/>
      <c r="K411" s="38"/>
      <c r="L411" s="38"/>
      <c r="M411" s="17"/>
    </row>
    <row r="412" spans="2:13" ht="14.45" customHeight="1" x14ac:dyDescent="0.25">
      <c r="B412" s="17"/>
      <c r="C412" s="14"/>
      <c r="D412" s="14"/>
      <c r="E412" s="18"/>
      <c r="F412" s="61"/>
      <c r="G412" s="73"/>
      <c r="H412" s="79"/>
      <c r="I412" s="79"/>
      <c r="J412" s="14"/>
      <c r="K412" s="38"/>
      <c r="L412" s="38"/>
      <c r="M412" s="17"/>
    </row>
    <row r="413" spans="2:13" ht="14.45" customHeight="1" x14ac:dyDescent="0.25">
      <c r="B413" s="17"/>
      <c r="C413" s="14"/>
      <c r="D413" s="14"/>
      <c r="E413" s="18"/>
      <c r="F413" s="61"/>
      <c r="G413" s="73"/>
      <c r="H413" s="79"/>
      <c r="I413" s="79"/>
      <c r="J413" s="14"/>
      <c r="K413" s="38"/>
      <c r="L413" s="38"/>
      <c r="M413" s="17"/>
    </row>
    <row r="414" spans="2:13" ht="14.45" customHeight="1" x14ac:dyDescent="0.25">
      <c r="B414" s="17"/>
      <c r="C414" s="14"/>
      <c r="D414" s="14"/>
      <c r="E414" s="18"/>
      <c r="F414" s="61"/>
      <c r="G414" s="73"/>
      <c r="H414" s="79"/>
      <c r="I414" s="79"/>
      <c r="J414" s="14"/>
      <c r="K414" s="38"/>
      <c r="L414" s="38"/>
      <c r="M414" s="17"/>
    </row>
    <row r="415" spans="2:13" ht="14.45" customHeight="1" x14ac:dyDescent="0.25">
      <c r="B415" s="17"/>
      <c r="C415" s="14"/>
      <c r="D415" s="14"/>
      <c r="E415" s="18"/>
      <c r="F415" s="61"/>
      <c r="G415" s="73"/>
      <c r="H415" s="79"/>
      <c r="I415" s="79"/>
      <c r="J415" s="14"/>
      <c r="K415" s="38"/>
      <c r="L415" s="38"/>
      <c r="M415" s="17"/>
    </row>
    <row r="416" spans="2:13" ht="14.45" customHeight="1" x14ac:dyDescent="0.25">
      <c r="B416" s="17"/>
      <c r="C416" s="14"/>
      <c r="D416" s="14"/>
      <c r="E416" s="18"/>
      <c r="F416" s="61"/>
      <c r="G416" s="73"/>
      <c r="H416" s="79"/>
      <c r="I416" s="79"/>
      <c r="J416" s="14"/>
      <c r="K416" s="38"/>
      <c r="L416" s="38"/>
      <c r="M416" s="17"/>
    </row>
    <row r="417" spans="2:13" ht="14.45" customHeight="1" x14ac:dyDescent="0.25">
      <c r="B417" s="17"/>
      <c r="C417" s="14"/>
      <c r="D417" s="14"/>
      <c r="E417" s="18"/>
      <c r="F417" s="61"/>
      <c r="G417" s="73"/>
      <c r="H417" s="79"/>
      <c r="I417" s="79"/>
      <c r="J417" s="14"/>
      <c r="K417" s="38"/>
      <c r="L417" s="38"/>
      <c r="M417" s="17"/>
    </row>
    <row r="418" spans="2:13" ht="14.45" customHeight="1" x14ac:dyDescent="0.25">
      <c r="B418" s="17"/>
      <c r="C418" s="14"/>
      <c r="D418" s="14"/>
      <c r="E418" s="18"/>
      <c r="F418" s="61"/>
      <c r="G418" s="73"/>
      <c r="H418" s="79"/>
      <c r="I418" s="79"/>
      <c r="J418" s="14"/>
      <c r="K418" s="38"/>
      <c r="L418" s="38"/>
      <c r="M418" s="17"/>
    </row>
    <row r="419" spans="2:13" ht="14.45" customHeight="1" x14ac:dyDescent="0.25">
      <c r="B419" s="17"/>
      <c r="C419" s="14"/>
      <c r="D419" s="14"/>
      <c r="E419" s="18"/>
      <c r="F419" s="61"/>
      <c r="G419" s="73"/>
      <c r="H419" s="79"/>
      <c r="I419" s="79"/>
      <c r="J419" s="14"/>
      <c r="K419" s="38"/>
      <c r="L419" s="38"/>
      <c r="M419" s="17"/>
    </row>
    <row r="420" spans="2:13" ht="14.45" customHeight="1" x14ac:dyDescent="0.25">
      <c r="B420" s="17"/>
      <c r="C420" s="14"/>
      <c r="D420" s="14"/>
      <c r="E420" s="18"/>
      <c r="F420" s="61"/>
      <c r="G420" s="73"/>
      <c r="H420" s="79"/>
      <c r="I420" s="79"/>
      <c r="J420" s="14"/>
      <c r="K420" s="38"/>
      <c r="L420" s="38"/>
      <c r="M420" s="17"/>
    </row>
    <row r="421" spans="2:13" ht="14.45" customHeight="1" x14ac:dyDescent="0.25">
      <c r="B421" s="17"/>
      <c r="C421" s="14"/>
      <c r="D421" s="14"/>
      <c r="E421" s="18"/>
      <c r="F421" s="61"/>
      <c r="G421" s="73"/>
      <c r="H421" s="79"/>
      <c r="I421" s="79"/>
      <c r="J421" s="14"/>
      <c r="K421" s="38"/>
      <c r="L421" s="38"/>
      <c r="M421" s="17"/>
    </row>
    <row r="422" spans="2:13" ht="14.45" customHeight="1" x14ac:dyDescent="0.25">
      <c r="B422" s="17"/>
      <c r="C422" s="14"/>
      <c r="D422" s="14"/>
      <c r="E422" s="18"/>
      <c r="F422" s="61"/>
      <c r="G422" s="73"/>
      <c r="H422" s="79"/>
      <c r="I422" s="79"/>
      <c r="J422" s="14"/>
      <c r="K422" s="38"/>
      <c r="L422" s="38"/>
      <c r="M422" s="17"/>
    </row>
    <row r="423" spans="2:13" ht="14.45" customHeight="1" x14ac:dyDescent="0.25">
      <c r="B423" s="17"/>
      <c r="C423" s="14"/>
      <c r="D423" s="14"/>
      <c r="E423" s="18"/>
      <c r="F423" s="61"/>
      <c r="G423" s="73"/>
      <c r="H423" s="79"/>
      <c r="I423" s="79"/>
      <c r="J423" s="14"/>
      <c r="K423" s="38"/>
      <c r="L423" s="38"/>
      <c r="M423" s="17"/>
    </row>
    <row r="424" spans="2:13" ht="14.45" customHeight="1" x14ac:dyDescent="0.25">
      <c r="B424" s="17"/>
      <c r="C424" s="14"/>
      <c r="D424" s="14"/>
      <c r="E424" s="18"/>
      <c r="F424" s="61"/>
      <c r="G424" s="73"/>
      <c r="H424" s="79"/>
      <c r="I424" s="79"/>
      <c r="J424" s="14"/>
      <c r="K424" s="38"/>
      <c r="L424" s="38"/>
      <c r="M424" s="17"/>
    </row>
    <row r="425" spans="2:13" ht="14.45" customHeight="1" x14ac:dyDescent="0.25">
      <c r="B425" s="17"/>
      <c r="C425" s="14"/>
      <c r="D425" s="14"/>
      <c r="E425" s="18"/>
      <c r="F425" s="61"/>
      <c r="G425" s="73"/>
      <c r="H425" s="79"/>
      <c r="I425" s="79"/>
      <c r="J425" s="14"/>
      <c r="K425" s="38"/>
      <c r="L425" s="38"/>
      <c r="M425" s="17"/>
    </row>
    <row r="426" spans="2:13" ht="14.45" customHeight="1" x14ac:dyDescent="0.25">
      <c r="B426" s="17"/>
      <c r="C426" s="14"/>
      <c r="D426" s="14"/>
      <c r="E426" s="18"/>
      <c r="F426" s="61"/>
      <c r="G426" s="73"/>
      <c r="H426" s="79"/>
      <c r="I426" s="79"/>
      <c r="J426" s="14"/>
      <c r="K426" s="38"/>
      <c r="L426" s="38"/>
      <c r="M426" s="17"/>
    </row>
    <row r="427" spans="2:13" ht="14.45" customHeight="1" x14ac:dyDescent="0.25">
      <c r="B427" s="17"/>
      <c r="C427" s="14"/>
      <c r="D427" s="14"/>
      <c r="E427" s="18"/>
      <c r="F427" s="61"/>
      <c r="G427" s="73"/>
      <c r="H427" s="79"/>
      <c r="I427" s="79"/>
      <c r="J427" s="14"/>
      <c r="K427" s="38"/>
      <c r="L427" s="38"/>
      <c r="M427" s="17"/>
    </row>
    <row r="428" spans="2:13" ht="14.45" customHeight="1" x14ac:dyDescent="0.25">
      <c r="B428" s="17"/>
      <c r="C428" s="14"/>
      <c r="D428" s="14"/>
      <c r="E428" s="18"/>
      <c r="F428" s="61"/>
      <c r="G428" s="73"/>
      <c r="H428" s="79"/>
      <c r="I428" s="79"/>
      <c r="J428" s="14"/>
      <c r="K428" s="38"/>
      <c r="L428" s="38"/>
      <c r="M428" s="17"/>
    </row>
    <row r="429" spans="2:13" ht="14.45" customHeight="1" x14ac:dyDescent="0.25">
      <c r="B429" s="17"/>
      <c r="C429" s="14"/>
      <c r="D429" s="14"/>
      <c r="E429" s="18"/>
      <c r="F429" s="61"/>
      <c r="G429" s="73"/>
      <c r="H429" s="79"/>
      <c r="I429" s="79"/>
      <c r="J429" s="14"/>
      <c r="K429" s="38"/>
      <c r="L429" s="38"/>
      <c r="M429" s="17"/>
    </row>
    <row r="430" spans="2:13" ht="14.45" customHeight="1" x14ac:dyDescent="0.25">
      <c r="B430" s="17"/>
      <c r="C430" s="14"/>
      <c r="D430" s="14"/>
      <c r="E430" s="18"/>
      <c r="F430" s="61"/>
      <c r="G430" s="73"/>
      <c r="H430" s="79"/>
      <c r="I430" s="79"/>
      <c r="J430" s="14"/>
      <c r="K430" s="38"/>
      <c r="L430" s="38"/>
      <c r="M430" s="17"/>
    </row>
    <row r="431" spans="2:13" ht="14.45" customHeight="1" x14ac:dyDescent="0.25">
      <c r="B431" s="17"/>
      <c r="C431" s="14"/>
      <c r="D431" s="14"/>
      <c r="E431" s="18"/>
      <c r="F431" s="61"/>
      <c r="G431" s="73"/>
      <c r="H431" s="79"/>
      <c r="I431" s="79"/>
      <c r="J431" s="14"/>
      <c r="K431" s="38"/>
      <c r="L431" s="38"/>
      <c r="M431" s="17"/>
    </row>
    <row r="432" spans="2:13" ht="14.45" customHeight="1" x14ac:dyDescent="0.25">
      <c r="B432" s="17"/>
      <c r="C432" s="14"/>
      <c r="D432" s="14"/>
      <c r="E432" s="18"/>
      <c r="F432" s="61"/>
      <c r="G432" s="73"/>
      <c r="H432" s="79"/>
      <c r="I432" s="79"/>
      <c r="J432" s="14"/>
      <c r="K432" s="38"/>
      <c r="L432" s="38"/>
      <c r="M432" s="17"/>
    </row>
    <row r="433" spans="2:13" ht="14.45" customHeight="1" x14ac:dyDescent="0.25">
      <c r="B433" s="17"/>
      <c r="C433" s="14"/>
      <c r="D433" s="14"/>
      <c r="E433" s="18"/>
      <c r="F433" s="61"/>
      <c r="G433" s="73"/>
      <c r="H433" s="79"/>
      <c r="I433" s="79"/>
      <c r="J433" s="14"/>
      <c r="K433" s="38"/>
      <c r="L433" s="38"/>
      <c r="M433" s="17"/>
    </row>
    <row r="434" spans="2:13" ht="14.45" customHeight="1" x14ac:dyDescent="0.25">
      <c r="B434" s="17"/>
      <c r="C434" s="14"/>
      <c r="D434" s="14"/>
      <c r="E434" s="18"/>
      <c r="F434" s="61"/>
      <c r="G434" s="73"/>
      <c r="H434" s="79"/>
      <c r="I434" s="79"/>
      <c r="J434" s="14"/>
      <c r="K434" s="38"/>
      <c r="L434" s="38"/>
      <c r="M434" s="17"/>
    </row>
    <row r="435" spans="2:13" ht="14.45" customHeight="1" x14ac:dyDescent="0.25">
      <c r="B435" s="17"/>
      <c r="C435" s="14"/>
      <c r="D435" s="14"/>
      <c r="E435" s="18"/>
      <c r="F435" s="61"/>
      <c r="G435" s="73"/>
      <c r="H435" s="79"/>
      <c r="I435" s="79"/>
      <c r="J435" s="14"/>
      <c r="K435" s="38"/>
      <c r="L435" s="38"/>
      <c r="M435" s="17"/>
    </row>
    <row r="436" spans="2:13" ht="14.45" customHeight="1" x14ac:dyDescent="0.25">
      <c r="B436" s="17"/>
      <c r="C436" s="14"/>
      <c r="D436" s="14"/>
      <c r="E436" s="18"/>
      <c r="F436" s="61"/>
      <c r="G436" s="73"/>
      <c r="H436" s="79"/>
      <c r="I436" s="79"/>
      <c r="J436" s="14"/>
      <c r="K436" s="38"/>
      <c r="L436" s="38"/>
      <c r="M436" s="17"/>
    </row>
    <row r="437" spans="2:13" ht="14.45" customHeight="1" x14ac:dyDescent="0.25">
      <c r="B437" s="17"/>
      <c r="C437" s="14"/>
      <c r="D437" s="14"/>
      <c r="E437" s="18"/>
      <c r="F437" s="61"/>
      <c r="G437" s="73"/>
      <c r="H437" s="79"/>
      <c r="I437" s="79"/>
      <c r="J437" s="14"/>
      <c r="K437" s="38"/>
      <c r="L437" s="38"/>
      <c r="M437" s="17"/>
    </row>
    <row r="438" spans="2:13" ht="14.45" customHeight="1" x14ac:dyDescent="0.25">
      <c r="B438" s="17"/>
      <c r="C438" s="14"/>
      <c r="D438" s="14"/>
      <c r="E438" s="18"/>
      <c r="F438" s="61"/>
      <c r="G438" s="73"/>
      <c r="H438" s="79"/>
      <c r="I438" s="79"/>
      <c r="J438" s="14"/>
      <c r="K438" s="38"/>
      <c r="L438" s="38"/>
      <c r="M438" s="17"/>
    </row>
    <row r="439" spans="2:13" ht="14.45" customHeight="1" x14ac:dyDescent="0.25">
      <c r="B439" s="17"/>
      <c r="C439" s="14"/>
      <c r="D439" s="14"/>
      <c r="E439" s="18"/>
      <c r="F439" s="61"/>
      <c r="G439" s="73"/>
      <c r="H439" s="79"/>
      <c r="I439" s="79"/>
      <c r="J439" s="14"/>
      <c r="K439" s="38"/>
      <c r="L439" s="38"/>
      <c r="M439" s="17"/>
    </row>
    <row r="440" spans="2:13" ht="14.45" customHeight="1" x14ac:dyDescent="0.25">
      <c r="B440" s="17"/>
      <c r="C440" s="14"/>
      <c r="D440" s="14"/>
      <c r="E440" s="18"/>
      <c r="F440" s="61"/>
      <c r="G440" s="73"/>
      <c r="H440" s="79"/>
      <c r="I440" s="79"/>
      <c r="J440" s="14"/>
      <c r="K440" s="38"/>
      <c r="L440" s="38"/>
      <c r="M440" s="17"/>
    </row>
    <row r="441" spans="2:13" ht="14.45" customHeight="1" x14ac:dyDescent="0.25">
      <c r="B441" s="17"/>
      <c r="C441" s="14"/>
      <c r="D441" s="14"/>
      <c r="E441" s="18"/>
      <c r="F441" s="61"/>
      <c r="G441" s="73"/>
      <c r="H441" s="79"/>
      <c r="I441" s="79"/>
      <c r="J441" s="14"/>
      <c r="K441" s="38"/>
      <c r="L441" s="38"/>
      <c r="M441" s="17"/>
    </row>
    <row r="442" spans="2:13" ht="14.45" customHeight="1" x14ac:dyDescent="0.25">
      <c r="B442" s="17"/>
      <c r="C442" s="14"/>
      <c r="D442" s="14"/>
      <c r="E442" s="18"/>
      <c r="F442" s="61"/>
      <c r="G442" s="73"/>
      <c r="H442" s="79"/>
      <c r="I442" s="79"/>
      <c r="J442" s="14"/>
      <c r="K442" s="38"/>
      <c r="L442" s="38"/>
      <c r="M442" s="17"/>
    </row>
    <row r="443" spans="2:13" ht="14.45" customHeight="1" x14ac:dyDescent="0.25">
      <c r="B443" s="17"/>
      <c r="C443" s="14"/>
      <c r="D443" s="14"/>
      <c r="E443" s="18"/>
      <c r="F443" s="61"/>
      <c r="G443" s="73"/>
      <c r="H443" s="79"/>
      <c r="I443" s="79"/>
      <c r="J443" s="14"/>
      <c r="K443" s="38"/>
      <c r="L443" s="38"/>
      <c r="M443" s="17"/>
    </row>
    <row r="444" spans="2:13" ht="14.45" customHeight="1" x14ac:dyDescent="0.25">
      <c r="B444" s="17"/>
      <c r="C444" s="14"/>
      <c r="D444" s="14"/>
      <c r="E444" s="18"/>
      <c r="F444" s="61"/>
      <c r="G444" s="73"/>
      <c r="H444" s="79"/>
      <c r="I444" s="79"/>
      <c r="J444" s="14"/>
      <c r="K444" s="38"/>
      <c r="L444" s="38"/>
      <c r="M444" s="17"/>
    </row>
    <row r="445" spans="2:13" ht="14.45" customHeight="1" x14ac:dyDescent="0.25">
      <c r="B445" s="17"/>
      <c r="C445" s="14"/>
      <c r="D445" s="14"/>
      <c r="E445" s="18"/>
      <c r="F445" s="61"/>
      <c r="G445" s="73"/>
      <c r="H445" s="79"/>
      <c r="I445" s="79"/>
      <c r="J445" s="14"/>
      <c r="K445" s="38"/>
      <c r="L445" s="38"/>
      <c r="M445" s="17"/>
    </row>
    <row r="446" spans="2:13" ht="14.45" customHeight="1" x14ac:dyDescent="0.25">
      <c r="B446" s="17"/>
      <c r="C446" s="14"/>
      <c r="D446" s="14"/>
      <c r="E446" s="18"/>
      <c r="F446" s="61"/>
      <c r="G446" s="73"/>
      <c r="H446" s="79"/>
      <c r="I446" s="79"/>
      <c r="J446" s="14"/>
      <c r="K446" s="38"/>
      <c r="L446" s="38"/>
      <c r="M446" s="17"/>
    </row>
    <row r="447" spans="2:13" ht="14.45" customHeight="1" x14ac:dyDescent="0.25">
      <c r="B447" s="17"/>
      <c r="C447" s="14"/>
      <c r="D447" s="14"/>
      <c r="E447" s="18"/>
      <c r="F447" s="61"/>
      <c r="G447" s="73"/>
      <c r="H447" s="79"/>
      <c r="I447" s="79"/>
      <c r="J447" s="14"/>
      <c r="K447" s="38"/>
      <c r="L447" s="38"/>
      <c r="M447" s="17"/>
    </row>
    <row r="448" spans="2:13" ht="14.45" customHeight="1" x14ac:dyDescent="0.25">
      <c r="B448" s="17"/>
      <c r="C448" s="14"/>
      <c r="D448" s="14"/>
      <c r="E448" s="18"/>
      <c r="F448" s="61"/>
      <c r="G448" s="73"/>
      <c r="H448" s="79"/>
      <c r="I448" s="79"/>
      <c r="J448" s="14"/>
      <c r="K448" s="38"/>
      <c r="L448" s="38"/>
      <c r="M448" s="17"/>
    </row>
    <row r="449" spans="2:13" ht="14.45" customHeight="1" x14ac:dyDescent="0.25">
      <c r="B449" s="17"/>
      <c r="C449" s="14"/>
      <c r="D449" s="14"/>
      <c r="E449" s="18"/>
      <c r="F449" s="61"/>
      <c r="G449" s="73"/>
      <c r="H449" s="79"/>
      <c r="I449" s="79"/>
      <c r="J449" s="14"/>
      <c r="K449" s="38"/>
      <c r="L449" s="38"/>
      <c r="M449" s="17"/>
    </row>
    <row r="450" spans="2:13" ht="14.45" customHeight="1" x14ac:dyDescent="0.25">
      <c r="B450" s="17"/>
      <c r="C450" s="14"/>
      <c r="D450" s="14"/>
      <c r="E450" s="18"/>
      <c r="F450" s="61"/>
      <c r="G450" s="73"/>
      <c r="H450" s="79"/>
      <c r="I450" s="79"/>
      <c r="J450" s="14"/>
      <c r="K450" s="38"/>
      <c r="L450" s="38"/>
      <c r="M450" s="17"/>
    </row>
    <row r="451" spans="2:13" ht="14.45" customHeight="1" x14ac:dyDescent="0.25">
      <c r="B451" s="17"/>
      <c r="C451" s="14"/>
      <c r="D451" s="14"/>
      <c r="E451" s="18"/>
      <c r="F451" s="61"/>
      <c r="G451" s="73"/>
      <c r="H451" s="79"/>
      <c r="I451" s="79"/>
      <c r="J451" s="14"/>
      <c r="K451" s="38"/>
      <c r="L451" s="38"/>
      <c r="M451" s="17"/>
    </row>
    <row r="452" spans="2:13" ht="14.45" customHeight="1" x14ac:dyDescent="0.25">
      <c r="B452" s="17"/>
      <c r="C452" s="14"/>
      <c r="D452" s="14"/>
      <c r="E452" s="18"/>
      <c r="F452" s="61"/>
      <c r="G452" s="73"/>
      <c r="H452" s="79"/>
      <c r="I452" s="79"/>
      <c r="J452" s="14"/>
      <c r="K452" s="38"/>
      <c r="L452" s="38"/>
      <c r="M452" s="17"/>
    </row>
    <row r="453" spans="2:13" ht="14.45" customHeight="1" x14ac:dyDescent="0.25">
      <c r="B453" s="17"/>
      <c r="C453" s="14"/>
      <c r="D453" s="14"/>
      <c r="E453" s="18"/>
      <c r="F453" s="61"/>
      <c r="G453" s="73"/>
      <c r="H453" s="79"/>
      <c r="I453" s="79"/>
      <c r="J453" s="14"/>
      <c r="K453" s="38"/>
      <c r="L453" s="38"/>
      <c r="M453" s="17"/>
    </row>
    <row r="454" spans="2:13" ht="14.45" customHeight="1" x14ac:dyDescent="0.25">
      <c r="B454" s="17"/>
      <c r="C454" s="14"/>
      <c r="D454" s="14"/>
      <c r="E454" s="18"/>
      <c r="F454" s="61"/>
      <c r="G454" s="73"/>
      <c r="H454" s="79"/>
      <c r="I454" s="79"/>
      <c r="J454" s="14"/>
      <c r="K454" s="38"/>
      <c r="L454" s="38"/>
      <c r="M454" s="17"/>
    </row>
    <row r="455" spans="2:13" ht="14.45" customHeight="1" x14ac:dyDescent="0.25">
      <c r="B455" s="17"/>
      <c r="C455" s="14"/>
      <c r="D455" s="14"/>
      <c r="E455" s="18"/>
      <c r="F455" s="61"/>
      <c r="G455" s="73"/>
      <c r="H455" s="79"/>
      <c r="I455" s="79"/>
      <c r="J455" s="14"/>
      <c r="K455" s="38"/>
      <c r="L455" s="38"/>
      <c r="M455" s="17"/>
    </row>
    <row r="456" spans="2:13" ht="14.45" customHeight="1" x14ac:dyDescent="0.25">
      <c r="B456" s="17"/>
      <c r="C456" s="14"/>
      <c r="D456" s="14"/>
      <c r="E456" s="18"/>
      <c r="F456" s="61"/>
      <c r="G456" s="73"/>
      <c r="H456" s="79"/>
      <c r="I456" s="79"/>
      <c r="J456" s="14"/>
      <c r="K456" s="38"/>
      <c r="L456" s="38"/>
      <c r="M456" s="17"/>
    </row>
    <row r="457" spans="2:13" ht="14.45" customHeight="1" x14ac:dyDescent="0.25">
      <c r="B457" s="17"/>
      <c r="C457" s="14"/>
      <c r="D457" s="14"/>
      <c r="E457" s="18"/>
      <c r="F457" s="61"/>
      <c r="G457" s="73"/>
      <c r="H457" s="79"/>
      <c r="I457" s="79"/>
      <c r="J457" s="14"/>
      <c r="K457" s="38"/>
      <c r="L457" s="38"/>
      <c r="M457" s="17"/>
    </row>
    <row r="458" spans="2:13" ht="14.45" customHeight="1" x14ac:dyDescent="0.25">
      <c r="B458" s="17"/>
      <c r="C458" s="14"/>
      <c r="D458" s="14"/>
      <c r="E458" s="18"/>
      <c r="F458" s="61"/>
      <c r="G458" s="73"/>
      <c r="H458" s="79"/>
      <c r="I458" s="79"/>
      <c r="J458" s="14"/>
      <c r="K458" s="38"/>
      <c r="L458" s="38"/>
      <c r="M458" s="17"/>
    </row>
    <row r="459" spans="2:13" ht="14.45" customHeight="1" x14ac:dyDescent="0.25">
      <c r="B459" s="17"/>
      <c r="C459" s="14"/>
      <c r="D459" s="14"/>
      <c r="E459" s="18"/>
      <c r="F459" s="61"/>
      <c r="G459" s="73"/>
      <c r="H459" s="79"/>
      <c r="I459" s="79"/>
      <c r="J459" s="14"/>
      <c r="K459" s="38"/>
      <c r="L459" s="38"/>
      <c r="M459" s="17"/>
    </row>
    <row r="460" spans="2:13" ht="14.45" customHeight="1" x14ac:dyDescent="0.25">
      <c r="B460" s="17"/>
      <c r="C460" s="14"/>
      <c r="D460" s="14"/>
      <c r="E460" s="18"/>
      <c r="F460" s="61"/>
      <c r="G460" s="73"/>
      <c r="H460" s="79"/>
      <c r="I460" s="79"/>
      <c r="J460" s="14"/>
      <c r="K460" s="38"/>
      <c r="L460" s="38"/>
      <c r="M460" s="17"/>
    </row>
    <row r="461" spans="2:13" ht="14.45" customHeight="1" x14ac:dyDescent="0.25">
      <c r="B461" s="17"/>
      <c r="C461" s="14"/>
      <c r="D461" s="14"/>
      <c r="E461" s="18"/>
      <c r="F461" s="61"/>
      <c r="G461" s="73"/>
      <c r="H461" s="79"/>
      <c r="I461" s="79"/>
      <c r="J461" s="14"/>
      <c r="K461" s="38"/>
      <c r="L461" s="38"/>
      <c r="M461" s="17"/>
    </row>
    <row r="462" spans="2:13" ht="14.45" customHeight="1" x14ac:dyDescent="0.25">
      <c r="B462" s="17"/>
      <c r="C462" s="14"/>
      <c r="D462" s="14"/>
      <c r="E462" s="18"/>
      <c r="F462" s="61"/>
      <c r="G462" s="73"/>
      <c r="H462" s="79"/>
      <c r="I462" s="79"/>
      <c r="J462" s="14"/>
      <c r="K462" s="38"/>
      <c r="L462" s="38"/>
      <c r="M462" s="17"/>
    </row>
    <row r="463" spans="2:13" ht="14.45" customHeight="1" x14ac:dyDescent="0.25">
      <c r="B463" s="17"/>
      <c r="C463" s="14"/>
      <c r="D463" s="14"/>
      <c r="E463" s="18"/>
      <c r="F463" s="61"/>
      <c r="G463" s="73"/>
      <c r="H463" s="79"/>
      <c r="I463" s="79"/>
      <c r="J463" s="14"/>
      <c r="K463" s="38"/>
      <c r="L463" s="38"/>
      <c r="M463" s="17"/>
    </row>
    <row r="464" spans="2:13" ht="14.45" customHeight="1" x14ac:dyDescent="0.25">
      <c r="B464" s="17"/>
      <c r="C464" s="14"/>
      <c r="D464" s="14"/>
      <c r="E464" s="18"/>
      <c r="F464" s="61"/>
      <c r="G464" s="73"/>
      <c r="H464" s="79"/>
      <c r="I464" s="79"/>
      <c r="J464" s="14"/>
      <c r="K464" s="38"/>
      <c r="L464" s="38"/>
      <c r="M464" s="17"/>
    </row>
    <row r="465" spans="2:13" ht="14.45" customHeight="1" x14ac:dyDescent="0.25">
      <c r="B465" s="17"/>
      <c r="C465" s="14"/>
      <c r="D465" s="14"/>
      <c r="E465" s="18"/>
      <c r="F465" s="61"/>
      <c r="G465" s="73"/>
      <c r="H465" s="79"/>
      <c r="I465" s="79"/>
      <c r="J465" s="14"/>
      <c r="K465" s="38"/>
      <c r="L465" s="38"/>
      <c r="M465" s="17"/>
    </row>
    <row r="466" spans="2:13" ht="14.45" customHeight="1" x14ac:dyDescent="0.25">
      <c r="B466" s="17"/>
      <c r="C466" s="14"/>
      <c r="D466" s="14"/>
      <c r="E466" s="18"/>
      <c r="F466" s="61"/>
      <c r="G466" s="73"/>
      <c r="H466" s="79"/>
      <c r="I466" s="79"/>
      <c r="J466" s="14"/>
      <c r="K466" s="38"/>
      <c r="L466" s="38"/>
      <c r="M466" s="17"/>
    </row>
    <row r="467" spans="2:13" ht="14.45" customHeight="1" x14ac:dyDescent="0.25">
      <c r="B467" s="17"/>
      <c r="C467" s="14"/>
      <c r="D467" s="14"/>
      <c r="E467" s="18"/>
      <c r="F467" s="61"/>
      <c r="G467" s="73"/>
      <c r="H467" s="79"/>
      <c r="I467" s="79"/>
      <c r="J467" s="14"/>
      <c r="K467" s="38"/>
      <c r="L467" s="38"/>
      <c r="M467" s="17"/>
    </row>
    <row r="468" spans="2:13" ht="14.45" customHeight="1" x14ac:dyDescent="0.25">
      <c r="B468" s="17"/>
      <c r="C468" s="14"/>
      <c r="D468" s="14"/>
      <c r="E468" s="18"/>
      <c r="F468" s="61"/>
      <c r="G468" s="73"/>
      <c r="H468" s="79"/>
      <c r="I468" s="79"/>
      <c r="J468" s="14"/>
      <c r="K468" s="38"/>
      <c r="L468" s="38"/>
      <c r="M468" s="17"/>
    </row>
    <row r="469" spans="2:13" ht="14.45" customHeight="1" x14ac:dyDescent="0.25">
      <c r="B469" s="17"/>
      <c r="C469" s="14"/>
      <c r="D469" s="14"/>
      <c r="E469" s="18"/>
      <c r="F469" s="61"/>
      <c r="G469" s="73"/>
      <c r="H469" s="79"/>
      <c r="I469" s="79"/>
      <c r="J469" s="14"/>
      <c r="K469" s="38"/>
      <c r="L469" s="38"/>
      <c r="M469" s="17"/>
    </row>
    <row r="470" spans="2:13" ht="14.45" customHeight="1" x14ac:dyDescent="0.25">
      <c r="B470" s="17"/>
      <c r="C470" s="14"/>
      <c r="D470" s="14"/>
      <c r="E470" s="18"/>
      <c r="F470" s="61"/>
      <c r="G470" s="73"/>
      <c r="H470" s="79"/>
      <c r="I470" s="79"/>
      <c r="J470" s="14"/>
      <c r="K470" s="38"/>
      <c r="L470" s="38"/>
      <c r="M470" s="17"/>
    </row>
    <row r="471" spans="2:13" ht="14.45" customHeight="1" x14ac:dyDescent="0.25">
      <c r="B471" s="17"/>
      <c r="C471" s="14"/>
      <c r="D471" s="14"/>
      <c r="E471" s="18"/>
      <c r="F471" s="61"/>
      <c r="G471" s="73"/>
      <c r="H471" s="79"/>
      <c r="I471" s="79"/>
      <c r="J471" s="14"/>
      <c r="K471" s="38"/>
      <c r="L471" s="38"/>
      <c r="M471" s="17"/>
    </row>
    <row r="472" spans="2:13" ht="14.45" customHeight="1" x14ac:dyDescent="0.25">
      <c r="B472" s="17"/>
      <c r="C472" s="14"/>
      <c r="D472" s="14"/>
      <c r="E472" s="18"/>
      <c r="F472" s="61"/>
      <c r="G472" s="73"/>
      <c r="H472" s="79"/>
      <c r="I472" s="79"/>
      <c r="J472" s="14"/>
      <c r="K472" s="38"/>
      <c r="L472" s="38"/>
      <c r="M472" s="17"/>
    </row>
    <row r="473" spans="2:13" ht="14.45" customHeight="1" x14ac:dyDescent="0.25">
      <c r="B473" s="17"/>
      <c r="C473" s="14"/>
      <c r="D473" s="14"/>
      <c r="E473" s="18"/>
      <c r="F473" s="61"/>
      <c r="G473" s="73"/>
      <c r="H473" s="79"/>
      <c r="I473" s="79"/>
      <c r="J473" s="14"/>
      <c r="K473" s="38"/>
      <c r="L473" s="38"/>
      <c r="M473" s="17"/>
    </row>
    <row r="474" spans="2:13" ht="14.45" customHeight="1" x14ac:dyDescent="0.25">
      <c r="B474" s="17"/>
      <c r="C474" s="14"/>
      <c r="D474" s="14"/>
      <c r="E474" s="18"/>
      <c r="F474" s="61"/>
      <c r="G474" s="73"/>
      <c r="H474" s="79"/>
      <c r="I474" s="79"/>
      <c r="J474" s="14"/>
      <c r="K474" s="38"/>
      <c r="L474" s="38"/>
      <c r="M474" s="17"/>
    </row>
    <row r="475" spans="2:13" ht="14.45" customHeight="1" x14ac:dyDescent="0.25">
      <c r="B475" s="17"/>
      <c r="C475" s="14"/>
      <c r="D475" s="14"/>
      <c r="E475" s="18"/>
      <c r="F475" s="61"/>
      <c r="G475" s="73"/>
      <c r="H475" s="79"/>
      <c r="I475" s="79"/>
      <c r="J475" s="14"/>
      <c r="K475" s="38"/>
      <c r="L475" s="38"/>
      <c r="M475" s="17"/>
    </row>
    <row r="476" spans="2:13" ht="14.45" customHeight="1" x14ac:dyDescent="0.25">
      <c r="B476" s="17"/>
      <c r="C476" s="14"/>
      <c r="D476" s="14"/>
      <c r="E476" s="18"/>
      <c r="F476" s="61"/>
      <c r="G476" s="73"/>
      <c r="H476" s="79"/>
      <c r="I476" s="79"/>
      <c r="J476" s="14"/>
      <c r="K476" s="38"/>
      <c r="L476" s="38"/>
      <c r="M476" s="17"/>
    </row>
    <row r="477" spans="2:13" ht="14.45" customHeight="1" x14ac:dyDescent="0.25">
      <c r="B477" s="17"/>
      <c r="C477" s="14"/>
      <c r="D477" s="14"/>
      <c r="E477" s="18"/>
      <c r="F477" s="61"/>
      <c r="G477" s="73"/>
      <c r="H477" s="79"/>
      <c r="I477" s="79"/>
      <c r="J477" s="14"/>
      <c r="K477" s="38"/>
      <c r="L477" s="38"/>
      <c r="M477" s="17"/>
    </row>
    <row r="478" spans="2:13" ht="14.45" customHeight="1" x14ac:dyDescent="0.25">
      <c r="B478" s="17"/>
      <c r="C478" s="14"/>
      <c r="D478" s="14"/>
      <c r="E478" s="18"/>
      <c r="F478" s="61"/>
      <c r="G478" s="73"/>
      <c r="H478" s="79"/>
      <c r="I478" s="79"/>
      <c r="J478" s="14"/>
      <c r="K478" s="38"/>
      <c r="L478" s="38"/>
      <c r="M478" s="17"/>
    </row>
    <row r="479" spans="2:13" ht="14.45" customHeight="1" x14ac:dyDescent="0.25">
      <c r="B479" s="17"/>
      <c r="C479" s="14"/>
      <c r="D479" s="14"/>
      <c r="E479" s="18"/>
      <c r="F479" s="61"/>
      <c r="G479" s="73"/>
      <c r="H479" s="79"/>
      <c r="I479" s="79"/>
      <c r="J479" s="14"/>
      <c r="K479" s="38"/>
      <c r="L479" s="38"/>
      <c r="M479" s="17"/>
    </row>
    <row r="480" spans="2:13" ht="14.45" customHeight="1" x14ac:dyDescent="0.25">
      <c r="B480" s="17"/>
      <c r="C480" s="14"/>
      <c r="D480" s="14"/>
      <c r="E480" s="18"/>
      <c r="F480" s="61"/>
      <c r="G480" s="73"/>
      <c r="H480" s="79"/>
      <c r="I480" s="79"/>
      <c r="J480" s="14"/>
      <c r="K480" s="38"/>
      <c r="L480" s="38"/>
      <c r="M480" s="17"/>
    </row>
    <row r="481" spans="2:13" ht="14.45" customHeight="1" x14ac:dyDescent="0.25">
      <c r="B481" s="17"/>
      <c r="C481" s="14"/>
      <c r="D481" s="14"/>
      <c r="E481" s="18"/>
      <c r="F481" s="61"/>
      <c r="G481" s="73"/>
      <c r="H481" s="79"/>
      <c r="I481" s="79"/>
      <c r="J481" s="14"/>
      <c r="K481" s="38"/>
      <c r="L481" s="38"/>
      <c r="M481" s="17"/>
    </row>
    <row r="482" spans="2:13" ht="14.45" customHeight="1" x14ac:dyDescent="0.25">
      <c r="B482" s="17"/>
      <c r="C482" s="14"/>
      <c r="D482" s="14"/>
      <c r="E482" s="18"/>
      <c r="F482" s="61"/>
      <c r="G482" s="73"/>
      <c r="H482" s="79"/>
      <c r="I482" s="79"/>
      <c r="J482" s="14"/>
      <c r="K482" s="38"/>
      <c r="L482" s="38"/>
      <c r="M482" s="17"/>
    </row>
    <row r="483" spans="2:13" ht="14.45" customHeight="1" x14ac:dyDescent="0.25">
      <c r="B483" s="17"/>
      <c r="C483" s="14"/>
      <c r="D483" s="14"/>
      <c r="E483" s="18"/>
      <c r="F483" s="61"/>
      <c r="G483" s="73"/>
      <c r="H483" s="79"/>
      <c r="I483" s="79"/>
      <c r="J483" s="14"/>
      <c r="K483" s="38"/>
      <c r="L483" s="38"/>
      <c r="M483" s="17"/>
    </row>
    <row r="484" spans="2:13" ht="14.45" customHeight="1" x14ac:dyDescent="0.25">
      <c r="B484" s="17"/>
      <c r="C484" s="14"/>
      <c r="D484" s="14"/>
      <c r="E484" s="18"/>
      <c r="F484" s="61"/>
      <c r="G484" s="73"/>
      <c r="H484" s="79"/>
      <c r="I484" s="79"/>
      <c r="J484" s="14"/>
      <c r="K484" s="38"/>
      <c r="L484" s="38"/>
      <c r="M484" s="17"/>
    </row>
    <row r="485" spans="2:13" ht="14.45" customHeight="1" x14ac:dyDescent="0.25">
      <c r="B485" s="17"/>
      <c r="C485" s="14"/>
      <c r="D485" s="14"/>
      <c r="E485" s="18"/>
      <c r="F485" s="61"/>
      <c r="G485" s="73"/>
      <c r="H485" s="79"/>
      <c r="I485" s="79"/>
      <c r="J485" s="14"/>
      <c r="K485" s="38"/>
      <c r="L485" s="38"/>
      <c r="M485" s="17"/>
    </row>
    <row r="486" spans="2:13" ht="14.45" customHeight="1" x14ac:dyDescent="0.25">
      <c r="B486" s="17"/>
      <c r="C486" s="14"/>
      <c r="D486" s="14"/>
      <c r="E486" s="18"/>
      <c r="F486" s="61"/>
      <c r="G486" s="73"/>
      <c r="H486" s="79"/>
      <c r="I486" s="79"/>
      <c r="J486" s="14"/>
      <c r="K486" s="38"/>
      <c r="L486" s="38"/>
      <c r="M486" s="17"/>
    </row>
    <row r="487" spans="2:13" ht="14.45" customHeight="1" x14ac:dyDescent="0.25">
      <c r="B487" s="17"/>
      <c r="C487" s="14"/>
      <c r="D487" s="14"/>
      <c r="E487" s="18"/>
      <c r="F487" s="61"/>
      <c r="G487" s="73"/>
      <c r="H487" s="79"/>
      <c r="I487" s="79"/>
      <c r="J487" s="14"/>
      <c r="K487" s="38"/>
      <c r="L487" s="38"/>
      <c r="M487" s="17"/>
    </row>
    <row r="488" spans="2:13" ht="14.45" customHeight="1" x14ac:dyDescent="0.25">
      <c r="B488" s="17"/>
      <c r="C488" s="14"/>
      <c r="D488" s="14"/>
      <c r="E488" s="18"/>
      <c r="F488" s="61"/>
      <c r="G488" s="73"/>
      <c r="H488" s="79"/>
      <c r="I488" s="79"/>
      <c r="J488" s="14"/>
      <c r="K488" s="38"/>
      <c r="L488" s="38"/>
      <c r="M488" s="17"/>
    </row>
    <row r="489" spans="2:13" ht="14.45" customHeight="1" x14ac:dyDescent="0.25">
      <c r="B489" s="17"/>
      <c r="C489" s="14"/>
      <c r="D489" s="14"/>
      <c r="E489" s="18"/>
      <c r="F489" s="61"/>
      <c r="G489" s="73"/>
      <c r="H489" s="79"/>
      <c r="I489" s="79"/>
      <c r="J489" s="14"/>
      <c r="K489" s="38"/>
      <c r="L489" s="38"/>
      <c r="M489" s="17"/>
    </row>
    <row r="490" spans="2:13" ht="14.45" customHeight="1" x14ac:dyDescent="0.25">
      <c r="B490" s="17"/>
      <c r="C490" s="14"/>
      <c r="D490" s="14"/>
      <c r="E490" s="18"/>
      <c r="F490" s="61"/>
      <c r="G490" s="73"/>
      <c r="H490" s="79"/>
      <c r="I490" s="79"/>
      <c r="J490" s="14"/>
      <c r="K490" s="38"/>
      <c r="L490" s="38"/>
      <c r="M490" s="17"/>
    </row>
    <row r="491" spans="2:13" ht="14.45" customHeight="1" x14ac:dyDescent="0.25">
      <c r="B491" s="17"/>
      <c r="C491" s="14"/>
      <c r="D491" s="14"/>
      <c r="E491" s="18"/>
      <c r="F491" s="61"/>
      <c r="G491" s="73"/>
      <c r="H491" s="79"/>
      <c r="I491" s="79"/>
      <c r="J491" s="14"/>
      <c r="K491" s="38"/>
      <c r="L491" s="38"/>
      <c r="M491" s="17"/>
    </row>
    <row r="492" spans="2:13" ht="14.45" customHeight="1" x14ac:dyDescent="0.25">
      <c r="B492" s="17"/>
      <c r="C492" s="14"/>
      <c r="D492" s="14"/>
      <c r="E492" s="18"/>
      <c r="F492" s="61"/>
      <c r="G492" s="73"/>
      <c r="H492" s="79"/>
      <c r="I492" s="79"/>
      <c r="J492" s="14"/>
      <c r="K492" s="38"/>
      <c r="L492" s="38"/>
      <c r="M492" s="17"/>
    </row>
    <row r="493" spans="2:13" ht="14.45" customHeight="1" x14ac:dyDescent="0.25">
      <c r="B493" s="17"/>
      <c r="C493" s="14"/>
      <c r="D493" s="14"/>
      <c r="E493" s="18"/>
      <c r="F493" s="61"/>
      <c r="G493" s="73"/>
      <c r="H493" s="79"/>
      <c r="I493" s="79"/>
      <c r="J493" s="14"/>
      <c r="K493" s="38"/>
      <c r="L493" s="38"/>
      <c r="M493" s="17"/>
    </row>
    <row r="494" spans="2:13" ht="14.45" customHeight="1" x14ac:dyDescent="0.25">
      <c r="B494" s="17"/>
      <c r="C494" s="14"/>
      <c r="D494" s="14"/>
      <c r="E494" s="18"/>
      <c r="F494" s="61"/>
      <c r="G494" s="73"/>
      <c r="H494" s="79"/>
      <c r="I494" s="79"/>
      <c r="J494" s="14"/>
      <c r="K494" s="38"/>
      <c r="L494" s="38"/>
      <c r="M494" s="17"/>
    </row>
    <row r="495" spans="2:13" ht="14.45" customHeight="1" x14ac:dyDescent="0.25">
      <c r="B495" s="17"/>
      <c r="C495" s="14"/>
      <c r="D495" s="14"/>
      <c r="E495" s="18"/>
      <c r="F495" s="61"/>
      <c r="G495" s="73"/>
      <c r="H495" s="79"/>
      <c r="I495" s="79"/>
      <c r="J495" s="14"/>
      <c r="K495" s="38"/>
      <c r="L495" s="38"/>
      <c r="M495" s="17"/>
    </row>
    <row r="496" spans="2:13" ht="14.45" customHeight="1" x14ac:dyDescent="0.25">
      <c r="B496" s="17"/>
      <c r="C496" s="14"/>
      <c r="D496" s="14"/>
      <c r="E496" s="18"/>
      <c r="F496" s="61"/>
      <c r="G496" s="73"/>
      <c r="H496" s="79"/>
      <c r="I496" s="79"/>
      <c r="J496" s="14"/>
      <c r="K496" s="38"/>
      <c r="L496" s="38"/>
      <c r="M496" s="17"/>
    </row>
    <row r="497" spans="2:13" ht="14.45" customHeight="1" x14ac:dyDescent="0.25">
      <c r="B497" s="17"/>
      <c r="C497" s="14"/>
      <c r="D497" s="14"/>
      <c r="E497" s="18"/>
      <c r="F497" s="61"/>
      <c r="G497" s="73"/>
      <c r="H497" s="79"/>
      <c r="I497" s="79"/>
      <c r="J497" s="14"/>
      <c r="K497" s="38"/>
      <c r="L497" s="38"/>
      <c r="M497" s="17"/>
    </row>
    <row r="498" spans="2:13" ht="14.45" customHeight="1" x14ac:dyDescent="0.25">
      <c r="B498" s="17"/>
      <c r="C498" s="14"/>
      <c r="D498" s="14"/>
      <c r="E498" s="18"/>
      <c r="F498" s="61"/>
      <c r="G498" s="73"/>
      <c r="H498" s="79"/>
      <c r="I498" s="79"/>
      <c r="J498" s="14"/>
      <c r="K498" s="38"/>
      <c r="L498" s="38"/>
      <c r="M498" s="17"/>
    </row>
    <row r="499" spans="2:13" ht="14.45" customHeight="1" x14ac:dyDescent="0.25">
      <c r="B499" s="17"/>
      <c r="C499" s="14"/>
      <c r="D499" s="14"/>
      <c r="E499" s="18"/>
      <c r="F499" s="61"/>
      <c r="G499" s="73"/>
      <c r="H499" s="79"/>
      <c r="I499" s="79"/>
      <c r="J499" s="14"/>
      <c r="K499" s="38"/>
      <c r="L499" s="38"/>
      <c r="M499" s="17"/>
    </row>
    <row r="500" spans="2:13" ht="14.45" customHeight="1" x14ac:dyDescent="0.25">
      <c r="B500" s="17"/>
      <c r="C500" s="14"/>
      <c r="D500" s="14"/>
      <c r="E500" s="18"/>
      <c r="F500" s="61"/>
      <c r="G500" s="73"/>
      <c r="H500" s="79"/>
      <c r="I500" s="79"/>
      <c r="J500" s="14"/>
      <c r="K500" s="38"/>
      <c r="L500" s="38"/>
      <c r="M500" s="17"/>
    </row>
    <row r="501" spans="2:13" ht="14.45" customHeight="1" x14ac:dyDescent="0.25">
      <c r="B501" s="17"/>
      <c r="C501" s="14"/>
      <c r="D501" s="14"/>
      <c r="E501" s="18"/>
      <c r="F501" s="61"/>
      <c r="G501" s="73"/>
      <c r="H501" s="79"/>
      <c r="I501" s="79"/>
      <c r="J501" s="14"/>
      <c r="K501" s="38"/>
      <c r="L501" s="38"/>
      <c r="M501" s="17"/>
    </row>
    <row r="502" spans="2:13" ht="14.45" customHeight="1" x14ac:dyDescent="0.25">
      <c r="B502" s="17"/>
      <c r="C502" s="14"/>
      <c r="D502" s="14"/>
      <c r="E502" s="18"/>
      <c r="F502" s="61"/>
      <c r="G502" s="73"/>
      <c r="H502" s="79"/>
      <c r="I502" s="79"/>
      <c r="J502" s="14"/>
      <c r="K502" s="38"/>
      <c r="L502" s="38"/>
      <c r="M502" s="17"/>
    </row>
    <row r="503" spans="2:13" ht="14.45" customHeight="1" x14ac:dyDescent="0.25">
      <c r="B503" s="17"/>
      <c r="C503" s="14"/>
      <c r="D503" s="14"/>
      <c r="E503" s="18"/>
      <c r="F503" s="61"/>
      <c r="G503" s="73"/>
      <c r="H503" s="79"/>
      <c r="I503" s="79"/>
      <c r="J503" s="14"/>
      <c r="K503" s="38"/>
      <c r="L503" s="38"/>
      <c r="M503" s="17"/>
    </row>
    <row r="504" spans="2:13" ht="14.45" customHeight="1" x14ac:dyDescent="0.25">
      <c r="B504" s="17"/>
      <c r="C504" s="14"/>
      <c r="D504" s="14"/>
      <c r="E504" s="18"/>
      <c r="F504" s="61"/>
      <c r="G504" s="73"/>
      <c r="H504" s="79"/>
      <c r="I504" s="79"/>
      <c r="J504" s="14"/>
      <c r="K504" s="38"/>
      <c r="L504" s="38"/>
      <c r="M504" s="17"/>
    </row>
    <row r="505" spans="2:13" ht="14.45" customHeight="1" x14ac:dyDescent="0.25">
      <c r="B505" s="17"/>
      <c r="C505" s="14"/>
      <c r="D505" s="14"/>
      <c r="E505" s="18"/>
      <c r="F505" s="61"/>
      <c r="G505" s="73"/>
      <c r="H505" s="79"/>
      <c r="I505" s="79"/>
      <c r="J505" s="14"/>
      <c r="K505" s="38"/>
      <c r="L505" s="38"/>
      <c r="M505" s="17"/>
    </row>
    <row r="506" spans="2:13" ht="14.45" customHeight="1" x14ac:dyDescent="0.25">
      <c r="B506" s="17"/>
      <c r="C506" s="14"/>
      <c r="D506" s="14"/>
      <c r="E506" s="18"/>
      <c r="F506" s="61"/>
      <c r="G506" s="73"/>
      <c r="H506" s="79"/>
      <c r="I506" s="79"/>
      <c r="J506" s="14"/>
      <c r="K506" s="38"/>
      <c r="L506" s="38"/>
      <c r="M506" s="17"/>
    </row>
    <row r="507" spans="2:13" ht="14.45" customHeight="1" x14ac:dyDescent="0.25">
      <c r="B507" s="17"/>
      <c r="C507" s="14"/>
      <c r="D507" s="14"/>
      <c r="E507" s="18"/>
      <c r="F507" s="61"/>
      <c r="G507" s="73"/>
      <c r="H507" s="79"/>
      <c r="I507" s="79"/>
      <c r="J507" s="14"/>
      <c r="K507" s="38"/>
      <c r="L507" s="38"/>
      <c r="M507" s="17"/>
    </row>
    <row r="508" spans="2:13" ht="14.45" customHeight="1" x14ac:dyDescent="0.25">
      <c r="B508" s="17"/>
      <c r="C508" s="14"/>
      <c r="D508" s="14"/>
      <c r="E508" s="18"/>
      <c r="F508" s="61"/>
      <c r="G508" s="73"/>
      <c r="H508" s="79"/>
      <c r="I508" s="79"/>
      <c r="J508" s="14"/>
      <c r="K508" s="38"/>
      <c r="L508" s="38"/>
      <c r="M508" s="17"/>
    </row>
    <row r="509" spans="2:13" ht="14.45" customHeight="1" x14ac:dyDescent="0.25">
      <c r="B509" s="17"/>
      <c r="C509" s="14"/>
      <c r="D509" s="14"/>
      <c r="E509" s="18"/>
      <c r="F509" s="61"/>
      <c r="G509" s="73"/>
      <c r="H509" s="79"/>
      <c r="I509" s="79"/>
      <c r="J509" s="14"/>
      <c r="K509" s="38"/>
      <c r="L509" s="38"/>
      <c r="M509" s="17"/>
    </row>
    <row r="510" spans="2:13" ht="14.45" customHeight="1" x14ac:dyDescent="0.25">
      <c r="B510" s="17"/>
      <c r="C510" s="14"/>
      <c r="D510" s="14"/>
      <c r="E510" s="18"/>
      <c r="F510" s="61"/>
      <c r="G510" s="73"/>
      <c r="H510" s="79"/>
      <c r="I510" s="79"/>
      <c r="J510" s="14"/>
      <c r="K510" s="38"/>
      <c r="L510" s="38"/>
      <c r="M510" s="17"/>
    </row>
    <row r="511" spans="2:13" ht="14.45" customHeight="1" x14ac:dyDescent="0.25">
      <c r="B511" s="17"/>
      <c r="C511" s="14"/>
      <c r="D511" s="14"/>
      <c r="E511" s="18"/>
      <c r="F511" s="61"/>
      <c r="G511" s="73"/>
      <c r="H511" s="79"/>
      <c r="I511" s="79"/>
      <c r="J511" s="14"/>
      <c r="K511" s="38"/>
      <c r="L511" s="38"/>
      <c r="M511" s="17"/>
    </row>
    <row r="512" spans="2:13" ht="14.45" customHeight="1" x14ac:dyDescent="0.25">
      <c r="B512" s="17"/>
      <c r="C512" s="14"/>
      <c r="D512" s="14"/>
      <c r="E512" s="18"/>
      <c r="F512" s="61"/>
      <c r="G512" s="73"/>
      <c r="H512" s="79"/>
      <c r="I512" s="79"/>
      <c r="J512" s="14"/>
      <c r="K512" s="38"/>
      <c r="L512" s="38"/>
      <c r="M512" s="17"/>
    </row>
    <row r="513" spans="2:13" ht="14.45" customHeight="1" x14ac:dyDescent="0.25">
      <c r="B513" s="17"/>
      <c r="C513" s="14"/>
      <c r="D513" s="14"/>
      <c r="E513" s="18"/>
      <c r="F513" s="61"/>
      <c r="G513" s="73"/>
      <c r="H513" s="79"/>
      <c r="I513" s="79"/>
      <c r="J513" s="14"/>
      <c r="K513" s="38"/>
      <c r="L513" s="38"/>
      <c r="M513" s="17"/>
    </row>
    <row r="514" spans="2:13" ht="14.45" customHeight="1" x14ac:dyDescent="0.25">
      <c r="B514" s="17"/>
      <c r="C514" s="14"/>
      <c r="D514" s="14"/>
      <c r="E514" s="18"/>
      <c r="F514" s="61"/>
      <c r="G514" s="73"/>
      <c r="H514" s="79"/>
      <c r="I514" s="79"/>
      <c r="J514" s="14"/>
      <c r="K514" s="38"/>
      <c r="L514" s="38"/>
      <c r="M514" s="17"/>
    </row>
    <row r="515" spans="2:13" ht="14.45" customHeight="1" x14ac:dyDescent="0.25">
      <c r="B515" s="17"/>
      <c r="C515" s="14"/>
      <c r="D515" s="14"/>
      <c r="E515" s="18"/>
      <c r="F515" s="61"/>
      <c r="G515" s="73"/>
      <c r="H515" s="79"/>
      <c r="I515" s="79"/>
      <c r="J515" s="14"/>
      <c r="K515" s="38"/>
      <c r="L515" s="38"/>
      <c r="M515" s="17"/>
    </row>
    <row r="516" spans="2:13" ht="14.45" customHeight="1" x14ac:dyDescent="0.25">
      <c r="B516" s="17"/>
      <c r="C516" s="14"/>
      <c r="D516" s="14"/>
      <c r="E516" s="18"/>
      <c r="F516" s="61"/>
      <c r="G516" s="73"/>
      <c r="H516" s="79"/>
      <c r="I516" s="79"/>
      <c r="J516" s="14"/>
      <c r="K516" s="38"/>
      <c r="L516" s="38"/>
      <c r="M516" s="17"/>
    </row>
    <row r="517" spans="2:13" ht="14.45" customHeight="1" x14ac:dyDescent="0.25">
      <c r="B517" s="17"/>
      <c r="C517" s="14"/>
      <c r="D517" s="14"/>
      <c r="E517" s="18"/>
      <c r="F517" s="61"/>
      <c r="G517" s="73"/>
      <c r="H517" s="79"/>
      <c r="I517" s="79"/>
      <c r="J517" s="14"/>
      <c r="K517" s="38"/>
      <c r="L517" s="38"/>
      <c r="M517" s="17"/>
    </row>
    <row r="518" spans="2:13" ht="14.45" customHeight="1" x14ac:dyDescent="0.25">
      <c r="B518" s="17"/>
      <c r="C518" s="14"/>
      <c r="D518" s="14"/>
      <c r="E518" s="18"/>
      <c r="F518" s="61"/>
      <c r="G518" s="73"/>
      <c r="H518" s="79"/>
      <c r="I518" s="79"/>
      <c r="J518" s="14"/>
      <c r="K518" s="38"/>
      <c r="L518" s="38"/>
      <c r="M518" s="17"/>
    </row>
    <row r="519" spans="2:13" ht="14.45" customHeight="1" x14ac:dyDescent="0.25">
      <c r="B519" s="17"/>
      <c r="C519" s="14"/>
      <c r="D519" s="14"/>
      <c r="E519" s="18"/>
      <c r="F519" s="61"/>
      <c r="G519" s="73"/>
      <c r="H519" s="79"/>
      <c r="I519" s="79"/>
      <c r="J519" s="14"/>
      <c r="K519" s="38"/>
      <c r="L519" s="38"/>
      <c r="M519" s="17"/>
    </row>
    <row r="520" spans="2:13" ht="14.45" customHeight="1" x14ac:dyDescent="0.25">
      <c r="B520" s="17"/>
      <c r="C520" s="14"/>
      <c r="D520" s="14"/>
      <c r="E520" s="18"/>
      <c r="F520" s="61"/>
      <c r="G520" s="73"/>
      <c r="H520" s="79"/>
      <c r="I520" s="79"/>
      <c r="J520" s="14"/>
      <c r="K520" s="38"/>
      <c r="L520" s="38"/>
      <c r="M520" s="17"/>
    </row>
    <row r="521" spans="2:13" ht="14.45" customHeight="1" x14ac:dyDescent="0.25">
      <c r="B521" s="17"/>
      <c r="C521" s="14"/>
      <c r="D521" s="14"/>
      <c r="E521" s="18"/>
      <c r="F521" s="61"/>
      <c r="G521" s="73"/>
      <c r="H521" s="79"/>
      <c r="I521" s="79"/>
      <c r="J521" s="14"/>
      <c r="K521" s="38"/>
      <c r="L521" s="38"/>
      <c r="M521" s="17"/>
    </row>
    <row r="522" spans="2:13" ht="14.45" customHeight="1" x14ac:dyDescent="0.25">
      <c r="B522" s="17"/>
      <c r="C522" s="14"/>
      <c r="D522" s="14"/>
      <c r="E522" s="18"/>
      <c r="F522" s="61"/>
      <c r="G522" s="73"/>
      <c r="H522" s="79"/>
      <c r="I522" s="79"/>
      <c r="J522" s="14"/>
      <c r="K522" s="38"/>
      <c r="L522" s="38"/>
      <c r="M522" s="17"/>
    </row>
    <row r="523" spans="2:13" ht="14.45" customHeight="1" x14ac:dyDescent="0.25">
      <c r="B523" s="17"/>
      <c r="C523" s="14"/>
      <c r="D523" s="14"/>
      <c r="E523" s="18"/>
      <c r="F523" s="61"/>
      <c r="G523" s="73"/>
      <c r="H523" s="79"/>
      <c r="I523" s="79"/>
      <c r="J523" s="14"/>
      <c r="K523" s="38"/>
      <c r="L523" s="38"/>
      <c r="M523" s="17"/>
    </row>
    <row r="524" spans="2:13" ht="14.45" customHeight="1" x14ac:dyDescent="0.25">
      <c r="B524" s="17"/>
      <c r="C524" s="14"/>
      <c r="D524" s="14"/>
      <c r="E524" s="18"/>
      <c r="F524" s="61"/>
      <c r="G524" s="73"/>
      <c r="H524" s="79"/>
      <c r="I524" s="79"/>
      <c r="J524" s="14"/>
      <c r="K524" s="38"/>
      <c r="L524" s="38"/>
      <c r="M524" s="17"/>
    </row>
    <row r="525" spans="2:13" ht="14.45" customHeight="1" x14ac:dyDescent="0.25">
      <c r="B525" s="17"/>
      <c r="C525" s="14"/>
      <c r="D525" s="14"/>
      <c r="E525" s="18"/>
      <c r="F525" s="61"/>
      <c r="G525" s="73"/>
      <c r="H525" s="79"/>
      <c r="I525" s="79"/>
      <c r="J525" s="14"/>
      <c r="K525" s="38"/>
      <c r="L525" s="38"/>
      <c r="M525" s="17"/>
    </row>
    <row r="526" spans="2:13" ht="14.45" customHeight="1" x14ac:dyDescent="0.25">
      <c r="B526" s="17"/>
      <c r="C526" s="14"/>
      <c r="D526" s="14"/>
      <c r="E526" s="18"/>
      <c r="F526" s="61"/>
      <c r="G526" s="73"/>
      <c r="H526" s="79"/>
      <c r="I526" s="79"/>
      <c r="J526" s="14"/>
      <c r="K526" s="38"/>
      <c r="L526" s="38"/>
      <c r="M526" s="17"/>
    </row>
    <row r="527" spans="2:13" ht="14.45" customHeight="1" x14ac:dyDescent="0.25">
      <c r="B527" s="17"/>
      <c r="C527" s="14"/>
      <c r="D527" s="14"/>
      <c r="E527" s="18"/>
      <c r="F527" s="61"/>
      <c r="G527" s="73"/>
      <c r="H527" s="79"/>
      <c r="I527" s="79"/>
      <c r="J527" s="14"/>
      <c r="K527" s="38"/>
      <c r="L527" s="38"/>
      <c r="M527" s="17"/>
    </row>
    <row r="528" spans="2:13" ht="14.45" customHeight="1" x14ac:dyDescent="0.25">
      <c r="B528" s="17"/>
      <c r="C528" s="14"/>
      <c r="D528" s="14"/>
      <c r="E528" s="18"/>
      <c r="F528" s="61"/>
      <c r="G528" s="73"/>
      <c r="H528" s="79"/>
      <c r="I528" s="79"/>
      <c r="J528" s="14"/>
      <c r="K528" s="38"/>
      <c r="L528" s="38"/>
      <c r="M528" s="17"/>
    </row>
    <row r="529" spans="2:13" ht="14.45" customHeight="1" x14ac:dyDescent="0.25">
      <c r="B529" s="17"/>
      <c r="C529" s="14"/>
      <c r="D529" s="14"/>
      <c r="E529" s="18"/>
      <c r="F529" s="61"/>
      <c r="G529" s="73"/>
      <c r="H529" s="79"/>
      <c r="I529" s="79"/>
      <c r="J529" s="14"/>
      <c r="K529" s="38"/>
      <c r="L529" s="38"/>
      <c r="M529" s="17"/>
    </row>
    <row r="530" spans="2:13" ht="14.45" customHeight="1" x14ac:dyDescent="0.25">
      <c r="B530" s="17"/>
      <c r="C530" s="14"/>
      <c r="D530" s="14"/>
      <c r="E530" s="18"/>
      <c r="F530" s="61"/>
      <c r="G530" s="73"/>
      <c r="H530" s="79"/>
      <c r="I530" s="79"/>
      <c r="J530" s="14"/>
      <c r="K530" s="38"/>
      <c r="L530" s="38"/>
      <c r="M530" s="17"/>
    </row>
    <row r="531" spans="2:13" ht="14.45" customHeight="1" x14ac:dyDescent="0.25">
      <c r="B531" s="17"/>
      <c r="C531" s="14"/>
      <c r="D531" s="14"/>
      <c r="E531" s="18"/>
      <c r="F531" s="61"/>
      <c r="G531" s="73"/>
      <c r="H531" s="79"/>
      <c r="I531" s="79"/>
      <c r="J531" s="14"/>
      <c r="K531" s="38"/>
      <c r="L531" s="38"/>
      <c r="M531" s="17"/>
    </row>
    <row r="532" spans="2:13" ht="14.45" customHeight="1" x14ac:dyDescent="0.25">
      <c r="B532" s="17"/>
      <c r="C532" s="14"/>
      <c r="D532" s="14"/>
      <c r="E532" s="18"/>
      <c r="F532" s="61"/>
      <c r="G532" s="73"/>
      <c r="H532" s="79"/>
      <c r="I532" s="79"/>
      <c r="J532" s="14"/>
      <c r="K532" s="38"/>
      <c r="L532" s="38"/>
      <c r="M532" s="17"/>
    </row>
    <row r="533" spans="2:13" ht="14.45" customHeight="1" x14ac:dyDescent="0.25">
      <c r="B533" s="17"/>
      <c r="C533" s="14"/>
      <c r="D533" s="14"/>
      <c r="E533" s="18"/>
      <c r="F533" s="61"/>
      <c r="G533" s="73"/>
      <c r="H533" s="79"/>
      <c r="I533" s="79"/>
      <c r="J533" s="14"/>
      <c r="K533" s="38"/>
      <c r="L533" s="38"/>
      <c r="M533" s="17"/>
    </row>
    <row r="534" spans="2:13" ht="14.45" customHeight="1" x14ac:dyDescent="0.25">
      <c r="B534" s="17"/>
      <c r="C534" s="14"/>
      <c r="D534" s="14"/>
      <c r="E534" s="18"/>
      <c r="F534" s="61"/>
      <c r="G534" s="73"/>
      <c r="H534" s="79"/>
      <c r="I534" s="79"/>
      <c r="J534" s="14"/>
      <c r="K534" s="38"/>
      <c r="L534" s="38"/>
      <c r="M534" s="17"/>
    </row>
    <row r="535" spans="2:13" ht="14.45" customHeight="1" x14ac:dyDescent="0.25">
      <c r="B535" s="17"/>
      <c r="C535" s="14"/>
      <c r="D535" s="14"/>
      <c r="E535" s="18"/>
      <c r="F535" s="61"/>
      <c r="G535" s="73"/>
      <c r="H535" s="79"/>
      <c r="I535" s="79"/>
      <c r="J535" s="14"/>
      <c r="K535" s="38"/>
      <c r="L535" s="38"/>
      <c r="M535" s="17"/>
    </row>
    <row r="536" spans="2:13" ht="14.45" customHeight="1" x14ac:dyDescent="0.25">
      <c r="B536" s="17"/>
      <c r="C536" s="14"/>
      <c r="D536" s="14"/>
      <c r="E536" s="18"/>
      <c r="F536" s="61"/>
      <c r="G536" s="73"/>
      <c r="H536" s="79"/>
      <c r="I536" s="79"/>
      <c r="J536" s="14"/>
      <c r="K536" s="38"/>
      <c r="L536" s="38"/>
      <c r="M536" s="17"/>
    </row>
    <row r="537" spans="2:13" ht="14.45" customHeight="1" x14ac:dyDescent="0.25">
      <c r="B537" s="17"/>
      <c r="C537" s="14"/>
      <c r="D537" s="14"/>
      <c r="E537" s="18"/>
      <c r="F537" s="61"/>
      <c r="G537" s="73"/>
      <c r="H537" s="79"/>
      <c r="I537" s="79"/>
      <c r="J537" s="14"/>
      <c r="K537" s="38"/>
      <c r="L537" s="38"/>
      <c r="M537" s="17"/>
    </row>
    <row r="538" spans="2:13" ht="14.45" customHeight="1" x14ac:dyDescent="0.25">
      <c r="B538" s="17"/>
      <c r="C538" s="14"/>
      <c r="D538" s="14"/>
      <c r="E538" s="18"/>
      <c r="F538" s="61"/>
      <c r="G538" s="73"/>
      <c r="H538" s="79"/>
      <c r="I538" s="79"/>
      <c r="J538" s="14"/>
      <c r="K538" s="38"/>
      <c r="L538" s="38"/>
      <c r="M538" s="17"/>
    </row>
    <row r="539" spans="2:13" ht="14.45" customHeight="1" x14ac:dyDescent="0.25">
      <c r="B539" s="17"/>
      <c r="C539" s="14"/>
      <c r="D539" s="14"/>
      <c r="E539" s="18"/>
      <c r="F539" s="61"/>
      <c r="G539" s="73"/>
      <c r="H539" s="79"/>
      <c r="I539" s="79"/>
      <c r="J539" s="14"/>
      <c r="K539" s="38"/>
      <c r="L539" s="38"/>
      <c r="M539" s="17"/>
    </row>
    <row r="540" spans="2:13" ht="14.45" customHeight="1" x14ac:dyDescent="0.25">
      <c r="B540" s="17"/>
      <c r="C540" s="14"/>
      <c r="D540" s="14"/>
      <c r="E540" s="18"/>
      <c r="F540" s="61"/>
      <c r="G540" s="73"/>
      <c r="H540" s="79"/>
      <c r="I540" s="79"/>
      <c r="J540" s="14"/>
      <c r="K540" s="38"/>
      <c r="L540" s="38"/>
      <c r="M540" s="17"/>
    </row>
    <row r="541" spans="2:13" ht="14.45" customHeight="1" x14ac:dyDescent="0.25">
      <c r="B541" s="17"/>
      <c r="C541" s="14"/>
      <c r="D541" s="14"/>
      <c r="E541" s="18"/>
      <c r="F541" s="61"/>
      <c r="G541" s="73"/>
      <c r="H541" s="79"/>
      <c r="I541" s="79"/>
      <c r="J541" s="14"/>
      <c r="K541" s="38"/>
      <c r="L541" s="38"/>
      <c r="M541" s="17"/>
    </row>
    <row r="542" spans="2:13" ht="14.45" customHeight="1" x14ac:dyDescent="0.25">
      <c r="B542" s="17"/>
      <c r="C542" s="14"/>
      <c r="D542" s="14"/>
      <c r="E542" s="18"/>
      <c r="F542" s="61"/>
      <c r="G542" s="73"/>
      <c r="H542" s="79"/>
      <c r="I542" s="79"/>
      <c r="J542" s="14"/>
      <c r="K542" s="38"/>
      <c r="L542" s="38"/>
      <c r="M542" s="17"/>
    </row>
    <row r="543" spans="2:13" ht="14.45" customHeight="1" x14ac:dyDescent="0.25">
      <c r="B543" s="17"/>
      <c r="C543" s="14"/>
      <c r="D543" s="14"/>
      <c r="E543" s="18"/>
      <c r="F543" s="61"/>
      <c r="G543" s="73"/>
      <c r="H543" s="79"/>
      <c r="I543" s="79"/>
      <c r="J543" s="14"/>
      <c r="K543" s="38"/>
      <c r="L543" s="38"/>
      <c r="M543" s="17"/>
    </row>
    <row r="544" spans="2:13" ht="14.45" customHeight="1" x14ac:dyDescent="0.25">
      <c r="B544" s="17"/>
      <c r="C544" s="14"/>
      <c r="D544" s="14"/>
      <c r="E544" s="18"/>
      <c r="F544" s="61"/>
      <c r="G544" s="73"/>
      <c r="H544" s="79"/>
      <c r="I544" s="79"/>
      <c r="J544" s="14"/>
      <c r="K544" s="38"/>
      <c r="L544" s="38"/>
      <c r="M544" s="17"/>
    </row>
    <row r="545" spans="2:13" ht="14.45" customHeight="1" x14ac:dyDescent="0.25">
      <c r="B545" s="17"/>
      <c r="C545" s="14"/>
      <c r="D545" s="14"/>
      <c r="E545" s="18"/>
      <c r="F545" s="61"/>
      <c r="G545" s="73"/>
      <c r="H545" s="79"/>
      <c r="I545" s="79"/>
      <c r="J545" s="14"/>
      <c r="K545" s="38"/>
      <c r="L545" s="38"/>
      <c r="M545" s="17"/>
    </row>
    <row r="546" spans="2:13" ht="14.45" customHeight="1" x14ac:dyDescent="0.25">
      <c r="B546" s="17"/>
      <c r="C546" s="14"/>
      <c r="D546" s="14"/>
      <c r="E546" s="18"/>
      <c r="F546" s="61"/>
      <c r="G546" s="73"/>
      <c r="H546" s="79"/>
      <c r="I546" s="79"/>
      <c r="J546" s="14"/>
      <c r="K546" s="38"/>
      <c r="L546" s="38"/>
      <c r="M546" s="17"/>
    </row>
    <row r="547" spans="2:13" ht="14.45" customHeight="1" x14ac:dyDescent="0.25">
      <c r="B547" s="17"/>
      <c r="C547" s="14"/>
      <c r="D547" s="14"/>
      <c r="E547" s="18"/>
      <c r="F547" s="61"/>
      <c r="G547" s="73"/>
      <c r="H547" s="79"/>
      <c r="I547" s="79"/>
      <c r="J547" s="14"/>
      <c r="K547" s="38"/>
      <c r="L547" s="38"/>
      <c r="M547" s="17"/>
    </row>
    <row r="548" spans="2:13" ht="14.45" customHeight="1" x14ac:dyDescent="0.25">
      <c r="B548" s="17"/>
      <c r="C548" s="14"/>
      <c r="D548" s="14"/>
      <c r="E548" s="18"/>
      <c r="F548" s="61"/>
      <c r="G548" s="73"/>
      <c r="H548" s="79"/>
      <c r="I548" s="79"/>
      <c r="J548" s="14"/>
      <c r="K548" s="38"/>
      <c r="L548" s="38"/>
      <c r="M548" s="17"/>
    </row>
    <row r="549" spans="2:13" ht="14.45" customHeight="1" x14ac:dyDescent="0.25">
      <c r="B549" s="17"/>
      <c r="C549" s="14"/>
      <c r="D549" s="14"/>
      <c r="E549" s="18"/>
      <c r="F549" s="61"/>
      <c r="G549" s="73"/>
      <c r="H549" s="79"/>
      <c r="I549" s="79"/>
      <c r="J549" s="14"/>
      <c r="K549" s="38"/>
      <c r="L549" s="38"/>
      <c r="M549" s="17"/>
    </row>
    <row r="550" spans="2:13" ht="14.45" customHeight="1" x14ac:dyDescent="0.25">
      <c r="B550" s="17"/>
      <c r="C550" s="14"/>
      <c r="D550" s="14"/>
      <c r="E550" s="18"/>
      <c r="F550" s="61"/>
      <c r="G550" s="73"/>
      <c r="H550" s="79"/>
      <c r="I550" s="79"/>
      <c r="J550" s="14"/>
      <c r="K550" s="38"/>
      <c r="L550" s="38"/>
      <c r="M550" s="17"/>
    </row>
    <row r="551" spans="2:13" ht="14.45" customHeight="1" x14ac:dyDescent="0.25">
      <c r="B551" s="17"/>
      <c r="C551" s="14"/>
      <c r="D551" s="14"/>
      <c r="E551" s="18"/>
      <c r="F551" s="61"/>
      <c r="G551" s="73"/>
      <c r="H551" s="79"/>
      <c r="I551" s="79"/>
      <c r="J551" s="14"/>
      <c r="K551" s="38"/>
      <c r="L551" s="38"/>
      <c r="M551" s="17"/>
    </row>
    <row r="552" spans="2:13" ht="14.45" customHeight="1" x14ac:dyDescent="0.25">
      <c r="B552" s="17"/>
      <c r="C552" s="14"/>
      <c r="D552" s="14"/>
      <c r="E552" s="18"/>
      <c r="F552" s="61"/>
      <c r="G552" s="73"/>
      <c r="H552" s="79"/>
      <c r="I552" s="79"/>
      <c r="J552" s="14"/>
      <c r="K552" s="38"/>
      <c r="L552" s="38"/>
      <c r="M552" s="17"/>
    </row>
    <row r="553" spans="2:13" ht="14.45" customHeight="1" x14ac:dyDescent="0.25">
      <c r="B553" s="17"/>
      <c r="C553" s="14"/>
      <c r="D553" s="14"/>
      <c r="E553" s="18"/>
      <c r="F553" s="61"/>
      <c r="G553" s="73"/>
      <c r="H553" s="79"/>
      <c r="I553" s="79"/>
      <c r="J553" s="14"/>
      <c r="K553" s="38"/>
      <c r="L553" s="38"/>
      <c r="M553" s="17"/>
    </row>
    <row r="554" spans="2:13" ht="14.45" customHeight="1" x14ac:dyDescent="0.25">
      <c r="B554" s="17"/>
      <c r="C554" s="14"/>
      <c r="D554" s="14"/>
      <c r="E554" s="18"/>
      <c r="F554" s="61"/>
      <c r="G554" s="73"/>
      <c r="H554" s="79"/>
      <c r="I554" s="79"/>
      <c r="J554" s="14"/>
      <c r="K554" s="38"/>
      <c r="L554" s="38"/>
      <c r="M554" s="17"/>
    </row>
    <row r="555" spans="2:13" ht="14.45" customHeight="1" x14ac:dyDescent="0.25">
      <c r="B555" s="17"/>
      <c r="C555" s="14"/>
      <c r="D555" s="14"/>
      <c r="E555" s="18"/>
      <c r="F555" s="61"/>
      <c r="G555" s="73"/>
      <c r="H555" s="79"/>
      <c r="I555" s="79"/>
      <c r="J555" s="14"/>
      <c r="K555" s="38"/>
      <c r="L555" s="38"/>
      <c r="M555" s="17"/>
    </row>
    <row r="556" spans="2:13" ht="14.45" customHeight="1" x14ac:dyDescent="0.25">
      <c r="B556" s="17"/>
      <c r="C556" s="14"/>
      <c r="D556" s="14"/>
      <c r="E556" s="18"/>
      <c r="F556" s="61"/>
      <c r="G556" s="73"/>
      <c r="H556" s="79"/>
      <c r="I556" s="79"/>
      <c r="J556" s="14"/>
      <c r="K556" s="38"/>
      <c r="L556" s="38"/>
      <c r="M556" s="17"/>
    </row>
    <row r="557" spans="2:13" ht="14.45" customHeight="1" x14ac:dyDescent="0.25">
      <c r="B557" s="17"/>
      <c r="C557" s="14"/>
      <c r="D557" s="14"/>
      <c r="E557" s="18"/>
      <c r="F557" s="61"/>
      <c r="G557" s="73"/>
      <c r="H557" s="79"/>
      <c r="I557" s="79"/>
      <c r="J557" s="14"/>
      <c r="K557" s="38"/>
      <c r="L557" s="38"/>
      <c r="M557" s="17"/>
    </row>
    <row r="558" spans="2:13" ht="14.45" customHeight="1" x14ac:dyDescent="0.25">
      <c r="B558" s="17"/>
      <c r="C558" s="14"/>
      <c r="D558" s="14"/>
      <c r="E558" s="18"/>
      <c r="F558" s="61"/>
      <c r="G558" s="73"/>
      <c r="H558" s="79"/>
      <c r="I558" s="79"/>
      <c r="J558" s="14"/>
      <c r="K558" s="38"/>
      <c r="L558" s="38"/>
      <c r="M558" s="17"/>
    </row>
    <row r="559" spans="2:13" ht="14.45" customHeight="1" x14ac:dyDescent="0.25">
      <c r="B559" s="17"/>
      <c r="C559" s="14"/>
      <c r="D559" s="14"/>
      <c r="E559" s="18"/>
      <c r="F559" s="61"/>
      <c r="G559" s="73"/>
      <c r="H559" s="79"/>
      <c r="I559" s="79"/>
      <c r="J559" s="14"/>
      <c r="K559" s="38"/>
      <c r="L559" s="38"/>
      <c r="M559" s="17"/>
    </row>
    <row r="560" spans="2:13" ht="14.45" customHeight="1" x14ac:dyDescent="0.25">
      <c r="B560" s="17"/>
      <c r="C560" s="14"/>
      <c r="D560" s="14"/>
      <c r="E560" s="18"/>
      <c r="F560" s="61"/>
      <c r="G560" s="73"/>
      <c r="H560" s="79"/>
      <c r="I560" s="79"/>
      <c r="J560" s="14"/>
      <c r="K560" s="38"/>
      <c r="L560" s="38"/>
      <c r="M560" s="17"/>
    </row>
    <row r="561" spans="2:13" ht="14.45" customHeight="1" x14ac:dyDescent="0.25">
      <c r="B561" s="17"/>
      <c r="C561" s="14"/>
      <c r="D561" s="14"/>
      <c r="E561" s="18"/>
      <c r="F561" s="61"/>
      <c r="G561" s="73"/>
      <c r="H561" s="79"/>
      <c r="I561" s="79"/>
      <c r="J561" s="14"/>
      <c r="K561" s="38"/>
      <c r="L561" s="38"/>
      <c r="M561" s="17"/>
    </row>
    <row r="562" spans="2:13" ht="14.45" customHeight="1" x14ac:dyDescent="0.25">
      <c r="B562" s="17"/>
      <c r="C562" s="14"/>
      <c r="D562" s="14"/>
      <c r="E562" s="18"/>
      <c r="F562" s="61"/>
      <c r="G562" s="73"/>
      <c r="H562" s="79"/>
      <c r="I562" s="79"/>
      <c r="J562" s="14"/>
      <c r="K562" s="38"/>
      <c r="L562" s="38"/>
      <c r="M562" s="17"/>
    </row>
    <row r="563" spans="2:13" ht="14.45" customHeight="1" x14ac:dyDescent="0.25">
      <c r="B563" s="17"/>
      <c r="C563" s="14"/>
      <c r="D563" s="14"/>
      <c r="E563" s="18"/>
      <c r="F563" s="61"/>
      <c r="G563" s="73"/>
      <c r="H563" s="79"/>
      <c r="I563" s="79"/>
      <c r="J563" s="14"/>
      <c r="K563" s="38"/>
      <c r="L563" s="38"/>
      <c r="M563" s="17"/>
    </row>
    <row r="564" spans="2:13" ht="14.45" customHeight="1" x14ac:dyDescent="0.25">
      <c r="B564" s="17"/>
      <c r="C564" s="14"/>
      <c r="D564" s="14"/>
      <c r="E564" s="18"/>
      <c r="F564" s="61"/>
      <c r="G564" s="73"/>
      <c r="H564" s="79"/>
      <c r="I564" s="79"/>
      <c r="J564" s="14"/>
      <c r="K564" s="38"/>
      <c r="L564" s="38"/>
      <c r="M564" s="17"/>
    </row>
    <row r="565" spans="2:13" ht="14.45" customHeight="1" x14ac:dyDescent="0.25">
      <c r="B565" s="17"/>
      <c r="C565" s="14"/>
      <c r="D565" s="14"/>
      <c r="E565" s="18"/>
      <c r="F565" s="61"/>
      <c r="G565" s="73"/>
      <c r="H565" s="79"/>
      <c r="I565" s="79"/>
      <c r="J565" s="14"/>
      <c r="K565" s="38"/>
      <c r="L565" s="38"/>
      <c r="M565" s="17"/>
    </row>
    <row r="566" spans="2:13" ht="14.45" customHeight="1" x14ac:dyDescent="0.25">
      <c r="B566" s="17"/>
      <c r="C566" s="14"/>
      <c r="D566" s="14"/>
      <c r="E566" s="18"/>
      <c r="F566" s="61"/>
      <c r="G566" s="73"/>
      <c r="H566" s="79"/>
      <c r="I566" s="79"/>
      <c r="J566" s="14"/>
      <c r="K566" s="38"/>
      <c r="L566" s="38"/>
      <c r="M566" s="17"/>
    </row>
    <row r="567" spans="2:13" ht="14.45" customHeight="1" x14ac:dyDescent="0.25">
      <c r="B567" s="17"/>
      <c r="C567" s="14"/>
      <c r="D567" s="14"/>
      <c r="E567" s="18"/>
      <c r="F567" s="61"/>
      <c r="G567" s="73"/>
      <c r="H567" s="79"/>
      <c r="I567" s="79"/>
      <c r="J567" s="14"/>
      <c r="K567" s="38"/>
      <c r="L567" s="38"/>
      <c r="M567" s="17"/>
    </row>
    <row r="568" spans="2:13" ht="14.45" customHeight="1" x14ac:dyDescent="0.25">
      <c r="B568" s="17"/>
      <c r="C568" s="14"/>
      <c r="D568" s="14"/>
      <c r="E568" s="18"/>
      <c r="F568" s="61"/>
      <c r="G568" s="73"/>
      <c r="H568" s="79"/>
      <c r="I568" s="79"/>
      <c r="J568" s="14"/>
      <c r="K568" s="38"/>
      <c r="L568" s="38"/>
      <c r="M568" s="17"/>
    </row>
    <row r="569" spans="2:13" ht="14.45" customHeight="1" x14ac:dyDescent="0.25">
      <c r="B569" s="17"/>
      <c r="C569" s="14"/>
      <c r="D569" s="14"/>
      <c r="E569" s="18"/>
      <c r="F569" s="61"/>
      <c r="G569" s="73"/>
      <c r="H569" s="79"/>
      <c r="I569" s="79"/>
      <c r="J569" s="14"/>
      <c r="K569" s="38"/>
      <c r="L569" s="38"/>
      <c r="M569" s="17"/>
    </row>
    <row r="570" spans="2:13" ht="14.45" customHeight="1" x14ac:dyDescent="0.25">
      <c r="B570" s="17"/>
      <c r="C570" s="14"/>
      <c r="D570" s="14"/>
      <c r="E570" s="18"/>
      <c r="F570" s="61"/>
      <c r="G570" s="73"/>
      <c r="H570" s="79"/>
      <c r="I570" s="79"/>
      <c r="J570" s="14"/>
      <c r="K570" s="38"/>
      <c r="L570" s="38"/>
      <c r="M570" s="17"/>
    </row>
    <row r="571" spans="2:13" ht="14.45" customHeight="1" x14ac:dyDescent="0.25">
      <c r="B571" s="17"/>
      <c r="C571" s="14"/>
      <c r="D571" s="14"/>
      <c r="E571" s="18"/>
      <c r="F571" s="61"/>
      <c r="G571" s="73"/>
      <c r="H571" s="79"/>
      <c r="I571" s="79"/>
      <c r="J571" s="14"/>
      <c r="K571" s="38"/>
      <c r="L571" s="38"/>
      <c r="M571" s="17"/>
    </row>
    <row r="572" spans="2:13" ht="14.45" customHeight="1" x14ac:dyDescent="0.25">
      <c r="B572" s="17"/>
      <c r="C572" s="14"/>
      <c r="D572" s="14"/>
      <c r="E572" s="18"/>
      <c r="F572" s="61"/>
      <c r="G572" s="73"/>
      <c r="H572" s="79"/>
      <c r="I572" s="79"/>
      <c r="J572" s="14"/>
      <c r="K572" s="38"/>
      <c r="L572" s="38"/>
      <c r="M572" s="17"/>
    </row>
    <row r="573" spans="2:13" ht="14.45" customHeight="1" x14ac:dyDescent="0.25">
      <c r="B573" s="17"/>
      <c r="C573" s="14"/>
      <c r="D573" s="14"/>
      <c r="E573" s="18"/>
      <c r="F573" s="61"/>
      <c r="G573" s="73"/>
      <c r="H573" s="79"/>
      <c r="I573" s="79"/>
      <c r="J573" s="14"/>
      <c r="K573" s="38"/>
      <c r="L573" s="38"/>
      <c r="M573" s="17"/>
    </row>
    <row r="574" spans="2:13" ht="14.45" customHeight="1" x14ac:dyDescent="0.25">
      <c r="B574" s="17"/>
      <c r="C574" s="14"/>
      <c r="D574" s="14"/>
      <c r="E574" s="18"/>
      <c r="F574" s="61"/>
      <c r="G574" s="73"/>
      <c r="H574" s="79"/>
      <c r="I574" s="79"/>
      <c r="J574" s="14"/>
      <c r="K574" s="38"/>
      <c r="L574" s="38"/>
      <c r="M574" s="17"/>
    </row>
    <row r="575" spans="2:13" ht="14.45" customHeight="1" x14ac:dyDescent="0.25">
      <c r="B575" s="17"/>
      <c r="C575" s="14"/>
      <c r="D575" s="14"/>
      <c r="E575" s="18"/>
      <c r="F575" s="61"/>
      <c r="G575" s="73"/>
      <c r="H575" s="79"/>
      <c r="I575" s="79"/>
      <c r="J575" s="14"/>
      <c r="K575" s="38"/>
      <c r="L575" s="38"/>
      <c r="M575" s="17"/>
    </row>
    <row r="576" spans="2:13" ht="14.45" customHeight="1" x14ac:dyDescent="0.25">
      <c r="B576" s="17"/>
      <c r="C576" s="14"/>
      <c r="D576" s="14"/>
      <c r="E576" s="18"/>
      <c r="F576" s="61"/>
      <c r="G576" s="73"/>
      <c r="H576" s="79"/>
      <c r="I576" s="79"/>
      <c r="J576" s="14"/>
      <c r="K576" s="38"/>
      <c r="L576" s="38"/>
      <c r="M576" s="17"/>
    </row>
    <row r="577" spans="2:13" ht="14.45" customHeight="1" x14ac:dyDescent="0.25">
      <c r="B577" s="17"/>
      <c r="C577" s="14"/>
      <c r="D577" s="14"/>
      <c r="E577" s="18"/>
      <c r="F577" s="61"/>
      <c r="G577" s="73"/>
      <c r="H577" s="79"/>
      <c r="I577" s="79"/>
      <c r="J577" s="14"/>
      <c r="K577" s="38"/>
      <c r="L577" s="38"/>
      <c r="M577" s="17"/>
    </row>
    <row r="578" spans="2:13" ht="14.45" customHeight="1" x14ac:dyDescent="0.25">
      <c r="B578" s="17"/>
      <c r="C578" s="14"/>
      <c r="D578" s="14"/>
      <c r="E578" s="18"/>
      <c r="F578" s="61"/>
      <c r="G578" s="73"/>
      <c r="H578" s="79"/>
      <c r="I578" s="79"/>
      <c r="J578" s="14"/>
      <c r="K578" s="38"/>
      <c r="L578" s="38"/>
      <c r="M578" s="17"/>
    </row>
    <row r="579" spans="2:13" ht="14.45" customHeight="1" x14ac:dyDescent="0.25">
      <c r="B579" s="17"/>
      <c r="C579" s="14"/>
      <c r="D579" s="14"/>
      <c r="E579" s="18"/>
      <c r="F579" s="61"/>
      <c r="G579" s="73"/>
      <c r="H579" s="79"/>
      <c r="I579" s="79"/>
      <c r="J579" s="14"/>
      <c r="K579" s="38"/>
      <c r="L579" s="38"/>
      <c r="M579" s="17"/>
    </row>
    <row r="580" spans="2:13" ht="14.45" customHeight="1" x14ac:dyDescent="0.25">
      <c r="B580" s="17"/>
      <c r="C580" s="14"/>
      <c r="D580" s="14"/>
      <c r="E580" s="18"/>
      <c r="F580" s="61"/>
      <c r="G580" s="73"/>
      <c r="H580" s="79"/>
      <c r="I580" s="79"/>
      <c r="J580" s="14"/>
      <c r="K580" s="38"/>
      <c r="L580" s="38"/>
      <c r="M580" s="17"/>
    </row>
    <row r="581" spans="2:13" ht="14.45" customHeight="1" x14ac:dyDescent="0.25">
      <c r="B581" s="17"/>
      <c r="C581" s="14"/>
      <c r="D581" s="14"/>
      <c r="E581" s="18"/>
      <c r="F581" s="61"/>
      <c r="G581" s="73"/>
      <c r="H581" s="79"/>
      <c r="I581" s="79"/>
      <c r="J581" s="14"/>
      <c r="K581" s="38"/>
      <c r="L581" s="38"/>
      <c r="M581" s="17"/>
    </row>
    <row r="582" spans="2:13" ht="14.45" customHeight="1" x14ac:dyDescent="0.25">
      <c r="B582" s="17"/>
      <c r="C582" s="14"/>
      <c r="D582" s="14"/>
      <c r="E582" s="18"/>
      <c r="F582" s="61"/>
      <c r="G582" s="73"/>
      <c r="H582" s="79"/>
      <c r="I582" s="79"/>
      <c r="J582" s="14"/>
      <c r="K582" s="38"/>
      <c r="L582" s="38"/>
      <c r="M582" s="17"/>
    </row>
    <row r="583" spans="2:13" ht="14.45" customHeight="1" x14ac:dyDescent="0.25">
      <c r="B583" s="17"/>
      <c r="C583" s="14"/>
      <c r="D583" s="14"/>
      <c r="E583" s="18"/>
      <c r="F583" s="61"/>
      <c r="G583" s="73"/>
      <c r="H583" s="79"/>
      <c r="I583" s="79"/>
      <c r="J583" s="14"/>
      <c r="K583" s="38"/>
      <c r="L583" s="38"/>
      <c r="M583" s="17"/>
    </row>
    <row r="584" spans="2:13" ht="14.45" customHeight="1" x14ac:dyDescent="0.25">
      <c r="B584" s="17"/>
      <c r="C584" s="14"/>
      <c r="D584" s="14"/>
      <c r="E584" s="18"/>
      <c r="F584" s="61"/>
      <c r="G584" s="73"/>
      <c r="H584" s="79"/>
      <c r="I584" s="79"/>
      <c r="J584" s="14"/>
      <c r="K584" s="38"/>
      <c r="L584" s="38"/>
      <c r="M584" s="17"/>
    </row>
    <row r="585" spans="2:13" ht="14.45" customHeight="1" x14ac:dyDescent="0.25">
      <c r="B585" s="17"/>
      <c r="C585" s="14"/>
      <c r="D585" s="14"/>
      <c r="E585" s="18"/>
      <c r="F585" s="61"/>
      <c r="G585" s="73"/>
      <c r="H585" s="79"/>
      <c r="I585" s="79"/>
      <c r="J585" s="14"/>
      <c r="K585" s="38"/>
      <c r="L585" s="38"/>
      <c r="M585" s="17"/>
    </row>
    <row r="586" spans="2:13" ht="14.45" customHeight="1" x14ac:dyDescent="0.25">
      <c r="B586" s="17"/>
      <c r="C586" s="14"/>
      <c r="D586" s="14"/>
      <c r="E586" s="18"/>
      <c r="F586" s="61"/>
      <c r="G586" s="73"/>
      <c r="H586" s="79"/>
      <c r="I586" s="79"/>
      <c r="J586" s="14"/>
      <c r="K586" s="38"/>
      <c r="L586" s="38"/>
      <c r="M586" s="17"/>
    </row>
    <row r="587" spans="2:13" ht="14.45" customHeight="1" x14ac:dyDescent="0.25">
      <c r="B587" s="17"/>
      <c r="C587" s="14"/>
      <c r="D587" s="14"/>
      <c r="E587" s="18"/>
      <c r="F587" s="61"/>
      <c r="G587" s="73"/>
      <c r="H587" s="79"/>
      <c r="I587" s="79"/>
      <c r="J587" s="14"/>
      <c r="K587" s="38"/>
      <c r="L587" s="38"/>
      <c r="M587" s="17"/>
    </row>
    <row r="588" spans="2:13" ht="14.45" customHeight="1" x14ac:dyDescent="0.25">
      <c r="B588" s="17"/>
      <c r="C588" s="14"/>
      <c r="D588" s="14"/>
      <c r="E588" s="18"/>
      <c r="F588" s="61"/>
      <c r="G588" s="73"/>
      <c r="H588" s="79"/>
      <c r="I588" s="79"/>
      <c r="J588" s="14"/>
      <c r="K588" s="38"/>
      <c r="L588" s="38"/>
      <c r="M588" s="17"/>
    </row>
    <row r="589" spans="2:13" ht="14.45" customHeight="1" x14ac:dyDescent="0.25">
      <c r="B589" s="17"/>
      <c r="C589" s="14"/>
      <c r="D589" s="14"/>
      <c r="E589" s="18"/>
      <c r="F589" s="61"/>
      <c r="G589" s="73"/>
      <c r="H589" s="79"/>
      <c r="I589" s="79"/>
      <c r="J589" s="14"/>
      <c r="K589" s="38"/>
      <c r="L589" s="38"/>
      <c r="M589" s="17"/>
    </row>
    <row r="590" spans="2:13" ht="14.45" customHeight="1" x14ac:dyDescent="0.25">
      <c r="B590" s="17"/>
      <c r="C590" s="14"/>
      <c r="D590" s="14"/>
      <c r="E590" s="18"/>
      <c r="F590" s="61"/>
      <c r="G590" s="73"/>
      <c r="H590" s="79"/>
      <c r="I590" s="79"/>
      <c r="J590" s="14"/>
      <c r="K590" s="38"/>
      <c r="L590" s="38"/>
      <c r="M590" s="17"/>
    </row>
    <row r="591" spans="2:13" ht="14.45" customHeight="1" x14ac:dyDescent="0.25">
      <c r="B591" s="17"/>
      <c r="C591" s="14"/>
      <c r="D591" s="14"/>
      <c r="E591" s="18"/>
      <c r="F591" s="61"/>
      <c r="G591" s="73"/>
      <c r="H591" s="79"/>
      <c r="I591" s="79"/>
      <c r="J591" s="14"/>
      <c r="K591" s="38"/>
      <c r="L591" s="38"/>
      <c r="M591" s="17"/>
    </row>
    <row r="592" spans="2:13" ht="14.45" customHeight="1" x14ac:dyDescent="0.25">
      <c r="B592" s="17"/>
      <c r="C592" s="14"/>
      <c r="D592" s="14"/>
      <c r="E592" s="18"/>
      <c r="F592" s="61"/>
      <c r="G592" s="73"/>
      <c r="H592" s="79"/>
      <c r="I592" s="79"/>
      <c r="J592" s="14"/>
      <c r="K592" s="38"/>
      <c r="L592" s="38"/>
      <c r="M592" s="17"/>
    </row>
    <row r="593" spans="2:13" ht="14.45" customHeight="1" x14ac:dyDescent="0.25">
      <c r="B593" s="17"/>
      <c r="C593" s="14"/>
      <c r="D593" s="14"/>
      <c r="E593" s="18"/>
      <c r="F593" s="61"/>
      <c r="G593" s="73"/>
      <c r="H593" s="79"/>
      <c r="I593" s="79"/>
      <c r="J593" s="14"/>
      <c r="K593" s="38"/>
      <c r="L593" s="38"/>
      <c r="M593" s="17"/>
    </row>
    <row r="594" spans="2:13" ht="14.45" customHeight="1" x14ac:dyDescent="0.25">
      <c r="B594" s="17"/>
      <c r="C594" s="14"/>
      <c r="D594" s="14"/>
      <c r="E594" s="18"/>
      <c r="F594" s="61"/>
      <c r="G594" s="73"/>
      <c r="H594" s="79"/>
      <c r="I594" s="79"/>
      <c r="J594" s="14"/>
      <c r="K594" s="38"/>
      <c r="L594" s="38"/>
      <c r="M594" s="17"/>
    </row>
    <row r="595" spans="2:13" ht="14.45" customHeight="1" x14ac:dyDescent="0.25">
      <c r="B595" s="17"/>
      <c r="C595" s="14"/>
      <c r="D595" s="14"/>
      <c r="E595" s="18"/>
      <c r="F595" s="61"/>
      <c r="G595" s="73"/>
      <c r="H595" s="79"/>
      <c r="I595" s="79"/>
      <c r="J595" s="14"/>
      <c r="K595" s="38"/>
      <c r="L595" s="38"/>
      <c r="M595" s="17"/>
    </row>
    <row r="596" spans="2:13" ht="14.45" customHeight="1" x14ac:dyDescent="0.25">
      <c r="B596" s="17"/>
      <c r="C596" s="14"/>
      <c r="D596" s="14"/>
      <c r="E596" s="18"/>
      <c r="F596" s="61"/>
      <c r="G596" s="73"/>
      <c r="H596" s="79"/>
      <c r="I596" s="79"/>
      <c r="J596" s="14"/>
      <c r="K596" s="38"/>
      <c r="L596" s="38"/>
      <c r="M596" s="17"/>
    </row>
    <row r="597" spans="2:13" ht="14.45" customHeight="1" x14ac:dyDescent="0.25">
      <c r="B597" s="17"/>
      <c r="C597" s="14"/>
      <c r="D597" s="14"/>
      <c r="E597" s="18"/>
      <c r="F597" s="61"/>
      <c r="G597" s="73"/>
      <c r="H597" s="79"/>
      <c r="I597" s="79"/>
      <c r="J597" s="14"/>
      <c r="K597" s="38"/>
      <c r="L597" s="38"/>
      <c r="M597" s="17"/>
    </row>
    <row r="598" spans="2:13" ht="14.45" customHeight="1" x14ac:dyDescent="0.25">
      <c r="B598" s="17"/>
      <c r="C598" s="14"/>
      <c r="D598" s="14"/>
      <c r="E598" s="18"/>
      <c r="F598" s="61"/>
      <c r="G598" s="73"/>
      <c r="H598" s="79"/>
      <c r="I598" s="79"/>
      <c r="J598" s="14"/>
      <c r="K598" s="38"/>
      <c r="L598" s="38"/>
      <c r="M598" s="17"/>
    </row>
    <row r="599" spans="2:13" ht="14.45" customHeight="1" x14ac:dyDescent="0.25">
      <c r="B599" s="17"/>
      <c r="C599" s="14"/>
      <c r="D599" s="14"/>
      <c r="E599" s="18"/>
      <c r="F599" s="61"/>
      <c r="G599" s="73"/>
      <c r="H599" s="79"/>
      <c r="I599" s="79"/>
      <c r="J599" s="14"/>
      <c r="K599" s="38"/>
      <c r="L599" s="38"/>
      <c r="M599" s="17"/>
    </row>
    <row r="600" spans="2:13" ht="14.45" customHeight="1" x14ac:dyDescent="0.25">
      <c r="B600" s="17"/>
      <c r="C600" s="14"/>
      <c r="D600" s="14"/>
      <c r="E600" s="18"/>
      <c r="F600" s="61"/>
      <c r="G600" s="73"/>
      <c r="H600" s="79"/>
      <c r="I600" s="79"/>
      <c r="J600" s="14"/>
      <c r="K600" s="38"/>
      <c r="L600" s="38"/>
      <c r="M600" s="17"/>
    </row>
    <row r="601" spans="2:13" ht="14.45" customHeight="1" x14ac:dyDescent="0.25">
      <c r="B601" s="17"/>
      <c r="C601" s="14"/>
      <c r="D601" s="14"/>
      <c r="E601" s="18"/>
      <c r="F601" s="61"/>
      <c r="G601" s="73"/>
      <c r="H601" s="79"/>
      <c r="I601" s="79"/>
      <c r="J601" s="14"/>
      <c r="K601" s="38"/>
      <c r="L601" s="38"/>
      <c r="M601" s="17"/>
    </row>
    <row r="602" spans="2:13" ht="14.45" customHeight="1" x14ac:dyDescent="0.25">
      <c r="B602" s="17"/>
      <c r="C602" s="14"/>
      <c r="D602" s="14"/>
      <c r="E602" s="18"/>
      <c r="F602" s="61"/>
      <c r="G602" s="73"/>
      <c r="H602" s="79"/>
      <c r="I602" s="79"/>
      <c r="J602" s="14"/>
      <c r="K602" s="38"/>
      <c r="L602" s="38"/>
      <c r="M602" s="17"/>
    </row>
    <row r="603" spans="2:13" ht="14.45" customHeight="1" x14ac:dyDescent="0.25">
      <c r="B603" s="17"/>
      <c r="C603" s="14"/>
      <c r="D603" s="14"/>
      <c r="E603" s="18"/>
      <c r="F603" s="61"/>
      <c r="G603" s="73"/>
      <c r="H603" s="79"/>
      <c r="I603" s="79"/>
      <c r="J603" s="14"/>
      <c r="K603" s="38"/>
      <c r="L603" s="38"/>
      <c r="M603" s="17"/>
    </row>
    <row r="604" spans="2:13" ht="14.45" customHeight="1" x14ac:dyDescent="0.25">
      <c r="B604" s="17"/>
      <c r="C604" s="14"/>
      <c r="D604" s="14"/>
      <c r="E604" s="18"/>
      <c r="F604" s="61"/>
      <c r="G604" s="73"/>
      <c r="H604" s="79"/>
      <c r="I604" s="79"/>
      <c r="J604" s="14"/>
      <c r="K604" s="38"/>
      <c r="L604" s="38"/>
      <c r="M604" s="17"/>
    </row>
    <row r="605" spans="2:13" ht="14.45" customHeight="1" x14ac:dyDescent="0.25">
      <c r="B605" s="17"/>
      <c r="C605" s="14"/>
      <c r="D605" s="14"/>
      <c r="E605" s="18"/>
      <c r="F605" s="61"/>
      <c r="G605" s="73"/>
      <c r="H605" s="79"/>
      <c r="I605" s="79"/>
      <c r="J605" s="14"/>
      <c r="K605" s="38"/>
      <c r="L605" s="38"/>
      <c r="M605" s="17"/>
    </row>
    <row r="606" spans="2:13" ht="14.45" customHeight="1" x14ac:dyDescent="0.25">
      <c r="B606" s="17"/>
      <c r="C606" s="14"/>
      <c r="D606" s="14"/>
      <c r="E606" s="18"/>
      <c r="F606" s="61"/>
      <c r="G606" s="73"/>
      <c r="H606" s="79"/>
      <c r="I606" s="79"/>
      <c r="J606" s="14"/>
      <c r="K606" s="38"/>
      <c r="L606" s="38"/>
      <c r="M606" s="17"/>
    </row>
    <row r="607" spans="2:13" ht="14.45" customHeight="1" x14ac:dyDescent="0.25">
      <c r="B607" s="17"/>
      <c r="C607" s="14"/>
      <c r="D607" s="14"/>
      <c r="E607" s="18"/>
      <c r="F607" s="61"/>
      <c r="G607" s="73"/>
      <c r="H607" s="79"/>
      <c r="I607" s="79"/>
      <c r="J607" s="14"/>
      <c r="K607" s="38"/>
      <c r="L607" s="38"/>
      <c r="M607" s="17"/>
    </row>
    <row r="608" spans="2:13" ht="14.45" customHeight="1" x14ac:dyDescent="0.25">
      <c r="B608" s="17"/>
      <c r="C608" s="14"/>
      <c r="D608" s="14"/>
      <c r="E608" s="18"/>
      <c r="F608" s="61"/>
      <c r="G608" s="73"/>
      <c r="H608" s="79"/>
      <c r="I608" s="79"/>
      <c r="J608" s="14"/>
      <c r="K608" s="38"/>
      <c r="L608" s="38"/>
      <c r="M608" s="17"/>
    </row>
    <row r="609" spans="2:13" ht="14.45" customHeight="1" x14ac:dyDescent="0.25">
      <c r="B609" s="17"/>
      <c r="C609" s="14"/>
      <c r="D609" s="14"/>
      <c r="E609" s="18"/>
      <c r="F609" s="61"/>
      <c r="G609" s="73"/>
      <c r="H609" s="79"/>
      <c r="I609" s="79"/>
      <c r="J609" s="14"/>
      <c r="K609" s="38"/>
      <c r="L609" s="38"/>
      <c r="M609" s="17"/>
    </row>
    <row r="610" spans="2:13" ht="14.45" customHeight="1" x14ac:dyDescent="0.25">
      <c r="B610" s="17"/>
      <c r="C610" s="14"/>
      <c r="D610" s="14"/>
      <c r="E610" s="18"/>
      <c r="F610" s="61"/>
      <c r="G610" s="73"/>
      <c r="H610" s="79"/>
      <c r="I610" s="79"/>
      <c r="J610" s="14"/>
      <c r="K610" s="38"/>
      <c r="L610" s="38"/>
      <c r="M610" s="17"/>
    </row>
    <row r="611" spans="2:13" ht="14.45" customHeight="1" x14ac:dyDescent="0.25">
      <c r="B611" s="17"/>
      <c r="C611" s="14"/>
      <c r="D611" s="14"/>
      <c r="E611" s="18"/>
      <c r="F611" s="61"/>
      <c r="G611" s="73"/>
      <c r="H611" s="79"/>
      <c r="I611" s="79"/>
      <c r="J611" s="14"/>
      <c r="K611" s="38"/>
      <c r="L611" s="38"/>
      <c r="M611" s="17"/>
    </row>
    <row r="612" spans="2:13" ht="14.45" customHeight="1" x14ac:dyDescent="0.25">
      <c r="B612" s="17"/>
      <c r="C612" s="14"/>
      <c r="D612" s="14"/>
      <c r="E612" s="18"/>
      <c r="F612" s="61"/>
      <c r="G612" s="73"/>
      <c r="H612" s="79"/>
      <c r="I612" s="79"/>
      <c r="J612" s="14"/>
      <c r="K612" s="38"/>
      <c r="L612" s="38"/>
      <c r="M612" s="17"/>
    </row>
    <row r="613" spans="2:13" ht="14.45" customHeight="1" x14ac:dyDescent="0.25">
      <c r="B613" s="17"/>
      <c r="C613" s="14"/>
      <c r="D613" s="14"/>
      <c r="E613" s="18"/>
      <c r="F613" s="61"/>
      <c r="G613" s="73"/>
      <c r="H613" s="79"/>
      <c r="I613" s="79"/>
      <c r="J613" s="14"/>
      <c r="K613" s="38"/>
      <c r="L613" s="38"/>
      <c r="M613" s="17"/>
    </row>
    <row r="614" spans="2:13" ht="14.45" customHeight="1" x14ac:dyDescent="0.25">
      <c r="B614" s="17"/>
      <c r="C614" s="14"/>
      <c r="D614" s="14"/>
      <c r="E614" s="18"/>
      <c r="F614" s="61"/>
      <c r="G614" s="73"/>
      <c r="H614" s="79"/>
      <c r="I614" s="79"/>
      <c r="J614" s="14"/>
      <c r="K614" s="38"/>
      <c r="L614" s="38"/>
      <c r="M614" s="17"/>
    </row>
    <row r="615" spans="2:13" ht="14.45" customHeight="1" x14ac:dyDescent="0.25">
      <c r="B615" s="17"/>
      <c r="C615" s="14"/>
      <c r="D615" s="14"/>
      <c r="E615" s="18"/>
      <c r="F615" s="61"/>
      <c r="G615" s="73"/>
      <c r="H615" s="79"/>
      <c r="I615" s="79"/>
      <c r="J615" s="14"/>
      <c r="K615" s="38"/>
      <c r="L615" s="38"/>
      <c r="M615" s="17"/>
    </row>
    <row r="616" spans="2:13" ht="14.45" customHeight="1" x14ac:dyDescent="0.25">
      <c r="B616" s="17"/>
      <c r="C616" s="14"/>
      <c r="D616" s="14"/>
      <c r="E616" s="18"/>
      <c r="F616" s="61"/>
      <c r="G616" s="73"/>
      <c r="H616" s="79"/>
      <c r="I616" s="79"/>
      <c r="J616" s="14"/>
      <c r="K616" s="38"/>
      <c r="L616" s="38"/>
      <c r="M616" s="17"/>
    </row>
    <row r="617" spans="2:13" ht="14.45" customHeight="1" x14ac:dyDescent="0.25">
      <c r="B617" s="17"/>
      <c r="C617" s="14"/>
      <c r="D617" s="14"/>
      <c r="E617" s="18"/>
      <c r="F617" s="61"/>
      <c r="G617" s="73"/>
      <c r="H617" s="79"/>
      <c r="I617" s="79"/>
      <c r="J617" s="14"/>
      <c r="K617" s="38"/>
      <c r="L617" s="38"/>
      <c r="M617" s="17"/>
    </row>
    <row r="618" spans="2:13" ht="14.45" customHeight="1" x14ac:dyDescent="0.25">
      <c r="B618" s="17"/>
      <c r="C618" s="14"/>
      <c r="D618" s="14"/>
      <c r="E618" s="18"/>
      <c r="F618" s="61"/>
      <c r="G618" s="73"/>
      <c r="H618" s="79"/>
      <c r="I618" s="79"/>
      <c r="J618" s="14"/>
      <c r="K618" s="38"/>
      <c r="L618" s="38"/>
      <c r="M618" s="17"/>
    </row>
    <row r="619" spans="2:13" ht="14.45" customHeight="1" x14ac:dyDescent="0.25">
      <c r="B619" s="17"/>
      <c r="C619" s="14"/>
      <c r="D619" s="14"/>
      <c r="E619" s="18"/>
      <c r="F619" s="61"/>
      <c r="G619" s="73"/>
      <c r="H619" s="79"/>
      <c r="I619" s="79"/>
      <c r="J619" s="14"/>
      <c r="K619" s="38"/>
      <c r="L619" s="38"/>
      <c r="M619" s="17"/>
    </row>
    <row r="620" spans="2:13" ht="14.45" customHeight="1" x14ac:dyDescent="0.25">
      <c r="B620" s="17"/>
      <c r="C620" s="14"/>
      <c r="D620" s="14"/>
      <c r="E620" s="18"/>
      <c r="F620" s="61"/>
      <c r="G620" s="73"/>
      <c r="H620" s="79"/>
      <c r="I620" s="79"/>
      <c r="J620" s="14"/>
      <c r="K620" s="38"/>
      <c r="L620" s="38"/>
      <c r="M620" s="17"/>
    </row>
    <row r="621" spans="2:13" ht="14.45" customHeight="1" x14ac:dyDescent="0.25">
      <c r="B621" s="17"/>
      <c r="C621" s="14"/>
      <c r="D621" s="14"/>
      <c r="E621" s="18"/>
      <c r="F621" s="61"/>
      <c r="G621" s="73"/>
      <c r="H621" s="79"/>
      <c r="I621" s="79"/>
      <c r="J621" s="14"/>
      <c r="K621" s="38"/>
      <c r="L621" s="38"/>
      <c r="M621" s="17"/>
    </row>
    <row r="622" spans="2:13" ht="14.45" customHeight="1" x14ac:dyDescent="0.25">
      <c r="B622" s="17"/>
      <c r="C622" s="14"/>
      <c r="D622" s="14"/>
      <c r="E622" s="18"/>
      <c r="F622" s="61"/>
      <c r="G622" s="73"/>
      <c r="H622" s="79"/>
      <c r="I622" s="79"/>
      <c r="J622" s="14"/>
      <c r="K622" s="38"/>
      <c r="L622" s="38"/>
      <c r="M622" s="17"/>
    </row>
    <row r="623" spans="2:13" ht="14.45" customHeight="1" x14ac:dyDescent="0.25">
      <c r="B623" s="17"/>
      <c r="C623" s="14"/>
      <c r="D623" s="14"/>
      <c r="E623" s="18"/>
      <c r="F623" s="61"/>
      <c r="G623" s="73"/>
      <c r="H623" s="79"/>
      <c r="I623" s="79"/>
      <c r="J623" s="14"/>
      <c r="K623" s="38"/>
      <c r="L623" s="38"/>
      <c r="M623" s="17"/>
    </row>
    <row r="624" spans="2:13" ht="14.45" customHeight="1" x14ac:dyDescent="0.25">
      <c r="B624" s="17"/>
      <c r="C624" s="14"/>
      <c r="D624" s="14"/>
      <c r="E624" s="18"/>
      <c r="F624" s="61"/>
      <c r="G624" s="73"/>
      <c r="H624" s="79"/>
      <c r="I624" s="79"/>
      <c r="J624" s="14"/>
      <c r="K624" s="38"/>
      <c r="L624" s="38"/>
      <c r="M624" s="17"/>
    </row>
    <row r="625" spans="2:13" ht="14.45" customHeight="1" x14ac:dyDescent="0.25">
      <c r="B625" s="17"/>
      <c r="C625" s="14"/>
      <c r="D625" s="14"/>
      <c r="E625" s="18"/>
      <c r="F625" s="61"/>
      <c r="G625" s="73"/>
      <c r="H625" s="79"/>
      <c r="I625" s="79"/>
      <c r="J625" s="14"/>
      <c r="K625" s="38"/>
      <c r="L625" s="38"/>
      <c r="M625" s="17"/>
    </row>
    <row r="626" spans="2:13" ht="14.45" customHeight="1" x14ac:dyDescent="0.25">
      <c r="B626" s="17"/>
      <c r="C626" s="14"/>
      <c r="D626" s="14"/>
      <c r="E626" s="18"/>
      <c r="F626" s="61"/>
      <c r="G626" s="73"/>
      <c r="H626" s="79"/>
      <c r="I626" s="79"/>
      <c r="J626" s="14"/>
      <c r="K626" s="38"/>
      <c r="L626" s="38"/>
      <c r="M626" s="17"/>
    </row>
    <row r="627" spans="2:13" ht="14.45" customHeight="1" x14ac:dyDescent="0.25">
      <c r="B627" s="17"/>
      <c r="C627" s="14"/>
      <c r="D627" s="14"/>
      <c r="E627" s="18"/>
      <c r="F627" s="61"/>
      <c r="G627" s="73"/>
      <c r="H627" s="79"/>
      <c r="I627" s="79"/>
      <c r="J627" s="14"/>
      <c r="K627" s="38"/>
      <c r="L627" s="38"/>
      <c r="M627" s="17"/>
    </row>
    <row r="628" spans="2:13" ht="14.45" customHeight="1" x14ac:dyDescent="0.25">
      <c r="B628" s="17"/>
      <c r="C628" s="14"/>
      <c r="D628" s="14"/>
      <c r="E628" s="18"/>
      <c r="F628" s="61"/>
      <c r="G628" s="73"/>
      <c r="H628" s="79"/>
      <c r="I628" s="79"/>
      <c r="J628" s="14"/>
      <c r="K628" s="38"/>
      <c r="L628" s="38"/>
      <c r="M628" s="17"/>
    </row>
    <row r="629" spans="2:13" ht="14.45" customHeight="1" x14ac:dyDescent="0.25">
      <c r="B629" s="17"/>
      <c r="C629" s="14"/>
      <c r="D629" s="14"/>
      <c r="E629" s="18"/>
      <c r="F629" s="61"/>
      <c r="G629" s="73"/>
      <c r="H629" s="79"/>
      <c r="I629" s="79"/>
      <c r="J629" s="14"/>
      <c r="K629" s="38"/>
      <c r="L629" s="38"/>
      <c r="M629" s="17"/>
    </row>
    <row r="630" spans="2:13" ht="14.45" customHeight="1" x14ac:dyDescent="0.25">
      <c r="B630" s="17"/>
      <c r="C630" s="14"/>
      <c r="D630" s="14"/>
      <c r="E630" s="18"/>
      <c r="F630" s="61"/>
      <c r="G630" s="73"/>
      <c r="H630" s="79"/>
      <c r="I630" s="79"/>
      <c r="J630" s="14"/>
      <c r="K630" s="38"/>
      <c r="L630" s="38"/>
      <c r="M630" s="17"/>
    </row>
    <row r="631" spans="2:13" ht="14.45" customHeight="1" x14ac:dyDescent="0.25">
      <c r="B631" s="17"/>
      <c r="C631" s="14"/>
      <c r="D631" s="14"/>
      <c r="E631" s="18"/>
      <c r="F631" s="61"/>
      <c r="G631" s="73"/>
      <c r="H631" s="79"/>
      <c r="I631" s="79"/>
      <c r="J631" s="14"/>
      <c r="K631" s="38"/>
      <c r="L631" s="38"/>
      <c r="M631" s="17"/>
    </row>
    <row r="632" spans="2:13" ht="14.45" customHeight="1" x14ac:dyDescent="0.25">
      <c r="B632" s="17"/>
      <c r="C632" s="14"/>
      <c r="D632" s="14"/>
      <c r="E632" s="18"/>
      <c r="F632" s="61"/>
      <c r="G632" s="73"/>
      <c r="H632" s="79"/>
      <c r="I632" s="79"/>
      <c r="J632" s="14"/>
      <c r="K632" s="38"/>
      <c r="L632" s="38"/>
      <c r="M632" s="17"/>
    </row>
    <row r="633" spans="2:13" ht="14.45" customHeight="1" x14ac:dyDescent="0.25">
      <c r="B633" s="17"/>
      <c r="C633" s="14"/>
      <c r="D633" s="14"/>
      <c r="E633" s="18"/>
      <c r="F633" s="61"/>
      <c r="G633" s="73"/>
      <c r="H633" s="79"/>
      <c r="I633" s="79"/>
      <c r="J633" s="14"/>
      <c r="K633" s="38"/>
      <c r="L633" s="38"/>
      <c r="M633" s="17"/>
    </row>
    <row r="634" spans="2:13" ht="14.45" customHeight="1" x14ac:dyDescent="0.25">
      <c r="B634" s="17"/>
      <c r="C634" s="14"/>
      <c r="D634" s="14"/>
      <c r="E634" s="18"/>
      <c r="F634" s="61"/>
      <c r="G634" s="73"/>
      <c r="H634" s="79"/>
      <c r="I634" s="79"/>
      <c r="J634" s="14"/>
      <c r="K634" s="38"/>
      <c r="L634" s="38"/>
      <c r="M634" s="17"/>
    </row>
    <row r="635" spans="2:13" ht="14.45" customHeight="1" x14ac:dyDescent="0.25">
      <c r="B635" s="17"/>
      <c r="C635" s="14"/>
      <c r="D635" s="14"/>
      <c r="E635" s="18"/>
      <c r="F635" s="61"/>
      <c r="G635" s="73"/>
      <c r="H635" s="79"/>
      <c r="I635" s="79"/>
      <c r="J635" s="14"/>
      <c r="K635" s="38"/>
      <c r="L635" s="38"/>
      <c r="M635" s="17"/>
    </row>
    <row r="636" spans="2:13" ht="14.45" customHeight="1" x14ac:dyDescent="0.25">
      <c r="B636" s="17"/>
      <c r="C636" s="14"/>
      <c r="D636" s="14"/>
      <c r="E636" s="18"/>
      <c r="F636" s="61"/>
      <c r="G636" s="73"/>
      <c r="H636" s="79"/>
      <c r="I636" s="79"/>
      <c r="J636" s="14"/>
      <c r="K636" s="38"/>
      <c r="L636" s="38"/>
      <c r="M636" s="17"/>
    </row>
    <row r="637" spans="2:13" ht="14.45" customHeight="1" x14ac:dyDescent="0.25">
      <c r="B637" s="17"/>
      <c r="C637" s="14"/>
      <c r="D637" s="14"/>
      <c r="E637" s="18"/>
      <c r="F637" s="61"/>
      <c r="G637" s="73"/>
      <c r="H637" s="79"/>
      <c r="I637" s="79"/>
      <c r="J637" s="14"/>
      <c r="K637" s="38"/>
      <c r="L637" s="38"/>
      <c r="M637" s="17"/>
    </row>
    <row r="638" spans="2:13" ht="14.45" customHeight="1" x14ac:dyDescent="0.25">
      <c r="B638" s="17"/>
      <c r="C638" s="14"/>
      <c r="D638" s="14"/>
      <c r="E638" s="18"/>
      <c r="F638" s="61"/>
      <c r="G638" s="73"/>
      <c r="H638" s="79"/>
      <c r="I638" s="79"/>
      <c r="J638" s="14"/>
      <c r="K638" s="38"/>
      <c r="L638" s="38"/>
      <c r="M638" s="17"/>
    </row>
    <row r="639" spans="2:13" ht="14.45" customHeight="1" x14ac:dyDescent="0.25">
      <c r="B639" s="17"/>
      <c r="C639" s="14"/>
      <c r="D639" s="14"/>
      <c r="E639" s="18"/>
      <c r="F639" s="61"/>
      <c r="G639" s="73"/>
      <c r="H639" s="79"/>
      <c r="I639" s="79"/>
      <c r="J639" s="14"/>
      <c r="K639" s="38"/>
      <c r="L639" s="38"/>
      <c r="M639" s="17"/>
    </row>
    <row r="640" spans="2:13" ht="14.45" customHeight="1" x14ac:dyDescent="0.25">
      <c r="B640" s="17"/>
      <c r="C640" s="14"/>
      <c r="D640" s="14"/>
      <c r="E640" s="18"/>
      <c r="F640" s="61"/>
      <c r="G640" s="73"/>
      <c r="H640" s="79"/>
      <c r="I640" s="79"/>
      <c r="J640" s="14"/>
      <c r="K640" s="38"/>
      <c r="L640" s="38"/>
      <c r="M640" s="17"/>
    </row>
    <row r="641" spans="2:13" ht="14.45" customHeight="1" x14ac:dyDescent="0.25">
      <c r="B641" s="17"/>
      <c r="C641" s="14"/>
      <c r="D641" s="14"/>
      <c r="E641" s="18"/>
      <c r="F641" s="61"/>
      <c r="G641" s="73"/>
      <c r="H641" s="79"/>
      <c r="I641" s="79"/>
      <c r="J641" s="14"/>
      <c r="K641" s="38"/>
      <c r="L641" s="38"/>
      <c r="M641" s="17"/>
    </row>
    <row r="642" spans="2:13" ht="14.45" customHeight="1" x14ac:dyDescent="0.25">
      <c r="B642" s="17"/>
      <c r="C642" s="14"/>
      <c r="D642" s="14"/>
      <c r="E642" s="18"/>
      <c r="F642" s="61"/>
      <c r="G642" s="73"/>
      <c r="H642" s="79"/>
      <c r="I642" s="79"/>
      <c r="J642" s="14"/>
      <c r="K642" s="38"/>
      <c r="L642" s="38"/>
      <c r="M642" s="17"/>
    </row>
    <row r="643" spans="2:13" ht="14.45" customHeight="1" x14ac:dyDescent="0.25">
      <c r="B643" s="17"/>
      <c r="C643" s="14"/>
      <c r="D643" s="14"/>
      <c r="E643" s="18"/>
      <c r="F643" s="61"/>
      <c r="G643" s="73"/>
      <c r="H643" s="79"/>
      <c r="I643" s="79"/>
      <c r="J643" s="14"/>
      <c r="K643" s="38"/>
      <c r="L643" s="38"/>
      <c r="M643" s="17"/>
    </row>
    <row r="644" spans="2:13" ht="14.45" customHeight="1" x14ac:dyDescent="0.25">
      <c r="B644" s="17"/>
      <c r="C644" s="14"/>
      <c r="D644" s="14"/>
      <c r="E644" s="18"/>
      <c r="F644" s="61"/>
      <c r="G644" s="73"/>
      <c r="H644" s="79"/>
      <c r="I644" s="79"/>
      <c r="J644" s="14"/>
      <c r="K644" s="38"/>
      <c r="L644" s="38"/>
      <c r="M644" s="17"/>
    </row>
    <row r="645" spans="2:13" ht="14.45" customHeight="1" x14ac:dyDescent="0.25">
      <c r="B645" s="17"/>
      <c r="C645" s="14"/>
      <c r="D645" s="14"/>
      <c r="E645" s="18"/>
      <c r="F645" s="61"/>
      <c r="G645" s="73"/>
      <c r="H645" s="79"/>
      <c r="I645" s="79"/>
      <c r="J645" s="14"/>
      <c r="K645" s="38"/>
      <c r="L645" s="38"/>
      <c r="M645" s="17"/>
    </row>
    <row r="646" spans="2:13" ht="14.45" customHeight="1" x14ac:dyDescent="0.25">
      <c r="B646" s="17"/>
      <c r="C646" s="14"/>
      <c r="D646" s="14"/>
      <c r="E646" s="18"/>
      <c r="F646" s="61"/>
      <c r="G646" s="73"/>
      <c r="H646" s="79"/>
      <c r="I646" s="79"/>
      <c r="J646" s="14"/>
      <c r="K646" s="38"/>
      <c r="L646" s="38"/>
      <c r="M646" s="17"/>
    </row>
    <row r="647" spans="2:13" ht="14.45" customHeight="1" x14ac:dyDescent="0.25">
      <c r="B647" s="17"/>
      <c r="C647" s="14"/>
      <c r="D647" s="14"/>
      <c r="E647" s="18"/>
      <c r="F647" s="61"/>
      <c r="G647" s="73"/>
      <c r="H647" s="79"/>
      <c r="I647" s="79"/>
      <c r="J647" s="14"/>
      <c r="K647" s="38"/>
      <c r="L647" s="38"/>
      <c r="M647" s="17"/>
    </row>
    <row r="648" spans="2:13" ht="14.45" customHeight="1" x14ac:dyDescent="0.25">
      <c r="B648" s="17"/>
      <c r="C648" s="14"/>
      <c r="D648" s="14"/>
      <c r="E648" s="18"/>
      <c r="F648" s="61"/>
      <c r="G648" s="73"/>
      <c r="H648" s="79"/>
      <c r="I648" s="79"/>
      <c r="J648" s="14"/>
      <c r="K648" s="38"/>
      <c r="L648" s="38"/>
      <c r="M648" s="17"/>
    </row>
    <row r="649" spans="2:13" ht="14.45" customHeight="1" x14ac:dyDescent="0.25">
      <c r="B649" s="17"/>
      <c r="C649" s="14"/>
      <c r="D649" s="14"/>
      <c r="E649" s="18"/>
      <c r="F649" s="61"/>
      <c r="G649" s="73"/>
      <c r="H649" s="79"/>
      <c r="I649" s="79"/>
      <c r="J649" s="14"/>
      <c r="K649" s="38"/>
      <c r="L649" s="38"/>
      <c r="M649" s="17"/>
    </row>
    <row r="650" spans="2:13" ht="14.45" customHeight="1" x14ac:dyDescent="0.25">
      <c r="B650" s="17"/>
      <c r="C650" s="14"/>
      <c r="D650" s="14"/>
      <c r="E650" s="18"/>
      <c r="F650" s="61"/>
      <c r="G650" s="73"/>
      <c r="H650" s="79"/>
      <c r="I650" s="79"/>
      <c r="J650" s="14"/>
      <c r="K650" s="38"/>
      <c r="L650" s="38"/>
      <c r="M650" s="17"/>
    </row>
    <row r="651" spans="2:13" ht="14.45" customHeight="1" x14ac:dyDescent="0.25">
      <c r="B651" s="17"/>
      <c r="C651" s="14"/>
      <c r="D651" s="14"/>
      <c r="E651" s="18"/>
      <c r="F651" s="61"/>
      <c r="G651" s="73"/>
      <c r="H651" s="79"/>
      <c r="I651" s="79"/>
      <c r="J651" s="14"/>
      <c r="K651" s="38"/>
      <c r="L651" s="38"/>
      <c r="M651" s="17"/>
    </row>
    <row r="652" spans="2:13" ht="14.45" customHeight="1" x14ac:dyDescent="0.25">
      <c r="B652" s="17"/>
      <c r="C652" s="14"/>
      <c r="D652" s="14"/>
      <c r="E652" s="18"/>
      <c r="F652" s="61"/>
      <c r="G652" s="73"/>
      <c r="H652" s="79"/>
      <c r="I652" s="79"/>
      <c r="J652" s="14"/>
      <c r="K652" s="38"/>
      <c r="L652" s="38"/>
      <c r="M652" s="17"/>
    </row>
    <row r="653" spans="2:13" ht="14.45" customHeight="1" x14ac:dyDescent="0.25">
      <c r="B653" s="17"/>
      <c r="C653" s="14"/>
      <c r="D653" s="14"/>
      <c r="E653" s="18"/>
      <c r="F653" s="61"/>
      <c r="G653" s="73"/>
      <c r="H653" s="79"/>
      <c r="I653" s="79"/>
      <c r="J653" s="14"/>
      <c r="K653" s="38"/>
      <c r="L653" s="38"/>
      <c r="M653" s="17"/>
    </row>
    <row r="654" spans="2:13" ht="14.45" customHeight="1" x14ac:dyDescent="0.25">
      <c r="B654" s="17"/>
      <c r="C654" s="14"/>
      <c r="D654" s="14"/>
      <c r="E654" s="18"/>
      <c r="F654" s="61"/>
      <c r="G654" s="73"/>
      <c r="H654" s="79"/>
      <c r="I654" s="79"/>
      <c r="J654" s="14"/>
      <c r="K654" s="38"/>
      <c r="L654" s="38"/>
      <c r="M654" s="17"/>
    </row>
    <row r="655" spans="2:13" ht="14.45" customHeight="1" x14ac:dyDescent="0.25">
      <c r="B655" s="17"/>
      <c r="C655" s="14"/>
      <c r="D655" s="14"/>
      <c r="E655" s="18"/>
      <c r="F655" s="61"/>
      <c r="G655" s="73"/>
      <c r="H655" s="79"/>
      <c r="I655" s="79"/>
      <c r="J655" s="14"/>
      <c r="K655" s="38"/>
      <c r="L655" s="38"/>
      <c r="M655" s="17"/>
    </row>
    <row r="656" spans="2:13" ht="14.45" customHeight="1" x14ac:dyDescent="0.25">
      <c r="B656" s="17"/>
      <c r="C656" s="14"/>
      <c r="D656" s="14"/>
      <c r="E656" s="18"/>
      <c r="F656" s="61"/>
      <c r="G656" s="73"/>
      <c r="H656" s="79"/>
      <c r="I656" s="79"/>
      <c r="J656" s="14"/>
      <c r="K656" s="38"/>
      <c r="L656" s="38"/>
      <c r="M656" s="17"/>
    </row>
    <row r="657" spans="2:13" ht="14.45" customHeight="1" x14ac:dyDescent="0.25">
      <c r="B657" s="17"/>
      <c r="C657" s="14"/>
      <c r="D657" s="14"/>
      <c r="E657" s="18"/>
      <c r="F657" s="61"/>
      <c r="G657" s="73"/>
      <c r="H657" s="79"/>
      <c r="I657" s="79"/>
      <c r="J657" s="14"/>
      <c r="K657" s="38"/>
      <c r="L657" s="38"/>
      <c r="M657" s="17"/>
    </row>
    <row r="658" spans="2:13" ht="14.45" customHeight="1" x14ac:dyDescent="0.25">
      <c r="B658" s="17"/>
      <c r="C658" s="14"/>
      <c r="D658" s="14"/>
      <c r="E658" s="18"/>
      <c r="F658" s="61"/>
      <c r="G658" s="73"/>
      <c r="H658" s="79"/>
      <c r="I658" s="79"/>
      <c r="J658" s="14"/>
      <c r="K658" s="38"/>
      <c r="L658" s="38"/>
      <c r="M658" s="17"/>
    </row>
    <row r="659" spans="2:13" ht="14.45" customHeight="1" x14ac:dyDescent="0.25">
      <c r="B659" s="17"/>
      <c r="C659" s="14"/>
      <c r="D659" s="14"/>
      <c r="E659" s="18"/>
      <c r="F659" s="61"/>
      <c r="G659" s="73"/>
      <c r="H659" s="79"/>
      <c r="I659" s="79"/>
      <c r="J659" s="14"/>
      <c r="K659" s="38"/>
      <c r="L659" s="38"/>
      <c r="M659" s="17"/>
    </row>
    <row r="660" spans="2:13" ht="14.45" customHeight="1" x14ac:dyDescent="0.25">
      <c r="B660" s="17"/>
      <c r="C660" s="14"/>
      <c r="D660" s="14"/>
      <c r="E660" s="18"/>
      <c r="F660" s="61"/>
      <c r="G660" s="73"/>
      <c r="H660" s="79"/>
      <c r="I660" s="79"/>
      <c r="J660" s="14"/>
      <c r="K660" s="38"/>
      <c r="L660" s="38"/>
      <c r="M660" s="17"/>
    </row>
    <row r="661" spans="2:13" ht="14.45" customHeight="1" x14ac:dyDescent="0.25">
      <c r="B661" s="17"/>
      <c r="C661" s="14"/>
      <c r="D661" s="14"/>
      <c r="E661" s="18"/>
      <c r="F661" s="61"/>
      <c r="G661" s="73"/>
      <c r="H661" s="79"/>
      <c r="I661" s="79"/>
      <c r="J661" s="14"/>
      <c r="K661" s="38"/>
      <c r="L661" s="38"/>
      <c r="M661" s="17"/>
    </row>
    <row r="662" spans="2:13" ht="14.45" customHeight="1" x14ac:dyDescent="0.25">
      <c r="B662" s="17"/>
      <c r="C662" s="14"/>
      <c r="D662" s="14"/>
      <c r="E662" s="18"/>
      <c r="F662" s="61"/>
      <c r="G662" s="73"/>
      <c r="H662" s="79"/>
      <c r="I662" s="79"/>
      <c r="J662" s="14"/>
      <c r="K662" s="38"/>
      <c r="L662" s="38"/>
      <c r="M662" s="17"/>
    </row>
    <row r="663" spans="2:13" ht="14.45" customHeight="1" x14ac:dyDescent="0.25">
      <c r="B663" s="17"/>
      <c r="C663" s="14"/>
      <c r="D663" s="14"/>
      <c r="E663" s="18"/>
      <c r="F663" s="61"/>
      <c r="G663" s="73"/>
      <c r="H663" s="79"/>
      <c r="I663" s="79"/>
      <c r="J663" s="14"/>
      <c r="K663" s="38"/>
      <c r="L663" s="38"/>
      <c r="M663" s="17"/>
    </row>
    <row r="664" spans="2:13" ht="14.45" customHeight="1" x14ac:dyDescent="0.25">
      <c r="B664" s="17"/>
      <c r="C664" s="14"/>
      <c r="D664" s="14"/>
      <c r="E664" s="18"/>
      <c r="F664" s="61"/>
      <c r="G664" s="73"/>
      <c r="H664" s="79"/>
      <c r="I664" s="79"/>
      <c r="J664" s="14"/>
      <c r="K664" s="38"/>
      <c r="L664" s="38"/>
      <c r="M664" s="17"/>
    </row>
    <row r="665" spans="2:13" ht="14.45" customHeight="1" x14ac:dyDescent="0.25">
      <c r="B665" s="17"/>
      <c r="C665" s="14"/>
      <c r="D665" s="14"/>
      <c r="E665" s="18"/>
      <c r="F665" s="61"/>
      <c r="G665" s="73"/>
      <c r="H665" s="79"/>
      <c r="I665" s="79"/>
      <c r="J665" s="14"/>
      <c r="K665" s="38"/>
      <c r="L665" s="38"/>
      <c r="M665" s="17"/>
    </row>
    <row r="666" spans="2:13" ht="14.45" customHeight="1" x14ac:dyDescent="0.25">
      <c r="B666" s="17"/>
      <c r="C666" s="14"/>
      <c r="D666" s="14"/>
      <c r="E666" s="18"/>
      <c r="F666" s="61"/>
      <c r="G666" s="73"/>
      <c r="H666" s="79"/>
      <c r="I666" s="79"/>
      <c r="J666" s="14"/>
      <c r="K666" s="38"/>
      <c r="L666" s="38"/>
      <c r="M666" s="17"/>
    </row>
    <row r="667" spans="2:13" ht="14.45" customHeight="1" x14ac:dyDescent="0.25">
      <c r="B667" s="17"/>
      <c r="C667" s="14"/>
      <c r="D667" s="14"/>
      <c r="E667" s="18"/>
      <c r="F667" s="61"/>
      <c r="G667" s="73"/>
      <c r="H667" s="79"/>
      <c r="I667" s="79"/>
      <c r="J667" s="14"/>
      <c r="K667" s="38"/>
      <c r="L667" s="38"/>
      <c r="M667" s="17"/>
    </row>
    <row r="668" spans="2:13" ht="14.45" customHeight="1" x14ac:dyDescent="0.25">
      <c r="B668" s="17"/>
      <c r="C668" s="14"/>
      <c r="D668" s="14"/>
      <c r="E668" s="18"/>
      <c r="F668" s="61"/>
      <c r="G668" s="73"/>
      <c r="H668" s="79"/>
      <c r="I668" s="79"/>
      <c r="J668" s="14"/>
      <c r="K668" s="38"/>
      <c r="L668" s="38"/>
      <c r="M668" s="17"/>
    </row>
    <row r="669" spans="2:13" ht="14.45" customHeight="1" x14ac:dyDescent="0.25">
      <c r="B669" s="17"/>
      <c r="C669" s="14"/>
      <c r="D669" s="14"/>
      <c r="E669" s="18"/>
      <c r="F669" s="61"/>
      <c r="G669" s="73"/>
      <c r="H669" s="79"/>
      <c r="I669" s="79"/>
      <c r="J669" s="14"/>
      <c r="K669" s="38"/>
      <c r="L669" s="38"/>
      <c r="M669" s="17"/>
    </row>
    <row r="670" spans="2:13" ht="14.45" customHeight="1" x14ac:dyDescent="0.25">
      <c r="B670" s="17"/>
      <c r="C670" s="14"/>
      <c r="D670" s="14"/>
      <c r="E670" s="18"/>
      <c r="F670" s="61"/>
      <c r="G670" s="73"/>
      <c r="H670" s="79"/>
      <c r="I670" s="79"/>
      <c r="J670" s="14"/>
      <c r="K670" s="38"/>
      <c r="L670" s="38"/>
      <c r="M670" s="17"/>
    </row>
    <row r="671" spans="2:13" ht="14.45" customHeight="1" x14ac:dyDescent="0.25">
      <c r="B671" s="17"/>
      <c r="C671" s="14"/>
      <c r="D671" s="14"/>
      <c r="E671" s="18"/>
      <c r="F671" s="61"/>
      <c r="G671" s="73"/>
      <c r="H671" s="79"/>
      <c r="I671" s="79"/>
      <c r="J671" s="14"/>
      <c r="K671" s="38"/>
      <c r="L671" s="38"/>
      <c r="M671" s="17"/>
    </row>
    <row r="672" spans="2:13" ht="14.45" customHeight="1" x14ac:dyDescent="0.25">
      <c r="B672" s="17"/>
      <c r="C672" s="14"/>
      <c r="D672" s="14"/>
      <c r="E672" s="18"/>
      <c r="F672" s="61"/>
      <c r="G672" s="73"/>
      <c r="H672" s="79"/>
      <c r="I672" s="79"/>
      <c r="J672" s="14"/>
      <c r="K672" s="38"/>
      <c r="L672" s="38"/>
      <c r="M672" s="17"/>
    </row>
    <row r="673" spans="2:13" ht="14.45" customHeight="1" x14ac:dyDescent="0.25">
      <c r="B673" s="17"/>
      <c r="C673" s="14"/>
      <c r="D673" s="14"/>
      <c r="E673" s="18"/>
      <c r="F673" s="61"/>
      <c r="G673" s="73"/>
      <c r="H673" s="79"/>
      <c r="I673" s="79"/>
      <c r="J673" s="14"/>
      <c r="K673" s="38"/>
      <c r="L673" s="38"/>
      <c r="M673" s="17"/>
    </row>
    <row r="674" spans="2:13" ht="14.45" customHeight="1" x14ac:dyDescent="0.25">
      <c r="B674" s="17"/>
      <c r="C674" s="14"/>
      <c r="D674" s="14"/>
      <c r="E674" s="18"/>
      <c r="F674" s="61"/>
      <c r="G674" s="73"/>
      <c r="H674" s="79"/>
      <c r="I674" s="79"/>
      <c r="J674" s="14"/>
      <c r="K674" s="38"/>
      <c r="L674" s="38"/>
      <c r="M674" s="17"/>
    </row>
    <row r="675" spans="2:13" ht="14.45" customHeight="1" x14ac:dyDescent="0.25">
      <c r="B675" s="17"/>
      <c r="C675" s="14"/>
      <c r="D675" s="14"/>
      <c r="E675" s="18"/>
      <c r="F675" s="61"/>
      <c r="G675" s="73"/>
      <c r="H675" s="79"/>
      <c r="I675" s="79"/>
      <c r="J675" s="14"/>
      <c r="K675" s="38"/>
      <c r="L675" s="38"/>
      <c r="M675" s="17"/>
    </row>
    <row r="676" spans="2:13" ht="14.45" customHeight="1" x14ac:dyDescent="0.25">
      <c r="B676" s="17"/>
      <c r="C676" s="14"/>
      <c r="D676" s="14"/>
      <c r="E676" s="18"/>
      <c r="F676" s="61"/>
      <c r="G676" s="73"/>
      <c r="H676" s="79"/>
      <c r="I676" s="79"/>
      <c r="J676" s="14"/>
      <c r="K676" s="38"/>
      <c r="L676" s="38"/>
      <c r="M676" s="17"/>
    </row>
    <row r="677" spans="2:13" ht="14.45" customHeight="1" x14ac:dyDescent="0.25">
      <c r="B677" s="17"/>
      <c r="C677" s="14"/>
      <c r="D677" s="14"/>
      <c r="E677" s="18"/>
      <c r="F677" s="61"/>
      <c r="G677" s="73"/>
      <c r="H677" s="79"/>
      <c r="I677" s="79"/>
      <c r="J677" s="14"/>
      <c r="K677" s="38"/>
      <c r="L677" s="38"/>
      <c r="M677" s="17"/>
    </row>
    <row r="678" spans="2:13" ht="14.45" customHeight="1" x14ac:dyDescent="0.25">
      <c r="B678" s="17"/>
      <c r="C678" s="14"/>
      <c r="D678" s="14"/>
      <c r="E678" s="18"/>
      <c r="F678" s="61"/>
      <c r="G678" s="73"/>
      <c r="H678" s="79"/>
      <c r="I678" s="79"/>
      <c r="J678" s="14"/>
      <c r="K678" s="38"/>
      <c r="L678" s="38"/>
      <c r="M678" s="17"/>
    </row>
    <row r="679" spans="2:13" ht="14.45" customHeight="1" x14ac:dyDescent="0.25">
      <c r="B679" s="17"/>
      <c r="C679" s="14"/>
      <c r="D679" s="14"/>
      <c r="E679" s="18"/>
      <c r="F679" s="61"/>
      <c r="G679" s="73"/>
      <c r="H679" s="79"/>
      <c r="I679" s="79"/>
      <c r="J679" s="14"/>
      <c r="K679" s="38"/>
      <c r="L679" s="38"/>
      <c r="M679" s="17"/>
    </row>
    <row r="680" spans="2:13" ht="14.45" customHeight="1" x14ac:dyDescent="0.25">
      <c r="B680" s="17"/>
      <c r="C680" s="14"/>
      <c r="D680" s="14"/>
      <c r="E680" s="18"/>
      <c r="F680" s="61"/>
      <c r="G680" s="73"/>
      <c r="H680" s="79"/>
      <c r="I680" s="79"/>
      <c r="J680" s="14"/>
      <c r="K680" s="38"/>
      <c r="L680" s="38"/>
      <c r="M680" s="17"/>
    </row>
    <row r="681" spans="2:13" ht="14.45" customHeight="1" x14ac:dyDescent="0.25">
      <c r="B681" s="17"/>
      <c r="C681" s="14"/>
      <c r="D681" s="14"/>
      <c r="E681" s="18"/>
      <c r="F681" s="61"/>
      <c r="G681" s="73"/>
      <c r="H681" s="79"/>
      <c r="I681" s="79"/>
      <c r="J681" s="14"/>
      <c r="K681" s="38"/>
      <c r="L681" s="38"/>
      <c r="M681" s="17"/>
    </row>
    <row r="682" spans="2:13" ht="14.45" customHeight="1" x14ac:dyDescent="0.25">
      <c r="B682" s="17"/>
      <c r="C682" s="14"/>
      <c r="D682" s="14"/>
      <c r="E682" s="18"/>
      <c r="F682" s="61"/>
      <c r="G682" s="73"/>
      <c r="H682" s="79"/>
      <c r="I682" s="79"/>
      <c r="J682" s="14"/>
      <c r="K682" s="38"/>
      <c r="L682" s="38"/>
      <c r="M682" s="17"/>
    </row>
    <row r="683" spans="2:13" ht="14.45" customHeight="1" x14ac:dyDescent="0.25">
      <c r="B683" s="17"/>
      <c r="C683" s="14"/>
      <c r="D683" s="14"/>
      <c r="E683" s="18"/>
      <c r="F683" s="61"/>
      <c r="G683" s="73"/>
      <c r="H683" s="79"/>
      <c r="I683" s="79"/>
      <c r="J683" s="14"/>
      <c r="K683" s="38"/>
      <c r="L683" s="38"/>
      <c r="M683" s="17"/>
    </row>
    <row r="684" spans="2:13" ht="14.45" customHeight="1" x14ac:dyDescent="0.25">
      <c r="B684" s="17"/>
      <c r="C684" s="14"/>
      <c r="D684" s="14"/>
      <c r="E684" s="18"/>
      <c r="F684" s="61"/>
      <c r="G684" s="73"/>
      <c r="H684" s="79"/>
      <c r="I684" s="79"/>
      <c r="J684" s="14"/>
      <c r="K684" s="38"/>
      <c r="L684" s="38"/>
      <c r="M684" s="17"/>
    </row>
    <row r="685" spans="2:13" ht="14.45" customHeight="1" x14ac:dyDescent="0.25">
      <c r="B685" s="17"/>
      <c r="C685" s="14"/>
      <c r="D685" s="14"/>
      <c r="E685" s="18"/>
      <c r="F685" s="61"/>
      <c r="G685" s="73"/>
      <c r="H685" s="79"/>
      <c r="I685" s="79"/>
      <c r="J685" s="14"/>
      <c r="K685" s="38"/>
      <c r="L685" s="38"/>
      <c r="M685" s="17"/>
    </row>
    <row r="686" spans="2:13" ht="14.45" customHeight="1" x14ac:dyDescent="0.25">
      <c r="B686" s="17"/>
      <c r="C686" s="14"/>
      <c r="D686" s="14"/>
      <c r="E686" s="18"/>
      <c r="F686" s="61"/>
      <c r="G686" s="73"/>
      <c r="H686" s="79"/>
      <c r="I686" s="79"/>
      <c r="J686" s="14"/>
      <c r="K686" s="38"/>
      <c r="L686" s="38"/>
      <c r="M686" s="17"/>
    </row>
    <row r="687" spans="2:13" ht="14.45" customHeight="1" x14ac:dyDescent="0.25">
      <c r="B687" s="17"/>
      <c r="C687" s="14"/>
      <c r="D687" s="14"/>
      <c r="E687" s="18"/>
      <c r="F687" s="61"/>
      <c r="G687" s="73"/>
      <c r="H687" s="79"/>
      <c r="I687" s="79"/>
      <c r="J687" s="14"/>
      <c r="K687" s="38"/>
      <c r="L687" s="38"/>
      <c r="M687" s="17"/>
    </row>
    <row r="688" spans="2:13" ht="14.45" customHeight="1" x14ac:dyDescent="0.25">
      <c r="B688" s="17"/>
      <c r="C688" s="14"/>
      <c r="D688" s="14"/>
      <c r="E688" s="18"/>
      <c r="F688" s="61"/>
      <c r="G688" s="73"/>
      <c r="H688" s="79"/>
      <c r="I688" s="79"/>
      <c r="J688" s="14"/>
      <c r="K688" s="38"/>
      <c r="L688" s="38"/>
      <c r="M688" s="17"/>
    </row>
    <row r="689" spans="2:13" ht="14.45" customHeight="1" x14ac:dyDescent="0.25">
      <c r="B689" s="17"/>
      <c r="C689" s="14"/>
      <c r="D689" s="14"/>
      <c r="E689" s="18"/>
      <c r="F689" s="61"/>
      <c r="G689" s="73"/>
      <c r="H689" s="79"/>
      <c r="I689" s="79"/>
      <c r="J689" s="14"/>
      <c r="K689" s="38"/>
      <c r="L689" s="38"/>
      <c r="M689" s="17"/>
    </row>
    <row r="690" spans="2:13" ht="14.45" customHeight="1" x14ac:dyDescent="0.25">
      <c r="B690" s="17"/>
      <c r="C690" s="14"/>
      <c r="D690" s="14"/>
      <c r="E690" s="18"/>
      <c r="F690" s="61"/>
      <c r="G690" s="73"/>
      <c r="H690" s="79"/>
      <c r="I690" s="79"/>
      <c r="J690" s="14"/>
      <c r="K690" s="38"/>
      <c r="L690" s="38"/>
      <c r="M690" s="17"/>
    </row>
    <row r="691" spans="2:13" ht="14.45" customHeight="1" x14ac:dyDescent="0.25">
      <c r="B691" s="17"/>
      <c r="C691" s="14"/>
      <c r="D691" s="14"/>
      <c r="E691" s="18"/>
      <c r="F691" s="61"/>
      <c r="G691" s="73"/>
      <c r="H691" s="79"/>
      <c r="I691" s="79"/>
      <c r="J691" s="14"/>
      <c r="K691" s="38"/>
      <c r="L691" s="38"/>
      <c r="M691" s="17"/>
    </row>
    <row r="692" spans="2:13" ht="14.45" customHeight="1" x14ac:dyDescent="0.25">
      <c r="B692" s="17"/>
      <c r="C692" s="14"/>
      <c r="D692" s="14"/>
      <c r="E692" s="18"/>
      <c r="F692" s="61"/>
      <c r="G692" s="73"/>
      <c r="H692" s="79"/>
      <c r="I692" s="79"/>
      <c r="J692" s="14"/>
      <c r="K692" s="38"/>
      <c r="L692" s="38"/>
      <c r="M692" s="17"/>
    </row>
    <row r="693" spans="2:13" ht="14.45" customHeight="1" x14ac:dyDescent="0.25">
      <c r="B693" s="17"/>
      <c r="C693" s="14"/>
      <c r="D693" s="14"/>
      <c r="E693" s="18"/>
      <c r="F693" s="61"/>
      <c r="G693" s="73"/>
      <c r="H693" s="79"/>
      <c r="I693" s="79"/>
      <c r="J693" s="14"/>
      <c r="K693" s="38"/>
      <c r="L693" s="38"/>
      <c r="M693" s="17"/>
    </row>
    <row r="694" spans="2:13" ht="14.45" customHeight="1" x14ac:dyDescent="0.25">
      <c r="B694" s="17"/>
      <c r="C694" s="14"/>
      <c r="D694" s="14"/>
      <c r="E694" s="18"/>
      <c r="F694" s="61"/>
      <c r="G694" s="73"/>
      <c r="H694" s="79"/>
      <c r="I694" s="79"/>
      <c r="J694" s="14"/>
      <c r="K694" s="38"/>
      <c r="L694" s="38"/>
      <c r="M694" s="17"/>
    </row>
    <row r="695" spans="2:13" ht="14.45" customHeight="1" x14ac:dyDescent="0.25">
      <c r="B695" s="17"/>
      <c r="C695" s="14"/>
      <c r="D695" s="14"/>
      <c r="E695" s="18"/>
      <c r="F695" s="61"/>
      <c r="G695" s="73"/>
      <c r="H695" s="79"/>
      <c r="I695" s="79"/>
      <c r="J695" s="14"/>
      <c r="K695" s="38"/>
      <c r="L695" s="38"/>
      <c r="M695" s="17"/>
    </row>
    <row r="696" spans="2:13" ht="14.45" customHeight="1" x14ac:dyDescent="0.25">
      <c r="B696" s="17"/>
      <c r="C696" s="14"/>
      <c r="D696" s="14"/>
      <c r="E696" s="18"/>
      <c r="F696" s="61"/>
      <c r="G696" s="73"/>
      <c r="H696" s="79"/>
      <c r="I696" s="79"/>
      <c r="J696" s="14"/>
      <c r="K696" s="38"/>
      <c r="L696" s="38"/>
      <c r="M696" s="17"/>
    </row>
    <row r="697" spans="2:13" ht="14.45" customHeight="1" x14ac:dyDescent="0.25">
      <c r="B697" s="17"/>
      <c r="C697" s="14"/>
      <c r="D697" s="14"/>
      <c r="E697" s="18"/>
      <c r="F697" s="61"/>
      <c r="G697" s="73"/>
      <c r="H697" s="79"/>
      <c r="I697" s="79"/>
      <c r="J697" s="14"/>
      <c r="K697" s="38"/>
      <c r="L697" s="38"/>
      <c r="M697" s="17"/>
    </row>
    <row r="698" spans="2:13" ht="14.45" customHeight="1" x14ac:dyDescent="0.25">
      <c r="B698" s="17"/>
      <c r="C698" s="14"/>
      <c r="D698" s="14"/>
      <c r="E698" s="18"/>
      <c r="F698" s="61"/>
      <c r="G698" s="73"/>
      <c r="H698" s="79"/>
      <c r="I698" s="79"/>
      <c r="J698" s="14"/>
      <c r="K698" s="38"/>
      <c r="L698" s="38"/>
      <c r="M698" s="17"/>
    </row>
    <row r="699" spans="2:13" ht="14.45" customHeight="1" x14ac:dyDescent="0.25">
      <c r="B699" s="17"/>
      <c r="C699" s="14"/>
      <c r="D699" s="14"/>
      <c r="E699" s="18"/>
      <c r="F699" s="61"/>
      <c r="G699" s="73"/>
      <c r="H699" s="79"/>
      <c r="I699" s="79"/>
      <c r="J699" s="14"/>
      <c r="K699" s="38"/>
      <c r="L699" s="38"/>
      <c r="M699" s="17"/>
    </row>
    <row r="700" spans="2:13" ht="14.45" customHeight="1" x14ac:dyDescent="0.25">
      <c r="B700" s="17"/>
      <c r="C700" s="14"/>
      <c r="D700" s="14"/>
      <c r="E700" s="18"/>
      <c r="F700" s="61"/>
      <c r="G700" s="73"/>
      <c r="H700" s="79"/>
      <c r="I700" s="79"/>
      <c r="J700" s="14"/>
      <c r="K700" s="38"/>
      <c r="L700" s="38"/>
      <c r="M700" s="17"/>
    </row>
    <row r="701" spans="2:13" ht="14.45" customHeight="1" x14ac:dyDescent="0.25">
      <c r="B701" s="17"/>
      <c r="C701" s="14"/>
      <c r="D701" s="14"/>
      <c r="E701" s="18"/>
      <c r="F701" s="61"/>
      <c r="G701" s="73"/>
      <c r="H701" s="79"/>
      <c r="I701" s="79"/>
      <c r="J701" s="14"/>
      <c r="K701" s="38"/>
      <c r="L701" s="38"/>
      <c r="M701" s="17"/>
    </row>
    <row r="702" spans="2:13" ht="14.45" customHeight="1" x14ac:dyDescent="0.25">
      <c r="B702" s="17"/>
      <c r="C702" s="14"/>
      <c r="D702" s="14"/>
      <c r="E702" s="18"/>
      <c r="F702" s="61"/>
      <c r="G702" s="73"/>
      <c r="H702" s="79"/>
      <c r="I702" s="79"/>
      <c r="J702" s="14"/>
      <c r="K702" s="38"/>
      <c r="L702" s="38"/>
      <c r="M702" s="17"/>
    </row>
    <row r="703" spans="2:13" ht="14.45" customHeight="1" x14ac:dyDescent="0.25">
      <c r="B703" s="17"/>
      <c r="C703" s="14"/>
      <c r="D703" s="14"/>
      <c r="E703" s="18"/>
      <c r="F703" s="61"/>
      <c r="G703" s="73"/>
      <c r="H703" s="79"/>
      <c r="I703" s="79"/>
      <c r="J703" s="14"/>
      <c r="K703" s="38"/>
      <c r="L703" s="38"/>
      <c r="M703" s="17"/>
    </row>
    <row r="704" spans="2:13" ht="14.45" customHeight="1" x14ac:dyDescent="0.25">
      <c r="B704" s="17"/>
      <c r="C704" s="14"/>
      <c r="D704" s="14"/>
      <c r="E704" s="18"/>
      <c r="F704" s="61"/>
      <c r="G704" s="73"/>
      <c r="H704" s="79"/>
      <c r="I704" s="79"/>
      <c r="J704" s="14"/>
      <c r="K704" s="38"/>
      <c r="L704" s="38"/>
      <c r="M704" s="17"/>
    </row>
    <row r="705" spans="2:13" ht="14.45" customHeight="1" x14ac:dyDescent="0.25">
      <c r="B705" s="17"/>
      <c r="C705" s="14"/>
      <c r="D705" s="14"/>
      <c r="E705" s="18"/>
      <c r="F705" s="61"/>
      <c r="G705" s="73"/>
      <c r="H705" s="79"/>
      <c r="I705" s="79"/>
      <c r="J705" s="14"/>
      <c r="K705" s="38"/>
      <c r="L705" s="38"/>
      <c r="M705" s="17"/>
    </row>
    <row r="706" spans="2:13" ht="14.45" customHeight="1" x14ac:dyDescent="0.25">
      <c r="B706" s="17"/>
      <c r="C706" s="14"/>
      <c r="D706" s="14"/>
      <c r="E706" s="18"/>
      <c r="F706" s="61"/>
      <c r="G706" s="73"/>
      <c r="H706" s="79"/>
      <c r="I706" s="79"/>
      <c r="J706" s="14"/>
      <c r="K706" s="38"/>
      <c r="L706" s="38"/>
      <c r="M706" s="17"/>
    </row>
    <row r="707" spans="2:13" ht="14.45" customHeight="1" x14ac:dyDescent="0.25">
      <c r="B707" s="17"/>
      <c r="C707" s="14"/>
      <c r="D707" s="14"/>
      <c r="E707" s="18"/>
      <c r="F707" s="61"/>
      <c r="G707" s="73"/>
      <c r="H707" s="79"/>
      <c r="I707" s="79"/>
      <c r="J707" s="14"/>
      <c r="K707" s="38"/>
      <c r="L707" s="38"/>
      <c r="M707" s="17"/>
    </row>
    <row r="708" spans="2:13" ht="14.45" customHeight="1" x14ac:dyDescent="0.25">
      <c r="B708" s="17"/>
      <c r="C708" s="14"/>
      <c r="D708" s="14"/>
      <c r="E708" s="18"/>
      <c r="F708" s="61"/>
      <c r="G708" s="73"/>
      <c r="H708" s="79"/>
      <c r="I708" s="79"/>
      <c r="J708" s="14"/>
      <c r="K708" s="38"/>
      <c r="L708" s="38"/>
      <c r="M708" s="17"/>
    </row>
    <row r="709" spans="2:13" ht="14.45" customHeight="1" x14ac:dyDescent="0.25">
      <c r="B709" s="17"/>
      <c r="C709" s="14"/>
      <c r="D709" s="14"/>
      <c r="E709" s="18"/>
      <c r="F709" s="61"/>
      <c r="G709" s="73"/>
      <c r="H709" s="79"/>
      <c r="I709" s="79"/>
      <c r="J709" s="14"/>
      <c r="K709" s="38"/>
      <c r="L709" s="38"/>
      <c r="M709" s="17"/>
    </row>
    <row r="710" spans="2:13" ht="14.45" customHeight="1" x14ac:dyDescent="0.25">
      <c r="B710" s="17"/>
      <c r="C710" s="14"/>
      <c r="D710" s="14"/>
      <c r="E710" s="18"/>
      <c r="F710" s="61"/>
      <c r="G710" s="73"/>
      <c r="H710" s="79"/>
      <c r="I710" s="79"/>
      <c r="J710" s="14"/>
      <c r="K710" s="38"/>
      <c r="L710" s="38"/>
      <c r="M710" s="17"/>
    </row>
    <row r="711" spans="2:13" ht="14.45" customHeight="1" x14ac:dyDescent="0.25">
      <c r="B711" s="17"/>
      <c r="C711" s="14"/>
      <c r="D711" s="14"/>
      <c r="E711" s="18"/>
      <c r="F711" s="61"/>
      <c r="G711" s="73"/>
      <c r="H711" s="79"/>
      <c r="I711" s="79"/>
      <c r="J711" s="14"/>
      <c r="K711" s="38"/>
      <c r="L711" s="38"/>
      <c r="M711" s="17"/>
    </row>
    <row r="712" spans="2:13" ht="14.45" customHeight="1" x14ac:dyDescent="0.25">
      <c r="B712" s="17"/>
      <c r="C712" s="14"/>
      <c r="D712" s="14"/>
      <c r="E712" s="18"/>
      <c r="F712" s="61"/>
      <c r="G712" s="73"/>
      <c r="H712" s="79"/>
      <c r="I712" s="79"/>
      <c r="J712" s="14"/>
      <c r="K712" s="38"/>
      <c r="L712" s="38"/>
      <c r="M712" s="17"/>
    </row>
    <row r="713" spans="2:13" ht="14.45" customHeight="1" x14ac:dyDescent="0.25">
      <c r="B713" s="17"/>
      <c r="C713" s="14"/>
      <c r="D713" s="14"/>
      <c r="E713" s="18"/>
      <c r="F713" s="61"/>
      <c r="G713" s="73"/>
      <c r="H713" s="79"/>
      <c r="I713" s="79"/>
      <c r="J713" s="14"/>
      <c r="K713" s="38"/>
      <c r="L713" s="38"/>
      <c r="M713" s="17"/>
    </row>
    <row r="714" spans="2:13" ht="14.45" customHeight="1" x14ac:dyDescent="0.25">
      <c r="B714" s="17"/>
      <c r="C714" s="14"/>
      <c r="D714" s="14"/>
      <c r="E714" s="18"/>
      <c r="F714" s="61"/>
      <c r="G714" s="73"/>
      <c r="H714" s="79"/>
      <c r="I714" s="79"/>
      <c r="J714" s="14"/>
      <c r="K714" s="38"/>
      <c r="L714" s="38"/>
      <c r="M714" s="17"/>
    </row>
    <row r="715" spans="2:13" ht="14.45" customHeight="1" x14ac:dyDescent="0.25">
      <c r="B715" s="17"/>
      <c r="C715" s="14"/>
      <c r="D715" s="14"/>
      <c r="E715" s="18"/>
      <c r="F715" s="61"/>
      <c r="G715" s="73"/>
      <c r="H715" s="79"/>
      <c r="I715" s="79"/>
      <c r="J715" s="14"/>
      <c r="K715" s="38"/>
      <c r="L715" s="38"/>
      <c r="M715" s="17"/>
    </row>
    <row r="716" spans="2:13" ht="14.45" customHeight="1" x14ac:dyDescent="0.25">
      <c r="B716" s="17"/>
      <c r="C716" s="14"/>
      <c r="D716" s="14"/>
      <c r="E716" s="18"/>
      <c r="F716" s="61"/>
      <c r="G716" s="73"/>
      <c r="H716" s="79"/>
      <c r="I716" s="79"/>
      <c r="J716" s="14"/>
      <c r="K716" s="38"/>
      <c r="L716" s="38"/>
      <c r="M716" s="17"/>
    </row>
    <row r="717" spans="2:13" ht="14.45" customHeight="1" x14ac:dyDescent="0.25">
      <c r="B717" s="17"/>
      <c r="C717" s="14"/>
      <c r="D717" s="14"/>
      <c r="E717" s="18"/>
      <c r="F717" s="61"/>
      <c r="G717" s="73"/>
      <c r="H717" s="79"/>
      <c r="I717" s="79"/>
      <c r="J717" s="14"/>
      <c r="K717" s="38"/>
      <c r="L717" s="38"/>
      <c r="M717" s="17"/>
    </row>
    <row r="718" spans="2:13" ht="14.45" customHeight="1" x14ac:dyDescent="0.25">
      <c r="B718" s="17"/>
      <c r="C718" s="14"/>
      <c r="D718" s="14"/>
      <c r="E718" s="18"/>
      <c r="F718" s="61"/>
      <c r="G718" s="73"/>
      <c r="H718" s="79"/>
      <c r="I718" s="79"/>
      <c r="J718" s="14"/>
      <c r="K718" s="38"/>
      <c r="L718" s="38"/>
      <c r="M718" s="17"/>
    </row>
    <row r="719" spans="2:13" ht="14.45" customHeight="1" x14ac:dyDescent="0.25">
      <c r="B719" s="17"/>
      <c r="C719" s="14"/>
      <c r="D719" s="14"/>
      <c r="E719" s="18"/>
      <c r="F719" s="61"/>
      <c r="G719" s="73"/>
      <c r="H719" s="79"/>
      <c r="I719" s="79"/>
      <c r="J719" s="14"/>
      <c r="K719" s="38"/>
      <c r="L719" s="38"/>
      <c r="M719" s="17"/>
    </row>
    <row r="720" spans="2:13" ht="14.45" customHeight="1" x14ac:dyDescent="0.25">
      <c r="B720" s="17"/>
      <c r="C720" s="14"/>
      <c r="D720" s="14"/>
      <c r="E720" s="18"/>
      <c r="F720" s="61"/>
      <c r="G720" s="73"/>
      <c r="H720" s="79"/>
      <c r="I720" s="79"/>
      <c r="J720" s="14"/>
      <c r="K720" s="38"/>
      <c r="L720" s="38"/>
      <c r="M720" s="17"/>
    </row>
    <row r="721" spans="2:13" ht="14.45" customHeight="1" x14ac:dyDescent="0.25">
      <c r="B721" s="17"/>
      <c r="C721" s="14"/>
      <c r="D721" s="14"/>
      <c r="E721" s="18"/>
      <c r="F721" s="61"/>
      <c r="G721" s="73"/>
      <c r="H721" s="79"/>
      <c r="I721" s="79"/>
      <c r="J721" s="14"/>
      <c r="K721" s="38"/>
      <c r="L721" s="38"/>
      <c r="M721" s="17"/>
    </row>
    <row r="722" spans="2:13" ht="14.45" customHeight="1" x14ac:dyDescent="0.25">
      <c r="B722" s="17"/>
      <c r="C722" s="14"/>
      <c r="D722" s="14"/>
      <c r="E722" s="18"/>
      <c r="F722" s="61"/>
      <c r="G722" s="73"/>
      <c r="H722" s="79"/>
      <c r="I722" s="79"/>
      <c r="J722" s="14"/>
      <c r="K722" s="38"/>
      <c r="L722" s="38"/>
      <c r="M722" s="17"/>
    </row>
    <row r="723" spans="2:13" ht="14.45" customHeight="1" x14ac:dyDescent="0.25">
      <c r="B723" s="17"/>
      <c r="C723" s="14"/>
      <c r="D723" s="14"/>
      <c r="E723" s="18"/>
      <c r="F723" s="61"/>
      <c r="G723" s="73"/>
      <c r="H723" s="79"/>
      <c r="I723" s="79"/>
      <c r="J723" s="14"/>
      <c r="K723" s="38"/>
      <c r="L723" s="38"/>
      <c r="M723" s="17"/>
    </row>
    <row r="724" spans="2:13" ht="14.45" customHeight="1" x14ac:dyDescent="0.25">
      <c r="B724" s="17"/>
      <c r="C724" s="14"/>
      <c r="D724" s="14"/>
      <c r="E724" s="18"/>
      <c r="F724" s="61"/>
      <c r="G724" s="73"/>
      <c r="H724" s="79"/>
      <c r="I724" s="79"/>
      <c r="J724" s="14"/>
      <c r="K724" s="38"/>
      <c r="L724" s="38"/>
      <c r="M724" s="17"/>
    </row>
    <row r="725" spans="2:13" ht="14.45" customHeight="1" x14ac:dyDescent="0.25">
      <c r="B725" s="17"/>
      <c r="C725" s="14"/>
      <c r="D725" s="14"/>
      <c r="E725" s="18"/>
      <c r="F725" s="61"/>
      <c r="G725" s="73"/>
      <c r="H725" s="79"/>
      <c r="I725" s="79"/>
      <c r="J725" s="14"/>
      <c r="K725" s="38"/>
      <c r="L725" s="38"/>
      <c r="M725" s="17"/>
    </row>
    <row r="726" spans="2:13" ht="14.45" customHeight="1" x14ac:dyDescent="0.25">
      <c r="B726" s="17"/>
      <c r="C726" s="14"/>
      <c r="D726" s="14"/>
      <c r="E726" s="18"/>
      <c r="F726" s="61"/>
      <c r="G726" s="73"/>
      <c r="H726" s="79"/>
      <c r="I726" s="79"/>
      <c r="J726" s="14"/>
      <c r="K726" s="38"/>
      <c r="L726" s="38"/>
      <c r="M726" s="17"/>
    </row>
    <row r="727" spans="2:13" ht="14.45" customHeight="1" x14ac:dyDescent="0.25">
      <c r="B727" s="17"/>
      <c r="C727" s="14"/>
      <c r="D727" s="14"/>
      <c r="E727" s="18"/>
      <c r="F727" s="61"/>
      <c r="G727" s="73"/>
      <c r="H727" s="79"/>
      <c r="I727" s="79"/>
      <c r="J727" s="14"/>
      <c r="K727" s="38"/>
      <c r="L727" s="38"/>
      <c r="M727" s="17"/>
    </row>
    <row r="728" spans="2:13" ht="14.45" customHeight="1" x14ac:dyDescent="0.25">
      <c r="B728" s="17"/>
      <c r="C728" s="14"/>
      <c r="D728" s="14"/>
      <c r="E728" s="18"/>
      <c r="F728" s="61"/>
      <c r="G728" s="73"/>
      <c r="H728" s="79"/>
      <c r="I728" s="79"/>
      <c r="J728" s="14"/>
      <c r="K728" s="38"/>
      <c r="L728" s="38"/>
      <c r="M728" s="17"/>
    </row>
    <row r="729" spans="2:13" ht="14.45" customHeight="1" x14ac:dyDescent="0.25">
      <c r="B729" s="17"/>
      <c r="C729" s="14"/>
      <c r="D729" s="14"/>
      <c r="E729" s="18"/>
      <c r="F729" s="61"/>
      <c r="G729" s="73"/>
      <c r="H729" s="79"/>
      <c r="I729" s="79"/>
      <c r="J729" s="14"/>
      <c r="K729" s="38"/>
      <c r="L729" s="38"/>
      <c r="M729" s="17"/>
    </row>
    <row r="730" spans="2:13" ht="14.45" customHeight="1" x14ac:dyDescent="0.25">
      <c r="B730" s="17"/>
      <c r="C730" s="14"/>
      <c r="D730" s="14"/>
      <c r="E730" s="18"/>
      <c r="F730" s="61"/>
      <c r="G730" s="73"/>
      <c r="H730" s="79"/>
      <c r="I730" s="79"/>
      <c r="J730" s="14"/>
      <c r="K730" s="38"/>
      <c r="L730" s="38"/>
      <c r="M730" s="17"/>
    </row>
    <row r="731" spans="2:13" ht="14.45" customHeight="1" x14ac:dyDescent="0.25">
      <c r="B731" s="17"/>
      <c r="C731" s="14"/>
      <c r="D731" s="14"/>
      <c r="E731" s="18"/>
      <c r="F731" s="61"/>
      <c r="G731" s="73"/>
      <c r="H731" s="79"/>
      <c r="I731" s="79"/>
      <c r="J731" s="14"/>
      <c r="K731" s="38"/>
      <c r="L731" s="38"/>
      <c r="M731" s="17"/>
    </row>
    <row r="732" spans="2:13" ht="14.45" customHeight="1" x14ac:dyDescent="0.25">
      <c r="B732" s="17"/>
      <c r="C732" s="14"/>
      <c r="D732" s="14"/>
      <c r="E732" s="18"/>
      <c r="F732" s="61"/>
      <c r="G732" s="73"/>
      <c r="H732" s="79"/>
      <c r="I732" s="79"/>
      <c r="J732" s="14"/>
      <c r="K732" s="38"/>
      <c r="L732" s="38"/>
      <c r="M732" s="17"/>
    </row>
    <row r="733" spans="2:13" ht="14.45" customHeight="1" x14ac:dyDescent="0.25">
      <c r="B733" s="17"/>
      <c r="C733" s="14"/>
      <c r="D733" s="14"/>
      <c r="E733" s="18"/>
      <c r="F733" s="61"/>
      <c r="G733" s="73"/>
      <c r="H733" s="79"/>
      <c r="I733" s="79"/>
      <c r="J733" s="14"/>
      <c r="K733" s="38"/>
      <c r="L733" s="38"/>
      <c r="M733" s="17"/>
    </row>
    <row r="734" spans="2:13" ht="14.45" customHeight="1" x14ac:dyDescent="0.25">
      <c r="B734" s="17"/>
      <c r="C734" s="14"/>
      <c r="D734" s="14"/>
      <c r="E734" s="18"/>
      <c r="F734" s="61"/>
      <c r="G734" s="73"/>
      <c r="H734" s="79"/>
      <c r="I734" s="79"/>
      <c r="J734" s="14"/>
      <c r="K734" s="38"/>
      <c r="L734" s="38"/>
      <c r="M734" s="17"/>
    </row>
    <row r="735" spans="2:13" ht="14.45" customHeight="1" x14ac:dyDescent="0.25">
      <c r="B735" s="17"/>
      <c r="C735" s="14"/>
      <c r="D735" s="14"/>
      <c r="E735" s="18"/>
      <c r="F735" s="61"/>
      <c r="G735" s="73"/>
      <c r="H735" s="79"/>
      <c r="I735" s="79"/>
      <c r="J735" s="14"/>
      <c r="K735" s="38"/>
      <c r="L735" s="38"/>
      <c r="M735" s="17"/>
    </row>
    <row r="736" spans="2:13" ht="14.45" customHeight="1" x14ac:dyDescent="0.25">
      <c r="B736" s="17"/>
      <c r="C736" s="14"/>
      <c r="D736" s="14"/>
      <c r="E736" s="18"/>
      <c r="F736" s="61"/>
      <c r="G736" s="73"/>
      <c r="H736" s="79"/>
      <c r="I736" s="79"/>
      <c r="J736" s="14"/>
      <c r="K736" s="38"/>
      <c r="L736" s="38"/>
      <c r="M736" s="17"/>
    </row>
    <row r="737" spans="2:13" ht="14.45" customHeight="1" x14ac:dyDescent="0.25">
      <c r="B737" s="17"/>
      <c r="C737" s="14"/>
      <c r="D737" s="14"/>
      <c r="E737" s="18"/>
      <c r="F737" s="61"/>
      <c r="G737" s="73"/>
      <c r="H737" s="79"/>
      <c r="I737" s="79"/>
      <c r="J737" s="14"/>
      <c r="K737" s="38"/>
      <c r="L737" s="38"/>
      <c r="M737" s="17"/>
    </row>
    <row r="738" spans="2:13" ht="14.45" customHeight="1" x14ac:dyDescent="0.25">
      <c r="B738" s="17"/>
      <c r="C738" s="14"/>
      <c r="D738" s="14"/>
      <c r="E738" s="18"/>
      <c r="F738" s="61"/>
      <c r="G738" s="73"/>
      <c r="H738" s="79"/>
      <c r="I738" s="79"/>
      <c r="J738" s="14"/>
      <c r="K738" s="38"/>
      <c r="L738" s="38"/>
      <c r="M738" s="17"/>
    </row>
    <row r="739" spans="2:13" ht="14.45" customHeight="1" x14ac:dyDescent="0.25">
      <c r="B739" s="17"/>
      <c r="C739" s="14"/>
      <c r="D739" s="14"/>
      <c r="E739" s="18"/>
      <c r="F739" s="61"/>
      <c r="G739" s="73"/>
      <c r="H739" s="79"/>
      <c r="I739" s="79"/>
      <c r="J739" s="14"/>
      <c r="K739" s="38"/>
      <c r="L739" s="38"/>
      <c r="M739" s="17"/>
    </row>
    <row r="740" spans="2:13" ht="14.45" customHeight="1" x14ac:dyDescent="0.25">
      <c r="B740" s="17"/>
      <c r="C740" s="14"/>
      <c r="D740" s="14"/>
      <c r="E740" s="18"/>
      <c r="F740" s="61"/>
      <c r="G740" s="73"/>
      <c r="H740" s="79"/>
      <c r="I740" s="79"/>
      <c r="J740" s="14"/>
      <c r="K740" s="38"/>
      <c r="L740" s="38"/>
      <c r="M740" s="17"/>
    </row>
    <row r="741" spans="2:13" ht="14.45" customHeight="1" x14ac:dyDescent="0.25">
      <c r="B741" s="17"/>
      <c r="C741" s="14"/>
      <c r="D741" s="14"/>
      <c r="E741" s="18"/>
      <c r="F741" s="61"/>
      <c r="G741" s="73"/>
      <c r="H741" s="79"/>
      <c r="I741" s="79"/>
      <c r="J741" s="14"/>
      <c r="K741" s="38"/>
      <c r="L741" s="38"/>
      <c r="M741" s="17"/>
    </row>
    <row r="742" spans="2:13" ht="14.45" customHeight="1" x14ac:dyDescent="0.25">
      <c r="B742" s="17"/>
      <c r="C742" s="14"/>
      <c r="D742" s="14"/>
      <c r="E742" s="18"/>
      <c r="F742" s="61"/>
      <c r="G742" s="73"/>
      <c r="H742" s="79"/>
      <c r="I742" s="79"/>
      <c r="J742" s="14"/>
      <c r="K742" s="38"/>
      <c r="L742" s="38"/>
      <c r="M742" s="17"/>
    </row>
    <row r="743" spans="2:13" ht="14.45" customHeight="1" x14ac:dyDescent="0.25">
      <c r="B743" s="17"/>
      <c r="C743" s="14"/>
      <c r="D743" s="14"/>
      <c r="E743" s="18"/>
      <c r="F743" s="61"/>
      <c r="G743" s="73"/>
      <c r="H743" s="79"/>
      <c r="I743" s="79"/>
      <c r="J743" s="14"/>
      <c r="K743" s="38"/>
      <c r="L743" s="38"/>
      <c r="M743" s="17"/>
    </row>
    <row r="744" spans="2:13" ht="14.45" customHeight="1" x14ac:dyDescent="0.25">
      <c r="B744" s="17"/>
      <c r="C744" s="14"/>
      <c r="D744" s="14"/>
      <c r="E744" s="18"/>
      <c r="F744" s="61"/>
      <c r="G744" s="73"/>
      <c r="H744" s="79"/>
      <c r="I744" s="79"/>
      <c r="J744" s="14"/>
      <c r="K744" s="38"/>
      <c r="L744" s="38"/>
      <c r="M744" s="17"/>
    </row>
    <row r="745" spans="2:13" ht="14.45" customHeight="1" x14ac:dyDescent="0.25">
      <c r="B745" s="17"/>
      <c r="C745" s="14"/>
      <c r="D745" s="14"/>
      <c r="E745" s="18"/>
      <c r="F745" s="61"/>
      <c r="G745" s="73"/>
      <c r="H745" s="79"/>
      <c r="I745" s="79"/>
      <c r="J745" s="14"/>
      <c r="K745" s="38"/>
      <c r="L745" s="38"/>
      <c r="M745" s="17"/>
    </row>
    <row r="746" spans="2:13" ht="14.45" customHeight="1" x14ac:dyDescent="0.25">
      <c r="B746" s="17"/>
      <c r="C746" s="14"/>
      <c r="D746" s="14"/>
      <c r="E746" s="18"/>
      <c r="F746" s="61"/>
      <c r="G746" s="73"/>
      <c r="H746" s="79"/>
      <c r="I746" s="79"/>
      <c r="J746" s="14"/>
      <c r="K746" s="38"/>
      <c r="L746" s="38"/>
      <c r="M746" s="17"/>
    </row>
    <row r="747" spans="2:13" ht="14.45" customHeight="1" x14ac:dyDescent="0.25">
      <c r="B747" s="17"/>
      <c r="C747" s="14"/>
      <c r="D747" s="14"/>
      <c r="E747" s="18"/>
      <c r="F747" s="61"/>
      <c r="G747" s="73"/>
      <c r="H747" s="79"/>
      <c r="I747" s="79"/>
      <c r="J747" s="14"/>
      <c r="K747" s="38"/>
      <c r="L747" s="38"/>
      <c r="M747" s="17"/>
    </row>
    <row r="748" spans="2:13" ht="14.45" customHeight="1" x14ac:dyDescent="0.25">
      <c r="B748" s="17"/>
      <c r="C748" s="14"/>
      <c r="D748" s="14"/>
      <c r="E748" s="18"/>
      <c r="F748" s="61"/>
      <c r="G748" s="73"/>
      <c r="H748" s="79"/>
      <c r="I748" s="79"/>
      <c r="J748" s="14"/>
      <c r="K748" s="38"/>
      <c r="L748" s="38"/>
      <c r="M748" s="17"/>
    </row>
    <row r="749" spans="2:13" ht="14.45" customHeight="1" x14ac:dyDescent="0.25">
      <c r="B749" s="17"/>
      <c r="C749" s="14"/>
      <c r="D749" s="14"/>
      <c r="E749" s="18"/>
      <c r="F749" s="61"/>
      <c r="G749" s="73"/>
      <c r="H749" s="79"/>
      <c r="I749" s="79"/>
      <c r="J749" s="14"/>
      <c r="K749" s="38"/>
      <c r="L749" s="38"/>
      <c r="M749" s="17"/>
    </row>
    <row r="750" spans="2:13" ht="14.45" customHeight="1" x14ac:dyDescent="0.25">
      <c r="B750" s="17"/>
      <c r="C750" s="14"/>
      <c r="D750" s="14"/>
      <c r="E750" s="18"/>
      <c r="F750" s="61"/>
      <c r="G750" s="73"/>
      <c r="H750" s="79"/>
      <c r="I750" s="79"/>
      <c r="J750" s="14"/>
      <c r="K750" s="38"/>
      <c r="L750" s="38"/>
      <c r="M750" s="17"/>
    </row>
    <row r="751" spans="2:13" ht="14.45" customHeight="1" x14ac:dyDescent="0.25">
      <c r="B751" s="17"/>
      <c r="C751" s="14"/>
      <c r="D751" s="14"/>
      <c r="E751" s="18"/>
      <c r="F751" s="61"/>
      <c r="G751" s="73"/>
      <c r="H751" s="79"/>
      <c r="I751" s="79"/>
      <c r="J751" s="14"/>
      <c r="K751" s="38"/>
      <c r="L751" s="38"/>
      <c r="M751" s="17"/>
    </row>
    <row r="752" spans="2:13" ht="14.45" customHeight="1" x14ac:dyDescent="0.25">
      <c r="B752" s="17"/>
      <c r="C752" s="14"/>
      <c r="D752" s="14"/>
      <c r="E752" s="18"/>
      <c r="F752" s="61"/>
      <c r="G752" s="73"/>
      <c r="H752" s="79"/>
      <c r="I752" s="79"/>
      <c r="J752" s="14"/>
      <c r="K752" s="38"/>
      <c r="L752" s="38"/>
      <c r="M752" s="17"/>
    </row>
    <row r="753" spans="2:13" ht="14.45" customHeight="1" x14ac:dyDescent="0.25">
      <c r="B753" s="17"/>
      <c r="C753" s="14"/>
      <c r="D753" s="14"/>
      <c r="E753" s="18"/>
      <c r="F753" s="61"/>
      <c r="G753" s="73"/>
      <c r="H753" s="79"/>
      <c r="I753" s="79"/>
      <c r="J753" s="14"/>
      <c r="K753" s="38"/>
      <c r="L753" s="38"/>
      <c r="M753" s="17"/>
    </row>
    <row r="754" spans="2:13" ht="14.45" customHeight="1" x14ac:dyDescent="0.25">
      <c r="B754" s="17"/>
      <c r="C754" s="14"/>
      <c r="D754" s="14"/>
      <c r="E754" s="18"/>
      <c r="F754" s="61"/>
      <c r="G754" s="73"/>
      <c r="H754" s="79"/>
      <c r="I754" s="79"/>
      <c r="J754" s="14"/>
      <c r="K754" s="38"/>
      <c r="L754" s="38"/>
      <c r="M754" s="17"/>
    </row>
    <row r="755" spans="2:13" ht="14.45" customHeight="1" x14ac:dyDescent="0.25">
      <c r="B755" s="17"/>
      <c r="C755" s="14"/>
      <c r="D755" s="14"/>
      <c r="E755" s="18"/>
      <c r="F755" s="61"/>
      <c r="G755" s="73"/>
      <c r="H755" s="79"/>
      <c r="I755" s="79"/>
      <c r="J755" s="14"/>
      <c r="K755" s="38"/>
      <c r="L755" s="38"/>
      <c r="M755" s="17"/>
    </row>
    <row r="756" spans="2:13" ht="14.45" customHeight="1" x14ac:dyDescent="0.25">
      <c r="B756" s="17"/>
      <c r="C756" s="14"/>
      <c r="D756" s="14"/>
      <c r="E756" s="18"/>
      <c r="F756" s="61"/>
      <c r="G756" s="73"/>
      <c r="H756" s="79"/>
      <c r="I756" s="79"/>
      <c r="J756" s="14"/>
      <c r="K756" s="38"/>
      <c r="L756" s="38"/>
      <c r="M756" s="17"/>
    </row>
    <row r="757" spans="2:13" ht="14.45" customHeight="1" x14ac:dyDescent="0.25">
      <c r="B757" s="17"/>
      <c r="C757" s="14"/>
      <c r="D757" s="14"/>
      <c r="E757" s="18"/>
      <c r="F757" s="61"/>
      <c r="G757" s="73"/>
      <c r="H757" s="79"/>
      <c r="I757" s="79"/>
      <c r="J757" s="14"/>
      <c r="K757" s="38"/>
      <c r="L757" s="38"/>
      <c r="M757" s="17"/>
    </row>
    <row r="758" spans="2:13" ht="14.45" customHeight="1" x14ac:dyDescent="0.25">
      <c r="B758" s="17"/>
      <c r="C758" s="14"/>
      <c r="D758" s="14"/>
      <c r="E758" s="18"/>
      <c r="F758" s="61"/>
      <c r="G758" s="73"/>
      <c r="H758" s="79"/>
      <c r="I758" s="79"/>
      <c r="J758" s="14"/>
      <c r="K758" s="38"/>
      <c r="L758" s="38"/>
      <c r="M758" s="17"/>
    </row>
    <row r="759" spans="2:13" ht="14.45" customHeight="1" x14ac:dyDescent="0.25">
      <c r="B759" s="17"/>
      <c r="C759" s="14"/>
      <c r="D759" s="14"/>
      <c r="E759" s="18"/>
      <c r="F759" s="61"/>
      <c r="G759" s="73"/>
      <c r="H759" s="79"/>
      <c r="I759" s="79"/>
      <c r="J759" s="14"/>
      <c r="K759" s="38"/>
      <c r="L759" s="38"/>
      <c r="M759" s="17"/>
    </row>
    <row r="760" spans="2:13" ht="14.45" customHeight="1" x14ac:dyDescent="0.25">
      <c r="B760" s="17"/>
      <c r="C760" s="14"/>
      <c r="D760" s="14"/>
      <c r="E760" s="18"/>
      <c r="F760" s="61"/>
      <c r="G760" s="73"/>
      <c r="H760" s="79"/>
      <c r="I760" s="79"/>
      <c r="J760" s="14"/>
      <c r="K760" s="38"/>
      <c r="L760" s="38"/>
      <c r="M760" s="17"/>
    </row>
    <row r="761" spans="2:13" ht="14.45" customHeight="1" x14ac:dyDescent="0.25">
      <c r="B761" s="17"/>
      <c r="C761" s="14"/>
      <c r="D761" s="14"/>
      <c r="E761" s="18"/>
      <c r="F761" s="61"/>
      <c r="G761" s="73"/>
      <c r="H761" s="79"/>
      <c r="I761" s="79"/>
      <c r="J761" s="14"/>
      <c r="K761" s="38"/>
      <c r="L761" s="38"/>
      <c r="M761" s="17"/>
    </row>
    <row r="762" spans="2:13" ht="14.45" customHeight="1" x14ac:dyDescent="0.25">
      <c r="B762" s="17"/>
      <c r="C762" s="14"/>
      <c r="D762" s="14"/>
      <c r="E762" s="18"/>
      <c r="F762" s="61"/>
      <c r="G762" s="73"/>
      <c r="H762" s="79"/>
      <c r="I762" s="79"/>
      <c r="J762" s="14"/>
      <c r="K762" s="38"/>
      <c r="L762" s="38"/>
      <c r="M762" s="17"/>
    </row>
    <row r="763" spans="2:13" ht="14.45" customHeight="1" x14ac:dyDescent="0.25">
      <c r="B763" s="17"/>
      <c r="C763" s="14"/>
      <c r="D763" s="14"/>
      <c r="E763" s="18"/>
      <c r="F763" s="61"/>
      <c r="G763" s="73"/>
      <c r="H763" s="79"/>
      <c r="I763" s="79"/>
      <c r="J763" s="14"/>
      <c r="K763" s="38"/>
      <c r="L763" s="38"/>
      <c r="M763" s="17"/>
    </row>
    <row r="764" spans="2:13" ht="14.45" customHeight="1" x14ac:dyDescent="0.25">
      <c r="B764" s="17"/>
      <c r="C764" s="14"/>
      <c r="D764" s="14"/>
      <c r="E764" s="18"/>
      <c r="F764" s="61"/>
      <c r="G764" s="73"/>
      <c r="H764" s="79"/>
      <c r="I764" s="79"/>
      <c r="J764" s="14"/>
      <c r="K764" s="38"/>
      <c r="L764" s="38"/>
      <c r="M764" s="17"/>
    </row>
    <row r="765" spans="2:13" ht="14.45" customHeight="1" x14ac:dyDescent="0.25">
      <c r="B765" s="17"/>
      <c r="C765" s="14"/>
      <c r="D765" s="14"/>
      <c r="E765" s="18"/>
      <c r="F765" s="61"/>
      <c r="G765" s="73"/>
      <c r="H765" s="79"/>
      <c r="I765" s="79"/>
      <c r="J765" s="14"/>
      <c r="K765" s="38"/>
      <c r="L765" s="38"/>
      <c r="M765" s="17"/>
    </row>
    <row r="766" spans="2:13" ht="14.45" customHeight="1" x14ac:dyDescent="0.25">
      <c r="B766" s="17"/>
      <c r="C766" s="14"/>
      <c r="D766" s="14"/>
      <c r="E766" s="18"/>
      <c r="F766" s="61"/>
      <c r="G766" s="73"/>
      <c r="H766" s="79"/>
      <c r="I766" s="79"/>
      <c r="J766" s="14"/>
      <c r="K766" s="38"/>
      <c r="L766" s="38"/>
      <c r="M766" s="17"/>
    </row>
    <row r="767" spans="2:13" ht="14.45" customHeight="1" x14ac:dyDescent="0.25">
      <c r="B767" s="17"/>
      <c r="C767" s="14"/>
      <c r="D767" s="14"/>
      <c r="E767" s="18"/>
      <c r="F767" s="61"/>
      <c r="G767" s="73"/>
      <c r="H767" s="79"/>
      <c r="I767" s="79"/>
      <c r="J767" s="14"/>
      <c r="K767" s="38"/>
      <c r="L767" s="38"/>
      <c r="M767" s="17"/>
    </row>
    <row r="768" spans="2:13" ht="14.45" customHeight="1" x14ac:dyDescent="0.25">
      <c r="B768" s="17"/>
      <c r="C768" s="14"/>
      <c r="D768" s="14"/>
      <c r="E768" s="18"/>
      <c r="F768" s="61"/>
      <c r="G768" s="73"/>
      <c r="H768" s="79"/>
      <c r="I768" s="79"/>
      <c r="J768" s="14"/>
      <c r="K768" s="38"/>
      <c r="L768" s="38"/>
      <c r="M768" s="17"/>
    </row>
    <row r="769" spans="2:13" ht="14.45" customHeight="1" x14ac:dyDescent="0.25">
      <c r="B769" s="17"/>
      <c r="C769" s="14"/>
      <c r="D769" s="14"/>
      <c r="E769" s="18"/>
      <c r="F769" s="61"/>
      <c r="G769" s="73"/>
      <c r="H769" s="79"/>
      <c r="I769" s="79"/>
      <c r="J769" s="14"/>
      <c r="K769" s="38"/>
      <c r="L769" s="38"/>
      <c r="M769" s="17"/>
    </row>
    <row r="770" spans="2:13" ht="14.45" customHeight="1" x14ac:dyDescent="0.25">
      <c r="B770" s="17"/>
      <c r="C770" s="14"/>
      <c r="D770" s="14"/>
      <c r="E770" s="18"/>
      <c r="F770" s="61"/>
      <c r="G770" s="73"/>
      <c r="H770" s="79"/>
      <c r="I770" s="79"/>
      <c r="J770" s="14"/>
      <c r="K770" s="38"/>
      <c r="L770" s="38"/>
      <c r="M770" s="17"/>
    </row>
    <row r="771" spans="2:13" ht="14.45" customHeight="1" x14ac:dyDescent="0.25">
      <c r="B771" s="17"/>
      <c r="C771" s="14"/>
      <c r="D771" s="14"/>
      <c r="E771" s="18"/>
      <c r="F771" s="61"/>
      <c r="G771" s="73"/>
      <c r="H771" s="79"/>
      <c r="I771" s="79"/>
      <c r="J771" s="14"/>
      <c r="K771" s="38"/>
      <c r="L771" s="38"/>
      <c r="M771" s="17"/>
    </row>
    <row r="772" spans="2:13" ht="14.45" customHeight="1" x14ac:dyDescent="0.25">
      <c r="B772" s="17"/>
      <c r="C772" s="14"/>
      <c r="D772" s="14"/>
      <c r="E772" s="18"/>
      <c r="F772" s="61"/>
      <c r="G772" s="73"/>
      <c r="H772" s="79"/>
      <c r="I772" s="79"/>
      <c r="J772" s="14"/>
      <c r="K772" s="38"/>
      <c r="L772" s="38"/>
      <c r="M772" s="17"/>
    </row>
    <row r="773" spans="2:13" ht="14.45" customHeight="1" x14ac:dyDescent="0.25">
      <c r="B773" s="17"/>
      <c r="C773" s="14"/>
      <c r="D773" s="14"/>
      <c r="E773" s="18"/>
      <c r="F773" s="61"/>
      <c r="G773" s="73"/>
      <c r="H773" s="79"/>
      <c r="I773" s="79"/>
      <c r="J773" s="14"/>
      <c r="K773" s="38"/>
      <c r="L773" s="38"/>
      <c r="M773" s="17"/>
    </row>
    <row r="774" spans="2:13" ht="14.45" customHeight="1" x14ac:dyDescent="0.25">
      <c r="B774" s="17"/>
      <c r="C774" s="14"/>
      <c r="D774" s="14"/>
      <c r="E774" s="18"/>
      <c r="F774" s="61"/>
      <c r="G774" s="73"/>
      <c r="H774" s="79"/>
      <c r="I774" s="79"/>
      <c r="J774" s="14"/>
      <c r="K774" s="38"/>
      <c r="L774" s="38"/>
      <c r="M774" s="17"/>
    </row>
    <row r="775" spans="2:13" ht="14.45" customHeight="1" x14ac:dyDescent="0.25">
      <c r="B775" s="17"/>
      <c r="C775" s="14"/>
      <c r="D775" s="14"/>
      <c r="E775" s="18"/>
      <c r="F775" s="61"/>
      <c r="G775" s="73"/>
      <c r="H775" s="79"/>
      <c r="I775" s="79"/>
      <c r="J775" s="14"/>
      <c r="K775" s="38"/>
      <c r="L775" s="38"/>
      <c r="M775" s="17"/>
    </row>
    <row r="776" spans="2:13" ht="14.45" customHeight="1" x14ac:dyDescent="0.25">
      <c r="B776" s="17"/>
      <c r="C776" s="14"/>
      <c r="D776" s="14"/>
      <c r="E776" s="18"/>
      <c r="F776" s="61"/>
      <c r="G776" s="73"/>
      <c r="H776" s="79"/>
      <c r="I776" s="79"/>
      <c r="J776" s="14"/>
      <c r="K776" s="38"/>
      <c r="L776" s="38"/>
      <c r="M776" s="17"/>
    </row>
    <row r="777" spans="2:13" ht="14.45" customHeight="1" x14ac:dyDescent="0.25">
      <c r="B777" s="17"/>
      <c r="C777" s="14"/>
      <c r="D777" s="14"/>
      <c r="E777" s="18"/>
      <c r="F777" s="61"/>
      <c r="G777" s="73"/>
      <c r="H777" s="79"/>
      <c r="I777" s="79"/>
      <c r="J777" s="14"/>
      <c r="K777" s="38"/>
      <c r="L777" s="38"/>
      <c r="M777" s="17"/>
    </row>
    <row r="778" spans="2:13" ht="14.45" customHeight="1" x14ac:dyDescent="0.25">
      <c r="B778" s="17"/>
      <c r="C778" s="14"/>
      <c r="D778" s="14"/>
      <c r="E778" s="18"/>
      <c r="F778" s="61"/>
      <c r="G778" s="73"/>
      <c r="H778" s="79"/>
      <c r="I778" s="79"/>
      <c r="J778" s="14"/>
      <c r="K778" s="38"/>
      <c r="L778" s="38"/>
      <c r="M778" s="17"/>
    </row>
    <row r="779" spans="2:13" ht="14.45" customHeight="1" x14ac:dyDescent="0.25">
      <c r="B779" s="17"/>
      <c r="C779" s="14"/>
      <c r="D779" s="14"/>
      <c r="E779" s="18"/>
      <c r="F779" s="61"/>
      <c r="G779" s="73"/>
      <c r="H779" s="79"/>
      <c r="I779" s="79"/>
      <c r="J779" s="14"/>
      <c r="K779" s="38"/>
      <c r="L779" s="38"/>
      <c r="M779" s="17"/>
    </row>
    <row r="780" spans="2:13" ht="14.45" customHeight="1" x14ac:dyDescent="0.25">
      <c r="B780" s="17"/>
      <c r="C780" s="14"/>
      <c r="D780" s="14"/>
      <c r="E780" s="18"/>
      <c r="F780" s="61"/>
      <c r="G780" s="73"/>
      <c r="H780" s="79"/>
      <c r="I780" s="79"/>
      <c r="J780" s="14"/>
      <c r="K780" s="38"/>
      <c r="L780" s="38"/>
      <c r="M780" s="17"/>
    </row>
    <row r="781" spans="2:13" ht="14.45" customHeight="1" x14ac:dyDescent="0.25">
      <c r="B781" s="17"/>
      <c r="C781" s="14"/>
      <c r="D781" s="14"/>
      <c r="E781" s="18"/>
      <c r="F781" s="61"/>
      <c r="G781" s="73"/>
      <c r="H781" s="79"/>
      <c r="I781" s="79"/>
      <c r="J781" s="14"/>
      <c r="K781" s="38"/>
      <c r="L781" s="38"/>
      <c r="M781" s="17"/>
    </row>
    <row r="782" spans="2:13" ht="14.45" customHeight="1" x14ac:dyDescent="0.25">
      <c r="B782" s="17"/>
      <c r="C782" s="14"/>
      <c r="D782" s="14"/>
      <c r="E782" s="18"/>
      <c r="F782" s="61"/>
      <c r="G782" s="73"/>
      <c r="H782" s="79"/>
      <c r="I782" s="79"/>
      <c r="J782" s="14"/>
      <c r="K782" s="38"/>
      <c r="L782" s="38"/>
      <c r="M782" s="17"/>
    </row>
    <row r="783" spans="2:13" ht="14.45" customHeight="1" x14ac:dyDescent="0.25">
      <c r="B783" s="17"/>
      <c r="C783" s="14"/>
      <c r="D783" s="14"/>
      <c r="E783" s="18"/>
      <c r="F783" s="61"/>
      <c r="G783" s="73"/>
      <c r="H783" s="79"/>
      <c r="I783" s="79"/>
      <c r="J783" s="14"/>
      <c r="K783" s="38"/>
      <c r="L783" s="38"/>
      <c r="M783" s="17"/>
    </row>
    <row r="784" spans="2:13" ht="14.45" customHeight="1" x14ac:dyDescent="0.25">
      <c r="B784" s="17"/>
      <c r="C784" s="14"/>
      <c r="D784" s="14"/>
      <c r="E784" s="18"/>
      <c r="F784" s="61"/>
      <c r="G784" s="73"/>
      <c r="H784" s="79"/>
      <c r="I784" s="79"/>
      <c r="J784" s="14"/>
      <c r="K784" s="38"/>
      <c r="L784" s="38"/>
      <c r="M784" s="17"/>
    </row>
    <row r="785" spans="2:13" ht="14.45" customHeight="1" x14ac:dyDescent="0.25">
      <c r="B785" s="17"/>
      <c r="C785" s="14"/>
      <c r="D785" s="14"/>
      <c r="E785" s="18"/>
      <c r="F785" s="61"/>
      <c r="G785" s="73"/>
      <c r="H785" s="79"/>
      <c r="I785" s="79"/>
      <c r="J785" s="14"/>
      <c r="K785" s="38"/>
      <c r="L785" s="38"/>
      <c r="M785" s="17"/>
    </row>
    <row r="786" spans="2:13" ht="14.45" customHeight="1" x14ac:dyDescent="0.25">
      <c r="B786" s="17"/>
      <c r="C786" s="14"/>
      <c r="D786" s="14"/>
      <c r="E786" s="18"/>
      <c r="F786" s="61"/>
      <c r="G786" s="73"/>
      <c r="H786" s="79"/>
      <c r="I786" s="79"/>
      <c r="J786" s="14"/>
      <c r="K786" s="38"/>
      <c r="L786" s="38"/>
      <c r="M786" s="17"/>
    </row>
    <row r="787" spans="2:13" ht="14.45" customHeight="1" x14ac:dyDescent="0.25">
      <c r="B787" s="17"/>
      <c r="C787" s="14"/>
      <c r="D787" s="14"/>
      <c r="E787" s="18"/>
      <c r="F787" s="61"/>
      <c r="G787" s="73"/>
      <c r="H787" s="79"/>
      <c r="I787" s="79"/>
      <c r="J787" s="14"/>
      <c r="K787" s="38"/>
      <c r="L787" s="38"/>
      <c r="M787" s="17"/>
    </row>
    <row r="788" spans="2:13" ht="14.45" customHeight="1" x14ac:dyDescent="0.25">
      <c r="B788" s="17"/>
      <c r="C788" s="14"/>
      <c r="D788" s="14"/>
      <c r="E788" s="18"/>
      <c r="F788" s="61"/>
      <c r="G788" s="73"/>
      <c r="H788" s="79"/>
      <c r="I788" s="79"/>
      <c r="J788" s="14"/>
      <c r="K788" s="38"/>
      <c r="L788" s="38"/>
      <c r="M788" s="17"/>
    </row>
    <row r="789" spans="2:13" ht="14.45" customHeight="1" x14ac:dyDescent="0.25">
      <c r="B789" s="17"/>
      <c r="C789" s="14"/>
      <c r="D789" s="14"/>
      <c r="E789" s="18"/>
      <c r="F789" s="61"/>
      <c r="G789" s="73"/>
      <c r="H789" s="79"/>
      <c r="I789" s="79"/>
      <c r="J789" s="14"/>
      <c r="K789" s="38"/>
      <c r="L789" s="38"/>
      <c r="M789" s="17"/>
    </row>
    <row r="790" spans="2:13" ht="14.45" customHeight="1" x14ac:dyDescent="0.25">
      <c r="B790" s="17"/>
      <c r="C790" s="14"/>
      <c r="D790" s="14"/>
      <c r="E790" s="18"/>
      <c r="F790" s="61"/>
      <c r="G790" s="73"/>
      <c r="H790" s="79"/>
      <c r="I790" s="79"/>
      <c r="J790" s="14"/>
      <c r="K790" s="38"/>
      <c r="L790" s="38"/>
      <c r="M790" s="17"/>
    </row>
    <row r="791" spans="2:13" ht="14.45" customHeight="1" x14ac:dyDescent="0.25">
      <c r="B791" s="17"/>
      <c r="C791" s="14"/>
      <c r="D791" s="14"/>
      <c r="E791" s="18"/>
      <c r="F791" s="61"/>
      <c r="G791" s="73"/>
      <c r="H791" s="79"/>
      <c r="I791" s="79"/>
      <c r="J791" s="14"/>
      <c r="K791" s="38"/>
      <c r="L791" s="38"/>
      <c r="M791" s="17"/>
    </row>
    <row r="792" spans="2:13" ht="14.45" customHeight="1" x14ac:dyDescent="0.25">
      <c r="B792" s="17"/>
      <c r="C792" s="14"/>
      <c r="D792" s="14"/>
      <c r="E792" s="18"/>
      <c r="F792" s="61"/>
      <c r="G792" s="73"/>
      <c r="H792" s="79"/>
      <c r="I792" s="79"/>
      <c r="J792" s="14"/>
      <c r="K792" s="38"/>
      <c r="L792" s="38"/>
      <c r="M792" s="17"/>
    </row>
    <row r="793" spans="2:13" ht="14.45" customHeight="1" x14ac:dyDescent="0.25">
      <c r="B793" s="17"/>
      <c r="C793" s="14"/>
      <c r="D793" s="14"/>
      <c r="E793" s="18"/>
      <c r="F793" s="61"/>
      <c r="G793" s="73"/>
      <c r="H793" s="79"/>
      <c r="I793" s="79"/>
      <c r="J793" s="14"/>
      <c r="K793" s="38"/>
      <c r="L793" s="38"/>
      <c r="M793" s="17"/>
    </row>
    <row r="794" spans="2:13" ht="14.45" customHeight="1" x14ac:dyDescent="0.25">
      <c r="B794" s="17"/>
      <c r="C794" s="14"/>
      <c r="D794" s="14"/>
      <c r="E794" s="18"/>
      <c r="F794" s="61"/>
      <c r="G794" s="73"/>
      <c r="H794" s="79"/>
      <c r="I794" s="79"/>
      <c r="J794" s="14"/>
      <c r="K794" s="38"/>
      <c r="L794" s="38"/>
      <c r="M794" s="17"/>
    </row>
    <row r="795" spans="2:13" ht="14.45" customHeight="1" x14ac:dyDescent="0.25">
      <c r="B795" s="17"/>
      <c r="C795" s="14"/>
      <c r="D795" s="14"/>
      <c r="E795" s="18"/>
      <c r="F795" s="61"/>
      <c r="G795" s="73"/>
      <c r="H795" s="79"/>
      <c r="I795" s="79"/>
      <c r="J795" s="14"/>
      <c r="K795" s="38"/>
      <c r="L795" s="38"/>
      <c r="M795" s="17"/>
    </row>
    <row r="796" spans="2:13" ht="14.45" customHeight="1" x14ac:dyDescent="0.25">
      <c r="B796" s="17"/>
      <c r="C796" s="14"/>
      <c r="D796" s="14"/>
      <c r="E796" s="18"/>
      <c r="F796" s="61"/>
      <c r="G796" s="73"/>
      <c r="H796" s="79"/>
      <c r="I796" s="79"/>
      <c r="J796" s="14"/>
      <c r="K796" s="38"/>
      <c r="L796" s="38"/>
      <c r="M796" s="17"/>
    </row>
    <row r="797" spans="2:13" ht="14.45" customHeight="1" x14ac:dyDescent="0.25">
      <c r="B797" s="17"/>
      <c r="C797" s="14"/>
      <c r="D797" s="14"/>
      <c r="E797" s="18"/>
      <c r="F797" s="61"/>
      <c r="G797" s="73"/>
      <c r="H797" s="79"/>
      <c r="I797" s="79"/>
      <c r="J797" s="14"/>
      <c r="K797" s="38"/>
      <c r="L797" s="38"/>
      <c r="M797" s="17"/>
    </row>
    <row r="798" spans="2:13" ht="14.45" customHeight="1" x14ac:dyDescent="0.25">
      <c r="B798" s="17"/>
      <c r="C798" s="14"/>
      <c r="D798" s="14"/>
      <c r="E798" s="18"/>
      <c r="F798" s="61"/>
      <c r="G798" s="73"/>
      <c r="H798" s="79"/>
      <c r="I798" s="79"/>
      <c r="J798" s="14"/>
      <c r="K798" s="38"/>
      <c r="L798" s="38"/>
      <c r="M798" s="17"/>
    </row>
    <row r="799" spans="2:13" ht="14.45" customHeight="1" x14ac:dyDescent="0.25">
      <c r="B799" s="17"/>
      <c r="C799" s="14"/>
      <c r="D799" s="14"/>
      <c r="E799" s="18"/>
      <c r="F799" s="61"/>
      <c r="G799" s="73"/>
      <c r="H799" s="79"/>
      <c r="I799" s="79"/>
      <c r="J799" s="14"/>
      <c r="K799" s="38"/>
      <c r="L799" s="38"/>
      <c r="M799" s="17"/>
    </row>
    <row r="800" spans="2:13" ht="14.45" customHeight="1" x14ac:dyDescent="0.25">
      <c r="B800" s="17"/>
      <c r="C800" s="14"/>
      <c r="D800" s="14"/>
      <c r="E800" s="18"/>
      <c r="F800" s="61"/>
      <c r="G800" s="73"/>
      <c r="H800" s="79"/>
      <c r="I800" s="79"/>
      <c r="J800" s="14"/>
      <c r="K800" s="38"/>
      <c r="L800" s="38"/>
      <c r="M800" s="17"/>
    </row>
    <row r="801" spans="2:13" ht="14.45" customHeight="1" x14ac:dyDescent="0.25">
      <c r="B801" s="17"/>
      <c r="C801" s="14"/>
      <c r="D801" s="14"/>
      <c r="E801" s="18"/>
      <c r="F801" s="61"/>
      <c r="G801" s="73"/>
      <c r="H801" s="79"/>
      <c r="I801" s="79"/>
      <c r="J801" s="14"/>
      <c r="K801" s="38"/>
      <c r="L801" s="38"/>
      <c r="M801" s="17"/>
    </row>
    <row r="802" spans="2:13" ht="14.45" customHeight="1" x14ac:dyDescent="0.25">
      <c r="B802" s="17"/>
      <c r="C802" s="14"/>
      <c r="D802" s="14"/>
      <c r="E802" s="18"/>
      <c r="F802" s="61"/>
      <c r="G802" s="73"/>
      <c r="H802" s="79"/>
      <c r="I802" s="79"/>
      <c r="J802" s="14"/>
      <c r="K802" s="38"/>
      <c r="L802" s="38"/>
      <c r="M802" s="17"/>
    </row>
    <row r="803" spans="2:13" ht="14.45" customHeight="1" x14ac:dyDescent="0.25">
      <c r="B803" s="17"/>
      <c r="C803" s="14"/>
      <c r="D803" s="14"/>
      <c r="E803" s="18"/>
      <c r="F803" s="61"/>
      <c r="G803" s="73"/>
      <c r="H803" s="79"/>
      <c r="I803" s="79"/>
      <c r="J803" s="14"/>
      <c r="K803" s="38"/>
      <c r="L803" s="38"/>
      <c r="M803" s="17"/>
    </row>
    <row r="804" spans="2:13" ht="14.45" customHeight="1" x14ac:dyDescent="0.25">
      <c r="B804" s="17"/>
      <c r="C804" s="14"/>
      <c r="D804" s="14"/>
      <c r="E804" s="18"/>
      <c r="F804" s="61"/>
      <c r="G804" s="73"/>
      <c r="H804" s="79"/>
      <c r="I804" s="79"/>
      <c r="J804" s="14"/>
      <c r="K804" s="38"/>
      <c r="L804" s="38"/>
      <c r="M804" s="17"/>
    </row>
    <row r="805" spans="2:13" ht="14.45" customHeight="1" x14ac:dyDescent="0.25">
      <c r="B805" s="17"/>
      <c r="C805" s="14"/>
      <c r="D805" s="14"/>
      <c r="E805" s="18"/>
      <c r="F805" s="61"/>
      <c r="G805" s="73"/>
      <c r="H805" s="79"/>
      <c r="I805" s="79"/>
      <c r="J805" s="14"/>
      <c r="K805" s="38"/>
      <c r="L805" s="38"/>
      <c r="M805" s="17"/>
    </row>
    <row r="806" spans="2:13" ht="14.45" customHeight="1" x14ac:dyDescent="0.25">
      <c r="B806" s="17"/>
      <c r="C806" s="14"/>
      <c r="D806" s="14"/>
      <c r="E806" s="18"/>
      <c r="F806" s="61"/>
      <c r="G806" s="73"/>
      <c r="H806" s="79"/>
      <c r="I806" s="79"/>
      <c r="J806" s="14"/>
      <c r="K806" s="38"/>
      <c r="L806" s="38"/>
      <c r="M806" s="17"/>
    </row>
    <row r="807" spans="2:13" ht="14.45" customHeight="1" x14ac:dyDescent="0.25">
      <c r="B807" s="17"/>
      <c r="C807" s="14"/>
      <c r="D807" s="14"/>
      <c r="E807" s="18"/>
      <c r="F807" s="61"/>
      <c r="G807" s="73"/>
      <c r="H807" s="79"/>
      <c r="I807" s="79"/>
      <c r="J807" s="14"/>
      <c r="K807" s="38"/>
      <c r="L807" s="38"/>
      <c r="M807" s="17"/>
    </row>
    <row r="808" spans="2:13" ht="14.45" customHeight="1" x14ac:dyDescent="0.25">
      <c r="B808" s="17"/>
      <c r="C808" s="14"/>
      <c r="D808" s="14"/>
      <c r="E808" s="18"/>
      <c r="F808" s="61"/>
      <c r="G808" s="73"/>
      <c r="H808" s="79"/>
      <c r="I808" s="79"/>
      <c r="J808" s="14"/>
      <c r="K808" s="38"/>
      <c r="L808" s="38"/>
      <c r="M808" s="17"/>
    </row>
    <row r="809" spans="2:13" ht="14.45" customHeight="1" x14ac:dyDescent="0.25">
      <c r="B809" s="17"/>
      <c r="C809" s="14"/>
      <c r="D809" s="14"/>
      <c r="E809" s="18"/>
      <c r="F809" s="61"/>
      <c r="G809" s="73"/>
      <c r="H809" s="79"/>
      <c r="I809" s="79"/>
      <c r="J809" s="14"/>
      <c r="K809" s="38"/>
      <c r="L809" s="38"/>
      <c r="M809" s="17"/>
    </row>
    <row r="810" spans="2:13" ht="14.45" customHeight="1" x14ac:dyDescent="0.25">
      <c r="B810" s="17"/>
      <c r="C810" s="14"/>
      <c r="D810" s="14"/>
      <c r="E810" s="18"/>
      <c r="F810" s="61"/>
      <c r="G810" s="73"/>
      <c r="H810" s="79"/>
      <c r="I810" s="79"/>
      <c r="J810" s="14"/>
      <c r="K810" s="38"/>
      <c r="L810" s="38"/>
      <c r="M810" s="17"/>
    </row>
    <row r="811" spans="2:13" ht="14.45" customHeight="1" x14ac:dyDescent="0.25">
      <c r="B811" s="17"/>
      <c r="C811" s="14"/>
      <c r="D811" s="14"/>
      <c r="E811" s="18"/>
      <c r="F811" s="61"/>
      <c r="G811" s="73"/>
      <c r="H811" s="79"/>
      <c r="I811" s="79"/>
      <c r="J811" s="14"/>
      <c r="K811" s="38"/>
      <c r="L811" s="38"/>
      <c r="M811" s="17"/>
    </row>
    <row r="812" spans="2:13" ht="14.45" customHeight="1" x14ac:dyDescent="0.25">
      <c r="B812" s="17"/>
      <c r="C812" s="14"/>
      <c r="D812" s="14"/>
      <c r="E812" s="18"/>
      <c r="F812" s="61"/>
      <c r="G812" s="73"/>
      <c r="H812" s="79"/>
      <c r="I812" s="79"/>
      <c r="J812" s="14"/>
      <c r="K812" s="38"/>
      <c r="L812" s="38"/>
      <c r="M812" s="17"/>
    </row>
    <row r="813" spans="2:13" ht="14.45" customHeight="1" x14ac:dyDescent="0.25">
      <c r="B813" s="17"/>
      <c r="C813" s="14"/>
      <c r="D813" s="14"/>
      <c r="E813" s="18"/>
      <c r="F813" s="61"/>
      <c r="G813" s="73"/>
      <c r="H813" s="79"/>
      <c r="I813" s="79"/>
      <c r="J813" s="14"/>
      <c r="K813" s="38"/>
      <c r="L813" s="38"/>
      <c r="M813" s="17"/>
    </row>
    <row r="814" spans="2:13" ht="14.45" customHeight="1" x14ac:dyDescent="0.25">
      <c r="B814" s="17"/>
      <c r="C814" s="14"/>
      <c r="D814" s="14"/>
      <c r="E814" s="18"/>
      <c r="F814" s="61"/>
      <c r="G814" s="73"/>
      <c r="H814" s="79"/>
      <c r="I814" s="79"/>
      <c r="J814" s="14"/>
      <c r="K814" s="38"/>
      <c r="L814" s="38"/>
      <c r="M814" s="17"/>
    </row>
    <row r="815" spans="2:13" ht="14.45" customHeight="1" x14ac:dyDescent="0.25">
      <c r="B815" s="17"/>
      <c r="C815" s="14"/>
      <c r="D815" s="14"/>
      <c r="E815" s="18"/>
      <c r="F815" s="61"/>
      <c r="G815" s="73"/>
      <c r="H815" s="79"/>
      <c r="I815" s="79"/>
      <c r="J815" s="14"/>
      <c r="K815" s="38"/>
      <c r="L815" s="38"/>
      <c r="M815" s="17"/>
    </row>
    <row r="816" spans="2:13" ht="14.45" customHeight="1" x14ac:dyDescent="0.25">
      <c r="B816" s="17"/>
      <c r="C816" s="14"/>
      <c r="D816" s="14"/>
      <c r="E816" s="18"/>
      <c r="F816" s="61"/>
      <c r="G816" s="73"/>
      <c r="H816" s="79"/>
      <c r="I816" s="79"/>
      <c r="J816" s="14"/>
      <c r="K816" s="38"/>
      <c r="L816" s="38"/>
      <c r="M816" s="17"/>
    </row>
    <row r="817" spans="2:13" ht="14.45" customHeight="1" x14ac:dyDescent="0.25">
      <c r="B817" s="17"/>
      <c r="C817" s="14"/>
      <c r="D817" s="14"/>
      <c r="E817" s="18"/>
      <c r="F817" s="61"/>
      <c r="G817" s="73"/>
      <c r="H817" s="79"/>
      <c r="I817" s="79"/>
      <c r="J817" s="14"/>
      <c r="K817" s="38"/>
      <c r="L817" s="38"/>
      <c r="M817" s="17"/>
    </row>
    <row r="818" spans="2:13" ht="14.45" customHeight="1" x14ac:dyDescent="0.25">
      <c r="B818" s="17"/>
      <c r="C818" s="14"/>
      <c r="D818" s="14"/>
      <c r="E818" s="18"/>
      <c r="F818" s="61"/>
      <c r="G818" s="73"/>
      <c r="H818" s="79"/>
      <c r="I818" s="79"/>
      <c r="J818" s="14"/>
      <c r="K818" s="38"/>
      <c r="L818" s="38"/>
      <c r="M818" s="17"/>
    </row>
    <row r="819" spans="2:13" ht="14.45" customHeight="1" x14ac:dyDescent="0.25">
      <c r="B819" s="17"/>
      <c r="C819" s="14"/>
      <c r="D819" s="14"/>
      <c r="E819" s="18"/>
      <c r="F819" s="61"/>
      <c r="G819" s="73"/>
      <c r="H819" s="79"/>
      <c r="I819" s="79"/>
      <c r="J819" s="14"/>
      <c r="K819" s="38"/>
      <c r="L819" s="38"/>
      <c r="M819" s="17"/>
    </row>
    <row r="820" spans="2:13" ht="14.45" customHeight="1" x14ac:dyDescent="0.25">
      <c r="B820" s="17"/>
      <c r="C820" s="14"/>
      <c r="D820" s="14"/>
      <c r="E820" s="18"/>
      <c r="F820" s="61"/>
      <c r="G820" s="73"/>
      <c r="H820" s="79"/>
      <c r="I820" s="79"/>
      <c r="J820" s="14"/>
      <c r="K820" s="38"/>
      <c r="L820" s="38"/>
      <c r="M820" s="17"/>
    </row>
    <row r="821" spans="2:13" ht="14.45" customHeight="1" x14ac:dyDescent="0.25">
      <c r="B821" s="17"/>
      <c r="C821" s="14"/>
      <c r="D821" s="14"/>
      <c r="E821" s="18"/>
      <c r="F821" s="61"/>
      <c r="G821" s="73"/>
      <c r="H821" s="79"/>
      <c r="I821" s="79"/>
      <c r="J821" s="14"/>
      <c r="K821" s="38"/>
      <c r="L821" s="38"/>
      <c r="M821" s="17"/>
    </row>
    <row r="822" spans="2:13" ht="14.45" customHeight="1" x14ac:dyDescent="0.25">
      <c r="B822" s="17"/>
      <c r="C822" s="14"/>
      <c r="D822" s="14"/>
      <c r="E822" s="18"/>
      <c r="F822" s="61"/>
      <c r="G822" s="73"/>
      <c r="H822" s="79"/>
      <c r="I822" s="79"/>
      <c r="J822" s="14"/>
      <c r="K822" s="38"/>
      <c r="L822" s="38"/>
      <c r="M822" s="17"/>
    </row>
    <row r="823" spans="2:13" ht="14.45" customHeight="1" x14ac:dyDescent="0.25">
      <c r="B823" s="17"/>
      <c r="C823" s="14"/>
      <c r="D823" s="14"/>
      <c r="E823" s="18"/>
      <c r="F823" s="61"/>
      <c r="G823" s="73"/>
      <c r="H823" s="79"/>
      <c r="I823" s="79"/>
      <c r="J823" s="14"/>
      <c r="K823" s="38"/>
      <c r="L823" s="38"/>
      <c r="M823" s="17"/>
    </row>
    <row r="824" spans="2:13" ht="14.45" customHeight="1" x14ac:dyDescent="0.25">
      <c r="B824" s="17"/>
      <c r="C824" s="14"/>
      <c r="D824" s="14"/>
      <c r="E824" s="18"/>
      <c r="F824" s="61"/>
      <c r="G824" s="73"/>
      <c r="H824" s="79"/>
      <c r="I824" s="79"/>
      <c r="J824" s="14"/>
      <c r="K824" s="38"/>
      <c r="L824" s="38"/>
      <c r="M824" s="17"/>
    </row>
    <row r="825" spans="2:13" ht="14.45" customHeight="1" x14ac:dyDescent="0.25">
      <c r="B825" s="17"/>
      <c r="C825" s="14"/>
      <c r="D825" s="14"/>
      <c r="E825" s="18"/>
      <c r="F825" s="61"/>
      <c r="G825" s="73"/>
      <c r="H825" s="79"/>
      <c r="I825" s="79"/>
      <c r="J825" s="14"/>
      <c r="K825" s="38"/>
      <c r="L825" s="38"/>
      <c r="M825" s="17"/>
    </row>
    <row r="826" spans="2:13" ht="14.45" customHeight="1" x14ac:dyDescent="0.25">
      <c r="B826" s="17"/>
      <c r="C826" s="14"/>
      <c r="D826" s="14"/>
      <c r="E826" s="18"/>
      <c r="F826" s="61"/>
      <c r="G826" s="73"/>
      <c r="H826" s="79"/>
      <c r="I826" s="79"/>
      <c r="J826" s="14"/>
      <c r="K826" s="38"/>
      <c r="L826" s="38"/>
      <c r="M826" s="17"/>
    </row>
    <row r="827" spans="2:13" ht="14.45" customHeight="1" x14ac:dyDescent="0.25">
      <c r="B827" s="17"/>
      <c r="C827" s="14"/>
      <c r="D827" s="14"/>
      <c r="E827" s="18"/>
      <c r="F827" s="61"/>
      <c r="G827" s="73"/>
      <c r="H827" s="79"/>
      <c r="I827" s="79"/>
      <c r="J827" s="14"/>
      <c r="K827" s="38"/>
      <c r="L827" s="38"/>
      <c r="M827" s="17"/>
    </row>
    <row r="828" spans="2:13" ht="14.45" customHeight="1" x14ac:dyDescent="0.25">
      <c r="B828" s="17"/>
      <c r="C828" s="14"/>
      <c r="D828" s="14"/>
      <c r="E828" s="18"/>
      <c r="F828" s="61"/>
      <c r="G828" s="73"/>
      <c r="H828" s="79"/>
      <c r="I828" s="79"/>
      <c r="J828" s="14"/>
      <c r="K828" s="38"/>
      <c r="L828" s="38"/>
      <c r="M828" s="17"/>
    </row>
    <row r="829" spans="2:13" ht="14.45" customHeight="1" x14ac:dyDescent="0.25">
      <c r="B829" s="17"/>
      <c r="C829" s="14"/>
      <c r="D829" s="14"/>
      <c r="E829" s="18"/>
      <c r="F829" s="61"/>
      <c r="G829" s="73"/>
      <c r="H829" s="79"/>
      <c r="I829" s="79"/>
      <c r="J829" s="14"/>
      <c r="K829" s="38"/>
      <c r="L829" s="38"/>
      <c r="M829" s="17"/>
    </row>
    <row r="830" spans="2:13" ht="14.45" customHeight="1" x14ac:dyDescent="0.25">
      <c r="B830" s="17"/>
      <c r="C830" s="14"/>
      <c r="D830" s="14"/>
      <c r="E830" s="18"/>
      <c r="F830" s="61"/>
      <c r="G830" s="73"/>
      <c r="H830" s="79"/>
      <c r="I830" s="79"/>
      <c r="J830" s="14"/>
      <c r="K830" s="38"/>
      <c r="L830" s="38"/>
      <c r="M830" s="17"/>
    </row>
    <row r="831" spans="2:13" ht="14.45" customHeight="1" x14ac:dyDescent="0.25">
      <c r="B831" s="17"/>
      <c r="C831" s="14"/>
      <c r="D831" s="14"/>
      <c r="E831" s="18"/>
      <c r="F831" s="61"/>
      <c r="G831" s="73"/>
      <c r="H831" s="79"/>
      <c r="I831" s="79"/>
      <c r="J831" s="14"/>
      <c r="K831" s="38"/>
      <c r="L831" s="38"/>
      <c r="M831" s="17"/>
    </row>
    <row r="832" spans="2:13" ht="14.45" customHeight="1" x14ac:dyDescent="0.25">
      <c r="B832" s="17"/>
      <c r="C832" s="14"/>
      <c r="D832" s="14"/>
      <c r="E832" s="18"/>
      <c r="F832" s="61"/>
      <c r="G832" s="73"/>
      <c r="H832" s="79"/>
      <c r="I832" s="79"/>
      <c r="J832" s="14"/>
      <c r="K832" s="38"/>
      <c r="L832" s="38"/>
      <c r="M832" s="17"/>
    </row>
    <row r="833" spans="2:13" ht="14.45" customHeight="1" x14ac:dyDescent="0.25">
      <c r="B833" s="17"/>
      <c r="C833" s="14"/>
      <c r="D833" s="14"/>
      <c r="E833" s="18"/>
      <c r="F833" s="61"/>
      <c r="G833" s="73"/>
      <c r="H833" s="79"/>
      <c r="I833" s="79"/>
      <c r="J833" s="14"/>
      <c r="K833" s="38"/>
      <c r="L833" s="38"/>
      <c r="M833" s="17"/>
    </row>
    <row r="834" spans="2:13" ht="14.45" customHeight="1" x14ac:dyDescent="0.25">
      <c r="B834" s="17"/>
      <c r="C834" s="14"/>
      <c r="D834" s="14"/>
      <c r="E834" s="18"/>
      <c r="F834" s="61"/>
      <c r="G834" s="73"/>
      <c r="H834" s="79"/>
      <c r="I834" s="79"/>
      <c r="J834" s="14"/>
      <c r="K834" s="38"/>
      <c r="L834" s="38"/>
      <c r="M834" s="17"/>
    </row>
    <row r="835" spans="2:13" ht="14.45" customHeight="1" x14ac:dyDescent="0.25">
      <c r="B835" s="17"/>
      <c r="C835" s="14"/>
      <c r="D835" s="14"/>
      <c r="E835" s="18"/>
      <c r="F835" s="61"/>
      <c r="G835" s="73"/>
      <c r="H835" s="79"/>
      <c r="I835" s="79"/>
      <c r="J835" s="14"/>
      <c r="K835" s="38"/>
      <c r="L835" s="38"/>
      <c r="M835" s="17"/>
    </row>
    <row r="836" spans="2:13" ht="14.45" customHeight="1" x14ac:dyDescent="0.25">
      <c r="B836" s="17"/>
      <c r="C836" s="14"/>
      <c r="D836" s="14"/>
      <c r="E836" s="18"/>
      <c r="F836" s="61"/>
      <c r="G836" s="73"/>
      <c r="H836" s="79"/>
      <c r="I836" s="79"/>
      <c r="J836" s="14"/>
      <c r="K836" s="38"/>
      <c r="L836" s="38"/>
      <c r="M836" s="17"/>
    </row>
    <row r="837" spans="2:13" ht="14.45" customHeight="1" x14ac:dyDescent="0.25">
      <c r="B837" s="17"/>
      <c r="C837" s="14"/>
      <c r="D837" s="14"/>
      <c r="E837" s="18"/>
      <c r="F837" s="61"/>
      <c r="G837" s="73"/>
      <c r="H837" s="79"/>
      <c r="I837" s="79"/>
      <c r="J837" s="14"/>
      <c r="K837" s="38"/>
      <c r="L837" s="38"/>
      <c r="M837" s="17"/>
    </row>
    <row r="838" spans="2:13" ht="14.45" customHeight="1" x14ac:dyDescent="0.25">
      <c r="B838" s="17"/>
      <c r="C838" s="14"/>
      <c r="D838" s="14"/>
      <c r="E838" s="18"/>
      <c r="F838" s="61"/>
      <c r="G838" s="73"/>
      <c r="H838" s="79"/>
      <c r="I838" s="79"/>
      <c r="J838" s="14"/>
      <c r="K838" s="38"/>
      <c r="L838" s="38"/>
      <c r="M838" s="17"/>
    </row>
    <row r="839" spans="2:13" ht="14.45" customHeight="1" x14ac:dyDescent="0.25">
      <c r="B839" s="17"/>
      <c r="C839" s="14"/>
      <c r="D839" s="14"/>
      <c r="E839" s="18"/>
      <c r="F839" s="61"/>
      <c r="G839" s="73"/>
      <c r="H839" s="79"/>
      <c r="I839" s="79"/>
      <c r="J839" s="14"/>
      <c r="K839" s="38"/>
      <c r="L839" s="38"/>
      <c r="M839" s="17"/>
    </row>
    <row r="840" spans="2:13" ht="14.45" customHeight="1" x14ac:dyDescent="0.25">
      <c r="B840" s="17"/>
      <c r="C840" s="14"/>
      <c r="D840" s="14"/>
      <c r="E840" s="18"/>
      <c r="F840" s="61"/>
      <c r="G840" s="73"/>
      <c r="H840" s="79"/>
      <c r="I840" s="79"/>
      <c r="J840" s="14"/>
      <c r="K840" s="38"/>
      <c r="L840" s="38"/>
      <c r="M840" s="17"/>
    </row>
    <row r="841" spans="2:13" ht="14.45" customHeight="1" x14ac:dyDescent="0.25">
      <c r="B841" s="17"/>
      <c r="C841" s="14"/>
      <c r="D841" s="14"/>
      <c r="E841" s="18"/>
      <c r="F841" s="61"/>
      <c r="G841" s="73"/>
      <c r="H841" s="79"/>
      <c r="I841" s="79"/>
      <c r="J841" s="14"/>
      <c r="K841" s="38"/>
      <c r="L841" s="38"/>
      <c r="M841" s="17"/>
    </row>
    <row r="842" spans="2:13" ht="14.45" customHeight="1" x14ac:dyDescent="0.25">
      <c r="B842" s="17"/>
      <c r="C842" s="14"/>
      <c r="D842" s="14"/>
      <c r="E842" s="18"/>
      <c r="F842" s="61"/>
      <c r="G842" s="73"/>
      <c r="H842" s="79"/>
      <c r="I842" s="79"/>
      <c r="J842" s="14"/>
      <c r="K842" s="38"/>
      <c r="L842" s="38"/>
      <c r="M842" s="17"/>
    </row>
    <row r="843" spans="2:13" ht="14.45" customHeight="1" x14ac:dyDescent="0.25">
      <c r="B843" s="17"/>
      <c r="C843" s="14"/>
      <c r="D843" s="14"/>
      <c r="E843" s="18"/>
      <c r="F843" s="61"/>
      <c r="G843" s="73"/>
      <c r="H843" s="79"/>
      <c r="I843" s="79"/>
      <c r="J843" s="14"/>
      <c r="K843" s="38"/>
      <c r="L843" s="38"/>
      <c r="M843" s="17"/>
    </row>
    <row r="844" spans="2:13" ht="14.45" customHeight="1" x14ac:dyDescent="0.25">
      <c r="B844" s="17"/>
      <c r="C844" s="14"/>
      <c r="D844" s="14"/>
      <c r="E844" s="18"/>
      <c r="F844" s="61"/>
      <c r="G844" s="73"/>
      <c r="H844" s="79"/>
      <c r="I844" s="79"/>
      <c r="J844" s="14"/>
      <c r="K844" s="38"/>
      <c r="L844" s="38"/>
      <c r="M844" s="17"/>
    </row>
    <row r="845" spans="2:13" ht="14.45" customHeight="1" x14ac:dyDescent="0.25">
      <c r="B845" s="17"/>
      <c r="C845" s="14"/>
      <c r="D845" s="14"/>
      <c r="E845" s="18"/>
      <c r="F845" s="61"/>
      <c r="G845" s="73"/>
      <c r="H845" s="79"/>
      <c r="I845" s="79"/>
      <c r="J845" s="14"/>
      <c r="K845" s="38"/>
      <c r="L845" s="38"/>
      <c r="M845" s="17"/>
    </row>
    <row r="846" spans="2:13" ht="14.45" customHeight="1" x14ac:dyDescent="0.25">
      <c r="B846" s="17"/>
      <c r="C846" s="14"/>
      <c r="D846" s="14"/>
      <c r="E846" s="18"/>
      <c r="F846" s="61"/>
      <c r="G846" s="73"/>
      <c r="H846" s="79"/>
      <c r="I846" s="79"/>
      <c r="J846" s="14"/>
      <c r="K846" s="38"/>
      <c r="L846" s="38"/>
      <c r="M846" s="17"/>
    </row>
    <row r="847" spans="2:13" ht="14.45" customHeight="1" x14ac:dyDescent="0.25">
      <c r="B847" s="17"/>
      <c r="C847" s="14"/>
      <c r="D847" s="14"/>
      <c r="E847" s="18"/>
      <c r="F847" s="61"/>
      <c r="G847" s="73"/>
      <c r="H847" s="79"/>
      <c r="I847" s="79"/>
      <c r="J847" s="14"/>
      <c r="K847" s="38"/>
      <c r="L847" s="38"/>
      <c r="M847" s="17"/>
    </row>
    <row r="848" spans="2:13" ht="14.45" customHeight="1" x14ac:dyDescent="0.25">
      <c r="B848" s="17"/>
      <c r="C848" s="14"/>
      <c r="D848" s="14"/>
      <c r="E848" s="18"/>
      <c r="F848" s="61"/>
      <c r="G848" s="73"/>
      <c r="H848" s="79"/>
      <c r="I848" s="79"/>
      <c r="J848" s="14"/>
      <c r="K848" s="38"/>
      <c r="L848" s="38"/>
      <c r="M848" s="17"/>
    </row>
    <row r="849" spans="2:13" ht="14.45" customHeight="1" x14ac:dyDescent="0.25">
      <c r="B849" s="17"/>
      <c r="C849" s="14"/>
      <c r="D849" s="14"/>
      <c r="E849" s="18"/>
      <c r="F849" s="61"/>
      <c r="G849" s="73"/>
      <c r="H849" s="79"/>
      <c r="I849" s="79"/>
      <c r="J849" s="14"/>
      <c r="K849" s="38"/>
      <c r="L849" s="38"/>
      <c r="M849" s="17"/>
    </row>
    <row r="850" spans="2:13" ht="14.45" customHeight="1" x14ac:dyDescent="0.25">
      <c r="B850" s="17"/>
      <c r="C850" s="14"/>
      <c r="D850" s="14"/>
      <c r="E850" s="18"/>
      <c r="F850" s="61"/>
      <c r="G850" s="73"/>
      <c r="H850" s="79"/>
      <c r="I850" s="79"/>
      <c r="J850" s="14"/>
      <c r="K850" s="38"/>
      <c r="L850" s="38"/>
      <c r="M850" s="17"/>
    </row>
    <row r="851" spans="2:13" ht="14.45" customHeight="1" x14ac:dyDescent="0.25">
      <c r="B851" s="17"/>
      <c r="C851" s="14"/>
      <c r="D851" s="14"/>
      <c r="E851" s="18"/>
      <c r="F851" s="61"/>
      <c r="G851" s="73"/>
      <c r="H851" s="79"/>
      <c r="I851" s="79"/>
      <c r="J851" s="14"/>
      <c r="K851" s="38"/>
      <c r="L851" s="38"/>
      <c r="M851" s="17"/>
    </row>
    <row r="852" spans="2:13" ht="14.45" customHeight="1" x14ac:dyDescent="0.25">
      <c r="B852" s="17"/>
      <c r="C852" s="14"/>
      <c r="D852" s="14"/>
      <c r="E852" s="18"/>
      <c r="F852" s="61"/>
      <c r="G852" s="73"/>
      <c r="H852" s="79"/>
      <c r="I852" s="79"/>
      <c r="J852" s="14"/>
      <c r="K852" s="38"/>
      <c r="L852" s="38"/>
      <c r="M852" s="17"/>
    </row>
    <row r="853" spans="2:13" ht="14.45" customHeight="1" x14ac:dyDescent="0.25">
      <c r="B853" s="17"/>
      <c r="C853" s="14"/>
      <c r="D853" s="14"/>
      <c r="E853" s="18"/>
      <c r="F853" s="61"/>
      <c r="G853" s="73"/>
      <c r="H853" s="79"/>
      <c r="I853" s="79"/>
      <c r="J853" s="14"/>
      <c r="K853" s="38"/>
      <c r="L853" s="38"/>
      <c r="M853" s="17"/>
    </row>
    <row r="854" spans="2:13" ht="14.45" customHeight="1" x14ac:dyDescent="0.25">
      <c r="B854" s="17"/>
      <c r="C854" s="14"/>
      <c r="D854" s="14"/>
      <c r="E854" s="18"/>
      <c r="F854" s="61"/>
      <c r="G854" s="73"/>
      <c r="H854" s="79"/>
      <c r="I854" s="79"/>
      <c r="J854" s="14"/>
      <c r="K854" s="38"/>
      <c r="L854" s="38"/>
      <c r="M854" s="17"/>
    </row>
    <row r="855" spans="2:13" ht="14.45" customHeight="1" x14ac:dyDescent="0.25">
      <c r="B855" s="17"/>
      <c r="C855" s="14"/>
      <c r="D855" s="14"/>
      <c r="E855" s="18"/>
      <c r="F855" s="61"/>
      <c r="G855" s="73"/>
      <c r="H855" s="79"/>
      <c r="I855" s="79"/>
      <c r="J855" s="14"/>
      <c r="K855" s="38"/>
      <c r="L855" s="38"/>
      <c r="M855" s="17"/>
    </row>
    <row r="856" spans="2:13" ht="14.45" customHeight="1" x14ac:dyDescent="0.25">
      <c r="B856" s="17"/>
      <c r="C856" s="14"/>
      <c r="D856" s="14"/>
      <c r="E856" s="18"/>
      <c r="F856" s="61"/>
      <c r="G856" s="73"/>
      <c r="H856" s="79"/>
      <c r="I856" s="79"/>
      <c r="J856" s="14"/>
      <c r="K856" s="38"/>
      <c r="L856" s="38"/>
      <c r="M856" s="17"/>
    </row>
    <row r="857" spans="2:13" ht="14.45" customHeight="1" x14ac:dyDescent="0.25">
      <c r="B857" s="17"/>
      <c r="C857" s="14"/>
      <c r="D857" s="14"/>
      <c r="E857" s="18"/>
      <c r="F857" s="61"/>
      <c r="G857" s="73"/>
      <c r="H857" s="79"/>
      <c r="I857" s="79"/>
      <c r="J857" s="14"/>
      <c r="K857" s="38"/>
      <c r="L857" s="38"/>
      <c r="M857" s="17"/>
    </row>
    <row r="858" spans="2:13" ht="14.45" customHeight="1" x14ac:dyDescent="0.25">
      <c r="B858" s="17"/>
      <c r="C858" s="14"/>
      <c r="D858" s="14"/>
      <c r="E858" s="18"/>
      <c r="F858" s="61"/>
      <c r="G858" s="73"/>
      <c r="H858" s="79"/>
      <c r="I858" s="79"/>
      <c r="J858" s="14"/>
      <c r="K858" s="38"/>
      <c r="L858" s="38"/>
      <c r="M858" s="17"/>
    </row>
    <row r="859" spans="2:13" ht="14.45" customHeight="1" x14ac:dyDescent="0.25">
      <c r="B859" s="17"/>
      <c r="C859" s="14"/>
      <c r="D859" s="14"/>
      <c r="E859" s="18"/>
      <c r="F859" s="61"/>
      <c r="G859" s="73"/>
      <c r="H859" s="79"/>
      <c r="I859" s="79"/>
      <c r="J859" s="14"/>
      <c r="K859" s="38"/>
      <c r="L859" s="38"/>
      <c r="M859" s="17"/>
    </row>
    <row r="860" spans="2:13" ht="14.45" customHeight="1" x14ac:dyDescent="0.25">
      <c r="B860" s="17"/>
      <c r="C860" s="14"/>
      <c r="D860" s="14"/>
      <c r="E860" s="18"/>
      <c r="F860" s="61"/>
      <c r="G860" s="73"/>
      <c r="H860" s="79"/>
      <c r="I860" s="79"/>
      <c r="J860" s="14"/>
      <c r="K860" s="38"/>
      <c r="L860" s="38"/>
      <c r="M860" s="17"/>
    </row>
    <row r="861" spans="2:13" ht="14.45" customHeight="1" x14ac:dyDescent="0.25">
      <c r="B861" s="17"/>
      <c r="C861" s="14"/>
      <c r="D861" s="14"/>
      <c r="E861" s="18"/>
      <c r="F861" s="61"/>
      <c r="G861" s="73"/>
      <c r="H861" s="79"/>
      <c r="I861" s="79"/>
      <c r="J861" s="14"/>
      <c r="K861" s="38"/>
      <c r="L861" s="38"/>
      <c r="M861" s="17"/>
    </row>
    <row r="862" spans="2:13" ht="14.45" customHeight="1" x14ac:dyDescent="0.25">
      <c r="B862" s="17"/>
      <c r="C862" s="14"/>
      <c r="D862" s="14"/>
      <c r="E862" s="18"/>
      <c r="F862" s="61"/>
      <c r="G862" s="73"/>
      <c r="H862" s="79"/>
      <c r="I862" s="79"/>
      <c r="J862" s="14"/>
      <c r="K862" s="38"/>
      <c r="L862" s="38"/>
      <c r="M862" s="17"/>
    </row>
    <row r="863" spans="2:13" ht="14.45" customHeight="1" x14ac:dyDescent="0.25">
      <c r="B863" s="17"/>
      <c r="C863" s="14"/>
      <c r="D863" s="14"/>
      <c r="E863" s="18"/>
      <c r="F863" s="61"/>
      <c r="G863" s="73"/>
      <c r="H863" s="79"/>
      <c r="I863" s="79"/>
      <c r="J863" s="14"/>
      <c r="K863" s="38"/>
      <c r="L863" s="38"/>
      <c r="M863" s="17"/>
    </row>
    <row r="864" spans="2:13" ht="14.45" customHeight="1" x14ac:dyDescent="0.25">
      <c r="B864" s="17"/>
      <c r="C864" s="14"/>
      <c r="D864" s="14"/>
      <c r="E864" s="18"/>
      <c r="F864" s="61"/>
      <c r="G864" s="73"/>
      <c r="H864" s="79"/>
      <c r="I864" s="79"/>
      <c r="J864" s="14"/>
      <c r="K864" s="38"/>
      <c r="L864" s="38"/>
      <c r="M864" s="17"/>
    </row>
    <row r="865" spans="2:13" ht="14.45" customHeight="1" x14ac:dyDescent="0.25">
      <c r="B865" s="17"/>
      <c r="C865" s="14"/>
      <c r="D865" s="14"/>
      <c r="E865" s="18"/>
      <c r="F865" s="61"/>
      <c r="G865" s="73"/>
      <c r="H865" s="79"/>
      <c r="I865" s="79"/>
      <c r="J865" s="14"/>
      <c r="K865" s="38"/>
      <c r="L865" s="38"/>
      <c r="M865" s="17"/>
    </row>
    <row r="866" spans="2:13" ht="14.45" customHeight="1" x14ac:dyDescent="0.25">
      <c r="B866" s="17"/>
      <c r="C866" s="14"/>
      <c r="D866" s="14"/>
      <c r="E866" s="18"/>
      <c r="F866" s="61"/>
      <c r="G866" s="73"/>
      <c r="H866" s="79"/>
      <c r="I866" s="79"/>
      <c r="J866" s="14"/>
      <c r="K866" s="38"/>
      <c r="L866" s="38"/>
      <c r="M866" s="17"/>
    </row>
    <row r="867" spans="2:13" ht="14.45" customHeight="1" x14ac:dyDescent="0.25">
      <c r="B867" s="17"/>
      <c r="C867" s="14"/>
      <c r="D867" s="14"/>
      <c r="E867" s="18"/>
      <c r="F867" s="61"/>
      <c r="G867" s="73"/>
      <c r="H867" s="79"/>
      <c r="I867" s="79"/>
      <c r="J867" s="14"/>
      <c r="K867" s="38"/>
      <c r="L867" s="38"/>
      <c r="M867" s="17"/>
    </row>
    <row r="868" spans="2:13" ht="14.45" customHeight="1" x14ac:dyDescent="0.25">
      <c r="B868" s="17"/>
      <c r="C868" s="14"/>
      <c r="D868" s="14"/>
      <c r="E868" s="18"/>
      <c r="F868" s="61"/>
      <c r="G868" s="73"/>
      <c r="H868" s="79"/>
      <c r="I868" s="79"/>
      <c r="J868" s="14"/>
      <c r="K868" s="38"/>
      <c r="L868" s="38"/>
      <c r="M868" s="17"/>
    </row>
    <row r="869" spans="2:13" ht="14.45" customHeight="1" x14ac:dyDescent="0.25">
      <c r="B869" s="17"/>
      <c r="C869" s="14"/>
      <c r="D869" s="14"/>
      <c r="E869" s="18"/>
      <c r="F869" s="61"/>
      <c r="G869" s="73"/>
      <c r="H869" s="79"/>
      <c r="I869" s="79"/>
      <c r="J869" s="14"/>
      <c r="K869" s="38"/>
      <c r="L869" s="38"/>
      <c r="M869" s="17"/>
    </row>
    <row r="870" spans="2:13" ht="14.45" customHeight="1" x14ac:dyDescent="0.25">
      <c r="B870" s="17"/>
      <c r="C870" s="14"/>
      <c r="D870" s="14"/>
      <c r="E870" s="18"/>
      <c r="F870" s="61"/>
      <c r="G870" s="73"/>
      <c r="H870" s="79"/>
      <c r="I870" s="79"/>
      <c r="J870" s="14"/>
      <c r="K870" s="38"/>
      <c r="L870" s="38"/>
      <c r="M870" s="17"/>
    </row>
    <row r="871" spans="2:13" ht="14.45" customHeight="1" x14ac:dyDescent="0.25">
      <c r="B871" s="17"/>
      <c r="C871" s="14"/>
      <c r="D871" s="14"/>
      <c r="E871" s="18"/>
      <c r="F871" s="61"/>
      <c r="G871" s="73"/>
      <c r="H871" s="79"/>
      <c r="I871" s="79"/>
      <c r="J871" s="14"/>
      <c r="K871" s="38"/>
      <c r="L871" s="38"/>
      <c r="M871" s="17"/>
    </row>
    <row r="872" spans="2:13" ht="14.45" customHeight="1" x14ac:dyDescent="0.25">
      <c r="B872" s="17"/>
      <c r="C872" s="14"/>
      <c r="D872" s="14"/>
      <c r="E872" s="18"/>
      <c r="F872" s="61"/>
      <c r="G872" s="73"/>
      <c r="H872" s="79"/>
      <c r="I872" s="79"/>
      <c r="J872" s="14"/>
      <c r="K872" s="38"/>
      <c r="L872" s="38"/>
      <c r="M872" s="17"/>
    </row>
    <row r="873" spans="2:13" ht="14.45" customHeight="1" x14ac:dyDescent="0.25">
      <c r="B873" s="17"/>
      <c r="C873" s="14"/>
      <c r="D873" s="14"/>
      <c r="E873" s="18"/>
      <c r="F873" s="61"/>
      <c r="G873" s="73"/>
      <c r="H873" s="79"/>
      <c r="I873" s="79"/>
      <c r="J873" s="14"/>
      <c r="K873" s="38"/>
      <c r="L873" s="38"/>
      <c r="M873" s="17"/>
    </row>
    <row r="874" spans="2:13" ht="14.45" customHeight="1" x14ac:dyDescent="0.25">
      <c r="B874" s="17"/>
      <c r="C874" s="14"/>
      <c r="D874" s="14"/>
      <c r="E874" s="18"/>
      <c r="F874" s="61"/>
      <c r="G874" s="73"/>
      <c r="H874" s="79"/>
      <c r="I874" s="79"/>
      <c r="J874" s="14"/>
      <c r="K874" s="38"/>
      <c r="L874" s="38"/>
      <c r="M874" s="17"/>
    </row>
    <row r="875" spans="2:13" ht="14.45" customHeight="1" x14ac:dyDescent="0.25">
      <c r="B875" s="17"/>
      <c r="C875" s="14"/>
      <c r="D875" s="14"/>
      <c r="E875" s="18"/>
      <c r="F875" s="61"/>
      <c r="G875" s="73"/>
      <c r="H875" s="79"/>
      <c r="I875" s="79"/>
      <c r="J875" s="14"/>
      <c r="K875" s="38"/>
      <c r="L875" s="38"/>
      <c r="M875" s="17"/>
    </row>
    <row r="876" spans="2:13" ht="14.45" customHeight="1" x14ac:dyDescent="0.25">
      <c r="B876" s="17"/>
      <c r="C876" s="14"/>
      <c r="D876" s="14"/>
      <c r="E876" s="18"/>
      <c r="F876" s="61"/>
      <c r="G876" s="73"/>
      <c r="H876" s="79"/>
      <c r="I876" s="79"/>
      <c r="J876" s="14"/>
      <c r="K876" s="38"/>
      <c r="L876" s="38"/>
      <c r="M876" s="17"/>
    </row>
    <row r="877" spans="2:13" ht="14.45" customHeight="1" x14ac:dyDescent="0.25">
      <c r="B877" s="17"/>
      <c r="C877" s="14"/>
      <c r="D877" s="14"/>
      <c r="E877" s="18"/>
      <c r="F877" s="61"/>
      <c r="G877" s="73"/>
      <c r="H877" s="79"/>
      <c r="I877" s="79"/>
      <c r="J877" s="14"/>
      <c r="K877" s="38"/>
      <c r="L877" s="38"/>
      <c r="M877" s="17"/>
    </row>
    <row r="878" spans="2:13" ht="14.45" customHeight="1" x14ac:dyDescent="0.25">
      <c r="B878" s="17"/>
      <c r="C878" s="14"/>
      <c r="D878" s="14"/>
      <c r="E878" s="18"/>
      <c r="F878" s="61"/>
      <c r="G878" s="73"/>
      <c r="H878" s="79"/>
      <c r="I878" s="79"/>
      <c r="J878" s="14"/>
      <c r="K878" s="38"/>
      <c r="L878" s="38"/>
      <c r="M878" s="17"/>
    </row>
    <row r="879" spans="2:13" ht="14.45" customHeight="1" x14ac:dyDescent="0.25">
      <c r="B879" s="17"/>
      <c r="C879" s="14"/>
      <c r="D879" s="14"/>
      <c r="E879" s="18"/>
      <c r="F879" s="61"/>
      <c r="G879" s="73"/>
      <c r="H879" s="79"/>
      <c r="I879" s="79"/>
      <c r="J879" s="14"/>
      <c r="K879" s="38"/>
      <c r="L879" s="38"/>
      <c r="M879" s="17"/>
    </row>
    <row r="880" spans="2:13" ht="14.45" customHeight="1" x14ac:dyDescent="0.25">
      <c r="B880" s="17"/>
      <c r="C880" s="14"/>
      <c r="D880" s="14"/>
      <c r="E880" s="18"/>
      <c r="F880" s="61"/>
      <c r="G880" s="73"/>
      <c r="H880" s="79"/>
      <c r="I880" s="79"/>
      <c r="J880" s="14"/>
      <c r="K880" s="38"/>
      <c r="L880" s="38"/>
      <c r="M880" s="17"/>
    </row>
    <row r="881" spans="2:13" ht="14.45" customHeight="1" x14ac:dyDescent="0.25">
      <c r="B881" s="17"/>
      <c r="C881" s="14"/>
      <c r="D881" s="14"/>
      <c r="E881" s="18"/>
      <c r="F881" s="61"/>
      <c r="G881" s="73"/>
      <c r="H881" s="79"/>
      <c r="I881" s="79"/>
      <c r="J881" s="14"/>
      <c r="K881" s="38"/>
      <c r="L881" s="38"/>
      <c r="M881" s="17"/>
    </row>
    <row r="882" spans="2:13" ht="14.45" customHeight="1" x14ac:dyDescent="0.25">
      <c r="B882" s="17"/>
      <c r="C882" s="14"/>
      <c r="D882" s="14"/>
      <c r="E882" s="18"/>
      <c r="F882" s="61"/>
      <c r="G882" s="73"/>
      <c r="H882" s="79"/>
      <c r="I882" s="79"/>
      <c r="J882" s="14"/>
      <c r="K882" s="38"/>
      <c r="L882" s="38"/>
      <c r="M882" s="17"/>
    </row>
    <row r="883" spans="2:13" ht="14.45" customHeight="1" x14ac:dyDescent="0.25">
      <c r="B883" s="17"/>
      <c r="C883" s="14"/>
      <c r="D883" s="14"/>
      <c r="E883" s="18"/>
      <c r="F883" s="61"/>
      <c r="G883" s="73"/>
      <c r="H883" s="79"/>
      <c r="I883" s="79"/>
      <c r="J883" s="14"/>
      <c r="K883" s="38"/>
      <c r="L883" s="38"/>
      <c r="M883" s="17"/>
    </row>
    <row r="884" spans="2:13" ht="14.45" customHeight="1" x14ac:dyDescent="0.25">
      <c r="B884" s="17"/>
      <c r="C884" s="14"/>
      <c r="D884" s="14"/>
      <c r="E884" s="18"/>
      <c r="F884" s="61"/>
      <c r="G884" s="73"/>
      <c r="H884" s="79"/>
      <c r="I884" s="79"/>
      <c r="J884" s="14"/>
      <c r="K884" s="38"/>
      <c r="L884" s="38"/>
      <c r="M884" s="17"/>
    </row>
    <row r="885" spans="2:13" ht="14.45" customHeight="1" x14ac:dyDescent="0.25">
      <c r="B885" s="17"/>
      <c r="C885" s="14"/>
      <c r="D885" s="14"/>
      <c r="E885" s="18"/>
      <c r="F885" s="61"/>
      <c r="G885" s="73"/>
      <c r="H885" s="79"/>
      <c r="I885" s="79"/>
      <c r="J885" s="14"/>
      <c r="K885" s="38"/>
      <c r="L885" s="38"/>
      <c r="M885" s="17"/>
    </row>
    <row r="886" spans="2:13" ht="14.45" customHeight="1" x14ac:dyDescent="0.25">
      <c r="B886" s="17"/>
      <c r="C886" s="14"/>
      <c r="D886" s="14"/>
      <c r="E886" s="18"/>
      <c r="F886" s="61"/>
      <c r="G886" s="73"/>
      <c r="H886" s="79"/>
      <c r="I886" s="79"/>
      <c r="J886" s="14"/>
      <c r="K886" s="38"/>
      <c r="L886" s="38"/>
      <c r="M886" s="17"/>
    </row>
    <row r="887" spans="2:13" ht="14.45" customHeight="1" x14ac:dyDescent="0.25">
      <c r="B887" s="17"/>
      <c r="C887" s="14"/>
      <c r="D887" s="14"/>
      <c r="E887" s="18"/>
      <c r="F887" s="61"/>
      <c r="G887" s="73"/>
      <c r="H887" s="79"/>
      <c r="I887" s="79"/>
      <c r="J887" s="14"/>
      <c r="K887" s="38"/>
      <c r="L887" s="38"/>
      <c r="M887" s="17"/>
    </row>
    <row r="888" spans="2:13" ht="14.45" customHeight="1" x14ac:dyDescent="0.25">
      <c r="B888" s="17"/>
      <c r="C888" s="14"/>
      <c r="D888" s="14"/>
      <c r="E888" s="18"/>
      <c r="F888" s="61"/>
      <c r="G888" s="73"/>
      <c r="H888" s="79"/>
      <c r="I888" s="79"/>
      <c r="J888" s="14"/>
      <c r="K888" s="38"/>
      <c r="L888" s="38"/>
      <c r="M888" s="17"/>
    </row>
    <row r="889" spans="2:13" ht="14.45" customHeight="1" x14ac:dyDescent="0.25">
      <c r="B889" s="17"/>
      <c r="C889" s="14"/>
      <c r="D889" s="14"/>
      <c r="E889" s="18"/>
      <c r="F889" s="61"/>
      <c r="G889" s="73"/>
      <c r="H889" s="79"/>
      <c r="I889" s="79"/>
      <c r="J889" s="14"/>
      <c r="K889" s="38"/>
      <c r="L889" s="38"/>
      <c r="M889" s="17"/>
    </row>
    <row r="890" spans="2:13" ht="14.45" customHeight="1" x14ac:dyDescent="0.25">
      <c r="B890" s="17"/>
      <c r="C890" s="14"/>
      <c r="D890" s="14"/>
      <c r="E890" s="18"/>
      <c r="F890" s="61"/>
      <c r="G890" s="73"/>
      <c r="H890" s="79"/>
      <c r="I890" s="79"/>
      <c r="J890" s="14"/>
      <c r="K890" s="38"/>
      <c r="L890" s="38"/>
      <c r="M890" s="17"/>
    </row>
    <row r="891" spans="2:13" ht="14.45" customHeight="1" x14ac:dyDescent="0.25">
      <c r="B891" s="17"/>
      <c r="C891" s="14"/>
      <c r="D891" s="14"/>
      <c r="E891" s="18"/>
      <c r="F891" s="61"/>
      <c r="G891" s="73"/>
      <c r="H891" s="79"/>
      <c r="I891" s="79"/>
      <c r="J891" s="14"/>
      <c r="K891" s="38"/>
      <c r="L891" s="38"/>
      <c r="M891" s="17"/>
    </row>
    <row r="892" spans="2:13" ht="14.45" customHeight="1" x14ac:dyDescent="0.25">
      <c r="B892" s="17"/>
      <c r="C892" s="14"/>
      <c r="D892" s="14"/>
      <c r="E892" s="18"/>
      <c r="F892" s="61"/>
      <c r="G892" s="73"/>
      <c r="H892" s="79"/>
      <c r="I892" s="79"/>
      <c r="J892" s="14"/>
      <c r="K892" s="38"/>
      <c r="L892" s="38"/>
      <c r="M892" s="17"/>
    </row>
    <row r="893" spans="2:13" ht="14.45" customHeight="1" x14ac:dyDescent="0.25">
      <c r="B893" s="17"/>
      <c r="C893" s="14"/>
      <c r="D893" s="14"/>
      <c r="E893" s="18"/>
      <c r="F893" s="61"/>
      <c r="G893" s="73"/>
      <c r="H893" s="79"/>
      <c r="I893" s="79"/>
      <c r="J893" s="14"/>
      <c r="K893" s="38"/>
      <c r="L893" s="38"/>
      <c r="M893" s="17"/>
    </row>
    <row r="894" spans="2:13" ht="14.45" customHeight="1" x14ac:dyDescent="0.25">
      <c r="B894" s="17"/>
      <c r="C894" s="14"/>
      <c r="D894" s="14"/>
      <c r="E894" s="18"/>
      <c r="F894" s="61"/>
      <c r="G894" s="73"/>
      <c r="H894" s="79"/>
      <c r="I894" s="79"/>
      <c r="J894" s="14"/>
      <c r="K894" s="38"/>
      <c r="L894" s="38"/>
      <c r="M894" s="17"/>
    </row>
    <row r="895" spans="2:13" ht="14.45" customHeight="1" x14ac:dyDescent="0.25">
      <c r="B895" s="17"/>
      <c r="C895" s="14"/>
      <c r="D895" s="14"/>
      <c r="E895" s="18"/>
      <c r="F895" s="61"/>
      <c r="G895" s="73"/>
      <c r="H895" s="79"/>
      <c r="I895" s="79"/>
      <c r="J895" s="14"/>
      <c r="K895" s="38"/>
      <c r="L895" s="38"/>
      <c r="M895" s="17"/>
    </row>
    <row r="896" spans="2:13" ht="14.45" customHeight="1" x14ac:dyDescent="0.25">
      <c r="B896" s="17"/>
      <c r="C896" s="14"/>
      <c r="D896" s="14"/>
      <c r="E896" s="18"/>
      <c r="F896" s="61"/>
      <c r="G896" s="73"/>
      <c r="H896" s="79"/>
      <c r="I896" s="79"/>
      <c r="J896" s="14"/>
      <c r="K896" s="38"/>
      <c r="L896" s="38"/>
      <c r="M896" s="17"/>
    </row>
    <row r="897" spans="2:13" ht="14.45" customHeight="1" x14ac:dyDescent="0.25">
      <c r="B897" s="17"/>
      <c r="C897" s="14"/>
      <c r="D897" s="14"/>
      <c r="E897" s="18"/>
      <c r="F897" s="61"/>
      <c r="G897" s="73"/>
      <c r="H897" s="79"/>
      <c r="I897" s="79"/>
      <c r="J897" s="14"/>
      <c r="K897" s="38"/>
      <c r="L897" s="38"/>
      <c r="M897" s="17"/>
    </row>
    <row r="898" spans="2:13" ht="14.45" customHeight="1" x14ac:dyDescent="0.25">
      <c r="B898" s="17"/>
      <c r="C898" s="14"/>
      <c r="D898" s="14"/>
      <c r="E898" s="18"/>
      <c r="F898" s="61"/>
      <c r="G898" s="73"/>
      <c r="H898" s="79"/>
      <c r="I898" s="79"/>
      <c r="J898" s="14"/>
      <c r="K898" s="38"/>
      <c r="L898" s="38"/>
      <c r="M898" s="17"/>
    </row>
    <row r="899" spans="2:13" ht="14.45" customHeight="1" x14ac:dyDescent="0.25">
      <c r="B899" s="17"/>
      <c r="C899" s="14"/>
      <c r="D899" s="14"/>
      <c r="E899" s="18"/>
      <c r="F899" s="61"/>
      <c r="G899" s="73"/>
      <c r="H899" s="79"/>
      <c r="I899" s="79"/>
      <c r="J899" s="14"/>
      <c r="K899" s="38"/>
      <c r="L899" s="38"/>
      <c r="M899" s="17"/>
    </row>
    <row r="900" spans="2:13" ht="14.45" customHeight="1" x14ac:dyDescent="0.25">
      <c r="B900" s="17"/>
      <c r="C900" s="14"/>
      <c r="D900" s="14"/>
      <c r="E900" s="18"/>
      <c r="F900" s="61"/>
      <c r="G900" s="73"/>
      <c r="H900" s="79"/>
      <c r="I900" s="79"/>
      <c r="J900" s="14"/>
      <c r="K900" s="38"/>
      <c r="L900" s="38"/>
      <c r="M900" s="17"/>
    </row>
    <row r="901" spans="2:13" ht="14.45" customHeight="1" x14ac:dyDescent="0.25">
      <c r="B901" s="17"/>
      <c r="C901" s="14"/>
      <c r="D901" s="14"/>
      <c r="E901" s="18"/>
      <c r="F901" s="61"/>
      <c r="G901" s="73"/>
      <c r="H901" s="79"/>
      <c r="I901" s="79"/>
      <c r="J901" s="14"/>
      <c r="K901" s="38"/>
      <c r="L901" s="38"/>
      <c r="M901" s="17"/>
    </row>
    <row r="902" spans="2:13" ht="14.45" customHeight="1" x14ac:dyDescent="0.25">
      <c r="B902" s="17"/>
      <c r="C902" s="14"/>
      <c r="D902" s="14"/>
      <c r="E902" s="18"/>
      <c r="F902" s="61"/>
      <c r="G902" s="73"/>
      <c r="H902" s="79"/>
      <c r="I902" s="79"/>
      <c r="J902" s="14"/>
      <c r="K902" s="38"/>
      <c r="L902" s="38"/>
      <c r="M902" s="17"/>
    </row>
    <row r="903" spans="2:13" ht="14.45" customHeight="1" x14ac:dyDescent="0.25">
      <c r="B903" s="17"/>
      <c r="C903" s="14"/>
      <c r="D903" s="14"/>
      <c r="E903" s="18"/>
      <c r="F903" s="61"/>
      <c r="G903" s="73"/>
      <c r="H903" s="79"/>
      <c r="I903" s="79"/>
      <c r="J903" s="14"/>
      <c r="K903" s="38"/>
      <c r="L903" s="38"/>
      <c r="M903" s="17"/>
    </row>
    <row r="904" spans="2:13" ht="14.45" customHeight="1" x14ac:dyDescent="0.25">
      <c r="B904" s="17"/>
      <c r="C904" s="14"/>
      <c r="D904" s="14"/>
      <c r="E904" s="18"/>
      <c r="F904" s="61"/>
      <c r="G904" s="73"/>
      <c r="H904" s="79"/>
      <c r="I904" s="79"/>
      <c r="J904" s="14"/>
      <c r="K904" s="38"/>
      <c r="L904" s="38"/>
      <c r="M904" s="17"/>
    </row>
    <row r="905" spans="2:13" ht="14.45" customHeight="1" x14ac:dyDescent="0.25">
      <c r="B905" s="17"/>
      <c r="C905" s="14"/>
      <c r="D905" s="14"/>
      <c r="E905" s="18"/>
      <c r="F905" s="61"/>
      <c r="G905" s="73"/>
      <c r="H905" s="79"/>
      <c r="I905" s="79"/>
      <c r="J905" s="14"/>
      <c r="K905" s="38"/>
      <c r="L905" s="38"/>
      <c r="M905" s="17"/>
    </row>
    <row r="906" spans="2:13" ht="14.45" customHeight="1" x14ac:dyDescent="0.25">
      <c r="B906" s="17"/>
      <c r="C906" s="14"/>
      <c r="D906" s="14"/>
      <c r="E906" s="18"/>
      <c r="F906" s="61"/>
      <c r="G906" s="73"/>
      <c r="H906" s="79"/>
      <c r="I906" s="79"/>
      <c r="J906" s="14"/>
      <c r="K906" s="38"/>
      <c r="L906" s="38"/>
      <c r="M906" s="17"/>
    </row>
    <row r="907" spans="2:13" ht="14.45" customHeight="1" x14ac:dyDescent="0.25">
      <c r="B907" s="17"/>
      <c r="C907" s="14"/>
      <c r="D907" s="14"/>
      <c r="E907" s="18"/>
      <c r="F907" s="61"/>
      <c r="G907" s="73"/>
      <c r="H907" s="79"/>
      <c r="I907" s="79"/>
      <c r="J907" s="14"/>
      <c r="K907" s="38"/>
      <c r="L907" s="38"/>
      <c r="M907" s="17"/>
    </row>
    <row r="908" spans="2:13" ht="14.45" customHeight="1" x14ac:dyDescent="0.25">
      <c r="B908" s="17"/>
      <c r="C908" s="14"/>
      <c r="D908" s="14"/>
      <c r="E908" s="18"/>
      <c r="F908" s="61"/>
      <c r="G908" s="73"/>
      <c r="H908" s="79"/>
      <c r="I908" s="79"/>
      <c r="J908" s="14"/>
      <c r="K908" s="38"/>
      <c r="L908" s="38"/>
      <c r="M908" s="17"/>
    </row>
    <row r="909" spans="2:13" ht="14.45" customHeight="1" x14ac:dyDescent="0.25">
      <c r="B909" s="17"/>
      <c r="C909" s="14"/>
      <c r="D909" s="14"/>
      <c r="E909" s="18"/>
      <c r="F909" s="61"/>
      <c r="G909" s="73"/>
      <c r="H909" s="79"/>
      <c r="I909" s="79"/>
      <c r="J909" s="14"/>
      <c r="K909" s="38"/>
      <c r="L909" s="38"/>
      <c r="M909" s="17"/>
    </row>
    <row r="910" spans="2:13" ht="14.45" customHeight="1" x14ac:dyDescent="0.25">
      <c r="B910" s="17"/>
      <c r="C910" s="14"/>
      <c r="D910" s="14"/>
      <c r="E910" s="18"/>
      <c r="F910" s="61"/>
      <c r="G910" s="73"/>
      <c r="H910" s="79"/>
      <c r="I910" s="79"/>
      <c r="J910" s="14"/>
      <c r="K910" s="38"/>
      <c r="L910" s="38"/>
      <c r="M910" s="17"/>
    </row>
    <row r="911" spans="2:13" ht="14.45" customHeight="1" x14ac:dyDescent="0.25">
      <c r="B911" s="17"/>
      <c r="C911" s="14"/>
      <c r="D911" s="14"/>
      <c r="E911" s="18"/>
      <c r="F911" s="61"/>
      <c r="G911" s="73"/>
      <c r="H911" s="79"/>
      <c r="I911" s="79"/>
      <c r="J911" s="14"/>
      <c r="K911" s="38"/>
      <c r="L911" s="38"/>
      <c r="M911" s="17"/>
    </row>
    <row r="912" spans="2:13" ht="14.45" customHeight="1" x14ac:dyDescent="0.25">
      <c r="B912" s="17"/>
      <c r="C912" s="14"/>
      <c r="D912" s="14"/>
      <c r="E912" s="18"/>
      <c r="F912" s="61"/>
      <c r="G912" s="73"/>
      <c r="H912" s="79"/>
      <c r="I912" s="79"/>
      <c r="J912" s="14"/>
      <c r="K912" s="38"/>
      <c r="L912" s="38"/>
      <c r="M912" s="17"/>
    </row>
    <row r="913" spans="2:13" ht="14.45" customHeight="1" x14ac:dyDescent="0.25">
      <c r="B913" s="17"/>
      <c r="C913" s="14"/>
      <c r="D913" s="14"/>
      <c r="E913" s="18"/>
      <c r="F913" s="61"/>
      <c r="G913" s="73"/>
      <c r="H913" s="79"/>
      <c r="I913" s="79"/>
      <c r="J913" s="14"/>
      <c r="K913" s="38"/>
      <c r="L913" s="38"/>
      <c r="M913" s="17"/>
    </row>
    <row r="914" spans="2:13" ht="14.45" customHeight="1" x14ac:dyDescent="0.25">
      <c r="B914" s="17"/>
      <c r="C914" s="14"/>
      <c r="D914" s="14"/>
      <c r="E914" s="18"/>
      <c r="F914" s="61"/>
      <c r="G914" s="73"/>
      <c r="H914" s="79"/>
      <c r="I914" s="79"/>
      <c r="J914" s="14"/>
      <c r="K914" s="38"/>
      <c r="L914" s="38"/>
      <c r="M914" s="17"/>
    </row>
    <row r="915" spans="2:13" ht="14.45" customHeight="1" x14ac:dyDescent="0.25">
      <c r="B915" s="17"/>
      <c r="C915" s="14"/>
      <c r="D915" s="14"/>
      <c r="E915" s="18"/>
      <c r="F915" s="61"/>
      <c r="G915" s="73"/>
      <c r="H915" s="79"/>
      <c r="I915" s="79"/>
      <c r="J915" s="14"/>
      <c r="K915" s="38"/>
      <c r="L915" s="38"/>
      <c r="M915" s="17"/>
    </row>
    <row r="916" spans="2:13" ht="14.45" customHeight="1" x14ac:dyDescent="0.25">
      <c r="B916" s="17"/>
      <c r="C916" s="14"/>
      <c r="D916" s="14"/>
      <c r="E916" s="18"/>
      <c r="F916" s="61"/>
      <c r="G916" s="73"/>
      <c r="H916" s="79"/>
      <c r="I916" s="79"/>
      <c r="J916" s="14"/>
      <c r="K916" s="38"/>
      <c r="L916" s="38"/>
      <c r="M916" s="17"/>
    </row>
    <row r="917" spans="2:13" ht="14.45" customHeight="1" x14ac:dyDescent="0.25">
      <c r="B917" s="17"/>
      <c r="C917" s="14"/>
      <c r="D917" s="14"/>
      <c r="E917" s="18"/>
      <c r="F917" s="61"/>
      <c r="G917" s="73"/>
      <c r="H917" s="79"/>
      <c r="I917" s="79"/>
      <c r="J917" s="14"/>
      <c r="K917" s="38"/>
      <c r="L917" s="38"/>
      <c r="M917" s="17"/>
    </row>
    <row r="918" spans="2:13" ht="14.45" customHeight="1" x14ac:dyDescent="0.25">
      <c r="B918" s="17"/>
      <c r="C918" s="14"/>
      <c r="D918" s="14"/>
      <c r="E918" s="18"/>
      <c r="F918" s="61"/>
      <c r="G918" s="73"/>
      <c r="H918" s="79"/>
      <c r="I918" s="79"/>
      <c r="J918" s="14"/>
      <c r="K918" s="38"/>
      <c r="L918" s="38"/>
      <c r="M918" s="17"/>
    </row>
    <row r="919" spans="2:13" ht="14.45" customHeight="1" x14ac:dyDescent="0.25">
      <c r="B919" s="17"/>
      <c r="C919" s="14"/>
      <c r="D919" s="14"/>
      <c r="E919" s="18"/>
      <c r="F919" s="61"/>
      <c r="G919" s="73"/>
      <c r="H919" s="79"/>
      <c r="I919" s="79"/>
      <c r="J919" s="14"/>
      <c r="K919" s="38"/>
      <c r="L919" s="38"/>
      <c r="M919" s="17"/>
    </row>
    <row r="920" spans="2:13" ht="14.45" customHeight="1" x14ac:dyDescent="0.25">
      <c r="B920" s="17"/>
      <c r="C920" s="14"/>
      <c r="D920" s="14"/>
      <c r="E920" s="18"/>
      <c r="F920" s="61"/>
      <c r="G920" s="73"/>
      <c r="H920" s="79"/>
      <c r="I920" s="79"/>
      <c r="J920" s="14"/>
      <c r="K920" s="38"/>
      <c r="L920" s="38"/>
      <c r="M920" s="17"/>
    </row>
    <row r="921" spans="2:13" ht="14.45" customHeight="1" x14ac:dyDescent="0.25">
      <c r="B921" s="17"/>
      <c r="C921" s="14"/>
      <c r="D921" s="14"/>
      <c r="E921" s="18"/>
      <c r="F921" s="61"/>
      <c r="G921" s="73"/>
      <c r="H921" s="79"/>
      <c r="I921" s="79"/>
      <c r="J921" s="14"/>
      <c r="K921" s="38"/>
      <c r="L921" s="38"/>
      <c r="M921" s="17"/>
    </row>
    <row r="922" spans="2:13" ht="14.45" customHeight="1" x14ac:dyDescent="0.25">
      <c r="B922" s="17"/>
      <c r="C922" s="14"/>
      <c r="D922" s="14"/>
      <c r="E922" s="18"/>
      <c r="F922" s="61"/>
      <c r="G922" s="73"/>
      <c r="H922" s="79"/>
      <c r="I922" s="79"/>
      <c r="J922" s="14"/>
      <c r="K922" s="38"/>
      <c r="L922" s="38"/>
      <c r="M922" s="17"/>
    </row>
    <row r="923" spans="2:13" ht="14.45" customHeight="1" x14ac:dyDescent="0.25">
      <c r="B923" s="17"/>
      <c r="C923" s="14"/>
      <c r="D923" s="14"/>
      <c r="E923" s="18"/>
      <c r="F923" s="61"/>
      <c r="G923" s="73"/>
      <c r="H923" s="79"/>
      <c r="I923" s="79"/>
      <c r="J923" s="14"/>
      <c r="K923" s="38"/>
      <c r="L923" s="38"/>
      <c r="M923" s="17"/>
    </row>
    <row r="924" spans="2:13" ht="14.45" customHeight="1" x14ac:dyDescent="0.25">
      <c r="B924" s="17"/>
      <c r="C924" s="14"/>
      <c r="D924" s="14"/>
      <c r="E924" s="18"/>
      <c r="F924" s="61"/>
      <c r="G924" s="73"/>
      <c r="H924" s="79"/>
      <c r="I924" s="79"/>
      <c r="J924" s="14"/>
      <c r="K924" s="38"/>
      <c r="L924" s="38"/>
      <c r="M924" s="17"/>
    </row>
    <row r="925" spans="2:13" ht="14.45" customHeight="1" x14ac:dyDescent="0.25">
      <c r="B925" s="17"/>
      <c r="C925" s="14"/>
      <c r="D925" s="14"/>
      <c r="E925" s="18"/>
      <c r="F925" s="61"/>
      <c r="G925" s="73"/>
      <c r="H925" s="79"/>
      <c r="I925" s="79"/>
      <c r="J925" s="14"/>
      <c r="K925" s="38"/>
      <c r="L925" s="38"/>
      <c r="M925" s="17"/>
    </row>
    <row r="926" spans="2:13" ht="14.45" customHeight="1" x14ac:dyDescent="0.25">
      <c r="B926" s="17"/>
      <c r="C926" s="14"/>
      <c r="D926" s="14"/>
      <c r="E926" s="18"/>
      <c r="F926" s="61"/>
      <c r="G926" s="73"/>
      <c r="H926" s="79"/>
      <c r="I926" s="79"/>
      <c r="J926" s="14"/>
      <c r="K926" s="38"/>
      <c r="L926" s="38"/>
      <c r="M926" s="17"/>
    </row>
    <row r="927" spans="2:13" ht="14.45" customHeight="1" x14ac:dyDescent="0.25">
      <c r="B927" s="17"/>
      <c r="C927" s="14"/>
      <c r="D927" s="14"/>
      <c r="E927" s="18"/>
      <c r="F927" s="61"/>
      <c r="G927" s="73"/>
      <c r="H927" s="79"/>
      <c r="I927" s="79"/>
      <c r="J927" s="14"/>
      <c r="K927" s="38"/>
      <c r="L927" s="38"/>
      <c r="M927" s="17"/>
    </row>
    <row r="928" spans="2:13" ht="14.45" customHeight="1" x14ac:dyDescent="0.25">
      <c r="B928" s="17"/>
      <c r="C928" s="14"/>
      <c r="D928" s="14"/>
      <c r="E928" s="18"/>
      <c r="F928" s="61"/>
      <c r="G928" s="73"/>
      <c r="H928" s="79"/>
      <c r="I928" s="79"/>
      <c r="J928" s="14"/>
      <c r="K928" s="38"/>
      <c r="L928" s="38"/>
      <c r="M928" s="17"/>
    </row>
    <row r="929" spans="2:13" ht="14.45" customHeight="1" x14ac:dyDescent="0.25">
      <c r="B929" s="17"/>
      <c r="C929" s="14"/>
      <c r="D929" s="14"/>
      <c r="E929" s="18"/>
      <c r="F929" s="61"/>
      <c r="G929" s="73"/>
      <c r="H929" s="79"/>
      <c r="I929" s="79"/>
      <c r="J929" s="14"/>
      <c r="K929" s="38"/>
      <c r="L929" s="38"/>
      <c r="M929" s="17"/>
    </row>
    <row r="930" spans="2:13" ht="14.45" customHeight="1" x14ac:dyDescent="0.25">
      <c r="B930" s="17"/>
      <c r="C930" s="14"/>
      <c r="D930" s="14"/>
      <c r="E930" s="18"/>
      <c r="F930" s="61"/>
      <c r="G930" s="73"/>
      <c r="H930" s="79"/>
      <c r="I930" s="79"/>
      <c r="J930" s="14"/>
      <c r="K930" s="38"/>
      <c r="L930" s="38"/>
      <c r="M930" s="17"/>
    </row>
    <row r="931" spans="2:13" ht="14.45" customHeight="1" x14ac:dyDescent="0.25">
      <c r="B931" s="17"/>
      <c r="C931" s="14"/>
      <c r="D931" s="14"/>
      <c r="E931" s="18"/>
      <c r="F931" s="61"/>
      <c r="G931" s="73"/>
      <c r="H931" s="79"/>
      <c r="I931" s="79"/>
      <c r="J931" s="14"/>
      <c r="K931" s="38"/>
      <c r="L931" s="38"/>
      <c r="M931" s="17"/>
    </row>
    <row r="932" spans="2:13" ht="14.45" customHeight="1" x14ac:dyDescent="0.25">
      <c r="B932" s="17"/>
      <c r="C932" s="14"/>
      <c r="D932" s="14"/>
      <c r="E932" s="18"/>
      <c r="F932" s="61"/>
      <c r="G932" s="73"/>
      <c r="H932" s="79"/>
      <c r="I932" s="79"/>
      <c r="J932" s="14"/>
      <c r="K932" s="38"/>
      <c r="L932" s="38"/>
      <c r="M932" s="17"/>
    </row>
    <row r="933" spans="2:13" ht="14.45" customHeight="1" x14ac:dyDescent="0.25">
      <c r="B933" s="17"/>
      <c r="C933" s="14"/>
      <c r="D933" s="14"/>
      <c r="E933" s="18"/>
      <c r="F933" s="61"/>
      <c r="G933" s="73"/>
      <c r="H933" s="79"/>
      <c r="I933" s="79"/>
      <c r="J933" s="14"/>
      <c r="K933" s="38"/>
      <c r="L933" s="38"/>
      <c r="M933" s="17"/>
    </row>
    <row r="934" spans="2:13" ht="14.45" customHeight="1" x14ac:dyDescent="0.25">
      <c r="B934" s="17"/>
      <c r="C934" s="14"/>
      <c r="D934" s="14"/>
      <c r="E934" s="18"/>
      <c r="F934" s="61"/>
      <c r="G934" s="73"/>
      <c r="H934" s="79"/>
      <c r="I934" s="79"/>
      <c r="J934" s="14"/>
      <c r="K934" s="38"/>
      <c r="L934" s="38"/>
      <c r="M934" s="17"/>
    </row>
    <row r="935" spans="2:13" ht="14.45" customHeight="1" x14ac:dyDescent="0.25">
      <c r="B935" s="17"/>
      <c r="C935" s="14"/>
      <c r="D935" s="14"/>
      <c r="E935" s="18"/>
      <c r="F935" s="61"/>
      <c r="G935" s="73"/>
      <c r="H935" s="79"/>
      <c r="I935" s="79"/>
      <c r="J935" s="14"/>
      <c r="K935" s="38"/>
      <c r="L935" s="38"/>
      <c r="M935" s="17"/>
    </row>
    <row r="936" spans="2:13" ht="14.45" customHeight="1" x14ac:dyDescent="0.25">
      <c r="B936" s="17"/>
      <c r="C936" s="14"/>
      <c r="D936" s="14"/>
      <c r="E936" s="18"/>
      <c r="F936" s="61"/>
      <c r="G936" s="73"/>
      <c r="H936" s="79"/>
      <c r="I936" s="79"/>
      <c r="J936" s="14"/>
      <c r="K936" s="38"/>
      <c r="L936" s="38"/>
      <c r="M936" s="17"/>
    </row>
    <row r="937" spans="2:13" ht="14.45" customHeight="1" x14ac:dyDescent="0.25">
      <c r="B937" s="17"/>
      <c r="C937" s="14"/>
      <c r="D937" s="14"/>
      <c r="E937" s="18"/>
      <c r="F937" s="61"/>
      <c r="G937" s="73"/>
      <c r="H937" s="79"/>
      <c r="I937" s="79"/>
      <c r="J937" s="14"/>
      <c r="K937" s="38"/>
      <c r="L937" s="38"/>
      <c r="M937" s="17"/>
    </row>
    <row r="938" spans="2:13" ht="14.45" customHeight="1" x14ac:dyDescent="0.25">
      <c r="B938" s="17"/>
      <c r="C938" s="14"/>
      <c r="D938" s="14"/>
      <c r="E938" s="18"/>
      <c r="F938" s="61"/>
      <c r="G938" s="73"/>
      <c r="H938" s="79"/>
      <c r="I938" s="79"/>
      <c r="J938" s="14"/>
      <c r="K938" s="38"/>
      <c r="L938" s="38"/>
      <c r="M938" s="17"/>
    </row>
    <row r="939" spans="2:13" ht="14.45" customHeight="1" x14ac:dyDescent="0.25">
      <c r="B939" s="17"/>
      <c r="C939" s="14"/>
      <c r="D939" s="14"/>
      <c r="E939" s="18"/>
      <c r="F939" s="61"/>
      <c r="G939" s="73"/>
      <c r="H939" s="79"/>
      <c r="I939" s="79"/>
      <c r="J939" s="14"/>
      <c r="K939" s="38"/>
      <c r="L939" s="38"/>
      <c r="M939" s="17"/>
    </row>
    <row r="940" spans="2:13" ht="14.45" customHeight="1" x14ac:dyDescent="0.25">
      <c r="B940" s="17"/>
      <c r="C940" s="14"/>
      <c r="D940" s="14"/>
      <c r="E940" s="18"/>
      <c r="F940" s="61"/>
      <c r="G940" s="73"/>
      <c r="H940" s="79"/>
      <c r="I940" s="79"/>
      <c r="J940" s="14"/>
      <c r="K940" s="38"/>
      <c r="L940" s="38"/>
      <c r="M940" s="17"/>
    </row>
    <row r="941" spans="2:13" ht="14.45" customHeight="1" x14ac:dyDescent="0.25">
      <c r="B941" s="17"/>
      <c r="C941" s="14"/>
      <c r="D941" s="14"/>
      <c r="E941" s="18"/>
      <c r="F941" s="61"/>
      <c r="G941" s="73"/>
      <c r="H941" s="79"/>
      <c r="I941" s="79"/>
      <c r="J941" s="14"/>
      <c r="K941" s="38"/>
      <c r="L941" s="38"/>
      <c r="M941" s="17"/>
    </row>
    <row r="942" spans="2:13" ht="14.45" customHeight="1" x14ac:dyDescent="0.25">
      <c r="B942" s="17"/>
      <c r="C942" s="14"/>
      <c r="D942" s="14"/>
      <c r="E942" s="18"/>
      <c r="F942" s="61"/>
      <c r="G942" s="73"/>
      <c r="H942" s="79"/>
      <c r="I942" s="79"/>
      <c r="J942" s="14"/>
      <c r="K942" s="38"/>
      <c r="L942" s="38"/>
      <c r="M942" s="17"/>
    </row>
    <row r="943" spans="2:13" ht="14.45" customHeight="1" x14ac:dyDescent="0.25">
      <c r="B943" s="17"/>
      <c r="C943" s="14"/>
      <c r="D943" s="14"/>
      <c r="E943" s="18"/>
      <c r="F943" s="61"/>
      <c r="G943" s="73"/>
      <c r="H943" s="79"/>
      <c r="I943" s="79"/>
      <c r="J943" s="14"/>
      <c r="K943" s="38"/>
      <c r="L943" s="38"/>
      <c r="M943" s="17"/>
    </row>
    <row r="944" spans="2:13" ht="14.45" customHeight="1" x14ac:dyDescent="0.25">
      <c r="B944" s="17"/>
      <c r="C944" s="14"/>
      <c r="D944" s="14"/>
      <c r="E944" s="18"/>
      <c r="F944" s="61"/>
      <c r="G944" s="73"/>
      <c r="H944" s="79"/>
      <c r="I944" s="79"/>
      <c r="J944" s="14"/>
      <c r="K944" s="38"/>
      <c r="L944" s="38"/>
      <c r="M944" s="17"/>
    </row>
    <row r="945" spans="2:13" ht="14.45" customHeight="1" x14ac:dyDescent="0.25">
      <c r="B945" s="17"/>
      <c r="C945" s="14"/>
      <c r="D945" s="14"/>
      <c r="E945" s="18"/>
      <c r="F945" s="61"/>
      <c r="G945" s="73"/>
      <c r="H945" s="79"/>
      <c r="I945" s="79"/>
      <c r="J945" s="14"/>
      <c r="K945" s="38"/>
      <c r="L945" s="38"/>
      <c r="M945" s="17"/>
    </row>
    <row r="946" spans="2:13" ht="14.45" customHeight="1" x14ac:dyDescent="0.25">
      <c r="B946" s="17"/>
      <c r="C946" s="14"/>
      <c r="D946" s="14"/>
      <c r="E946" s="18"/>
      <c r="F946" s="61"/>
      <c r="G946" s="73"/>
      <c r="H946" s="79"/>
      <c r="I946" s="79"/>
      <c r="J946" s="14"/>
      <c r="K946" s="38"/>
      <c r="L946" s="38"/>
      <c r="M946" s="17"/>
    </row>
    <row r="947" spans="2:13" ht="14.45" customHeight="1" x14ac:dyDescent="0.25">
      <c r="B947" s="17"/>
      <c r="C947" s="14"/>
      <c r="D947" s="14"/>
      <c r="E947" s="18"/>
      <c r="F947" s="61"/>
      <c r="G947" s="73"/>
      <c r="H947" s="79"/>
      <c r="I947" s="79"/>
      <c r="J947" s="14"/>
      <c r="K947" s="38"/>
      <c r="L947" s="38"/>
      <c r="M947" s="17"/>
    </row>
    <row r="948" spans="2:13" ht="14.45" customHeight="1" x14ac:dyDescent="0.25">
      <c r="B948" s="17"/>
      <c r="C948" s="14"/>
      <c r="D948" s="14"/>
      <c r="E948" s="18"/>
      <c r="F948" s="61"/>
      <c r="G948" s="73"/>
      <c r="H948" s="79"/>
      <c r="I948" s="79"/>
      <c r="J948" s="14"/>
      <c r="K948" s="38"/>
      <c r="L948" s="38"/>
      <c r="M948" s="17"/>
    </row>
    <row r="949" spans="2:13" ht="14.45" customHeight="1" x14ac:dyDescent="0.25">
      <c r="B949" s="17"/>
      <c r="C949" s="14"/>
      <c r="D949" s="14"/>
      <c r="E949" s="18"/>
      <c r="F949" s="61"/>
      <c r="G949" s="73"/>
      <c r="H949" s="79"/>
      <c r="I949" s="79"/>
      <c r="J949" s="14"/>
      <c r="K949" s="38"/>
      <c r="L949" s="38"/>
      <c r="M949" s="17"/>
    </row>
    <row r="950" spans="2:13" ht="14.45" customHeight="1" x14ac:dyDescent="0.25">
      <c r="B950" s="17"/>
      <c r="C950" s="14"/>
      <c r="D950" s="14"/>
      <c r="E950" s="18"/>
      <c r="F950" s="61"/>
      <c r="G950" s="73"/>
      <c r="H950" s="79"/>
      <c r="I950" s="79"/>
      <c r="J950" s="14"/>
      <c r="K950" s="38"/>
      <c r="L950" s="38"/>
      <c r="M950" s="17"/>
    </row>
    <row r="951" spans="2:13" ht="14.45" customHeight="1" x14ac:dyDescent="0.25">
      <c r="B951" s="17"/>
      <c r="C951" s="14"/>
      <c r="D951" s="14"/>
      <c r="E951" s="18"/>
      <c r="F951" s="61"/>
      <c r="G951" s="73"/>
      <c r="H951" s="79"/>
      <c r="I951" s="79"/>
      <c r="J951" s="14"/>
      <c r="K951" s="38"/>
      <c r="L951" s="38"/>
      <c r="M951" s="17"/>
    </row>
    <row r="952" spans="2:13" ht="14.45" customHeight="1" x14ac:dyDescent="0.25">
      <c r="B952" s="17"/>
      <c r="C952" s="14"/>
      <c r="D952" s="14"/>
      <c r="E952" s="18"/>
      <c r="F952" s="61"/>
      <c r="G952" s="73"/>
      <c r="H952" s="79"/>
      <c r="I952" s="79"/>
      <c r="J952" s="14"/>
      <c r="K952" s="38"/>
      <c r="L952" s="38"/>
      <c r="M952" s="17"/>
    </row>
    <row r="953" spans="2:13" ht="14.45" customHeight="1" x14ac:dyDescent="0.25">
      <c r="B953" s="17"/>
      <c r="C953" s="14"/>
      <c r="D953" s="14"/>
      <c r="E953" s="18"/>
      <c r="F953" s="61"/>
      <c r="G953" s="73"/>
      <c r="H953" s="79"/>
      <c r="I953" s="79"/>
      <c r="J953" s="14"/>
      <c r="K953" s="38"/>
      <c r="L953" s="38"/>
      <c r="M953" s="17"/>
    </row>
    <row r="954" spans="2:13" ht="14.45" customHeight="1" x14ac:dyDescent="0.25">
      <c r="B954" s="17"/>
      <c r="C954" s="14"/>
      <c r="D954" s="14"/>
      <c r="E954" s="18"/>
      <c r="F954" s="61"/>
      <c r="G954" s="73"/>
      <c r="H954" s="79"/>
      <c r="I954" s="79"/>
      <c r="J954" s="14"/>
      <c r="K954" s="38"/>
      <c r="L954" s="38"/>
      <c r="M954" s="17"/>
    </row>
    <row r="955" spans="2:13" ht="14.45" customHeight="1" x14ac:dyDescent="0.25">
      <c r="B955" s="17"/>
      <c r="C955" s="14"/>
      <c r="D955" s="14"/>
      <c r="E955" s="18"/>
      <c r="F955" s="61"/>
      <c r="G955" s="73"/>
      <c r="H955" s="79"/>
      <c r="I955" s="79"/>
      <c r="J955" s="14"/>
      <c r="K955" s="38"/>
      <c r="L955" s="38"/>
      <c r="M955" s="17"/>
    </row>
    <row r="956" spans="2:13" ht="14.45" customHeight="1" x14ac:dyDescent="0.25">
      <c r="B956" s="17"/>
      <c r="C956" s="14"/>
      <c r="D956" s="14"/>
      <c r="E956" s="18"/>
      <c r="F956" s="61"/>
      <c r="G956" s="73"/>
      <c r="H956" s="79"/>
      <c r="I956" s="79"/>
      <c r="J956" s="14"/>
      <c r="K956" s="38"/>
      <c r="L956" s="38"/>
      <c r="M956" s="17"/>
    </row>
    <row r="957" spans="2:13" ht="14.45" customHeight="1" x14ac:dyDescent="0.25">
      <c r="B957" s="17"/>
      <c r="C957" s="14"/>
      <c r="D957" s="14"/>
      <c r="E957" s="18"/>
      <c r="F957" s="61"/>
      <c r="G957" s="73"/>
      <c r="H957" s="79"/>
      <c r="I957" s="79"/>
      <c r="J957" s="14"/>
      <c r="K957" s="38"/>
      <c r="L957" s="38"/>
      <c r="M957" s="17"/>
    </row>
    <row r="958" spans="2:13" ht="14.45" customHeight="1" x14ac:dyDescent="0.25">
      <c r="B958" s="17"/>
      <c r="C958" s="14"/>
      <c r="D958" s="14"/>
      <c r="E958" s="18"/>
      <c r="F958" s="61"/>
      <c r="G958" s="73"/>
      <c r="H958" s="79"/>
      <c r="I958" s="79"/>
      <c r="J958" s="14"/>
      <c r="K958" s="38"/>
      <c r="L958" s="38"/>
      <c r="M958" s="17"/>
    </row>
    <row r="959" spans="2:13" ht="14.45" customHeight="1" x14ac:dyDescent="0.25">
      <c r="B959" s="17"/>
      <c r="C959" s="14"/>
      <c r="D959" s="14"/>
      <c r="E959" s="18"/>
      <c r="F959" s="61"/>
      <c r="G959" s="73"/>
      <c r="H959" s="79"/>
      <c r="I959" s="79"/>
      <c r="J959" s="14"/>
      <c r="K959" s="38"/>
      <c r="L959" s="38"/>
      <c r="M959" s="17"/>
    </row>
    <row r="960" spans="2:13" ht="14.45" customHeight="1" x14ac:dyDescent="0.25">
      <c r="B960" s="17"/>
      <c r="C960" s="14"/>
      <c r="D960" s="14"/>
      <c r="E960" s="18"/>
      <c r="F960" s="61"/>
      <c r="G960" s="73"/>
      <c r="H960" s="79"/>
      <c r="I960" s="79"/>
      <c r="J960" s="14"/>
      <c r="K960" s="38"/>
      <c r="L960" s="38"/>
      <c r="M960" s="17"/>
    </row>
    <row r="961" spans="2:13" ht="14.45" customHeight="1" x14ac:dyDescent="0.25">
      <c r="B961" s="17"/>
      <c r="C961" s="14"/>
      <c r="D961" s="14"/>
      <c r="E961" s="18"/>
      <c r="F961" s="61"/>
      <c r="G961" s="73"/>
      <c r="H961" s="79"/>
      <c r="I961" s="79"/>
      <c r="J961" s="14"/>
      <c r="K961" s="38"/>
      <c r="L961" s="38"/>
      <c r="M961" s="17"/>
    </row>
    <row r="962" spans="2:13" ht="14.45" customHeight="1" x14ac:dyDescent="0.25">
      <c r="B962" s="17"/>
      <c r="C962" s="14"/>
      <c r="D962" s="14"/>
      <c r="E962" s="18"/>
      <c r="F962" s="61"/>
      <c r="G962" s="73"/>
      <c r="H962" s="79"/>
      <c r="I962" s="79"/>
      <c r="J962" s="14"/>
      <c r="K962" s="38"/>
      <c r="L962" s="38"/>
      <c r="M962" s="17"/>
    </row>
    <row r="963" spans="2:13" ht="14.45" customHeight="1" x14ac:dyDescent="0.25">
      <c r="B963" s="17"/>
      <c r="C963" s="14"/>
      <c r="D963" s="14"/>
      <c r="E963" s="18"/>
      <c r="F963" s="61"/>
      <c r="G963" s="73"/>
      <c r="H963" s="79"/>
      <c r="I963" s="79"/>
      <c r="J963" s="14"/>
      <c r="K963" s="38"/>
      <c r="L963" s="38"/>
      <c r="M963" s="17"/>
    </row>
    <row r="964" spans="2:13" ht="14.45" customHeight="1" x14ac:dyDescent="0.25">
      <c r="B964" s="17"/>
      <c r="C964" s="14"/>
      <c r="D964" s="14"/>
      <c r="E964" s="18"/>
      <c r="F964" s="61"/>
      <c r="G964" s="73"/>
      <c r="H964" s="79"/>
      <c r="I964" s="79"/>
      <c r="J964" s="14"/>
      <c r="K964" s="38"/>
      <c r="L964" s="38"/>
      <c r="M964" s="17"/>
    </row>
    <row r="965" spans="2:13" ht="14.45" customHeight="1" x14ac:dyDescent="0.25">
      <c r="B965" s="17"/>
      <c r="C965" s="14"/>
      <c r="D965" s="14"/>
      <c r="E965" s="18"/>
      <c r="F965" s="61"/>
      <c r="G965" s="73"/>
      <c r="H965" s="79"/>
      <c r="I965" s="79"/>
      <c r="J965" s="14"/>
      <c r="K965" s="38"/>
      <c r="L965" s="38"/>
      <c r="M965" s="17"/>
    </row>
    <row r="966" spans="2:13" ht="14.45" customHeight="1" x14ac:dyDescent="0.25">
      <c r="B966" s="17"/>
      <c r="C966" s="14"/>
      <c r="D966" s="14"/>
      <c r="E966" s="18"/>
      <c r="F966" s="61"/>
      <c r="G966" s="73"/>
      <c r="H966" s="79"/>
      <c r="I966" s="79"/>
      <c r="J966" s="14"/>
      <c r="K966" s="38"/>
      <c r="L966" s="38"/>
      <c r="M966" s="17"/>
    </row>
    <row r="967" spans="2:13" ht="14.45" customHeight="1" x14ac:dyDescent="0.25">
      <c r="B967" s="17"/>
      <c r="C967" s="14"/>
      <c r="D967" s="14"/>
      <c r="E967" s="18"/>
      <c r="F967" s="61"/>
      <c r="G967" s="73"/>
      <c r="H967" s="79"/>
      <c r="I967" s="79"/>
      <c r="J967" s="14"/>
      <c r="K967" s="38"/>
      <c r="L967" s="38"/>
      <c r="M967" s="17"/>
    </row>
    <row r="968" spans="2:13" ht="14.45" customHeight="1" x14ac:dyDescent="0.25">
      <c r="B968" s="17"/>
      <c r="C968" s="14"/>
      <c r="D968" s="14"/>
      <c r="E968" s="18"/>
      <c r="F968" s="61"/>
      <c r="G968" s="73"/>
      <c r="H968" s="79"/>
      <c r="I968" s="79"/>
      <c r="J968" s="14"/>
      <c r="K968" s="38"/>
      <c r="L968" s="38"/>
      <c r="M968" s="17"/>
    </row>
    <row r="969" spans="2:13" ht="14.45" customHeight="1" x14ac:dyDescent="0.25">
      <c r="B969" s="17"/>
      <c r="C969" s="14"/>
      <c r="D969" s="14"/>
      <c r="E969" s="18"/>
      <c r="F969" s="61"/>
      <c r="G969" s="73"/>
      <c r="H969" s="79"/>
      <c r="I969" s="79"/>
      <c r="J969" s="14"/>
      <c r="K969" s="38"/>
      <c r="L969" s="38"/>
      <c r="M969" s="17"/>
    </row>
    <row r="970" spans="2:13" ht="14.45" customHeight="1" x14ac:dyDescent="0.25">
      <c r="B970" s="17"/>
      <c r="C970" s="14"/>
      <c r="D970" s="14"/>
      <c r="E970" s="18"/>
      <c r="F970" s="61"/>
      <c r="G970" s="73"/>
      <c r="H970" s="79"/>
      <c r="I970" s="79"/>
      <c r="J970" s="14"/>
      <c r="K970" s="38"/>
      <c r="L970" s="38"/>
      <c r="M970" s="17"/>
    </row>
    <row r="971" spans="2:13" ht="14.45" customHeight="1" x14ac:dyDescent="0.25">
      <c r="B971" s="17"/>
      <c r="C971" s="14"/>
      <c r="D971" s="14"/>
      <c r="E971" s="18"/>
      <c r="F971" s="61"/>
      <c r="G971" s="73"/>
      <c r="H971" s="79"/>
      <c r="I971" s="79"/>
      <c r="J971" s="14"/>
      <c r="K971" s="38"/>
      <c r="L971" s="38"/>
      <c r="M971" s="17"/>
    </row>
    <row r="972" spans="2:13" ht="14.45" customHeight="1" x14ac:dyDescent="0.25">
      <c r="B972" s="17"/>
      <c r="C972" s="14"/>
      <c r="D972" s="14"/>
      <c r="E972" s="18"/>
      <c r="F972" s="61"/>
      <c r="G972" s="73"/>
      <c r="H972" s="79"/>
      <c r="I972" s="79"/>
      <c r="J972" s="14"/>
      <c r="K972" s="38"/>
      <c r="L972" s="38"/>
      <c r="M972" s="17"/>
    </row>
    <row r="973" spans="2:13" ht="14.45" customHeight="1" x14ac:dyDescent="0.25">
      <c r="B973" s="17"/>
      <c r="C973" s="14"/>
      <c r="D973" s="14"/>
      <c r="E973" s="18"/>
      <c r="F973" s="61"/>
      <c r="G973" s="73"/>
      <c r="H973" s="79"/>
      <c r="I973" s="79"/>
      <c r="J973" s="14"/>
      <c r="K973" s="38"/>
      <c r="L973" s="38"/>
      <c r="M973" s="17"/>
    </row>
    <row r="974" spans="2:13" ht="14.45" customHeight="1" x14ac:dyDescent="0.25">
      <c r="B974" s="17"/>
      <c r="C974" s="14"/>
      <c r="D974" s="14"/>
      <c r="E974" s="18"/>
      <c r="F974" s="61"/>
      <c r="G974" s="73"/>
      <c r="H974" s="79"/>
      <c r="I974" s="79"/>
      <c r="J974" s="14"/>
      <c r="K974" s="38"/>
      <c r="L974" s="38"/>
      <c r="M974" s="17"/>
    </row>
    <row r="975" spans="2:13" ht="14.45" customHeight="1" x14ac:dyDescent="0.25">
      <c r="B975" s="17"/>
      <c r="C975" s="14"/>
      <c r="D975" s="14"/>
      <c r="E975" s="18"/>
      <c r="F975" s="61"/>
      <c r="G975" s="73"/>
      <c r="H975" s="79"/>
      <c r="I975" s="79"/>
      <c r="J975" s="14"/>
      <c r="K975" s="38"/>
      <c r="L975" s="38"/>
      <c r="M975" s="17"/>
    </row>
    <row r="976" spans="2:13" ht="14.45" customHeight="1" x14ac:dyDescent="0.25">
      <c r="B976" s="17"/>
      <c r="C976" s="14"/>
      <c r="D976" s="14"/>
      <c r="E976" s="18"/>
      <c r="F976" s="61"/>
      <c r="G976" s="73"/>
      <c r="H976" s="79"/>
      <c r="I976" s="79"/>
      <c r="J976" s="14"/>
      <c r="K976" s="38"/>
      <c r="L976" s="38"/>
      <c r="M976" s="17"/>
    </row>
    <row r="977" spans="2:13" ht="14.45" customHeight="1" x14ac:dyDescent="0.25">
      <c r="B977" s="17"/>
      <c r="C977" s="14"/>
      <c r="D977" s="14"/>
      <c r="E977" s="18"/>
      <c r="F977" s="61"/>
      <c r="G977" s="73"/>
      <c r="H977" s="79"/>
      <c r="I977" s="79"/>
      <c r="J977" s="14"/>
      <c r="K977" s="38"/>
      <c r="L977" s="38"/>
      <c r="M977" s="17"/>
    </row>
    <row r="978" spans="2:13" ht="14.45" customHeight="1" x14ac:dyDescent="0.25">
      <c r="B978" s="17"/>
      <c r="C978" s="14"/>
      <c r="D978" s="14"/>
      <c r="E978" s="18"/>
      <c r="F978" s="61"/>
      <c r="G978" s="73"/>
      <c r="H978" s="79"/>
      <c r="I978" s="79"/>
      <c r="J978" s="14"/>
      <c r="K978" s="38"/>
      <c r="L978" s="38"/>
      <c r="M978" s="17"/>
    </row>
    <row r="979" spans="2:13" ht="14.45" customHeight="1" x14ac:dyDescent="0.25">
      <c r="B979" s="17"/>
      <c r="C979" s="14"/>
      <c r="D979" s="14"/>
      <c r="E979" s="18"/>
      <c r="F979" s="61"/>
      <c r="G979" s="73"/>
      <c r="H979" s="79"/>
      <c r="I979" s="79"/>
      <c r="J979" s="14"/>
      <c r="K979" s="38"/>
      <c r="L979" s="38"/>
      <c r="M979" s="17"/>
    </row>
    <row r="980" spans="2:13" ht="14.45" customHeight="1" x14ac:dyDescent="0.25">
      <c r="B980" s="17"/>
      <c r="C980" s="14"/>
      <c r="D980" s="14"/>
      <c r="E980" s="18"/>
      <c r="F980" s="61"/>
      <c r="G980" s="73"/>
      <c r="H980" s="79"/>
      <c r="I980" s="79"/>
      <c r="J980" s="14"/>
      <c r="K980" s="38"/>
      <c r="L980" s="38"/>
      <c r="M980" s="17"/>
    </row>
    <row r="981" spans="2:13" ht="14.45" customHeight="1" x14ac:dyDescent="0.25">
      <c r="B981" s="17"/>
      <c r="C981" s="14"/>
      <c r="D981" s="14"/>
      <c r="E981" s="18"/>
      <c r="F981" s="61"/>
      <c r="G981" s="73"/>
      <c r="H981" s="79"/>
      <c r="I981" s="79"/>
      <c r="J981" s="14"/>
      <c r="K981" s="38"/>
      <c r="L981" s="38"/>
      <c r="M981" s="17"/>
    </row>
    <row r="982" spans="2:13" ht="14.45" customHeight="1" x14ac:dyDescent="0.25">
      <c r="B982" s="17"/>
      <c r="C982" s="14"/>
      <c r="D982" s="14"/>
      <c r="E982" s="18"/>
      <c r="F982" s="61"/>
      <c r="G982" s="73"/>
      <c r="H982" s="79"/>
      <c r="I982" s="79"/>
      <c r="J982" s="14"/>
      <c r="K982" s="38"/>
      <c r="L982" s="38"/>
      <c r="M982" s="17"/>
    </row>
    <row r="983" spans="2:13" ht="14.45" customHeight="1" x14ac:dyDescent="0.25">
      <c r="B983" s="17"/>
      <c r="C983" s="14"/>
      <c r="D983" s="14"/>
      <c r="E983" s="18"/>
      <c r="F983" s="61"/>
      <c r="G983" s="73"/>
      <c r="H983" s="79"/>
      <c r="I983" s="79"/>
      <c r="J983" s="14"/>
      <c r="K983" s="38"/>
      <c r="L983" s="38"/>
      <c r="M983" s="17"/>
    </row>
    <row r="984" spans="2:13" ht="14.45" customHeight="1" x14ac:dyDescent="0.25">
      <c r="B984" s="17"/>
      <c r="C984" s="14"/>
      <c r="D984" s="14"/>
      <c r="E984" s="18"/>
      <c r="F984" s="61"/>
      <c r="G984" s="73"/>
      <c r="H984" s="79"/>
      <c r="I984" s="79"/>
      <c r="J984" s="14"/>
      <c r="K984" s="38"/>
      <c r="L984" s="38"/>
      <c r="M984" s="17"/>
    </row>
    <row r="985" spans="2:13" ht="14.45" customHeight="1" x14ac:dyDescent="0.25">
      <c r="B985" s="17"/>
      <c r="C985" s="14"/>
      <c r="D985" s="14"/>
      <c r="E985" s="18"/>
      <c r="F985" s="61"/>
      <c r="G985" s="73"/>
      <c r="H985" s="79"/>
      <c r="I985" s="79"/>
      <c r="J985" s="14"/>
      <c r="K985" s="38"/>
      <c r="L985" s="38"/>
      <c r="M985" s="17"/>
    </row>
    <row r="986" spans="2:13" ht="14.45" customHeight="1" x14ac:dyDescent="0.25">
      <c r="B986" s="17"/>
      <c r="C986" s="14"/>
      <c r="D986" s="14"/>
      <c r="E986" s="18"/>
      <c r="F986" s="61"/>
      <c r="G986" s="73"/>
      <c r="H986" s="79"/>
      <c r="I986" s="79"/>
      <c r="J986" s="14"/>
      <c r="K986" s="38"/>
      <c r="L986" s="38"/>
      <c r="M986" s="17"/>
    </row>
    <row r="987" spans="2:13" ht="14.45" customHeight="1" x14ac:dyDescent="0.25">
      <c r="B987" s="17"/>
      <c r="C987" s="14"/>
      <c r="D987" s="14"/>
      <c r="E987" s="18"/>
      <c r="F987" s="61"/>
      <c r="G987" s="73"/>
      <c r="H987" s="79"/>
      <c r="I987" s="79"/>
      <c r="J987" s="14"/>
      <c r="K987" s="38"/>
      <c r="L987" s="38"/>
      <c r="M987" s="17"/>
    </row>
    <row r="988" spans="2:13" ht="14.45" customHeight="1" x14ac:dyDescent="0.25">
      <c r="B988" s="17"/>
      <c r="C988" s="14"/>
      <c r="D988" s="14"/>
      <c r="E988" s="18"/>
      <c r="F988" s="61"/>
      <c r="G988" s="73"/>
      <c r="H988" s="79"/>
      <c r="I988" s="79"/>
      <c r="J988" s="14"/>
      <c r="K988" s="38"/>
      <c r="L988" s="38"/>
      <c r="M988" s="17"/>
    </row>
    <row r="989" spans="2:13" ht="14.45" customHeight="1" x14ac:dyDescent="0.25">
      <c r="B989" s="17"/>
      <c r="C989" s="14"/>
      <c r="D989" s="14"/>
      <c r="E989" s="18"/>
      <c r="F989" s="61"/>
      <c r="G989" s="73"/>
      <c r="H989" s="79"/>
      <c r="I989" s="79"/>
      <c r="J989" s="14"/>
      <c r="K989" s="38"/>
      <c r="L989" s="38"/>
      <c r="M989" s="17"/>
    </row>
    <row r="990" spans="2:13" ht="14.45" customHeight="1" x14ac:dyDescent="0.25">
      <c r="B990" s="17"/>
      <c r="C990" s="14"/>
      <c r="D990" s="14"/>
      <c r="E990" s="18"/>
      <c r="F990" s="61"/>
      <c r="G990" s="73"/>
      <c r="H990" s="79"/>
      <c r="I990" s="79"/>
      <c r="J990" s="14"/>
      <c r="K990" s="38"/>
      <c r="L990" s="38"/>
      <c r="M990" s="17"/>
    </row>
    <row r="991" spans="2:13" ht="14.45" customHeight="1" x14ac:dyDescent="0.25">
      <c r="B991" s="17"/>
      <c r="C991" s="14"/>
      <c r="D991" s="14"/>
      <c r="E991" s="18"/>
      <c r="F991" s="61"/>
      <c r="G991" s="73"/>
      <c r="H991" s="79"/>
      <c r="I991" s="79"/>
      <c r="J991" s="14"/>
      <c r="K991" s="38"/>
      <c r="L991" s="38"/>
      <c r="M991" s="17"/>
    </row>
    <row r="992" spans="2:13" ht="14.45" customHeight="1" x14ac:dyDescent="0.25">
      <c r="B992" s="17"/>
      <c r="C992" s="14"/>
      <c r="D992" s="14"/>
      <c r="E992" s="18"/>
      <c r="F992" s="61"/>
      <c r="G992" s="73"/>
      <c r="H992" s="79"/>
      <c r="I992" s="79"/>
      <c r="J992" s="14"/>
      <c r="K992" s="38"/>
      <c r="L992" s="38"/>
      <c r="M992" s="17"/>
    </row>
    <row r="993" spans="2:13" ht="14.45" customHeight="1" x14ac:dyDescent="0.25">
      <c r="B993" s="17"/>
      <c r="C993" s="14"/>
      <c r="D993" s="14"/>
      <c r="E993" s="18"/>
      <c r="F993" s="61"/>
      <c r="G993" s="73"/>
      <c r="H993" s="79"/>
      <c r="I993" s="79"/>
      <c r="J993" s="14"/>
      <c r="K993" s="38"/>
      <c r="L993" s="38"/>
      <c r="M993" s="17"/>
    </row>
    <row r="994" spans="2:13" ht="14.45" customHeight="1" x14ac:dyDescent="0.25">
      <c r="B994" s="17"/>
      <c r="C994" s="14"/>
      <c r="D994" s="14"/>
      <c r="E994" s="18"/>
      <c r="F994" s="61"/>
      <c r="G994" s="73"/>
      <c r="H994" s="79"/>
      <c r="I994" s="79"/>
      <c r="J994" s="14"/>
      <c r="K994" s="38"/>
      <c r="L994" s="38"/>
      <c r="M994" s="17"/>
    </row>
    <row r="995" spans="2:13" ht="14.45" customHeight="1" x14ac:dyDescent="0.25">
      <c r="B995" s="17"/>
      <c r="C995" s="14"/>
      <c r="D995" s="14"/>
      <c r="E995" s="18"/>
      <c r="F995" s="61"/>
      <c r="G995" s="73"/>
      <c r="H995" s="79"/>
      <c r="I995" s="79"/>
      <c r="J995" s="14"/>
      <c r="K995" s="38"/>
      <c r="L995" s="38"/>
      <c r="M995" s="17"/>
    </row>
    <row r="996" spans="2:13" ht="14.45" customHeight="1" x14ac:dyDescent="0.25">
      <c r="B996" s="17"/>
      <c r="C996" s="14"/>
      <c r="D996" s="14"/>
      <c r="E996" s="18"/>
      <c r="F996" s="61"/>
      <c r="G996" s="73"/>
      <c r="H996" s="79"/>
      <c r="I996" s="79"/>
      <c r="J996" s="14"/>
      <c r="K996" s="38"/>
      <c r="L996" s="38"/>
      <c r="M996" s="17"/>
    </row>
    <row r="997" spans="2:13" ht="14.45" customHeight="1" x14ac:dyDescent="0.25">
      <c r="B997" s="17"/>
      <c r="C997" s="14"/>
      <c r="D997" s="14"/>
      <c r="E997" s="18"/>
      <c r="F997" s="61"/>
      <c r="G997" s="73"/>
      <c r="H997" s="79"/>
      <c r="I997" s="79"/>
      <c r="J997" s="14"/>
      <c r="K997" s="38"/>
      <c r="L997" s="38"/>
      <c r="M997" s="17"/>
    </row>
    <row r="998" spans="2:13" ht="14.45" customHeight="1" x14ac:dyDescent="0.25">
      <c r="B998" s="17"/>
      <c r="C998" s="14"/>
      <c r="D998" s="14"/>
      <c r="E998" s="18"/>
      <c r="F998" s="61"/>
      <c r="G998" s="73"/>
      <c r="H998" s="79"/>
      <c r="I998" s="79"/>
      <c r="J998" s="14"/>
      <c r="K998" s="38"/>
      <c r="L998" s="38"/>
      <c r="M998" s="17"/>
    </row>
    <row r="999" spans="2:13" ht="14.45" customHeight="1" x14ac:dyDescent="0.25">
      <c r="B999" s="17"/>
      <c r="C999" s="14"/>
      <c r="D999" s="14"/>
      <c r="E999" s="18"/>
      <c r="F999" s="61"/>
      <c r="G999" s="73"/>
      <c r="H999" s="79"/>
      <c r="I999" s="79"/>
      <c r="J999" s="14"/>
      <c r="K999" s="38"/>
      <c r="L999" s="38"/>
      <c r="M999" s="17"/>
    </row>
    <row r="1000" spans="2:13" ht="14.45" customHeight="1" x14ac:dyDescent="0.25">
      <c r="B1000" s="17"/>
      <c r="C1000" s="14"/>
      <c r="D1000" s="14"/>
      <c r="E1000" s="18"/>
      <c r="F1000" s="61"/>
      <c r="G1000" s="73"/>
      <c r="H1000" s="79"/>
      <c r="I1000" s="79"/>
      <c r="J1000" s="14"/>
      <c r="K1000" s="38"/>
      <c r="L1000" s="38"/>
      <c r="M1000" s="17"/>
    </row>
  </sheetData>
  <sheetProtection algorithmName="SHA-512" hashValue="NMB2twZxg1QzhsVkBn1Hs5r+K1duuC1gn/RO/cd6iCysKcWoxyzpcx+ZTj0h7wFBnrSQL3PJ08GgKQy5bJVO7w==" saltValue="6KJ76cin6eFKhret2KjkbQ==" spinCount="100000" sheet="1" objects="1" scenarios="1"/>
  <mergeCells count="2">
    <mergeCell ref="C10:F10"/>
    <mergeCell ref="H10:I10"/>
  </mergeCells>
  <conditionalFormatting sqref="M10 H10">
    <cfRule type="cellIs" dxfId="77" priority="2" operator="greaterThanOrEqual">
      <formula>6750</formula>
    </cfRule>
  </conditionalFormatting>
  <conditionalFormatting sqref="K13:K1000">
    <cfRule type="cellIs" dxfId="76" priority="1" operator="lessThan">
      <formula>0</formula>
    </cfRule>
  </conditionalFormatting>
  <dataValidations count="1">
    <dataValidation type="list" allowBlank="1" showInputMessage="1" showErrorMessage="1" sqref="H13:H1000" xr:uid="{05927D1C-5B2B-48DD-B9D1-9D41B9C4F86D}">
      <formula1>"Ativa,Cancelada"</formula1>
    </dataValidation>
  </dataValidations>
  <printOptions horizontalCentered="1"/>
  <pageMargins left="0.19685039370078741" right="0.19685039370078741" top="0.39370078740157483" bottom="0.78740157480314965" header="0.31496062992125984" footer="0.31496062992125984"/>
  <pageSetup paperSize="9" scale="54" fitToHeight="50" orientation="portrait" r:id="rId1"/>
  <headerFooter>
    <oddHeader>&amp;L&amp;"Calibri"&amp;12&amp;K008000 Documento Público&amp;1#_x000D_</oddHeader>
    <oddFooter>Página &amp;P de &amp;N</oddFooter>
  </headerFooter>
  <rowBreaks count="1" manualBreakCount="1">
    <brk id="63" min="1" max="5" man="1"/>
  </rowBreaks>
  <drawing r:id="rId2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618A0-7D46-4DDA-BB5F-63BDE11DD35C}">
  <sheetPr codeName="Planilha14">
    <tabColor theme="8" tint="-0.499984740745262"/>
    <pageSetUpPr fitToPage="1"/>
  </sheetPr>
  <dimension ref="A1:Q1000"/>
  <sheetViews>
    <sheetView showGridLines="0" showRowColHeaders="0" zoomScaleNormal="100" workbookViewId="0">
      <pane ySplit="12" topLeftCell="A13" activePane="bottomLeft" state="frozen"/>
      <selection activeCell="D23" sqref="D23"/>
      <selection pane="bottomLeft" activeCell="H10" sqref="H10:I10"/>
    </sheetView>
  </sheetViews>
  <sheetFormatPr defaultColWidth="0" defaultRowHeight="14.45" customHeight="1" x14ac:dyDescent="0.25"/>
  <cols>
    <col min="1" max="1" width="1.7109375" customWidth="1"/>
    <col min="2" max="2" width="15.28515625" customWidth="1"/>
    <col min="3" max="3" width="35.85546875" customWidth="1"/>
    <col min="4" max="4" width="20.7109375" customWidth="1"/>
    <col min="5" max="5" width="42.28515625" customWidth="1"/>
    <col min="6" max="6" width="25.7109375" customWidth="1"/>
    <col min="7" max="7" width="12.28515625" bestFit="1" customWidth="1"/>
    <col min="8" max="8" width="12.28515625" customWidth="1"/>
    <col min="9" max="9" width="21.42578125" bestFit="1" customWidth="1"/>
    <col min="10" max="10" width="16.140625" customWidth="1"/>
    <col min="11" max="11" width="13" customWidth="1"/>
    <col min="12" max="12" width="11.28515625" customWidth="1"/>
    <col min="13" max="13" width="18.28515625" customWidth="1"/>
    <col min="14" max="14" width="5.7109375" customWidth="1"/>
    <col min="15" max="15" width="25" hidden="1" customWidth="1"/>
    <col min="16" max="16" width="6.7109375" hidden="1" customWidth="1"/>
    <col min="17" max="17" width="3.85546875" hidden="1" customWidth="1"/>
    <col min="18" max="16384" width="8.85546875" hidden="1"/>
  </cols>
  <sheetData>
    <row r="1" spans="2:13" ht="15" x14ac:dyDescent="0.25"/>
    <row r="2" spans="2:13" ht="15" x14ac:dyDescent="0.25"/>
    <row r="3" spans="2:13" ht="15" x14ac:dyDescent="0.25">
      <c r="J3" s="9" t="str">
        <f>IF(H10&gt;=6750,"ATENÇÃO: Você atingiu o limite de faturamento mensal de R$ 6.750,00",IF(H10&gt;=6000,"O limite de faturamento mensal de R$ 6.750,00 está quase sendo atingido.",""))</f>
        <v/>
      </c>
    </row>
    <row r="4" spans="2:13" ht="1.9" customHeight="1" x14ac:dyDescent="0.25"/>
    <row r="5" spans="2:13" s="1" customFormat="1" ht="4.9000000000000004" customHeight="1" x14ac:dyDescent="0.25"/>
    <row r="6" spans="2:13" ht="3" customHeight="1" x14ac:dyDescent="0.25"/>
    <row r="7" spans="2:13" s="1" customFormat="1" ht="4.9000000000000004" customHeight="1" x14ac:dyDescent="0.25"/>
    <row r="8" spans="2:13" ht="1.9" customHeight="1" x14ac:dyDescent="0.25"/>
    <row r="9" spans="2:13" ht="30" customHeight="1" x14ac:dyDescent="0.25"/>
    <row r="10" spans="2:13" ht="34.9" customHeight="1" x14ac:dyDescent="0.25">
      <c r="B10" s="4" t="s">
        <v>0</v>
      </c>
      <c r="C10" s="94" t="str">
        <f>Menu!G26</f>
        <v>Empresa ABCDE</v>
      </c>
      <c r="D10" s="95"/>
      <c r="E10" s="95"/>
      <c r="F10" s="95"/>
      <c r="G10" s="87"/>
      <c r="H10" s="93">
        <f>SUMIF(OUT[Status Nota Fiscal],"Ativa",OUT[Valor da Parcela a Receber])</f>
        <v>0</v>
      </c>
      <c r="I10" s="93"/>
      <c r="J10" s="85"/>
      <c r="M10" s="86"/>
    </row>
    <row r="11" spans="2:13" ht="4.9000000000000004" customHeight="1" x14ac:dyDescent="0.25"/>
    <row r="12" spans="2:13" ht="30" customHeight="1" x14ac:dyDescent="0.25">
      <c r="B12" s="5" t="s">
        <v>2</v>
      </c>
      <c r="C12" s="6" t="s">
        <v>3</v>
      </c>
      <c r="D12" s="6" t="s">
        <v>4</v>
      </c>
      <c r="E12" s="6" t="s">
        <v>5</v>
      </c>
      <c r="F12" s="7" t="s">
        <v>6</v>
      </c>
      <c r="G12" s="7" t="s">
        <v>7</v>
      </c>
      <c r="H12" s="7" t="s">
        <v>8</v>
      </c>
      <c r="I12" s="7" t="s">
        <v>9</v>
      </c>
      <c r="J12" s="7" t="s">
        <v>10</v>
      </c>
      <c r="K12" s="7" t="s">
        <v>11</v>
      </c>
      <c r="L12" s="7" t="s">
        <v>12</v>
      </c>
      <c r="M12" s="8" t="s">
        <v>13</v>
      </c>
    </row>
    <row r="13" spans="2:13" ht="14.45" customHeight="1" x14ac:dyDescent="0.25">
      <c r="B13" s="24"/>
      <c r="C13" s="25"/>
      <c r="D13" s="25"/>
      <c r="E13" s="25"/>
      <c r="F13" s="26"/>
      <c r="G13" s="62"/>
      <c r="H13" s="62"/>
      <c r="I13" s="62"/>
      <c r="J13" s="27"/>
      <c r="K13" s="28"/>
      <c r="L13" s="28"/>
      <c r="M13" s="29"/>
    </row>
    <row r="14" spans="2:13" ht="14.45" customHeight="1" x14ac:dyDescent="0.25">
      <c r="B14" s="30"/>
      <c r="C14" s="31"/>
      <c r="D14" s="31"/>
      <c r="E14" s="31"/>
      <c r="F14" s="32"/>
      <c r="G14" s="63"/>
      <c r="H14" s="63"/>
      <c r="I14" s="63"/>
      <c r="J14" s="33"/>
      <c r="K14" s="34"/>
      <c r="L14" s="34"/>
      <c r="M14" s="35"/>
    </row>
    <row r="15" spans="2:13" ht="14.45" customHeight="1" x14ac:dyDescent="0.25">
      <c r="B15" s="36"/>
      <c r="C15" s="14"/>
      <c r="D15" s="14"/>
      <c r="E15" s="18"/>
      <c r="F15" s="20"/>
      <c r="G15" s="64"/>
      <c r="H15" s="68"/>
      <c r="I15" s="68"/>
      <c r="J15" s="37"/>
      <c r="K15" s="38"/>
      <c r="L15" s="38"/>
      <c r="M15" s="36"/>
    </row>
    <row r="16" spans="2:13" ht="14.45" customHeight="1" x14ac:dyDescent="0.25">
      <c r="B16" s="17"/>
      <c r="C16" s="14"/>
      <c r="D16" s="14"/>
      <c r="E16" s="18"/>
      <c r="F16" s="20"/>
      <c r="G16" s="64"/>
      <c r="H16" s="68"/>
      <c r="I16" s="68"/>
      <c r="J16" s="15"/>
      <c r="K16" s="38"/>
      <c r="L16" s="38"/>
      <c r="M16" s="17"/>
    </row>
    <row r="17" spans="2:13" ht="14.45" customHeight="1" x14ac:dyDescent="0.25">
      <c r="B17" s="17"/>
      <c r="C17" s="14"/>
      <c r="D17" s="14"/>
      <c r="E17" s="18"/>
      <c r="F17" s="20"/>
      <c r="G17" s="64"/>
      <c r="H17" s="68"/>
      <c r="I17" s="68"/>
      <c r="J17" s="15"/>
      <c r="K17" s="38"/>
      <c r="L17" s="38"/>
      <c r="M17" s="17"/>
    </row>
    <row r="18" spans="2:13" ht="14.45" customHeight="1" x14ac:dyDescent="0.25">
      <c r="B18" s="17"/>
      <c r="C18" s="14"/>
      <c r="D18" s="14"/>
      <c r="E18" s="18"/>
      <c r="F18" s="20"/>
      <c r="G18" s="64"/>
      <c r="H18" s="68"/>
      <c r="I18" s="68"/>
      <c r="J18" s="15"/>
      <c r="K18" s="38"/>
      <c r="L18" s="38"/>
      <c r="M18" s="17"/>
    </row>
    <row r="19" spans="2:13" ht="14.45" customHeight="1" x14ac:dyDescent="0.25">
      <c r="B19" s="17"/>
      <c r="C19" s="14"/>
      <c r="D19" s="14"/>
      <c r="E19" s="18"/>
      <c r="F19" s="20"/>
      <c r="G19" s="64"/>
      <c r="H19" s="68"/>
      <c r="I19" s="68"/>
      <c r="J19" s="15"/>
      <c r="K19" s="38"/>
      <c r="L19" s="38"/>
      <c r="M19" s="17"/>
    </row>
    <row r="20" spans="2:13" ht="14.45" customHeight="1" x14ac:dyDescent="0.25">
      <c r="B20" s="17"/>
      <c r="C20" s="14"/>
      <c r="D20" s="14"/>
      <c r="E20" s="18"/>
      <c r="F20" s="20"/>
      <c r="G20" s="64"/>
      <c r="H20" s="68"/>
      <c r="I20" s="68"/>
      <c r="J20" s="15"/>
      <c r="K20" s="38"/>
      <c r="L20" s="38"/>
      <c r="M20" s="17"/>
    </row>
    <row r="21" spans="2:13" ht="14.45" customHeight="1" x14ac:dyDescent="0.25">
      <c r="B21" s="17"/>
      <c r="C21" s="14"/>
      <c r="D21" s="14"/>
      <c r="E21" s="18"/>
      <c r="F21" s="20"/>
      <c r="G21" s="64"/>
      <c r="H21" s="68"/>
      <c r="I21" s="68"/>
      <c r="J21" s="15"/>
      <c r="K21" s="38"/>
      <c r="L21" s="38"/>
      <c r="M21" s="17"/>
    </row>
    <row r="22" spans="2:13" ht="14.45" customHeight="1" x14ac:dyDescent="0.25">
      <c r="B22" s="17"/>
      <c r="C22" s="14"/>
      <c r="D22" s="14"/>
      <c r="E22" s="18"/>
      <c r="F22" s="20"/>
      <c r="G22" s="64"/>
      <c r="H22" s="68"/>
      <c r="I22" s="68"/>
      <c r="J22" s="15"/>
      <c r="K22" s="38"/>
      <c r="L22" s="38"/>
      <c r="M22" s="17"/>
    </row>
    <row r="23" spans="2:13" ht="14.45" customHeight="1" x14ac:dyDescent="0.25">
      <c r="B23" s="17"/>
      <c r="C23" s="14"/>
      <c r="D23" s="14"/>
      <c r="E23" s="18"/>
      <c r="F23" s="20"/>
      <c r="G23" s="64"/>
      <c r="H23" s="68"/>
      <c r="I23" s="68"/>
      <c r="J23" s="15"/>
      <c r="K23" s="38"/>
      <c r="L23" s="38"/>
      <c r="M23" s="17"/>
    </row>
    <row r="24" spans="2:13" ht="14.45" customHeight="1" x14ac:dyDescent="0.25">
      <c r="B24" s="17"/>
      <c r="C24" s="14"/>
      <c r="D24" s="14"/>
      <c r="E24" s="18"/>
      <c r="F24" s="20"/>
      <c r="G24" s="64"/>
      <c r="H24" s="68"/>
      <c r="I24" s="68"/>
      <c r="J24" s="15"/>
      <c r="K24" s="38"/>
      <c r="L24" s="38"/>
      <c r="M24" s="17"/>
    </row>
    <row r="25" spans="2:13" ht="14.45" customHeight="1" x14ac:dyDescent="0.25">
      <c r="B25" s="17"/>
      <c r="C25" s="14"/>
      <c r="D25" s="14"/>
      <c r="E25" s="18"/>
      <c r="F25" s="20"/>
      <c r="G25" s="64"/>
      <c r="H25" s="68"/>
      <c r="I25" s="68"/>
      <c r="J25" s="15"/>
      <c r="K25" s="38"/>
      <c r="L25" s="38"/>
      <c r="M25" s="17"/>
    </row>
    <row r="26" spans="2:13" ht="14.45" customHeight="1" x14ac:dyDescent="0.25">
      <c r="B26" s="17"/>
      <c r="C26" s="14"/>
      <c r="D26" s="14"/>
      <c r="E26" s="18"/>
      <c r="F26" s="20"/>
      <c r="G26" s="64"/>
      <c r="H26" s="68"/>
      <c r="I26" s="68"/>
      <c r="J26" s="15"/>
      <c r="K26" s="38"/>
      <c r="L26" s="38"/>
      <c r="M26" s="17"/>
    </row>
    <row r="27" spans="2:13" ht="14.45" customHeight="1" x14ac:dyDescent="0.25">
      <c r="B27" s="17"/>
      <c r="C27" s="14"/>
      <c r="D27" s="14"/>
      <c r="E27" s="18"/>
      <c r="F27" s="20"/>
      <c r="G27" s="64"/>
      <c r="H27" s="68"/>
      <c r="I27" s="68"/>
      <c r="J27" s="15"/>
      <c r="K27" s="38"/>
      <c r="L27" s="38"/>
      <c r="M27" s="17"/>
    </row>
    <row r="28" spans="2:13" ht="14.45" customHeight="1" x14ac:dyDescent="0.25">
      <c r="B28" s="17"/>
      <c r="C28" s="14"/>
      <c r="D28" s="14"/>
      <c r="E28" s="18"/>
      <c r="F28" s="20"/>
      <c r="G28" s="64"/>
      <c r="H28" s="68"/>
      <c r="I28" s="68"/>
      <c r="J28" s="15"/>
      <c r="K28" s="38"/>
      <c r="L28" s="38"/>
      <c r="M28" s="17"/>
    </row>
    <row r="29" spans="2:13" ht="14.45" customHeight="1" x14ac:dyDescent="0.25">
      <c r="B29" s="17"/>
      <c r="C29" s="14"/>
      <c r="D29" s="14"/>
      <c r="E29" s="18"/>
      <c r="F29" s="20"/>
      <c r="G29" s="64"/>
      <c r="H29" s="68"/>
      <c r="I29" s="68"/>
      <c r="J29" s="15"/>
      <c r="K29" s="38"/>
      <c r="L29" s="38"/>
      <c r="M29" s="17"/>
    </row>
    <row r="30" spans="2:13" ht="14.45" customHeight="1" x14ac:dyDescent="0.25">
      <c r="B30" s="17"/>
      <c r="C30" s="14"/>
      <c r="D30" s="14"/>
      <c r="E30" s="18"/>
      <c r="F30" s="20"/>
      <c r="G30" s="64"/>
      <c r="H30" s="68"/>
      <c r="I30" s="68"/>
      <c r="J30" s="15"/>
      <c r="K30" s="38"/>
      <c r="L30" s="38"/>
      <c r="M30" s="17"/>
    </row>
    <row r="31" spans="2:13" ht="14.45" customHeight="1" x14ac:dyDescent="0.25">
      <c r="B31" s="17"/>
      <c r="C31" s="14"/>
      <c r="D31" s="14"/>
      <c r="E31" s="18"/>
      <c r="F31" s="20"/>
      <c r="G31" s="64"/>
      <c r="H31" s="68"/>
      <c r="I31" s="68"/>
      <c r="J31" s="15"/>
      <c r="K31" s="38"/>
      <c r="L31" s="38"/>
      <c r="M31" s="17"/>
    </row>
    <row r="32" spans="2:13" ht="14.45" customHeight="1" x14ac:dyDescent="0.25">
      <c r="B32" s="17"/>
      <c r="C32" s="14"/>
      <c r="D32" s="14"/>
      <c r="E32" s="18"/>
      <c r="F32" s="20"/>
      <c r="G32" s="64"/>
      <c r="H32" s="68"/>
      <c r="I32" s="68"/>
      <c r="J32" s="15"/>
      <c r="K32" s="38"/>
      <c r="L32" s="38"/>
      <c r="M32" s="17"/>
    </row>
    <row r="33" spans="2:13" ht="14.45" customHeight="1" x14ac:dyDescent="0.25">
      <c r="B33" s="17"/>
      <c r="C33" s="14"/>
      <c r="D33" s="14"/>
      <c r="E33" s="18"/>
      <c r="F33" s="20"/>
      <c r="G33" s="64"/>
      <c r="H33" s="68"/>
      <c r="I33" s="68"/>
      <c r="J33" s="15"/>
      <c r="K33" s="38"/>
      <c r="L33" s="38"/>
      <c r="M33" s="17"/>
    </row>
    <row r="34" spans="2:13" ht="14.45" customHeight="1" x14ac:dyDescent="0.25">
      <c r="B34" s="17"/>
      <c r="C34" s="14"/>
      <c r="D34" s="14"/>
      <c r="E34" s="18"/>
      <c r="F34" s="20"/>
      <c r="G34" s="64"/>
      <c r="H34" s="68"/>
      <c r="I34" s="68"/>
      <c r="J34" s="15"/>
      <c r="K34" s="38"/>
      <c r="L34" s="38"/>
      <c r="M34" s="17"/>
    </row>
    <row r="35" spans="2:13" ht="14.45" customHeight="1" x14ac:dyDescent="0.25">
      <c r="B35" s="39"/>
      <c r="C35" s="40"/>
      <c r="D35" s="40"/>
      <c r="E35" s="41"/>
      <c r="F35" s="42"/>
      <c r="G35" s="65"/>
      <c r="H35" s="70"/>
      <c r="I35" s="70"/>
      <c r="J35" s="43"/>
      <c r="K35" s="38"/>
      <c r="L35" s="38"/>
      <c r="M35" s="17"/>
    </row>
    <row r="36" spans="2:13" ht="14.45" customHeight="1" x14ac:dyDescent="0.25">
      <c r="B36" s="17"/>
      <c r="C36" s="14"/>
      <c r="D36" s="14"/>
      <c r="E36" s="18"/>
      <c r="F36" s="20"/>
      <c r="G36" s="64"/>
      <c r="H36" s="68"/>
      <c r="I36" s="68"/>
      <c r="J36" s="14"/>
      <c r="K36" s="38"/>
      <c r="L36" s="38"/>
      <c r="M36" s="17"/>
    </row>
    <row r="37" spans="2:13" ht="14.45" customHeight="1" x14ac:dyDescent="0.25">
      <c r="B37" s="39"/>
      <c r="C37" s="40"/>
      <c r="D37" s="40"/>
      <c r="E37" s="41"/>
      <c r="F37" s="42"/>
      <c r="G37" s="65"/>
      <c r="H37" s="70"/>
      <c r="I37" s="70"/>
      <c r="J37" s="40"/>
      <c r="K37" s="38"/>
      <c r="L37" s="38"/>
      <c r="M37" s="17"/>
    </row>
    <row r="38" spans="2:13" ht="14.45" customHeight="1" x14ac:dyDescent="0.25">
      <c r="B38" s="44"/>
      <c r="C38" s="45"/>
      <c r="D38" s="45"/>
      <c r="E38" s="46"/>
      <c r="F38" s="47"/>
      <c r="G38" s="66"/>
      <c r="H38" s="77"/>
      <c r="I38" s="77"/>
      <c r="J38" s="45"/>
      <c r="K38" s="38"/>
      <c r="L38" s="38"/>
      <c r="M38" s="17"/>
    </row>
    <row r="39" spans="2:13" ht="14.45" customHeight="1" x14ac:dyDescent="0.25">
      <c r="B39" s="39"/>
      <c r="C39" s="48"/>
      <c r="D39" s="48"/>
      <c r="E39" s="49"/>
      <c r="F39" s="50"/>
      <c r="G39" s="67"/>
      <c r="H39" s="67"/>
      <c r="I39" s="67"/>
      <c r="J39" s="51"/>
      <c r="K39" s="38"/>
      <c r="L39" s="38"/>
      <c r="M39" s="17"/>
    </row>
    <row r="40" spans="2:13" ht="14.45" customHeight="1" x14ac:dyDescent="0.25">
      <c r="B40" s="17"/>
      <c r="C40" s="14"/>
      <c r="D40" s="14"/>
      <c r="E40" s="19"/>
      <c r="F40" s="21"/>
      <c r="G40" s="68"/>
      <c r="H40" s="68"/>
      <c r="I40" s="68"/>
      <c r="J40" s="52"/>
      <c r="K40" s="38"/>
      <c r="L40" s="38"/>
      <c r="M40" s="17"/>
    </row>
    <row r="41" spans="2:13" ht="14.45" customHeight="1" x14ac:dyDescent="0.25">
      <c r="B41" s="17"/>
      <c r="C41" s="14"/>
      <c r="D41" s="14"/>
      <c r="E41" s="19"/>
      <c r="F41" s="21"/>
      <c r="G41" s="68"/>
      <c r="H41" s="68"/>
      <c r="I41" s="68"/>
      <c r="J41" s="52"/>
      <c r="K41" s="38"/>
      <c r="L41" s="38"/>
      <c r="M41" s="17"/>
    </row>
    <row r="42" spans="2:13" ht="14.45" customHeight="1" x14ac:dyDescent="0.25">
      <c r="B42" s="17"/>
      <c r="C42" s="14"/>
      <c r="D42" s="14"/>
      <c r="E42" s="19"/>
      <c r="F42" s="21"/>
      <c r="G42" s="68"/>
      <c r="H42" s="68"/>
      <c r="I42" s="68"/>
      <c r="J42" s="52"/>
      <c r="K42" s="38"/>
      <c r="L42" s="38"/>
      <c r="M42" s="17"/>
    </row>
    <row r="43" spans="2:13" ht="14.45" customHeight="1" x14ac:dyDescent="0.25">
      <c r="B43" s="17"/>
      <c r="C43" s="14"/>
      <c r="D43" s="14"/>
      <c r="E43" s="19"/>
      <c r="F43" s="21"/>
      <c r="G43" s="68"/>
      <c r="H43" s="68"/>
      <c r="I43" s="68"/>
      <c r="J43" s="52"/>
      <c r="K43" s="38"/>
      <c r="L43" s="38"/>
      <c r="M43" s="17"/>
    </row>
    <row r="44" spans="2:13" ht="14.45" customHeight="1" x14ac:dyDescent="0.25">
      <c r="B44" s="17"/>
      <c r="C44" s="14"/>
      <c r="D44" s="14"/>
      <c r="E44" s="19"/>
      <c r="F44" s="21"/>
      <c r="G44" s="68"/>
      <c r="H44" s="68"/>
      <c r="I44" s="68"/>
      <c r="J44" s="52"/>
      <c r="K44" s="38"/>
      <c r="L44" s="38"/>
      <c r="M44" s="17"/>
    </row>
    <row r="45" spans="2:13" ht="14.45" customHeight="1" x14ac:dyDescent="0.25">
      <c r="B45" s="17"/>
      <c r="C45" s="14"/>
      <c r="D45" s="14"/>
      <c r="E45" s="19"/>
      <c r="F45" s="21"/>
      <c r="G45" s="68"/>
      <c r="H45" s="68"/>
      <c r="I45" s="68"/>
      <c r="J45" s="52"/>
      <c r="K45" s="38"/>
      <c r="L45" s="38"/>
      <c r="M45" s="17"/>
    </row>
    <row r="46" spans="2:13" ht="14.45" customHeight="1" x14ac:dyDescent="0.25">
      <c r="B46" s="17"/>
      <c r="C46" s="14"/>
      <c r="D46" s="14"/>
      <c r="E46" s="19"/>
      <c r="F46" s="21"/>
      <c r="G46" s="68"/>
      <c r="H46" s="68"/>
      <c r="I46" s="68"/>
      <c r="J46" s="52"/>
      <c r="K46" s="38"/>
      <c r="L46" s="38"/>
      <c r="M46" s="17"/>
    </row>
    <row r="47" spans="2:13" ht="14.45" customHeight="1" x14ac:dyDescent="0.25">
      <c r="B47" s="17"/>
      <c r="C47" s="14"/>
      <c r="D47" s="14"/>
      <c r="E47" s="19"/>
      <c r="F47" s="21"/>
      <c r="G47" s="68"/>
      <c r="H47" s="68"/>
      <c r="I47" s="68"/>
      <c r="J47" s="52"/>
      <c r="K47" s="38"/>
      <c r="L47" s="38"/>
      <c r="M47" s="17"/>
    </row>
    <row r="48" spans="2:13" ht="14.45" customHeight="1" x14ac:dyDescent="0.25">
      <c r="B48" s="17"/>
      <c r="C48" s="14"/>
      <c r="D48" s="14"/>
      <c r="E48" s="19"/>
      <c r="F48" s="21"/>
      <c r="G48" s="68"/>
      <c r="H48" s="68"/>
      <c r="I48" s="68"/>
      <c r="J48" s="52"/>
      <c r="K48" s="38"/>
      <c r="L48" s="38"/>
      <c r="M48" s="17"/>
    </row>
    <row r="49" spans="2:13" ht="14.45" customHeight="1" x14ac:dyDescent="0.25">
      <c r="B49" s="17"/>
      <c r="C49" s="14"/>
      <c r="D49" s="14"/>
      <c r="E49" s="19"/>
      <c r="F49" s="21"/>
      <c r="G49" s="68"/>
      <c r="H49" s="68"/>
      <c r="I49" s="68"/>
      <c r="J49" s="52"/>
      <c r="K49" s="38"/>
      <c r="L49" s="38"/>
      <c r="M49" s="17"/>
    </row>
    <row r="50" spans="2:13" ht="14.45" customHeight="1" x14ac:dyDescent="0.25">
      <c r="B50" s="53"/>
      <c r="C50" s="40"/>
      <c r="D50" s="40"/>
      <c r="E50" s="54"/>
      <c r="F50" s="55"/>
      <c r="G50" s="69"/>
      <c r="H50" s="78"/>
      <c r="I50" s="78"/>
      <c r="J50" s="56"/>
      <c r="K50" s="38"/>
      <c r="L50" s="38"/>
      <c r="M50" s="17"/>
    </row>
    <row r="51" spans="2:13" ht="14.45" customHeight="1" x14ac:dyDescent="0.25">
      <c r="B51" s="44"/>
      <c r="C51" s="45"/>
      <c r="D51" s="45"/>
      <c r="E51" s="46"/>
      <c r="F51" s="47"/>
      <c r="G51" s="66"/>
      <c r="H51" s="77"/>
      <c r="I51" s="77"/>
      <c r="J51" s="45"/>
      <c r="K51" s="38"/>
      <c r="L51" s="38"/>
      <c r="M51" s="17"/>
    </row>
    <row r="52" spans="2:13" ht="14.45" customHeight="1" x14ac:dyDescent="0.25">
      <c r="B52" s="39"/>
      <c r="C52" s="48"/>
      <c r="D52" s="48"/>
      <c r="E52" s="49"/>
      <c r="F52" s="50"/>
      <c r="G52" s="67"/>
      <c r="H52" s="67"/>
      <c r="I52" s="67"/>
      <c r="J52" s="51"/>
      <c r="K52" s="38"/>
      <c r="L52" s="38"/>
      <c r="M52" s="17"/>
    </row>
    <row r="53" spans="2:13" ht="14.45" customHeight="1" x14ac:dyDescent="0.25">
      <c r="B53" s="17"/>
      <c r="C53" s="14"/>
      <c r="D53" s="14"/>
      <c r="E53" s="19"/>
      <c r="F53" s="21"/>
      <c r="G53" s="68"/>
      <c r="H53" s="68"/>
      <c r="I53" s="68"/>
      <c r="J53" s="52"/>
      <c r="K53" s="38"/>
      <c r="L53" s="38"/>
      <c r="M53" s="17"/>
    </row>
    <row r="54" spans="2:13" ht="14.45" customHeight="1" x14ac:dyDescent="0.25">
      <c r="B54" s="17"/>
      <c r="C54" s="14"/>
      <c r="D54" s="14"/>
      <c r="E54" s="19"/>
      <c r="F54" s="21"/>
      <c r="G54" s="68"/>
      <c r="H54" s="68"/>
      <c r="I54" s="68"/>
      <c r="J54" s="52"/>
      <c r="K54" s="38"/>
      <c r="L54" s="38"/>
      <c r="M54" s="17"/>
    </row>
    <row r="55" spans="2:13" ht="14.45" customHeight="1" x14ac:dyDescent="0.25">
      <c r="B55" s="17"/>
      <c r="C55" s="14"/>
      <c r="D55" s="14"/>
      <c r="E55" s="19"/>
      <c r="F55" s="21"/>
      <c r="G55" s="68"/>
      <c r="H55" s="68"/>
      <c r="I55" s="68"/>
      <c r="J55" s="52"/>
      <c r="K55" s="38"/>
      <c r="L55" s="38"/>
      <c r="M55" s="17"/>
    </row>
    <row r="56" spans="2:13" ht="14.45" customHeight="1" x14ac:dyDescent="0.25">
      <c r="B56" s="17"/>
      <c r="C56" s="14"/>
      <c r="D56" s="14"/>
      <c r="E56" s="19"/>
      <c r="F56" s="21"/>
      <c r="G56" s="68"/>
      <c r="H56" s="68"/>
      <c r="I56" s="68"/>
      <c r="J56" s="52"/>
      <c r="K56" s="38"/>
      <c r="L56" s="38"/>
      <c r="M56" s="17"/>
    </row>
    <row r="57" spans="2:13" ht="14.45" customHeight="1" x14ac:dyDescent="0.25">
      <c r="B57" s="17"/>
      <c r="C57" s="14"/>
      <c r="D57" s="14"/>
      <c r="E57" s="19"/>
      <c r="F57" s="21"/>
      <c r="G57" s="68"/>
      <c r="H57" s="68"/>
      <c r="I57" s="68"/>
      <c r="J57" s="52"/>
      <c r="K57" s="38"/>
      <c r="L57" s="38"/>
      <c r="M57" s="17"/>
    </row>
    <row r="58" spans="2:13" ht="14.45" customHeight="1" x14ac:dyDescent="0.25">
      <c r="B58" s="17"/>
      <c r="C58" s="14"/>
      <c r="D58" s="14"/>
      <c r="E58" s="19"/>
      <c r="F58" s="21"/>
      <c r="G58" s="68"/>
      <c r="H58" s="68"/>
      <c r="I58" s="68"/>
      <c r="J58" s="52"/>
      <c r="K58" s="38"/>
      <c r="L58" s="38"/>
      <c r="M58" s="17"/>
    </row>
    <row r="59" spans="2:13" ht="14.45" customHeight="1" x14ac:dyDescent="0.25">
      <c r="B59" s="17"/>
      <c r="C59" s="14"/>
      <c r="D59" s="14"/>
      <c r="E59" s="19"/>
      <c r="F59" s="21"/>
      <c r="G59" s="68"/>
      <c r="H59" s="68"/>
      <c r="I59" s="68"/>
      <c r="J59" s="52"/>
      <c r="K59" s="38"/>
      <c r="L59" s="38"/>
      <c r="M59" s="17"/>
    </row>
    <row r="60" spans="2:13" ht="14.45" customHeight="1" x14ac:dyDescent="0.25">
      <c r="B60" s="17"/>
      <c r="C60" s="14"/>
      <c r="D60" s="14"/>
      <c r="E60" s="19"/>
      <c r="F60" s="21"/>
      <c r="G60" s="68"/>
      <c r="H60" s="68"/>
      <c r="I60" s="68"/>
      <c r="J60" s="52"/>
      <c r="K60" s="38"/>
      <c r="L60" s="38"/>
      <c r="M60" s="17"/>
    </row>
    <row r="61" spans="2:13" ht="14.45" customHeight="1" x14ac:dyDescent="0.25">
      <c r="B61" s="17"/>
      <c r="C61" s="14"/>
      <c r="D61" s="14"/>
      <c r="E61" s="19"/>
      <c r="F61" s="21"/>
      <c r="G61" s="68"/>
      <c r="H61" s="68"/>
      <c r="I61" s="68"/>
      <c r="J61" s="52"/>
      <c r="K61" s="38"/>
      <c r="L61" s="38"/>
      <c r="M61" s="17"/>
    </row>
    <row r="62" spans="2:13" ht="14.45" customHeight="1" x14ac:dyDescent="0.25">
      <c r="B62" s="17"/>
      <c r="C62" s="14"/>
      <c r="D62" s="14"/>
      <c r="E62" s="19"/>
      <c r="F62" s="21"/>
      <c r="G62" s="68"/>
      <c r="H62" s="68"/>
      <c r="I62" s="68"/>
      <c r="J62" s="52"/>
      <c r="K62" s="38"/>
      <c r="L62" s="38"/>
      <c r="M62" s="17"/>
    </row>
    <row r="63" spans="2:13" ht="14.45" customHeight="1" x14ac:dyDescent="0.25">
      <c r="B63" s="53"/>
      <c r="C63" s="40"/>
      <c r="D63" s="40"/>
      <c r="E63" s="54"/>
      <c r="F63" s="55"/>
      <c r="G63" s="69"/>
      <c r="H63" s="78"/>
      <c r="I63" s="78"/>
      <c r="J63" s="56"/>
      <c r="K63" s="38"/>
      <c r="L63" s="38"/>
      <c r="M63" s="17"/>
    </row>
    <row r="64" spans="2:13" ht="14.45" customHeight="1" x14ac:dyDescent="0.25">
      <c r="B64" s="44"/>
      <c r="C64" s="45"/>
      <c r="D64" s="45"/>
      <c r="E64" s="46"/>
      <c r="F64" s="47"/>
      <c r="G64" s="66"/>
      <c r="H64" s="77"/>
      <c r="I64" s="77"/>
      <c r="J64" s="45"/>
      <c r="K64" s="38"/>
      <c r="L64" s="38"/>
      <c r="M64" s="17"/>
    </row>
    <row r="65" spans="2:13" ht="14.45" customHeight="1" x14ac:dyDescent="0.25">
      <c r="B65" s="53"/>
      <c r="C65" s="40"/>
      <c r="D65" s="40"/>
      <c r="E65" s="41"/>
      <c r="F65" s="57"/>
      <c r="G65" s="70"/>
      <c r="H65" s="70"/>
      <c r="I65" s="70"/>
      <c r="J65" s="16"/>
      <c r="K65" s="38"/>
      <c r="L65" s="38"/>
      <c r="M65" s="17"/>
    </row>
    <row r="66" spans="2:13" ht="14.45" customHeight="1" x14ac:dyDescent="0.25">
      <c r="B66" s="44"/>
      <c r="C66" s="45"/>
      <c r="D66" s="45"/>
      <c r="E66" s="46"/>
      <c r="F66" s="47"/>
      <c r="G66" s="66"/>
      <c r="H66" s="77"/>
      <c r="I66" s="77"/>
      <c r="J66" s="45"/>
      <c r="K66" s="38"/>
      <c r="L66" s="38"/>
      <c r="M66" s="17"/>
    </row>
    <row r="67" spans="2:13" ht="14.45" customHeight="1" x14ac:dyDescent="0.25">
      <c r="B67" s="39"/>
      <c r="C67" s="48"/>
      <c r="D67" s="48"/>
      <c r="E67" s="49"/>
      <c r="F67" s="57"/>
      <c r="G67" s="70"/>
      <c r="H67" s="70"/>
      <c r="I67" s="70"/>
      <c r="J67" s="58"/>
      <c r="K67" s="38"/>
      <c r="L67" s="38"/>
      <c r="M67" s="17"/>
    </row>
    <row r="68" spans="2:13" ht="14.45" customHeight="1" x14ac:dyDescent="0.25">
      <c r="B68" s="44"/>
      <c r="C68" s="45"/>
      <c r="D68" s="45"/>
      <c r="E68" s="46"/>
      <c r="F68" s="47"/>
      <c r="G68" s="66"/>
      <c r="H68" s="77"/>
      <c r="I68" s="77"/>
      <c r="J68" s="45"/>
      <c r="K68" s="38"/>
      <c r="L68" s="38"/>
      <c r="M68" s="17"/>
    </row>
    <row r="69" spans="2:13" ht="14.45" customHeight="1" x14ac:dyDescent="0.25">
      <c r="B69" s="53"/>
      <c r="C69" s="40"/>
      <c r="D69" s="40"/>
      <c r="E69" s="41"/>
      <c r="F69" s="42"/>
      <c r="G69" s="65"/>
      <c r="H69" s="70"/>
      <c r="I69" s="70"/>
      <c r="J69" s="40"/>
      <c r="K69" s="38"/>
      <c r="L69" s="38"/>
      <c r="M69" s="17"/>
    </row>
    <row r="70" spans="2:13" ht="14.45" customHeight="1" x14ac:dyDescent="0.25">
      <c r="B70" s="53"/>
      <c r="C70" s="40"/>
      <c r="D70" s="40"/>
      <c r="E70" s="41"/>
      <c r="F70" s="42"/>
      <c r="G70" s="65"/>
      <c r="H70" s="70"/>
      <c r="I70" s="70"/>
      <c r="J70" s="59"/>
      <c r="K70" s="38"/>
      <c r="L70" s="38"/>
      <c r="M70" s="17"/>
    </row>
    <row r="71" spans="2:13" ht="14.45" customHeight="1" x14ac:dyDescent="0.25">
      <c r="B71" s="17"/>
      <c r="C71" s="14"/>
      <c r="D71" s="14"/>
      <c r="E71" s="18"/>
      <c r="F71" s="22"/>
      <c r="G71" s="71"/>
      <c r="H71" s="68"/>
      <c r="I71" s="68"/>
      <c r="J71" s="15"/>
      <c r="K71" s="38"/>
      <c r="L71" s="38"/>
      <c r="M71" s="17"/>
    </row>
    <row r="72" spans="2:13" ht="14.45" customHeight="1" x14ac:dyDescent="0.25">
      <c r="B72" s="17"/>
      <c r="C72" s="14"/>
      <c r="D72" s="14"/>
      <c r="E72" s="18"/>
      <c r="F72" s="22"/>
      <c r="G72" s="71"/>
      <c r="H72" s="68"/>
      <c r="I72" s="68"/>
      <c r="J72" s="15"/>
      <c r="K72" s="38"/>
      <c r="L72" s="38"/>
      <c r="M72" s="17"/>
    </row>
    <row r="73" spans="2:13" ht="14.45" customHeight="1" x14ac:dyDescent="0.25">
      <c r="B73" s="17"/>
      <c r="C73" s="14"/>
      <c r="D73" s="14"/>
      <c r="E73" s="18"/>
      <c r="F73" s="22"/>
      <c r="G73" s="71"/>
      <c r="H73" s="68"/>
      <c r="I73" s="68"/>
      <c r="J73" s="15"/>
      <c r="K73" s="38"/>
      <c r="L73" s="38"/>
      <c r="M73" s="17"/>
    </row>
    <row r="74" spans="2:13" ht="14.45" customHeight="1" x14ac:dyDescent="0.25">
      <c r="B74" s="17"/>
      <c r="C74" s="14"/>
      <c r="D74" s="14"/>
      <c r="E74" s="18"/>
      <c r="F74" s="22"/>
      <c r="G74" s="71"/>
      <c r="H74" s="68"/>
      <c r="I74" s="68"/>
      <c r="J74" s="15"/>
      <c r="K74" s="38"/>
      <c r="L74" s="38"/>
      <c r="M74" s="17"/>
    </row>
    <row r="75" spans="2:13" ht="14.45" customHeight="1" x14ac:dyDescent="0.25">
      <c r="B75" s="17"/>
      <c r="C75" s="14"/>
      <c r="D75" s="14"/>
      <c r="E75" s="18"/>
      <c r="F75" s="22"/>
      <c r="G75" s="71"/>
      <c r="H75" s="68"/>
      <c r="I75" s="68"/>
      <c r="J75" s="15"/>
      <c r="K75" s="38"/>
      <c r="L75" s="38"/>
      <c r="M75" s="17"/>
    </row>
    <row r="76" spans="2:13" ht="14.45" customHeight="1" x14ac:dyDescent="0.25">
      <c r="B76" s="17"/>
      <c r="C76" s="14"/>
      <c r="D76" s="14"/>
      <c r="E76" s="18"/>
      <c r="F76" s="22"/>
      <c r="G76" s="71"/>
      <c r="H76" s="68"/>
      <c r="I76" s="68"/>
      <c r="J76" s="15"/>
      <c r="K76" s="38"/>
      <c r="L76" s="38"/>
      <c r="M76" s="17"/>
    </row>
    <row r="77" spans="2:13" ht="14.45" customHeight="1" x14ac:dyDescent="0.25">
      <c r="B77" s="17"/>
      <c r="C77" s="14"/>
      <c r="D77" s="14"/>
      <c r="E77" s="18"/>
      <c r="F77" s="22"/>
      <c r="G77" s="71"/>
      <c r="H77" s="68"/>
      <c r="I77" s="68"/>
      <c r="J77" s="15"/>
      <c r="K77" s="38"/>
      <c r="L77" s="38"/>
      <c r="M77" s="17"/>
    </row>
    <row r="78" spans="2:13" ht="14.45" customHeight="1" x14ac:dyDescent="0.25">
      <c r="B78" s="17"/>
      <c r="C78" s="14"/>
      <c r="D78" s="14"/>
      <c r="E78" s="18"/>
      <c r="F78" s="22"/>
      <c r="G78" s="71"/>
      <c r="H78" s="68"/>
      <c r="I78" s="68"/>
      <c r="J78" s="15"/>
      <c r="K78" s="38"/>
      <c r="L78" s="38"/>
      <c r="M78" s="17"/>
    </row>
    <row r="79" spans="2:13" ht="14.45" customHeight="1" x14ac:dyDescent="0.25">
      <c r="B79" s="17"/>
      <c r="C79" s="14"/>
      <c r="D79" s="14"/>
      <c r="E79" s="18"/>
      <c r="F79" s="22"/>
      <c r="G79" s="71"/>
      <c r="H79" s="68"/>
      <c r="I79" s="68"/>
      <c r="J79" s="15"/>
      <c r="K79" s="38"/>
      <c r="L79" s="38"/>
      <c r="M79" s="17"/>
    </row>
    <row r="80" spans="2:13" ht="14.45" customHeight="1" x14ac:dyDescent="0.25">
      <c r="B80" s="17"/>
      <c r="C80" s="14"/>
      <c r="D80" s="14"/>
      <c r="E80" s="18"/>
      <c r="F80" s="22"/>
      <c r="G80" s="71"/>
      <c r="H80" s="68"/>
      <c r="I80" s="68"/>
      <c r="J80" s="15"/>
      <c r="K80" s="38"/>
      <c r="L80" s="38"/>
      <c r="M80" s="17"/>
    </row>
    <row r="81" spans="2:13" ht="14.45" customHeight="1" x14ac:dyDescent="0.25">
      <c r="B81" s="53"/>
      <c r="C81" s="40"/>
      <c r="D81" s="40"/>
      <c r="E81" s="41"/>
      <c r="F81" s="42"/>
      <c r="G81" s="65"/>
      <c r="H81" s="70"/>
      <c r="I81" s="70"/>
      <c r="J81" s="43"/>
      <c r="K81" s="38"/>
      <c r="L81" s="38"/>
      <c r="M81" s="17"/>
    </row>
    <row r="82" spans="2:13" ht="14.45" customHeight="1" x14ac:dyDescent="0.25">
      <c r="B82" s="53"/>
      <c r="C82" s="40"/>
      <c r="D82" s="40"/>
      <c r="E82" s="41"/>
      <c r="F82" s="42"/>
      <c r="G82" s="65"/>
      <c r="H82" s="70"/>
      <c r="I82" s="70"/>
      <c r="J82" s="43"/>
      <c r="K82" s="38"/>
      <c r="L82" s="38"/>
      <c r="M82" s="17"/>
    </row>
    <row r="83" spans="2:13" ht="14.45" customHeight="1" x14ac:dyDescent="0.25">
      <c r="B83" s="44"/>
      <c r="C83" s="45"/>
      <c r="D83" s="45"/>
      <c r="E83" s="46"/>
      <c r="F83" s="47"/>
      <c r="G83" s="66"/>
      <c r="H83" s="77"/>
      <c r="I83" s="77"/>
      <c r="J83" s="45"/>
      <c r="K83" s="38"/>
      <c r="L83" s="38"/>
      <c r="M83" s="17"/>
    </row>
    <row r="84" spans="2:13" ht="14.45" customHeight="1" x14ac:dyDescent="0.25">
      <c r="B84" s="39"/>
      <c r="C84" s="48"/>
      <c r="D84" s="48"/>
      <c r="E84" s="49"/>
      <c r="F84" s="60"/>
      <c r="G84" s="72"/>
      <c r="H84" s="67"/>
      <c r="I84" s="67"/>
      <c r="J84" s="43"/>
      <c r="K84" s="38"/>
      <c r="L84" s="38"/>
      <c r="M84" s="17"/>
    </row>
    <row r="85" spans="2:13" ht="14.45" customHeight="1" x14ac:dyDescent="0.25">
      <c r="B85" s="17"/>
      <c r="C85" s="14"/>
      <c r="D85" s="14"/>
      <c r="E85" s="18"/>
      <c r="F85" s="20"/>
      <c r="G85" s="64"/>
      <c r="H85" s="68"/>
      <c r="I85" s="68"/>
      <c r="J85" s="14"/>
      <c r="K85" s="38"/>
      <c r="L85" s="38"/>
      <c r="M85" s="17"/>
    </row>
    <row r="86" spans="2:13" ht="14.45" customHeight="1" x14ac:dyDescent="0.25">
      <c r="B86" s="39"/>
      <c r="C86" s="40"/>
      <c r="D86" s="40"/>
      <c r="E86" s="41"/>
      <c r="F86" s="42"/>
      <c r="G86" s="65"/>
      <c r="H86" s="70"/>
      <c r="I86" s="70"/>
      <c r="J86" s="40"/>
      <c r="K86" s="38"/>
      <c r="L86" s="38"/>
      <c r="M86" s="17"/>
    </row>
    <row r="87" spans="2:13" ht="14.45" customHeight="1" x14ac:dyDescent="0.25">
      <c r="B87" s="53"/>
      <c r="C87" s="40"/>
      <c r="D87" s="40"/>
      <c r="E87" s="41"/>
      <c r="F87" s="42"/>
      <c r="G87" s="65"/>
      <c r="H87" s="70"/>
      <c r="I87" s="70"/>
      <c r="J87" s="43"/>
      <c r="K87" s="38"/>
      <c r="L87" s="38"/>
      <c r="M87" s="17"/>
    </row>
    <row r="88" spans="2:13" ht="14.45" customHeight="1" x14ac:dyDescent="0.25">
      <c r="B88" s="17"/>
      <c r="C88" s="14"/>
      <c r="D88" s="14"/>
      <c r="E88" s="18"/>
      <c r="F88" s="61"/>
      <c r="G88" s="73"/>
      <c r="H88" s="79"/>
      <c r="I88" s="79"/>
      <c r="J88" s="14"/>
      <c r="K88" s="38"/>
      <c r="L88" s="38"/>
      <c r="M88" s="17"/>
    </row>
    <row r="89" spans="2:13" ht="14.45" customHeight="1" x14ac:dyDescent="0.25">
      <c r="B89" s="17"/>
      <c r="C89" s="14"/>
      <c r="D89" s="14"/>
      <c r="E89" s="18"/>
      <c r="F89" s="61"/>
      <c r="G89" s="73"/>
      <c r="H89" s="79"/>
      <c r="I89" s="79"/>
      <c r="J89" s="14"/>
      <c r="K89" s="38"/>
      <c r="L89" s="38"/>
      <c r="M89" s="17"/>
    </row>
    <row r="90" spans="2:13" ht="14.45" customHeight="1" x14ac:dyDescent="0.25">
      <c r="B90" s="17"/>
      <c r="C90" s="14"/>
      <c r="D90" s="14"/>
      <c r="E90" s="18"/>
      <c r="F90" s="61"/>
      <c r="G90" s="73"/>
      <c r="H90" s="79"/>
      <c r="I90" s="79"/>
      <c r="J90" s="14"/>
      <c r="K90" s="38"/>
      <c r="L90" s="38"/>
      <c r="M90" s="17"/>
    </row>
    <row r="91" spans="2:13" ht="14.45" customHeight="1" x14ac:dyDescent="0.25">
      <c r="B91" s="17"/>
      <c r="C91" s="14"/>
      <c r="D91" s="14"/>
      <c r="E91" s="18"/>
      <c r="F91" s="61"/>
      <c r="G91" s="73"/>
      <c r="H91" s="79"/>
      <c r="I91" s="79"/>
      <c r="J91" s="14"/>
      <c r="K91" s="38"/>
      <c r="L91" s="38"/>
      <c r="M91" s="17"/>
    </row>
    <row r="92" spans="2:13" ht="14.45" customHeight="1" x14ac:dyDescent="0.25">
      <c r="B92" s="17"/>
      <c r="C92" s="14"/>
      <c r="D92" s="14"/>
      <c r="E92" s="18"/>
      <c r="F92" s="61"/>
      <c r="G92" s="73"/>
      <c r="H92" s="79"/>
      <c r="I92" s="79"/>
      <c r="J92" s="14"/>
      <c r="K92" s="38"/>
      <c r="L92" s="38"/>
      <c r="M92" s="17"/>
    </row>
    <row r="93" spans="2:13" ht="14.45" customHeight="1" x14ac:dyDescent="0.25">
      <c r="B93" s="17"/>
      <c r="C93" s="14"/>
      <c r="D93" s="14"/>
      <c r="E93" s="18"/>
      <c r="F93" s="61"/>
      <c r="G93" s="73"/>
      <c r="H93" s="79"/>
      <c r="I93" s="79"/>
      <c r="J93" s="14"/>
      <c r="K93" s="38"/>
      <c r="L93" s="38"/>
      <c r="M93" s="17"/>
    </row>
    <row r="94" spans="2:13" ht="14.45" customHeight="1" x14ac:dyDescent="0.25">
      <c r="B94" s="17"/>
      <c r="C94" s="14"/>
      <c r="D94" s="14"/>
      <c r="E94" s="18"/>
      <c r="F94" s="61"/>
      <c r="G94" s="73"/>
      <c r="H94" s="79"/>
      <c r="I94" s="79"/>
      <c r="J94" s="14"/>
      <c r="K94" s="38"/>
      <c r="L94" s="38"/>
      <c r="M94" s="17"/>
    </row>
    <row r="95" spans="2:13" ht="14.45" customHeight="1" x14ac:dyDescent="0.25">
      <c r="B95" s="17"/>
      <c r="C95" s="14"/>
      <c r="D95" s="14"/>
      <c r="E95" s="18"/>
      <c r="F95" s="61"/>
      <c r="G95" s="73"/>
      <c r="H95" s="79"/>
      <c r="I95" s="79"/>
      <c r="J95" s="14"/>
      <c r="K95" s="38"/>
      <c r="L95" s="38"/>
      <c r="M95" s="17"/>
    </row>
    <row r="96" spans="2:13" ht="14.45" customHeight="1" x14ac:dyDescent="0.25">
      <c r="B96" s="17"/>
      <c r="C96" s="14"/>
      <c r="D96" s="14"/>
      <c r="E96" s="18"/>
      <c r="F96" s="61"/>
      <c r="G96" s="73"/>
      <c r="H96" s="79"/>
      <c r="I96" s="79"/>
      <c r="J96" s="14"/>
      <c r="K96" s="38"/>
      <c r="L96" s="38"/>
      <c r="M96" s="17"/>
    </row>
    <row r="97" spans="2:13" ht="14.45" customHeight="1" x14ac:dyDescent="0.25">
      <c r="B97" s="17"/>
      <c r="C97" s="14"/>
      <c r="D97" s="14"/>
      <c r="E97" s="18"/>
      <c r="F97" s="61"/>
      <c r="G97" s="73"/>
      <c r="H97" s="79"/>
      <c r="I97" s="79"/>
      <c r="J97" s="14"/>
      <c r="K97" s="38"/>
      <c r="L97" s="38"/>
      <c r="M97" s="17"/>
    </row>
    <row r="98" spans="2:13" ht="14.45" customHeight="1" x14ac:dyDescent="0.25">
      <c r="B98" s="17"/>
      <c r="C98" s="14"/>
      <c r="D98" s="14"/>
      <c r="E98" s="18"/>
      <c r="F98" s="61"/>
      <c r="G98" s="73"/>
      <c r="H98" s="79"/>
      <c r="I98" s="79"/>
      <c r="J98" s="14"/>
      <c r="K98" s="38"/>
      <c r="L98" s="38"/>
      <c r="M98" s="17"/>
    </row>
    <row r="99" spans="2:13" ht="14.45" customHeight="1" x14ac:dyDescent="0.25">
      <c r="B99" s="17"/>
      <c r="C99" s="14"/>
      <c r="D99" s="14"/>
      <c r="E99" s="18"/>
      <c r="F99" s="61"/>
      <c r="G99" s="73"/>
      <c r="H99" s="79"/>
      <c r="I99" s="79"/>
      <c r="J99" s="14"/>
      <c r="K99" s="38"/>
      <c r="L99" s="38"/>
      <c r="M99" s="17"/>
    </row>
    <row r="100" spans="2:13" ht="14.45" customHeight="1" x14ac:dyDescent="0.25">
      <c r="B100" s="17"/>
      <c r="C100" s="14"/>
      <c r="D100" s="14"/>
      <c r="E100" s="18"/>
      <c r="F100" s="61"/>
      <c r="G100" s="73"/>
      <c r="H100" s="79"/>
      <c r="I100" s="79"/>
      <c r="J100" s="14"/>
      <c r="K100" s="38"/>
      <c r="L100" s="38"/>
      <c r="M100" s="17"/>
    </row>
    <row r="101" spans="2:13" ht="14.45" customHeight="1" x14ac:dyDescent="0.25">
      <c r="B101" s="17"/>
      <c r="C101" s="14"/>
      <c r="D101" s="14"/>
      <c r="E101" s="18"/>
      <c r="F101" s="61"/>
      <c r="G101" s="73"/>
      <c r="H101" s="79"/>
      <c r="I101" s="79"/>
      <c r="J101" s="14"/>
      <c r="K101" s="38"/>
      <c r="L101" s="38"/>
      <c r="M101" s="17"/>
    </row>
    <row r="102" spans="2:13" ht="14.45" customHeight="1" x14ac:dyDescent="0.25">
      <c r="B102" s="17"/>
      <c r="C102" s="14"/>
      <c r="D102" s="14"/>
      <c r="E102" s="18"/>
      <c r="F102" s="61"/>
      <c r="G102" s="73"/>
      <c r="H102" s="79"/>
      <c r="I102" s="79"/>
      <c r="J102" s="14"/>
      <c r="K102" s="38"/>
      <c r="L102" s="38"/>
      <c r="M102" s="17"/>
    </row>
    <row r="103" spans="2:13" ht="14.45" customHeight="1" x14ac:dyDescent="0.25">
      <c r="B103" s="17"/>
      <c r="C103" s="14"/>
      <c r="D103" s="14"/>
      <c r="E103" s="18"/>
      <c r="F103" s="61"/>
      <c r="G103" s="73"/>
      <c r="H103" s="79"/>
      <c r="I103" s="79"/>
      <c r="J103" s="14"/>
      <c r="K103" s="38"/>
      <c r="L103" s="38"/>
      <c r="M103" s="17"/>
    </row>
    <row r="104" spans="2:13" ht="14.45" customHeight="1" x14ac:dyDescent="0.25">
      <c r="B104" s="17"/>
      <c r="C104" s="14"/>
      <c r="D104" s="14"/>
      <c r="E104" s="18"/>
      <c r="F104" s="61"/>
      <c r="G104" s="73"/>
      <c r="H104" s="79"/>
      <c r="I104" s="79"/>
      <c r="J104" s="14"/>
      <c r="K104" s="38"/>
      <c r="L104" s="38"/>
      <c r="M104" s="17"/>
    </row>
    <row r="105" spans="2:13" ht="14.45" customHeight="1" x14ac:dyDescent="0.25">
      <c r="B105" s="17"/>
      <c r="C105" s="14"/>
      <c r="D105" s="14"/>
      <c r="E105" s="18"/>
      <c r="F105" s="61"/>
      <c r="G105" s="73"/>
      <c r="H105" s="79"/>
      <c r="I105" s="79"/>
      <c r="J105" s="14"/>
      <c r="K105" s="38"/>
      <c r="L105" s="38"/>
      <c r="M105" s="17"/>
    </row>
    <row r="106" spans="2:13" ht="14.45" customHeight="1" x14ac:dyDescent="0.25">
      <c r="B106" s="17"/>
      <c r="C106" s="14"/>
      <c r="D106" s="14"/>
      <c r="E106" s="18"/>
      <c r="F106" s="61"/>
      <c r="G106" s="73"/>
      <c r="H106" s="79"/>
      <c r="I106" s="79"/>
      <c r="J106" s="14"/>
      <c r="K106" s="38"/>
      <c r="L106" s="38"/>
      <c r="M106" s="17"/>
    </row>
    <row r="107" spans="2:13" ht="14.45" customHeight="1" x14ac:dyDescent="0.25">
      <c r="B107" s="17"/>
      <c r="C107" s="14"/>
      <c r="D107" s="14"/>
      <c r="E107" s="18"/>
      <c r="F107" s="61"/>
      <c r="G107" s="73"/>
      <c r="H107" s="79"/>
      <c r="I107" s="79"/>
      <c r="J107" s="14"/>
      <c r="K107" s="38"/>
      <c r="L107" s="38"/>
      <c r="M107" s="17"/>
    </row>
    <row r="108" spans="2:13" ht="14.45" customHeight="1" x14ac:dyDescent="0.25">
      <c r="B108" s="17"/>
      <c r="C108" s="14"/>
      <c r="D108" s="14"/>
      <c r="E108" s="18"/>
      <c r="F108" s="61"/>
      <c r="G108" s="73"/>
      <c r="H108" s="79"/>
      <c r="I108" s="79"/>
      <c r="J108" s="14"/>
      <c r="K108" s="38"/>
      <c r="L108" s="38"/>
      <c r="M108" s="17"/>
    </row>
    <row r="109" spans="2:13" ht="14.45" customHeight="1" x14ac:dyDescent="0.25">
      <c r="B109" s="17"/>
      <c r="C109" s="14"/>
      <c r="D109" s="14"/>
      <c r="E109" s="18"/>
      <c r="F109" s="61"/>
      <c r="G109" s="73"/>
      <c r="H109" s="79"/>
      <c r="I109" s="79"/>
      <c r="J109" s="14"/>
      <c r="K109" s="38"/>
      <c r="L109" s="38"/>
      <c r="M109" s="17"/>
    </row>
    <row r="110" spans="2:13" ht="14.45" customHeight="1" x14ac:dyDescent="0.25">
      <c r="B110" s="17"/>
      <c r="C110" s="14"/>
      <c r="D110" s="14"/>
      <c r="E110" s="18"/>
      <c r="F110" s="61"/>
      <c r="G110" s="73"/>
      <c r="H110" s="79"/>
      <c r="I110" s="79"/>
      <c r="J110" s="14"/>
      <c r="K110" s="38"/>
      <c r="L110" s="38"/>
      <c r="M110" s="17"/>
    </row>
    <row r="111" spans="2:13" ht="14.45" customHeight="1" x14ac:dyDescent="0.25">
      <c r="B111" s="17"/>
      <c r="C111" s="14"/>
      <c r="D111" s="14"/>
      <c r="E111" s="18"/>
      <c r="F111" s="61"/>
      <c r="G111" s="73"/>
      <c r="H111" s="79"/>
      <c r="I111" s="79"/>
      <c r="J111" s="14"/>
      <c r="K111" s="38"/>
      <c r="L111" s="38"/>
      <c r="M111" s="17"/>
    </row>
    <row r="112" spans="2:13" ht="14.45" customHeight="1" x14ac:dyDescent="0.25">
      <c r="B112" s="17"/>
      <c r="C112" s="14"/>
      <c r="D112" s="14"/>
      <c r="E112" s="18"/>
      <c r="F112" s="61"/>
      <c r="G112" s="73"/>
      <c r="H112" s="79"/>
      <c r="I112" s="79"/>
      <c r="J112" s="14"/>
      <c r="K112" s="38"/>
      <c r="L112" s="38"/>
      <c r="M112" s="17"/>
    </row>
    <row r="113" spans="2:13" ht="14.45" customHeight="1" x14ac:dyDescent="0.25">
      <c r="B113" s="17"/>
      <c r="C113" s="14"/>
      <c r="D113" s="14"/>
      <c r="E113" s="18"/>
      <c r="F113" s="61"/>
      <c r="G113" s="73"/>
      <c r="H113" s="79"/>
      <c r="I113" s="79"/>
      <c r="J113" s="14"/>
      <c r="K113" s="38"/>
      <c r="L113" s="38"/>
      <c r="M113" s="17"/>
    </row>
    <row r="114" spans="2:13" ht="14.45" customHeight="1" x14ac:dyDescent="0.25">
      <c r="B114" s="17"/>
      <c r="C114" s="14"/>
      <c r="D114" s="14"/>
      <c r="E114" s="18"/>
      <c r="F114" s="61"/>
      <c r="G114" s="73"/>
      <c r="H114" s="79"/>
      <c r="I114" s="79"/>
      <c r="J114" s="14"/>
      <c r="K114" s="38"/>
      <c r="L114" s="38"/>
      <c r="M114" s="17"/>
    </row>
    <row r="115" spans="2:13" ht="14.45" customHeight="1" x14ac:dyDescent="0.25">
      <c r="B115" s="17"/>
      <c r="C115" s="14"/>
      <c r="D115" s="14"/>
      <c r="E115" s="18"/>
      <c r="F115" s="61"/>
      <c r="G115" s="73"/>
      <c r="H115" s="79"/>
      <c r="I115" s="79"/>
      <c r="J115" s="14"/>
      <c r="K115" s="38"/>
      <c r="L115" s="38"/>
      <c r="M115" s="17"/>
    </row>
    <row r="116" spans="2:13" ht="14.45" customHeight="1" x14ac:dyDescent="0.25">
      <c r="B116" s="17"/>
      <c r="C116" s="14"/>
      <c r="D116" s="14"/>
      <c r="E116" s="18"/>
      <c r="F116" s="61"/>
      <c r="G116" s="73"/>
      <c r="H116" s="79"/>
      <c r="I116" s="79"/>
      <c r="J116" s="14"/>
      <c r="K116" s="38"/>
      <c r="L116" s="38"/>
      <c r="M116" s="17"/>
    </row>
    <row r="117" spans="2:13" ht="14.45" customHeight="1" x14ac:dyDescent="0.25">
      <c r="B117" s="17"/>
      <c r="C117" s="14"/>
      <c r="D117" s="14"/>
      <c r="E117" s="18"/>
      <c r="F117" s="61"/>
      <c r="G117" s="73"/>
      <c r="H117" s="79"/>
      <c r="I117" s="79"/>
      <c r="J117" s="14"/>
      <c r="K117" s="38"/>
      <c r="L117" s="38"/>
      <c r="M117" s="17"/>
    </row>
    <row r="118" spans="2:13" ht="14.45" customHeight="1" x14ac:dyDescent="0.25">
      <c r="B118" s="17"/>
      <c r="C118" s="14"/>
      <c r="D118" s="14"/>
      <c r="E118" s="18"/>
      <c r="F118" s="61"/>
      <c r="G118" s="73"/>
      <c r="H118" s="79"/>
      <c r="I118" s="79"/>
      <c r="J118" s="14"/>
      <c r="K118" s="38"/>
      <c r="L118" s="38"/>
      <c r="M118" s="17"/>
    </row>
    <row r="119" spans="2:13" ht="14.45" customHeight="1" x14ac:dyDescent="0.25">
      <c r="B119" s="17"/>
      <c r="C119" s="14"/>
      <c r="D119" s="14"/>
      <c r="E119" s="18"/>
      <c r="F119" s="61"/>
      <c r="G119" s="73"/>
      <c r="H119" s="79"/>
      <c r="I119" s="79"/>
      <c r="J119" s="14"/>
      <c r="K119" s="38"/>
      <c r="L119" s="38"/>
      <c r="M119" s="17"/>
    </row>
    <row r="120" spans="2:13" ht="14.45" customHeight="1" x14ac:dyDescent="0.25">
      <c r="B120" s="17"/>
      <c r="C120" s="14"/>
      <c r="D120" s="14"/>
      <c r="E120" s="18"/>
      <c r="F120" s="61"/>
      <c r="G120" s="73"/>
      <c r="H120" s="79"/>
      <c r="I120" s="79"/>
      <c r="J120" s="14"/>
      <c r="K120" s="38"/>
      <c r="L120" s="38"/>
      <c r="M120" s="17"/>
    </row>
    <row r="121" spans="2:13" ht="14.45" customHeight="1" x14ac:dyDescent="0.25">
      <c r="B121" s="17"/>
      <c r="C121" s="14"/>
      <c r="D121" s="14"/>
      <c r="E121" s="18"/>
      <c r="F121" s="61"/>
      <c r="G121" s="73"/>
      <c r="H121" s="79"/>
      <c r="I121" s="79"/>
      <c r="J121" s="14"/>
      <c r="K121" s="38"/>
      <c r="L121" s="38"/>
      <c r="M121" s="17"/>
    </row>
    <row r="122" spans="2:13" ht="14.45" customHeight="1" x14ac:dyDescent="0.25">
      <c r="B122" s="17"/>
      <c r="C122" s="14"/>
      <c r="D122" s="14"/>
      <c r="E122" s="18"/>
      <c r="F122" s="61"/>
      <c r="G122" s="73"/>
      <c r="H122" s="79"/>
      <c r="I122" s="79"/>
      <c r="J122" s="14"/>
      <c r="K122" s="38"/>
      <c r="L122" s="38"/>
      <c r="M122" s="17"/>
    </row>
    <row r="123" spans="2:13" ht="14.45" customHeight="1" x14ac:dyDescent="0.25">
      <c r="B123" s="17"/>
      <c r="C123" s="14"/>
      <c r="D123" s="14"/>
      <c r="E123" s="18"/>
      <c r="F123" s="61"/>
      <c r="G123" s="73"/>
      <c r="H123" s="79"/>
      <c r="I123" s="79"/>
      <c r="J123" s="14"/>
      <c r="K123" s="38"/>
      <c r="L123" s="38"/>
      <c r="M123" s="17"/>
    </row>
    <row r="124" spans="2:13" ht="14.45" customHeight="1" x14ac:dyDescent="0.25">
      <c r="B124" s="17"/>
      <c r="C124" s="14"/>
      <c r="D124" s="14"/>
      <c r="E124" s="18"/>
      <c r="F124" s="61"/>
      <c r="G124" s="73"/>
      <c r="H124" s="79"/>
      <c r="I124" s="79"/>
      <c r="J124" s="14"/>
      <c r="K124" s="38"/>
      <c r="L124" s="38"/>
      <c r="M124" s="17"/>
    </row>
    <row r="125" spans="2:13" ht="14.45" customHeight="1" x14ac:dyDescent="0.25">
      <c r="B125" s="17"/>
      <c r="C125" s="14"/>
      <c r="D125" s="14"/>
      <c r="E125" s="18"/>
      <c r="F125" s="61"/>
      <c r="G125" s="73"/>
      <c r="H125" s="79"/>
      <c r="I125" s="79"/>
      <c r="J125" s="14"/>
      <c r="K125" s="38"/>
      <c r="L125" s="38"/>
      <c r="M125" s="17"/>
    </row>
    <row r="126" spans="2:13" ht="14.45" customHeight="1" x14ac:dyDescent="0.25">
      <c r="B126" s="17"/>
      <c r="C126" s="14"/>
      <c r="D126" s="14"/>
      <c r="E126" s="18"/>
      <c r="F126" s="61"/>
      <c r="G126" s="73"/>
      <c r="H126" s="79"/>
      <c r="I126" s="79"/>
      <c r="J126" s="14"/>
      <c r="K126" s="38"/>
      <c r="L126" s="38"/>
      <c r="M126" s="17"/>
    </row>
    <row r="127" spans="2:13" ht="14.45" customHeight="1" x14ac:dyDescent="0.25">
      <c r="B127" s="17"/>
      <c r="C127" s="14"/>
      <c r="D127" s="14"/>
      <c r="E127" s="18"/>
      <c r="F127" s="61"/>
      <c r="G127" s="73"/>
      <c r="H127" s="79"/>
      <c r="I127" s="79"/>
      <c r="J127" s="14"/>
      <c r="K127" s="38"/>
      <c r="L127" s="38"/>
      <c r="M127" s="17"/>
    </row>
    <row r="128" spans="2:13" ht="14.45" customHeight="1" x14ac:dyDescent="0.25">
      <c r="B128" s="17"/>
      <c r="C128" s="14"/>
      <c r="D128" s="14"/>
      <c r="E128" s="18"/>
      <c r="F128" s="61"/>
      <c r="G128" s="73"/>
      <c r="H128" s="79"/>
      <c r="I128" s="79"/>
      <c r="J128" s="14"/>
      <c r="K128" s="38"/>
      <c r="L128" s="38"/>
      <c r="M128" s="17"/>
    </row>
    <row r="129" spans="2:13" ht="14.45" customHeight="1" x14ac:dyDescent="0.25">
      <c r="B129" s="17"/>
      <c r="C129" s="14"/>
      <c r="D129" s="14"/>
      <c r="E129" s="18"/>
      <c r="F129" s="61"/>
      <c r="G129" s="73"/>
      <c r="H129" s="79"/>
      <c r="I129" s="79"/>
      <c r="J129" s="14"/>
      <c r="K129" s="38"/>
      <c r="L129" s="38"/>
      <c r="M129" s="17"/>
    </row>
    <row r="130" spans="2:13" ht="14.45" customHeight="1" x14ac:dyDescent="0.25">
      <c r="B130" s="17"/>
      <c r="C130" s="14"/>
      <c r="D130" s="14"/>
      <c r="E130" s="18"/>
      <c r="F130" s="61"/>
      <c r="G130" s="73"/>
      <c r="H130" s="79"/>
      <c r="I130" s="79"/>
      <c r="J130" s="14"/>
      <c r="K130" s="38"/>
      <c r="L130" s="38"/>
      <c r="M130" s="17"/>
    </row>
    <row r="131" spans="2:13" ht="14.45" customHeight="1" x14ac:dyDescent="0.25">
      <c r="B131" s="17"/>
      <c r="C131" s="14"/>
      <c r="D131" s="14"/>
      <c r="E131" s="18"/>
      <c r="F131" s="61"/>
      <c r="G131" s="73"/>
      <c r="H131" s="79"/>
      <c r="I131" s="79"/>
      <c r="J131" s="14"/>
      <c r="K131" s="38"/>
      <c r="L131" s="38"/>
      <c r="M131" s="17"/>
    </row>
    <row r="132" spans="2:13" ht="14.45" customHeight="1" x14ac:dyDescent="0.25">
      <c r="B132" s="17"/>
      <c r="C132" s="14"/>
      <c r="D132" s="14"/>
      <c r="E132" s="18"/>
      <c r="F132" s="61"/>
      <c r="G132" s="73"/>
      <c r="H132" s="79"/>
      <c r="I132" s="79"/>
      <c r="J132" s="14"/>
      <c r="K132" s="38"/>
      <c r="L132" s="38"/>
      <c r="M132" s="17"/>
    </row>
    <row r="133" spans="2:13" ht="14.45" customHeight="1" x14ac:dyDescent="0.25">
      <c r="B133" s="17"/>
      <c r="C133" s="14"/>
      <c r="D133" s="14"/>
      <c r="E133" s="18"/>
      <c r="F133" s="61"/>
      <c r="G133" s="73"/>
      <c r="H133" s="79"/>
      <c r="I133" s="79"/>
      <c r="J133" s="14"/>
      <c r="K133" s="38"/>
      <c r="L133" s="38"/>
      <c r="M133" s="17"/>
    </row>
    <row r="134" spans="2:13" ht="14.45" customHeight="1" x14ac:dyDescent="0.25">
      <c r="B134" s="17"/>
      <c r="C134" s="14"/>
      <c r="D134" s="14"/>
      <c r="E134" s="18"/>
      <c r="F134" s="61"/>
      <c r="G134" s="73"/>
      <c r="H134" s="79"/>
      <c r="I134" s="79"/>
      <c r="J134" s="14"/>
      <c r="K134" s="38"/>
      <c r="L134" s="38"/>
      <c r="M134" s="17"/>
    </row>
    <row r="135" spans="2:13" ht="14.45" customHeight="1" x14ac:dyDescent="0.25">
      <c r="B135" s="17"/>
      <c r="C135" s="14"/>
      <c r="D135" s="14"/>
      <c r="E135" s="18"/>
      <c r="F135" s="61"/>
      <c r="G135" s="73"/>
      <c r="H135" s="79"/>
      <c r="I135" s="79"/>
      <c r="J135" s="14"/>
      <c r="K135" s="38"/>
      <c r="L135" s="38"/>
      <c r="M135" s="17"/>
    </row>
    <row r="136" spans="2:13" ht="14.45" customHeight="1" x14ac:dyDescent="0.25">
      <c r="B136" s="17"/>
      <c r="C136" s="14"/>
      <c r="D136" s="14"/>
      <c r="E136" s="18"/>
      <c r="F136" s="61"/>
      <c r="G136" s="73"/>
      <c r="H136" s="79"/>
      <c r="I136" s="79"/>
      <c r="J136" s="14"/>
      <c r="K136" s="38"/>
      <c r="L136" s="38"/>
      <c r="M136" s="17"/>
    </row>
    <row r="137" spans="2:13" ht="14.45" customHeight="1" x14ac:dyDescent="0.25">
      <c r="B137" s="17"/>
      <c r="C137" s="14"/>
      <c r="D137" s="14"/>
      <c r="E137" s="18"/>
      <c r="F137" s="61"/>
      <c r="G137" s="73"/>
      <c r="H137" s="79"/>
      <c r="I137" s="79"/>
      <c r="J137" s="14"/>
      <c r="K137" s="38"/>
      <c r="L137" s="38"/>
      <c r="M137" s="17"/>
    </row>
    <row r="138" spans="2:13" ht="14.45" customHeight="1" x14ac:dyDescent="0.25">
      <c r="B138" s="17"/>
      <c r="C138" s="14"/>
      <c r="D138" s="14"/>
      <c r="E138" s="18"/>
      <c r="F138" s="61"/>
      <c r="G138" s="73"/>
      <c r="H138" s="79"/>
      <c r="I138" s="79"/>
      <c r="J138" s="14"/>
      <c r="K138" s="38"/>
      <c r="L138" s="38"/>
      <c r="M138" s="17"/>
    </row>
    <row r="139" spans="2:13" ht="14.45" customHeight="1" x14ac:dyDescent="0.25">
      <c r="B139" s="17"/>
      <c r="C139" s="14"/>
      <c r="D139" s="14"/>
      <c r="E139" s="18"/>
      <c r="F139" s="61"/>
      <c r="G139" s="73"/>
      <c r="H139" s="79"/>
      <c r="I139" s="79"/>
      <c r="J139" s="14"/>
      <c r="K139" s="38"/>
      <c r="L139" s="38"/>
      <c r="M139" s="17"/>
    </row>
    <row r="140" spans="2:13" ht="14.45" customHeight="1" x14ac:dyDescent="0.25">
      <c r="B140" s="17"/>
      <c r="C140" s="14"/>
      <c r="D140" s="14"/>
      <c r="E140" s="18"/>
      <c r="F140" s="61"/>
      <c r="G140" s="73"/>
      <c r="H140" s="79"/>
      <c r="I140" s="79"/>
      <c r="J140" s="14"/>
      <c r="K140" s="38"/>
      <c r="L140" s="38"/>
      <c r="M140" s="17"/>
    </row>
    <row r="141" spans="2:13" ht="14.45" customHeight="1" x14ac:dyDescent="0.25">
      <c r="B141" s="17"/>
      <c r="C141" s="14"/>
      <c r="D141" s="14"/>
      <c r="E141" s="18"/>
      <c r="F141" s="61"/>
      <c r="G141" s="73"/>
      <c r="H141" s="79"/>
      <c r="I141" s="79"/>
      <c r="J141" s="14"/>
      <c r="K141" s="38"/>
      <c r="L141" s="38"/>
      <c r="M141" s="17"/>
    </row>
    <row r="142" spans="2:13" ht="14.45" customHeight="1" x14ac:dyDescent="0.25">
      <c r="B142" s="17"/>
      <c r="C142" s="14"/>
      <c r="D142" s="14"/>
      <c r="E142" s="18"/>
      <c r="F142" s="61"/>
      <c r="G142" s="73"/>
      <c r="H142" s="79"/>
      <c r="I142" s="79"/>
      <c r="J142" s="14"/>
      <c r="K142" s="38"/>
      <c r="L142" s="38"/>
      <c r="M142" s="17"/>
    </row>
    <row r="143" spans="2:13" ht="14.45" customHeight="1" x14ac:dyDescent="0.25">
      <c r="B143" s="17"/>
      <c r="C143" s="14"/>
      <c r="D143" s="14"/>
      <c r="E143" s="18"/>
      <c r="F143" s="61"/>
      <c r="G143" s="73"/>
      <c r="H143" s="79"/>
      <c r="I143" s="79"/>
      <c r="J143" s="14"/>
      <c r="K143" s="38"/>
      <c r="L143" s="38"/>
      <c r="M143" s="17"/>
    </row>
    <row r="144" spans="2:13" ht="14.45" customHeight="1" x14ac:dyDescent="0.25">
      <c r="B144" s="17"/>
      <c r="C144" s="14"/>
      <c r="D144" s="14"/>
      <c r="E144" s="18"/>
      <c r="F144" s="61"/>
      <c r="G144" s="73"/>
      <c r="H144" s="79"/>
      <c r="I144" s="79"/>
      <c r="J144" s="14"/>
      <c r="K144" s="38"/>
      <c r="L144" s="38"/>
      <c r="M144" s="17"/>
    </row>
    <row r="145" spans="2:13" ht="14.45" customHeight="1" x14ac:dyDescent="0.25">
      <c r="B145" s="17"/>
      <c r="C145" s="14"/>
      <c r="D145" s="14"/>
      <c r="E145" s="18"/>
      <c r="F145" s="61"/>
      <c r="G145" s="73"/>
      <c r="H145" s="79"/>
      <c r="I145" s="79"/>
      <c r="J145" s="14"/>
      <c r="K145" s="38"/>
      <c r="L145" s="38"/>
      <c r="M145" s="17"/>
    </row>
    <row r="146" spans="2:13" ht="14.45" customHeight="1" x14ac:dyDescent="0.25">
      <c r="B146" s="17"/>
      <c r="C146" s="14"/>
      <c r="D146" s="14"/>
      <c r="E146" s="18"/>
      <c r="F146" s="61"/>
      <c r="G146" s="73"/>
      <c r="H146" s="79"/>
      <c r="I146" s="79"/>
      <c r="J146" s="14"/>
      <c r="K146" s="38"/>
      <c r="L146" s="38"/>
      <c r="M146" s="17"/>
    </row>
    <row r="147" spans="2:13" ht="14.45" customHeight="1" x14ac:dyDescent="0.25">
      <c r="B147" s="17"/>
      <c r="C147" s="14"/>
      <c r="D147" s="14"/>
      <c r="E147" s="18"/>
      <c r="F147" s="61"/>
      <c r="G147" s="73"/>
      <c r="H147" s="79"/>
      <c r="I147" s="79"/>
      <c r="J147" s="14"/>
      <c r="K147" s="38"/>
      <c r="L147" s="38"/>
      <c r="M147" s="17"/>
    </row>
    <row r="148" spans="2:13" ht="14.45" customHeight="1" x14ac:dyDescent="0.25">
      <c r="B148" s="17"/>
      <c r="C148" s="14"/>
      <c r="D148" s="14"/>
      <c r="E148" s="18"/>
      <c r="F148" s="61"/>
      <c r="G148" s="73"/>
      <c r="H148" s="79"/>
      <c r="I148" s="79"/>
      <c r="J148" s="14"/>
      <c r="K148" s="38"/>
      <c r="L148" s="38"/>
      <c r="M148" s="17"/>
    </row>
    <row r="149" spans="2:13" ht="14.45" customHeight="1" x14ac:dyDescent="0.25">
      <c r="B149" s="17"/>
      <c r="C149" s="14"/>
      <c r="D149" s="14"/>
      <c r="E149" s="18"/>
      <c r="F149" s="61"/>
      <c r="G149" s="73"/>
      <c r="H149" s="79"/>
      <c r="I149" s="79"/>
      <c r="J149" s="14"/>
      <c r="K149" s="38"/>
      <c r="L149" s="38"/>
      <c r="M149" s="17"/>
    </row>
    <row r="150" spans="2:13" ht="14.45" customHeight="1" x14ac:dyDescent="0.25">
      <c r="B150" s="17"/>
      <c r="C150" s="14"/>
      <c r="D150" s="14"/>
      <c r="E150" s="18"/>
      <c r="F150" s="61"/>
      <c r="G150" s="73"/>
      <c r="H150" s="79"/>
      <c r="I150" s="79"/>
      <c r="J150" s="14"/>
      <c r="K150" s="38"/>
      <c r="L150" s="38"/>
      <c r="M150" s="17"/>
    </row>
    <row r="151" spans="2:13" ht="14.45" customHeight="1" x14ac:dyDescent="0.25">
      <c r="B151" s="17"/>
      <c r="C151" s="14"/>
      <c r="D151" s="14"/>
      <c r="E151" s="18"/>
      <c r="F151" s="61"/>
      <c r="G151" s="73"/>
      <c r="H151" s="79"/>
      <c r="I151" s="79"/>
      <c r="J151" s="14"/>
      <c r="K151" s="38"/>
      <c r="L151" s="38"/>
      <c r="M151" s="17"/>
    </row>
    <row r="152" spans="2:13" ht="14.45" customHeight="1" x14ac:dyDescent="0.25">
      <c r="B152" s="17"/>
      <c r="C152" s="14"/>
      <c r="D152" s="14"/>
      <c r="E152" s="18"/>
      <c r="F152" s="61"/>
      <c r="G152" s="73"/>
      <c r="H152" s="79"/>
      <c r="I152" s="79"/>
      <c r="J152" s="14"/>
      <c r="K152" s="38"/>
      <c r="L152" s="38"/>
      <c r="M152" s="17"/>
    </row>
    <row r="153" spans="2:13" ht="14.45" customHeight="1" x14ac:dyDescent="0.25">
      <c r="B153" s="17"/>
      <c r="C153" s="14"/>
      <c r="D153" s="14"/>
      <c r="E153" s="18"/>
      <c r="F153" s="61"/>
      <c r="G153" s="73"/>
      <c r="H153" s="79"/>
      <c r="I153" s="79"/>
      <c r="J153" s="14"/>
      <c r="K153" s="38"/>
      <c r="L153" s="38"/>
      <c r="M153" s="17"/>
    </row>
    <row r="154" spans="2:13" ht="14.45" customHeight="1" x14ac:dyDescent="0.25">
      <c r="B154" s="17"/>
      <c r="C154" s="14"/>
      <c r="D154" s="14"/>
      <c r="E154" s="18"/>
      <c r="F154" s="61"/>
      <c r="G154" s="73"/>
      <c r="H154" s="79"/>
      <c r="I154" s="79"/>
      <c r="J154" s="14"/>
      <c r="K154" s="38"/>
      <c r="L154" s="38"/>
      <c r="M154" s="17"/>
    </row>
    <row r="155" spans="2:13" ht="14.45" customHeight="1" x14ac:dyDescent="0.25">
      <c r="B155" s="17"/>
      <c r="C155" s="14"/>
      <c r="D155" s="14"/>
      <c r="E155" s="18"/>
      <c r="F155" s="61"/>
      <c r="G155" s="73"/>
      <c r="H155" s="79"/>
      <c r="I155" s="79"/>
      <c r="J155" s="14"/>
      <c r="K155" s="38"/>
      <c r="L155" s="38"/>
      <c r="M155" s="17"/>
    </row>
    <row r="156" spans="2:13" ht="14.45" customHeight="1" x14ac:dyDescent="0.25">
      <c r="B156" s="17"/>
      <c r="C156" s="14"/>
      <c r="D156" s="14"/>
      <c r="E156" s="18"/>
      <c r="F156" s="61"/>
      <c r="G156" s="73"/>
      <c r="H156" s="79"/>
      <c r="I156" s="79"/>
      <c r="J156" s="14"/>
      <c r="K156" s="38"/>
      <c r="L156" s="38"/>
      <c r="M156" s="17"/>
    </row>
    <row r="157" spans="2:13" ht="14.45" customHeight="1" x14ac:dyDescent="0.25">
      <c r="B157" s="17"/>
      <c r="C157" s="14"/>
      <c r="D157" s="14"/>
      <c r="E157" s="18"/>
      <c r="F157" s="61"/>
      <c r="G157" s="73"/>
      <c r="H157" s="79"/>
      <c r="I157" s="79"/>
      <c r="J157" s="14"/>
      <c r="K157" s="38"/>
      <c r="L157" s="38"/>
      <c r="M157" s="17"/>
    </row>
    <row r="158" spans="2:13" ht="14.45" customHeight="1" x14ac:dyDescent="0.25">
      <c r="B158" s="17"/>
      <c r="C158" s="14"/>
      <c r="D158" s="14"/>
      <c r="E158" s="18"/>
      <c r="F158" s="61"/>
      <c r="G158" s="73"/>
      <c r="H158" s="79"/>
      <c r="I158" s="79"/>
      <c r="J158" s="14"/>
      <c r="K158" s="38"/>
      <c r="L158" s="38"/>
      <c r="M158" s="17"/>
    </row>
    <row r="159" spans="2:13" ht="14.45" customHeight="1" x14ac:dyDescent="0.25">
      <c r="B159" s="17"/>
      <c r="C159" s="14"/>
      <c r="D159" s="14"/>
      <c r="E159" s="18"/>
      <c r="F159" s="61"/>
      <c r="G159" s="73"/>
      <c r="H159" s="79"/>
      <c r="I159" s="79"/>
      <c r="J159" s="14"/>
      <c r="K159" s="38"/>
      <c r="L159" s="38"/>
      <c r="M159" s="17"/>
    </row>
    <row r="160" spans="2:13" ht="14.45" customHeight="1" x14ac:dyDescent="0.25">
      <c r="B160" s="17"/>
      <c r="C160" s="14"/>
      <c r="D160" s="14"/>
      <c r="E160" s="18"/>
      <c r="F160" s="61"/>
      <c r="G160" s="73"/>
      <c r="H160" s="79"/>
      <c r="I160" s="79"/>
      <c r="J160" s="14"/>
      <c r="K160" s="38"/>
      <c r="L160" s="38"/>
      <c r="M160" s="17"/>
    </row>
    <row r="161" spans="2:13" ht="14.45" customHeight="1" x14ac:dyDescent="0.25">
      <c r="B161" s="17"/>
      <c r="C161" s="14"/>
      <c r="D161" s="14"/>
      <c r="E161" s="18"/>
      <c r="F161" s="61"/>
      <c r="G161" s="73"/>
      <c r="H161" s="79"/>
      <c r="I161" s="79"/>
      <c r="J161" s="14"/>
      <c r="K161" s="38"/>
      <c r="L161" s="38"/>
      <c r="M161" s="17"/>
    </row>
    <row r="162" spans="2:13" ht="14.45" customHeight="1" x14ac:dyDescent="0.25">
      <c r="B162" s="17"/>
      <c r="C162" s="14"/>
      <c r="D162" s="14"/>
      <c r="E162" s="18"/>
      <c r="F162" s="61"/>
      <c r="G162" s="73"/>
      <c r="H162" s="79"/>
      <c r="I162" s="79"/>
      <c r="J162" s="14"/>
      <c r="K162" s="38"/>
      <c r="L162" s="38"/>
      <c r="M162" s="17"/>
    </row>
    <row r="163" spans="2:13" ht="14.45" customHeight="1" x14ac:dyDescent="0.25">
      <c r="B163" s="17"/>
      <c r="C163" s="14"/>
      <c r="D163" s="14"/>
      <c r="E163" s="18"/>
      <c r="F163" s="61"/>
      <c r="G163" s="73"/>
      <c r="H163" s="79"/>
      <c r="I163" s="79"/>
      <c r="J163" s="14"/>
      <c r="K163" s="38"/>
      <c r="L163" s="38"/>
      <c r="M163" s="17"/>
    </row>
    <row r="164" spans="2:13" ht="14.45" customHeight="1" x14ac:dyDescent="0.25">
      <c r="B164" s="17"/>
      <c r="C164" s="14"/>
      <c r="D164" s="14"/>
      <c r="E164" s="18"/>
      <c r="F164" s="61"/>
      <c r="G164" s="73"/>
      <c r="H164" s="79"/>
      <c r="I164" s="79"/>
      <c r="J164" s="14"/>
      <c r="K164" s="38"/>
      <c r="L164" s="38"/>
      <c r="M164" s="17"/>
    </row>
    <row r="165" spans="2:13" ht="14.45" customHeight="1" x14ac:dyDescent="0.25">
      <c r="B165" s="17"/>
      <c r="C165" s="14"/>
      <c r="D165" s="14"/>
      <c r="E165" s="18"/>
      <c r="F165" s="61"/>
      <c r="G165" s="73"/>
      <c r="H165" s="79"/>
      <c r="I165" s="79"/>
      <c r="J165" s="14"/>
      <c r="K165" s="38"/>
      <c r="L165" s="38"/>
      <c r="M165" s="17"/>
    </row>
    <row r="166" spans="2:13" ht="14.45" customHeight="1" x14ac:dyDescent="0.25">
      <c r="B166" s="17"/>
      <c r="C166" s="14"/>
      <c r="D166" s="14"/>
      <c r="E166" s="18"/>
      <c r="F166" s="61"/>
      <c r="G166" s="73"/>
      <c r="H166" s="79"/>
      <c r="I166" s="79"/>
      <c r="J166" s="14"/>
      <c r="K166" s="38"/>
      <c r="L166" s="38"/>
      <c r="M166" s="17"/>
    </row>
    <row r="167" spans="2:13" ht="14.45" customHeight="1" x14ac:dyDescent="0.25">
      <c r="B167" s="17"/>
      <c r="C167" s="14"/>
      <c r="D167" s="14"/>
      <c r="E167" s="18"/>
      <c r="F167" s="61"/>
      <c r="G167" s="73"/>
      <c r="H167" s="79"/>
      <c r="I167" s="79"/>
      <c r="J167" s="14"/>
      <c r="K167" s="38"/>
      <c r="L167" s="38"/>
      <c r="M167" s="17"/>
    </row>
    <row r="168" spans="2:13" ht="14.45" customHeight="1" x14ac:dyDescent="0.25">
      <c r="B168" s="17"/>
      <c r="C168" s="14"/>
      <c r="D168" s="14"/>
      <c r="E168" s="18"/>
      <c r="F168" s="61"/>
      <c r="G168" s="73"/>
      <c r="H168" s="79"/>
      <c r="I168" s="79"/>
      <c r="J168" s="14"/>
      <c r="K168" s="38"/>
      <c r="L168" s="38"/>
      <c r="M168" s="17"/>
    </row>
    <row r="169" spans="2:13" ht="14.45" customHeight="1" x14ac:dyDescent="0.25">
      <c r="B169" s="17"/>
      <c r="C169" s="14"/>
      <c r="D169" s="14"/>
      <c r="E169" s="18"/>
      <c r="F169" s="61"/>
      <c r="G169" s="73"/>
      <c r="H169" s="79"/>
      <c r="I169" s="79"/>
      <c r="J169" s="14"/>
      <c r="K169" s="38"/>
      <c r="L169" s="38"/>
      <c r="M169" s="17"/>
    </row>
    <row r="170" spans="2:13" ht="14.45" customHeight="1" x14ac:dyDescent="0.25">
      <c r="B170" s="17"/>
      <c r="C170" s="14"/>
      <c r="D170" s="14"/>
      <c r="E170" s="18"/>
      <c r="F170" s="61"/>
      <c r="G170" s="73"/>
      <c r="H170" s="79"/>
      <c r="I170" s="79"/>
      <c r="J170" s="14"/>
      <c r="K170" s="38"/>
      <c r="L170" s="38"/>
      <c r="M170" s="17"/>
    </row>
    <row r="171" spans="2:13" ht="14.45" customHeight="1" x14ac:dyDescent="0.25">
      <c r="B171" s="17"/>
      <c r="C171" s="14"/>
      <c r="D171" s="14"/>
      <c r="E171" s="18"/>
      <c r="F171" s="61"/>
      <c r="G171" s="73"/>
      <c r="H171" s="79"/>
      <c r="I171" s="79"/>
      <c r="J171" s="14"/>
      <c r="K171" s="38"/>
      <c r="L171" s="38"/>
      <c r="M171" s="17"/>
    </row>
    <row r="172" spans="2:13" ht="14.45" customHeight="1" x14ac:dyDescent="0.25">
      <c r="B172" s="17"/>
      <c r="C172" s="14"/>
      <c r="D172" s="14"/>
      <c r="E172" s="18"/>
      <c r="F172" s="61"/>
      <c r="G172" s="73"/>
      <c r="H172" s="79"/>
      <c r="I172" s="79"/>
      <c r="J172" s="14"/>
      <c r="K172" s="38"/>
      <c r="L172" s="38"/>
      <c r="M172" s="17"/>
    </row>
    <row r="173" spans="2:13" ht="14.45" customHeight="1" x14ac:dyDescent="0.25">
      <c r="B173" s="17"/>
      <c r="C173" s="14"/>
      <c r="D173" s="14"/>
      <c r="E173" s="18"/>
      <c r="F173" s="61"/>
      <c r="G173" s="73"/>
      <c r="H173" s="79"/>
      <c r="I173" s="79"/>
      <c r="J173" s="14"/>
      <c r="K173" s="38"/>
      <c r="L173" s="38"/>
      <c r="M173" s="17"/>
    </row>
    <row r="174" spans="2:13" ht="14.45" customHeight="1" x14ac:dyDescent="0.25">
      <c r="B174" s="17"/>
      <c r="C174" s="14"/>
      <c r="D174" s="14"/>
      <c r="E174" s="18"/>
      <c r="F174" s="61"/>
      <c r="G174" s="73"/>
      <c r="H174" s="79"/>
      <c r="I174" s="79"/>
      <c r="J174" s="14"/>
      <c r="K174" s="38"/>
      <c r="L174" s="38"/>
      <c r="M174" s="17"/>
    </row>
    <row r="175" spans="2:13" ht="14.45" customHeight="1" x14ac:dyDescent="0.25">
      <c r="B175" s="17"/>
      <c r="C175" s="14"/>
      <c r="D175" s="14"/>
      <c r="E175" s="18"/>
      <c r="F175" s="61"/>
      <c r="G175" s="73"/>
      <c r="H175" s="79"/>
      <c r="I175" s="79"/>
      <c r="J175" s="14"/>
      <c r="K175" s="38"/>
      <c r="L175" s="38"/>
      <c r="M175" s="17"/>
    </row>
    <row r="176" spans="2:13" ht="14.45" customHeight="1" x14ac:dyDescent="0.25">
      <c r="B176" s="17"/>
      <c r="C176" s="14"/>
      <c r="D176" s="14"/>
      <c r="E176" s="18"/>
      <c r="F176" s="61"/>
      <c r="G176" s="73"/>
      <c r="H176" s="79"/>
      <c r="I176" s="79"/>
      <c r="J176" s="14"/>
      <c r="K176" s="38"/>
      <c r="L176" s="38"/>
      <c r="M176" s="17"/>
    </row>
    <row r="177" spans="2:13" ht="14.45" customHeight="1" x14ac:dyDescent="0.25">
      <c r="B177" s="17"/>
      <c r="C177" s="14"/>
      <c r="D177" s="14"/>
      <c r="E177" s="18"/>
      <c r="F177" s="61"/>
      <c r="G177" s="73"/>
      <c r="H177" s="79"/>
      <c r="I177" s="79"/>
      <c r="J177" s="14"/>
      <c r="K177" s="38"/>
      <c r="L177" s="38"/>
      <c r="M177" s="17"/>
    </row>
    <row r="178" spans="2:13" ht="14.45" customHeight="1" x14ac:dyDescent="0.25">
      <c r="B178" s="17"/>
      <c r="C178" s="14"/>
      <c r="D178" s="14"/>
      <c r="E178" s="18"/>
      <c r="F178" s="61"/>
      <c r="G178" s="73"/>
      <c r="H178" s="79"/>
      <c r="I178" s="79"/>
      <c r="J178" s="14"/>
      <c r="K178" s="38"/>
      <c r="L178" s="38"/>
      <c r="M178" s="17"/>
    </row>
    <row r="179" spans="2:13" ht="14.45" customHeight="1" x14ac:dyDescent="0.25">
      <c r="B179" s="17"/>
      <c r="C179" s="14"/>
      <c r="D179" s="14"/>
      <c r="E179" s="18"/>
      <c r="F179" s="61"/>
      <c r="G179" s="73"/>
      <c r="H179" s="79"/>
      <c r="I179" s="79"/>
      <c r="J179" s="14"/>
      <c r="K179" s="38"/>
      <c r="L179" s="38"/>
      <c r="M179" s="17"/>
    </row>
    <row r="180" spans="2:13" ht="14.45" customHeight="1" x14ac:dyDescent="0.25">
      <c r="B180" s="17"/>
      <c r="C180" s="14"/>
      <c r="D180" s="14"/>
      <c r="E180" s="18"/>
      <c r="F180" s="61"/>
      <c r="G180" s="73"/>
      <c r="H180" s="79"/>
      <c r="I180" s="79"/>
      <c r="J180" s="14"/>
      <c r="K180" s="38"/>
      <c r="L180" s="38"/>
      <c r="M180" s="17"/>
    </row>
    <row r="181" spans="2:13" ht="14.45" customHeight="1" x14ac:dyDescent="0.25">
      <c r="B181" s="17"/>
      <c r="C181" s="14"/>
      <c r="D181" s="14"/>
      <c r="E181" s="18"/>
      <c r="F181" s="61"/>
      <c r="G181" s="73"/>
      <c r="H181" s="79"/>
      <c r="I181" s="79"/>
      <c r="J181" s="14"/>
      <c r="K181" s="38"/>
      <c r="L181" s="38"/>
      <c r="M181" s="17"/>
    </row>
    <row r="182" spans="2:13" ht="14.45" customHeight="1" x14ac:dyDescent="0.25">
      <c r="B182" s="17"/>
      <c r="C182" s="14"/>
      <c r="D182" s="14"/>
      <c r="E182" s="18"/>
      <c r="F182" s="61"/>
      <c r="G182" s="73"/>
      <c r="H182" s="79"/>
      <c r="I182" s="79"/>
      <c r="J182" s="14"/>
      <c r="K182" s="38"/>
      <c r="L182" s="38"/>
      <c r="M182" s="17"/>
    </row>
    <row r="183" spans="2:13" ht="14.45" customHeight="1" x14ac:dyDescent="0.25">
      <c r="B183" s="17"/>
      <c r="C183" s="14"/>
      <c r="D183" s="14"/>
      <c r="E183" s="18"/>
      <c r="F183" s="61"/>
      <c r="G183" s="73"/>
      <c r="H183" s="79"/>
      <c r="I183" s="79"/>
      <c r="J183" s="14"/>
      <c r="K183" s="38"/>
      <c r="L183" s="38"/>
      <c r="M183" s="17"/>
    </row>
    <row r="184" spans="2:13" ht="14.45" customHeight="1" x14ac:dyDescent="0.25">
      <c r="B184" s="17"/>
      <c r="C184" s="14"/>
      <c r="D184" s="14"/>
      <c r="E184" s="18"/>
      <c r="F184" s="61"/>
      <c r="G184" s="73"/>
      <c r="H184" s="79"/>
      <c r="I184" s="79"/>
      <c r="J184" s="14"/>
      <c r="K184" s="38"/>
      <c r="L184" s="38"/>
      <c r="M184" s="17"/>
    </row>
    <row r="185" spans="2:13" ht="14.45" customHeight="1" x14ac:dyDescent="0.25">
      <c r="B185" s="17"/>
      <c r="C185" s="14"/>
      <c r="D185" s="14"/>
      <c r="E185" s="18"/>
      <c r="F185" s="61"/>
      <c r="G185" s="73"/>
      <c r="H185" s="79"/>
      <c r="I185" s="79"/>
      <c r="J185" s="14"/>
      <c r="K185" s="38"/>
      <c r="L185" s="38"/>
      <c r="M185" s="17"/>
    </row>
    <row r="186" spans="2:13" ht="14.45" customHeight="1" x14ac:dyDescent="0.25">
      <c r="B186" s="17"/>
      <c r="C186" s="14"/>
      <c r="D186" s="14"/>
      <c r="E186" s="18"/>
      <c r="F186" s="61"/>
      <c r="G186" s="73"/>
      <c r="H186" s="79"/>
      <c r="I186" s="79"/>
      <c r="J186" s="14"/>
      <c r="K186" s="38"/>
      <c r="L186" s="38"/>
      <c r="M186" s="17"/>
    </row>
    <row r="187" spans="2:13" ht="14.45" customHeight="1" x14ac:dyDescent="0.25">
      <c r="B187" s="17"/>
      <c r="C187" s="14"/>
      <c r="D187" s="14"/>
      <c r="E187" s="18"/>
      <c r="F187" s="61"/>
      <c r="G187" s="73"/>
      <c r="H187" s="79"/>
      <c r="I187" s="79"/>
      <c r="J187" s="14"/>
      <c r="K187" s="38"/>
      <c r="L187" s="38"/>
      <c r="M187" s="17"/>
    </row>
    <row r="188" spans="2:13" ht="14.45" customHeight="1" x14ac:dyDescent="0.25">
      <c r="B188" s="17"/>
      <c r="C188" s="14"/>
      <c r="D188" s="14"/>
      <c r="E188" s="18"/>
      <c r="F188" s="61"/>
      <c r="G188" s="73"/>
      <c r="H188" s="79"/>
      <c r="I188" s="79"/>
      <c r="J188" s="14"/>
      <c r="K188" s="38"/>
      <c r="L188" s="38"/>
      <c r="M188" s="17"/>
    </row>
    <row r="189" spans="2:13" ht="14.45" customHeight="1" x14ac:dyDescent="0.25">
      <c r="B189" s="17"/>
      <c r="C189" s="14"/>
      <c r="D189" s="14"/>
      <c r="E189" s="18"/>
      <c r="F189" s="61"/>
      <c r="G189" s="73"/>
      <c r="H189" s="79"/>
      <c r="I189" s="79"/>
      <c r="J189" s="14"/>
      <c r="K189" s="38"/>
      <c r="L189" s="38"/>
      <c r="M189" s="17"/>
    </row>
    <row r="190" spans="2:13" ht="14.45" customHeight="1" x14ac:dyDescent="0.25">
      <c r="B190" s="17"/>
      <c r="C190" s="14"/>
      <c r="D190" s="14"/>
      <c r="E190" s="18"/>
      <c r="F190" s="61"/>
      <c r="G190" s="73"/>
      <c r="H190" s="79"/>
      <c r="I190" s="79"/>
      <c r="J190" s="14"/>
      <c r="K190" s="38"/>
      <c r="L190" s="38"/>
      <c r="M190" s="17"/>
    </row>
    <row r="191" spans="2:13" ht="14.45" customHeight="1" x14ac:dyDescent="0.25">
      <c r="B191" s="17"/>
      <c r="C191" s="14"/>
      <c r="D191" s="14"/>
      <c r="E191" s="18"/>
      <c r="F191" s="61"/>
      <c r="G191" s="73"/>
      <c r="H191" s="79"/>
      <c r="I191" s="79"/>
      <c r="J191" s="14"/>
      <c r="K191" s="38"/>
      <c r="L191" s="38"/>
      <c r="M191" s="17"/>
    </row>
    <row r="192" spans="2:13" ht="14.45" customHeight="1" x14ac:dyDescent="0.25">
      <c r="B192" s="17"/>
      <c r="C192" s="14"/>
      <c r="D192" s="14"/>
      <c r="E192" s="18"/>
      <c r="F192" s="61"/>
      <c r="G192" s="73"/>
      <c r="H192" s="79"/>
      <c r="I192" s="79"/>
      <c r="J192" s="14"/>
      <c r="K192" s="38"/>
      <c r="L192" s="38"/>
      <c r="M192" s="17"/>
    </row>
    <row r="193" spans="2:13" ht="14.45" customHeight="1" x14ac:dyDescent="0.25">
      <c r="B193" s="17"/>
      <c r="C193" s="14"/>
      <c r="D193" s="14"/>
      <c r="E193" s="18"/>
      <c r="F193" s="61"/>
      <c r="G193" s="73"/>
      <c r="H193" s="79"/>
      <c r="I193" s="79"/>
      <c r="J193" s="14"/>
      <c r="K193" s="38"/>
      <c r="L193" s="38"/>
      <c r="M193" s="17"/>
    </row>
    <row r="194" spans="2:13" ht="14.45" customHeight="1" x14ac:dyDescent="0.25">
      <c r="B194" s="17"/>
      <c r="C194" s="14"/>
      <c r="D194" s="14"/>
      <c r="E194" s="18"/>
      <c r="F194" s="61"/>
      <c r="G194" s="73"/>
      <c r="H194" s="79"/>
      <c r="I194" s="79"/>
      <c r="J194" s="14"/>
      <c r="K194" s="38"/>
      <c r="L194" s="38"/>
      <c r="M194" s="17"/>
    </row>
    <row r="195" spans="2:13" ht="14.45" customHeight="1" x14ac:dyDescent="0.25">
      <c r="B195" s="17"/>
      <c r="C195" s="14"/>
      <c r="D195" s="14"/>
      <c r="E195" s="18"/>
      <c r="F195" s="61"/>
      <c r="G195" s="73"/>
      <c r="H195" s="79"/>
      <c r="I195" s="79"/>
      <c r="J195" s="14"/>
      <c r="K195" s="38"/>
      <c r="L195" s="38"/>
      <c r="M195" s="17"/>
    </row>
    <row r="196" spans="2:13" ht="14.45" customHeight="1" x14ac:dyDescent="0.25">
      <c r="B196" s="17"/>
      <c r="C196" s="14"/>
      <c r="D196" s="14"/>
      <c r="E196" s="18"/>
      <c r="F196" s="61"/>
      <c r="G196" s="73"/>
      <c r="H196" s="79"/>
      <c r="I196" s="79"/>
      <c r="J196" s="14"/>
      <c r="K196" s="38"/>
      <c r="L196" s="38"/>
      <c r="M196" s="17"/>
    </row>
    <row r="197" spans="2:13" ht="14.45" customHeight="1" x14ac:dyDescent="0.25">
      <c r="B197" s="17"/>
      <c r="C197" s="14"/>
      <c r="D197" s="14"/>
      <c r="E197" s="18"/>
      <c r="F197" s="61"/>
      <c r="G197" s="73"/>
      <c r="H197" s="79"/>
      <c r="I197" s="79"/>
      <c r="J197" s="14"/>
      <c r="K197" s="38"/>
      <c r="L197" s="38"/>
      <c r="M197" s="17"/>
    </row>
    <row r="198" spans="2:13" ht="14.45" customHeight="1" x14ac:dyDescent="0.25">
      <c r="B198" s="17"/>
      <c r="C198" s="14"/>
      <c r="D198" s="14"/>
      <c r="E198" s="18"/>
      <c r="F198" s="61"/>
      <c r="G198" s="73"/>
      <c r="H198" s="79"/>
      <c r="I198" s="79"/>
      <c r="J198" s="14"/>
      <c r="K198" s="38"/>
      <c r="L198" s="38"/>
      <c r="M198" s="17"/>
    </row>
    <row r="199" spans="2:13" ht="14.45" customHeight="1" x14ac:dyDescent="0.25">
      <c r="B199" s="17"/>
      <c r="C199" s="14"/>
      <c r="D199" s="14"/>
      <c r="E199" s="18"/>
      <c r="F199" s="61"/>
      <c r="G199" s="73"/>
      <c r="H199" s="79"/>
      <c r="I199" s="79"/>
      <c r="J199" s="14"/>
      <c r="K199" s="38"/>
      <c r="L199" s="38"/>
      <c r="M199" s="17"/>
    </row>
    <row r="200" spans="2:13" ht="14.45" customHeight="1" x14ac:dyDescent="0.25">
      <c r="B200" s="17"/>
      <c r="C200" s="14"/>
      <c r="D200" s="14"/>
      <c r="E200" s="18"/>
      <c r="F200" s="61"/>
      <c r="G200" s="73"/>
      <c r="H200" s="79"/>
      <c r="I200" s="79"/>
      <c r="J200" s="14"/>
      <c r="K200" s="38"/>
      <c r="L200" s="38"/>
      <c r="M200" s="17"/>
    </row>
    <row r="201" spans="2:13" ht="14.45" customHeight="1" x14ac:dyDescent="0.25">
      <c r="B201" s="17"/>
      <c r="C201" s="14"/>
      <c r="D201" s="14"/>
      <c r="E201" s="18"/>
      <c r="F201" s="61"/>
      <c r="G201" s="73"/>
      <c r="H201" s="79"/>
      <c r="I201" s="79"/>
      <c r="J201" s="14"/>
      <c r="K201" s="38"/>
      <c r="L201" s="38"/>
      <c r="M201" s="17"/>
    </row>
    <row r="202" spans="2:13" ht="14.45" customHeight="1" x14ac:dyDescent="0.25">
      <c r="B202" s="17"/>
      <c r="C202" s="14"/>
      <c r="D202" s="14"/>
      <c r="E202" s="18"/>
      <c r="F202" s="61"/>
      <c r="G202" s="73"/>
      <c r="H202" s="79"/>
      <c r="I202" s="79"/>
      <c r="J202" s="14"/>
      <c r="K202" s="38"/>
      <c r="L202" s="38"/>
      <c r="M202" s="17"/>
    </row>
    <row r="203" spans="2:13" ht="14.45" customHeight="1" x14ac:dyDescent="0.25">
      <c r="B203" s="17"/>
      <c r="C203" s="14"/>
      <c r="D203" s="14"/>
      <c r="E203" s="18"/>
      <c r="F203" s="61"/>
      <c r="G203" s="73"/>
      <c r="H203" s="79"/>
      <c r="I203" s="79"/>
      <c r="J203" s="14"/>
      <c r="K203" s="38"/>
      <c r="L203" s="38"/>
      <c r="M203" s="17"/>
    </row>
    <row r="204" spans="2:13" ht="14.45" customHeight="1" x14ac:dyDescent="0.25">
      <c r="B204" s="17"/>
      <c r="C204" s="14"/>
      <c r="D204" s="14"/>
      <c r="E204" s="18"/>
      <c r="F204" s="61"/>
      <c r="G204" s="73"/>
      <c r="H204" s="79"/>
      <c r="I204" s="79"/>
      <c r="J204" s="14"/>
      <c r="K204" s="38"/>
      <c r="L204" s="38"/>
      <c r="M204" s="17"/>
    </row>
    <row r="205" spans="2:13" ht="14.45" customHeight="1" x14ac:dyDescent="0.25">
      <c r="B205" s="17"/>
      <c r="C205" s="14"/>
      <c r="D205" s="14"/>
      <c r="E205" s="18"/>
      <c r="F205" s="61"/>
      <c r="G205" s="73"/>
      <c r="H205" s="79"/>
      <c r="I205" s="79"/>
      <c r="J205" s="14"/>
      <c r="K205" s="38"/>
      <c r="L205" s="38"/>
      <c r="M205" s="17"/>
    </row>
    <row r="206" spans="2:13" ht="14.45" customHeight="1" x14ac:dyDescent="0.25">
      <c r="B206" s="17"/>
      <c r="C206" s="14"/>
      <c r="D206" s="14"/>
      <c r="E206" s="18"/>
      <c r="F206" s="61"/>
      <c r="G206" s="73"/>
      <c r="H206" s="79"/>
      <c r="I206" s="79"/>
      <c r="J206" s="14"/>
      <c r="K206" s="38"/>
      <c r="L206" s="38"/>
      <c r="M206" s="17"/>
    </row>
    <row r="207" spans="2:13" ht="14.45" customHeight="1" x14ac:dyDescent="0.25">
      <c r="B207" s="17"/>
      <c r="C207" s="14"/>
      <c r="D207" s="14"/>
      <c r="E207" s="18"/>
      <c r="F207" s="61"/>
      <c r="G207" s="73"/>
      <c r="H207" s="79"/>
      <c r="I207" s="79"/>
      <c r="J207" s="14"/>
      <c r="K207" s="38"/>
      <c r="L207" s="38"/>
      <c r="M207" s="17"/>
    </row>
    <row r="208" spans="2:13" ht="14.45" customHeight="1" x14ac:dyDescent="0.25">
      <c r="B208" s="17"/>
      <c r="C208" s="14"/>
      <c r="D208" s="14"/>
      <c r="E208" s="18"/>
      <c r="F208" s="61"/>
      <c r="G208" s="73"/>
      <c r="H208" s="79"/>
      <c r="I208" s="79"/>
      <c r="J208" s="14"/>
      <c r="K208" s="38"/>
      <c r="L208" s="38"/>
      <c r="M208" s="17"/>
    </row>
    <row r="209" spans="2:13" ht="14.45" customHeight="1" x14ac:dyDescent="0.25">
      <c r="B209" s="17"/>
      <c r="C209" s="14"/>
      <c r="D209" s="14"/>
      <c r="E209" s="18"/>
      <c r="F209" s="61"/>
      <c r="G209" s="73"/>
      <c r="H209" s="79"/>
      <c r="I209" s="79"/>
      <c r="J209" s="14"/>
      <c r="K209" s="38"/>
      <c r="L209" s="38"/>
      <c r="M209" s="17"/>
    </row>
    <row r="210" spans="2:13" ht="14.45" customHeight="1" x14ac:dyDescent="0.25">
      <c r="B210" s="17"/>
      <c r="C210" s="14"/>
      <c r="D210" s="14"/>
      <c r="E210" s="18"/>
      <c r="F210" s="61"/>
      <c r="G210" s="73"/>
      <c r="H210" s="79"/>
      <c r="I210" s="79"/>
      <c r="J210" s="14"/>
      <c r="K210" s="38"/>
      <c r="L210" s="38"/>
      <c r="M210" s="17"/>
    </row>
    <row r="211" spans="2:13" ht="14.45" customHeight="1" x14ac:dyDescent="0.25">
      <c r="B211" s="17"/>
      <c r="C211" s="14"/>
      <c r="D211" s="14"/>
      <c r="E211" s="18"/>
      <c r="F211" s="61"/>
      <c r="G211" s="73"/>
      <c r="H211" s="79"/>
      <c r="I211" s="79"/>
      <c r="J211" s="14"/>
      <c r="K211" s="38"/>
      <c r="L211" s="38"/>
      <c r="M211" s="17"/>
    </row>
    <row r="212" spans="2:13" ht="14.45" customHeight="1" x14ac:dyDescent="0.25">
      <c r="B212" s="17"/>
      <c r="C212" s="14"/>
      <c r="D212" s="14"/>
      <c r="E212" s="18"/>
      <c r="F212" s="61"/>
      <c r="G212" s="73"/>
      <c r="H212" s="79"/>
      <c r="I212" s="79"/>
      <c r="J212" s="14"/>
      <c r="K212" s="38"/>
      <c r="L212" s="38"/>
      <c r="M212" s="17"/>
    </row>
    <row r="213" spans="2:13" ht="14.45" customHeight="1" x14ac:dyDescent="0.25">
      <c r="B213" s="17"/>
      <c r="C213" s="14"/>
      <c r="D213" s="14"/>
      <c r="E213" s="18"/>
      <c r="F213" s="61"/>
      <c r="G213" s="73"/>
      <c r="H213" s="79"/>
      <c r="I213" s="79"/>
      <c r="J213" s="14"/>
      <c r="K213" s="38"/>
      <c r="L213" s="38"/>
      <c r="M213" s="17"/>
    </row>
    <row r="214" spans="2:13" ht="14.45" customHeight="1" x14ac:dyDescent="0.25">
      <c r="B214" s="17"/>
      <c r="C214" s="14"/>
      <c r="D214" s="14"/>
      <c r="E214" s="18"/>
      <c r="F214" s="61"/>
      <c r="G214" s="73"/>
      <c r="H214" s="79"/>
      <c r="I214" s="79"/>
      <c r="J214" s="14"/>
      <c r="K214" s="38"/>
      <c r="L214" s="38"/>
      <c r="M214" s="17"/>
    </row>
    <row r="215" spans="2:13" ht="14.45" customHeight="1" x14ac:dyDescent="0.25">
      <c r="B215" s="17"/>
      <c r="C215" s="14"/>
      <c r="D215" s="14"/>
      <c r="E215" s="18"/>
      <c r="F215" s="61"/>
      <c r="G215" s="73"/>
      <c r="H215" s="79"/>
      <c r="I215" s="79"/>
      <c r="J215" s="14"/>
      <c r="K215" s="38"/>
      <c r="L215" s="38"/>
      <c r="M215" s="17"/>
    </row>
    <row r="216" spans="2:13" ht="14.45" customHeight="1" x14ac:dyDescent="0.25">
      <c r="B216" s="17"/>
      <c r="C216" s="14"/>
      <c r="D216" s="14"/>
      <c r="E216" s="18"/>
      <c r="F216" s="61"/>
      <c r="G216" s="73"/>
      <c r="H216" s="79"/>
      <c r="I216" s="79"/>
      <c r="J216" s="14"/>
      <c r="K216" s="38"/>
      <c r="L216" s="38"/>
      <c r="M216" s="17"/>
    </row>
    <row r="217" spans="2:13" ht="14.45" customHeight="1" x14ac:dyDescent="0.25">
      <c r="B217" s="17"/>
      <c r="C217" s="14"/>
      <c r="D217" s="14"/>
      <c r="E217" s="18"/>
      <c r="F217" s="61"/>
      <c r="G217" s="73"/>
      <c r="H217" s="79"/>
      <c r="I217" s="79"/>
      <c r="J217" s="14"/>
      <c r="K217" s="38"/>
      <c r="L217" s="38"/>
      <c r="M217" s="17"/>
    </row>
    <row r="218" spans="2:13" ht="14.45" customHeight="1" x14ac:dyDescent="0.25">
      <c r="B218" s="17"/>
      <c r="C218" s="14"/>
      <c r="D218" s="14"/>
      <c r="E218" s="18"/>
      <c r="F218" s="61"/>
      <c r="G218" s="73"/>
      <c r="H218" s="79"/>
      <c r="I218" s="79"/>
      <c r="J218" s="14"/>
      <c r="K218" s="38"/>
      <c r="L218" s="38"/>
      <c r="M218" s="17"/>
    </row>
    <row r="219" spans="2:13" ht="14.45" customHeight="1" x14ac:dyDescent="0.25">
      <c r="B219" s="17"/>
      <c r="C219" s="14"/>
      <c r="D219" s="14"/>
      <c r="E219" s="18"/>
      <c r="F219" s="61"/>
      <c r="G219" s="73"/>
      <c r="H219" s="79"/>
      <c r="I219" s="79"/>
      <c r="J219" s="14"/>
      <c r="K219" s="38"/>
      <c r="L219" s="38"/>
      <c r="M219" s="17"/>
    </row>
    <row r="220" spans="2:13" ht="14.45" customHeight="1" x14ac:dyDescent="0.25">
      <c r="B220" s="17"/>
      <c r="C220" s="14"/>
      <c r="D220" s="14"/>
      <c r="E220" s="18"/>
      <c r="F220" s="61"/>
      <c r="G220" s="73"/>
      <c r="H220" s="79"/>
      <c r="I220" s="79"/>
      <c r="J220" s="14"/>
      <c r="K220" s="38"/>
      <c r="L220" s="38"/>
      <c r="M220" s="17"/>
    </row>
    <row r="221" spans="2:13" ht="14.45" customHeight="1" x14ac:dyDescent="0.25">
      <c r="B221" s="17"/>
      <c r="C221" s="14"/>
      <c r="D221" s="14"/>
      <c r="E221" s="18"/>
      <c r="F221" s="61"/>
      <c r="G221" s="73"/>
      <c r="H221" s="79"/>
      <c r="I221" s="79"/>
      <c r="J221" s="14"/>
      <c r="K221" s="38"/>
      <c r="L221" s="38"/>
      <c r="M221" s="17"/>
    </row>
    <row r="222" spans="2:13" ht="14.45" customHeight="1" x14ac:dyDescent="0.25">
      <c r="B222" s="17"/>
      <c r="C222" s="14"/>
      <c r="D222" s="14"/>
      <c r="E222" s="18"/>
      <c r="F222" s="61"/>
      <c r="G222" s="73"/>
      <c r="H222" s="79"/>
      <c r="I222" s="79"/>
      <c r="J222" s="14"/>
      <c r="K222" s="38"/>
      <c r="L222" s="38"/>
      <c r="M222" s="17"/>
    </row>
    <row r="223" spans="2:13" ht="14.45" customHeight="1" x14ac:dyDescent="0.25">
      <c r="B223" s="17"/>
      <c r="C223" s="14"/>
      <c r="D223" s="14"/>
      <c r="E223" s="18"/>
      <c r="F223" s="61"/>
      <c r="G223" s="73"/>
      <c r="H223" s="79"/>
      <c r="I223" s="79"/>
      <c r="J223" s="14"/>
      <c r="K223" s="38"/>
      <c r="L223" s="38"/>
      <c r="M223" s="17"/>
    </row>
    <row r="224" spans="2:13" ht="14.45" customHeight="1" x14ac:dyDescent="0.25">
      <c r="B224" s="17"/>
      <c r="C224" s="14"/>
      <c r="D224" s="14"/>
      <c r="E224" s="18"/>
      <c r="F224" s="61"/>
      <c r="G224" s="73"/>
      <c r="H224" s="79"/>
      <c r="I224" s="79"/>
      <c r="J224" s="14"/>
      <c r="K224" s="38"/>
      <c r="L224" s="38"/>
      <c r="M224" s="17"/>
    </row>
    <row r="225" spans="2:13" ht="14.45" customHeight="1" x14ac:dyDescent="0.25">
      <c r="B225" s="17"/>
      <c r="C225" s="14"/>
      <c r="D225" s="14"/>
      <c r="E225" s="18"/>
      <c r="F225" s="61"/>
      <c r="G225" s="73"/>
      <c r="H225" s="79"/>
      <c r="I225" s="79"/>
      <c r="J225" s="14"/>
      <c r="K225" s="38"/>
      <c r="L225" s="38"/>
      <c r="M225" s="17"/>
    </row>
    <row r="226" spans="2:13" ht="14.45" customHeight="1" x14ac:dyDescent="0.25">
      <c r="B226" s="17"/>
      <c r="C226" s="14"/>
      <c r="D226" s="14"/>
      <c r="E226" s="18"/>
      <c r="F226" s="61"/>
      <c r="G226" s="73"/>
      <c r="H226" s="79"/>
      <c r="I226" s="79"/>
      <c r="J226" s="14"/>
      <c r="K226" s="38"/>
      <c r="L226" s="38"/>
      <c r="M226" s="17"/>
    </row>
    <row r="227" spans="2:13" ht="14.45" customHeight="1" x14ac:dyDescent="0.25">
      <c r="B227" s="17"/>
      <c r="C227" s="14"/>
      <c r="D227" s="14"/>
      <c r="E227" s="18"/>
      <c r="F227" s="61"/>
      <c r="G227" s="73"/>
      <c r="H227" s="79"/>
      <c r="I227" s="79"/>
      <c r="J227" s="14"/>
      <c r="K227" s="38"/>
      <c r="L227" s="38"/>
      <c r="M227" s="17"/>
    </row>
    <row r="228" spans="2:13" ht="14.45" customHeight="1" x14ac:dyDescent="0.25">
      <c r="B228" s="17"/>
      <c r="C228" s="14"/>
      <c r="D228" s="14"/>
      <c r="E228" s="18"/>
      <c r="F228" s="61"/>
      <c r="G228" s="73"/>
      <c r="H228" s="79"/>
      <c r="I228" s="79"/>
      <c r="J228" s="14"/>
      <c r="K228" s="38"/>
      <c r="L228" s="38"/>
      <c r="M228" s="17"/>
    </row>
    <row r="229" spans="2:13" ht="14.45" customHeight="1" x14ac:dyDescent="0.25">
      <c r="B229" s="17"/>
      <c r="C229" s="14"/>
      <c r="D229" s="14"/>
      <c r="E229" s="18"/>
      <c r="F229" s="61"/>
      <c r="G229" s="73"/>
      <c r="H229" s="79"/>
      <c r="I229" s="79"/>
      <c r="J229" s="14"/>
      <c r="K229" s="38"/>
      <c r="L229" s="38"/>
      <c r="M229" s="17"/>
    </row>
    <row r="230" spans="2:13" ht="14.45" customHeight="1" x14ac:dyDescent="0.25">
      <c r="B230" s="17"/>
      <c r="C230" s="14"/>
      <c r="D230" s="14"/>
      <c r="E230" s="18"/>
      <c r="F230" s="61"/>
      <c r="G230" s="73"/>
      <c r="H230" s="79"/>
      <c r="I230" s="79"/>
      <c r="J230" s="14"/>
      <c r="K230" s="38"/>
      <c r="L230" s="38"/>
      <c r="M230" s="17"/>
    </row>
    <row r="231" spans="2:13" ht="14.45" customHeight="1" x14ac:dyDescent="0.25">
      <c r="B231" s="17"/>
      <c r="C231" s="14"/>
      <c r="D231" s="14"/>
      <c r="E231" s="18"/>
      <c r="F231" s="61"/>
      <c r="G231" s="73"/>
      <c r="H231" s="79"/>
      <c r="I231" s="79"/>
      <c r="J231" s="14"/>
      <c r="K231" s="38"/>
      <c r="L231" s="38"/>
      <c r="M231" s="17"/>
    </row>
    <row r="232" spans="2:13" ht="14.45" customHeight="1" x14ac:dyDescent="0.25">
      <c r="B232" s="17"/>
      <c r="C232" s="14"/>
      <c r="D232" s="14"/>
      <c r="E232" s="18"/>
      <c r="F232" s="61"/>
      <c r="G232" s="73"/>
      <c r="H232" s="79"/>
      <c r="I232" s="79"/>
      <c r="J232" s="14"/>
      <c r="K232" s="38"/>
      <c r="L232" s="38"/>
      <c r="M232" s="17"/>
    </row>
    <row r="233" spans="2:13" ht="14.45" customHeight="1" x14ac:dyDescent="0.25">
      <c r="B233" s="17"/>
      <c r="C233" s="14"/>
      <c r="D233" s="14"/>
      <c r="E233" s="18"/>
      <c r="F233" s="61"/>
      <c r="G233" s="73"/>
      <c r="H233" s="79"/>
      <c r="I233" s="79"/>
      <c r="J233" s="14"/>
      <c r="K233" s="38"/>
      <c r="L233" s="38"/>
      <c r="M233" s="17"/>
    </row>
    <row r="234" spans="2:13" ht="14.45" customHeight="1" x14ac:dyDescent="0.25">
      <c r="B234" s="17"/>
      <c r="C234" s="14"/>
      <c r="D234" s="14"/>
      <c r="E234" s="18"/>
      <c r="F234" s="61"/>
      <c r="G234" s="73"/>
      <c r="H234" s="79"/>
      <c r="I234" s="79"/>
      <c r="J234" s="14"/>
      <c r="K234" s="38"/>
      <c r="L234" s="38"/>
      <c r="M234" s="17"/>
    </row>
    <row r="235" spans="2:13" ht="14.45" customHeight="1" x14ac:dyDescent="0.25">
      <c r="B235" s="17"/>
      <c r="C235" s="14"/>
      <c r="D235" s="14"/>
      <c r="E235" s="18"/>
      <c r="F235" s="61"/>
      <c r="G235" s="73"/>
      <c r="H235" s="79"/>
      <c r="I235" s="79"/>
      <c r="J235" s="14"/>
      <c r="K235" s="38"/>
      <c r="L235" s="38"/>
      <c r="M235" s="17"/>
    </row>
    <row r="236" spans="2:13" ht="14.45" customHeight="1" x14ac:dyDescent="0.25">
      <c r="B236" s="17"/>
      <c r="C236" s="14"/>
      <c r="D236" s="14"/>
      <c r="E236" s="18"/>
      <c r="F236" s="61"/>
      <c r="G236" s="73"/>
      <c r="H236" s="79"/>
      <c r="I236" s="79"/>
      <c r="J236" s="14"/>
      <c r="K236" s="38"/>
      <c r="L236" s="38"/>
      <c r="M236" s="17"/>
    </row>
    <row r="237" spans="2:13" ht="14.45" customHeight="1" x14ac:dyDescent="0.25">
      <c r="B237" s="17"/>
      <c r="C237" s="14"/>
      <c r="D237" s="14"/>
      <c r="E237" s="18"/>
      <c r="F237" s="61"/>
      <c r="G237" s="73"/>
      <c r="H237" s="79"/>
      <c r="I237" s="79"/>
      <c r="J237" s="14"/>
      <c r="K237" s="38"/>
      <c r="L237" s="38"/>
      <c r="M237" s="17"/>
    </row>
    <row r="238" spans="2:13" ht="14.45" customHeight="1" x14ac:dyDescent="0.25">
      <c r="B238" s="17"/>
      <c r="C238" s="14"/>
      <c r="D238" s="14"/>
      <c r="E238" s="18"/>
      <c r="F238" s="61"/>
      <c r="G238" s="73"/>
      <c r="H238" s="79"/>
      <c r="I238" s="79"/>
      <c r="J238" s="14"/>
      <c r="K238" s="38"/>
      <c r="L238" s="38"/>
      <c r="M238" s="17"/>
    </row>
    <row r="239" spans="2:13" ht="14.45" customHeight="1" x14ac:dyDescent="0.25">
      <c r="B239" s="17"/>
      <c r="C239" s="14"/>
      <c r="D239" s="14"/>
      <c r="E239" s="18"/>
      <c r="F239" s="61"/>
      <c r="G239" s="73"/>
      <c r="H239" s="79"/>
      <c r="I239" s="79"/>
      <c r="J239" s="14"/>
      <c r="K239" s="38"/>
      <c r="L239" s="38"/>
      <c r="M239" s="17"/>
    </row>
    <row r="240" spans="2:13" ht="14.45" customHeight="1" x14ac:dyDescent="0.25">
      <c r="B240" s="17"/>
      <c r="C240" s="14"/>
      <c r="D240" s="14"/>
      <c r="E240" s="18"/>
      <c r="F240" s="61"/>
      <c r="G240" s="73"/>
      <c r="H240" s="79"/>
      <c r="I240" s="79"/>
      <c r="J240" s="14"/>
      <c r="K240" s="38"/>
      <c r="L240" s="38"/>
      <c r="M240" s="17"/>
    </row>
    <row r="241" spans="2:13" ht="14.45" customHeight="1" x14ac:dyDescent="0.25">
      <c r="B241" s="17"/>
      <c r="C241" s="14"/>
      <c r="D241" s="14"/>
      <c r="E241" s="18"/>
      <c r="F241" s="61"/>
      <c r="G241" s="73"/>
      <c r="H241" s="79"/>
      <c r="I241" s="79"/>
      <c r="J241" s="14"/>
      <c r="K241" s="38"/>
      <c r="L241" s="38"/>
      <c r="M241" s="17"/>
    </row>
    <row r="242" spans="2:13" ht="14.45" customHeight="1" x14ac:dyDescent="0.25">
      <c r="B242" s="17"/>
      <c r="C242" s="14"/>
      <c r="D242" s="14"/>
      <c r="E242" s="18"/>
      <c r="F242" s="61"/>
      <c r="G242" s="73"/>
      <c r="H242" s="79"/>
      <c r="I242" s="79"/>
      <c r="J242" s="14"/>
      <c r="K242" s="38"/>
      <c r="L242" s="38"/>
      <c r="M242" s="17"/>
    </row>
    <row r="243" spans="2:13" ht="14.45" customHeight="1" x14ac:dyDescent="0.25">
      <c r="B243" s="17"/>
      <c r="C243" s="14"/>
      <c r="D243" s="14"/>
      <c r="E243" s="18"/>
      <c r="F243" s="61"/>
      <c r="G243" s="73"/>
      <c r="H243" s="79"/>
      <c r="I243" s="79"/>
      <c r="J243" s="14"/>
      <c r="K243" s="38"/>
      <c r="L243" s="38"/>
      <c r="M243" s="17"/>
    </row>
    <row r="244" spans="2:13" ht="14.45" customHeight="1" x14ac:dyDescent="0.25">
      <c r="B244" s="17"/>
      <c r="C244" s="14"/>
      <c r="D244" s="14"/>
      <c r="E244" s="18"/>
      <c r="F244" s="61"/>
      <c r="G244" s="73"/>
      <c r="H244" s="79"/>
      <c r="I244" s="79"/>
      <c r="J244" s="14"/>
      <c r="K244" s="38"/>
      <c r="L244" s="38"/>
      <c r="M244" s="17"/>
    </row>
    <row r="245" spans="2:13" ht="14.45" customHeight="1" x14ac:dyDescent="0.25">
      <c r="B245" s="17"/>
      <c r="C245" s="14"/>
      <c r="D245" s="14"/>
      <c r="E245" s="18"/>
      <c r="F245" s="61"/>
      <c r="G245" s="73"/>
      <c r="H245" s="79"/>
      <c r="I245" s="79"/>
      <c r="J245" s="14"/>
      <c r="K245" s="38"/>
      <c r="L245" s="38"/>
      <c r="M245" s="17"/>
    </row>
    <row r="246" spans="2:13" ht="14.45" customHeight="1" x14ac:dyDescent="0.25">
      <c r="B246" s="17"/>
      <c r="C246" s="14"/>
      <c r="D246" s="14"/>
      <c r="E246" s="18"/>
      <c r="F246" s="61"/>
      <c r="G246" s="73"/>
      <c r="H246" s="79"/>
      <c r="I246" s="79"/>
      <c r="J246" s="14"/>
      <c r="K246" s="38"/>
      <c r="L246" s="38"/>
      <c r="M246" s="17"/>
    </row>
    <row r="247" spans="2:13" ht="14.45" customHeight="1" x14ac:dyDescent="0.25">
      <c r="B247" s="17"/>
      <c r="C247" s="14"/>
      <c r="D247" s="14"/>
      <c r="E247" s="18"/>
      <c r="F247" s="61"/>
      <c r="G247" s="73"/>
      <c r="H247" s="79"/>
      <c r="I247" s="79"/>
      <c r="J247" s="14"/>
      <c r="K247" s="38"/>
      <c r="L247" s="38"/>
      <c r="M247" s="17"/>
    </row>
    <row r="248" spans="2:13" ht="14.45" customHeight="1" x14ac:dyDescent="0.25">
      <c r="B248" s="17"/>
      <c r="C248" s="14"/>
      <c r="D248" s="14"/>
      <c r="E248" s="18"/>
      <c r="F248" s="61"/>
      <c r="G248" s="73"/>
      <c r="H248" s="79"/>
      <c r="I248" s="79"/>
      <c r="J248" s="14"/>
      <c r="K248" s="38"/>
      <c r="L248" s="38"/>
      <c r="M248" s="17"/>
    </row>
    <row r="249" spans="2:13" ht="14.45" customHeight="1" x14ac:dyDescent="0.25">
      <c r="B249" s="17"/>
      <c r="C249" s="14"/>
      <c r="D249" s="14"/>
      <c r="E249" s="18"/>
      <c r="F249" s="61"/>
      <c r="G249" s="73"/>
      <c r="H249" s="79"/>
      <c r="I249" s="79"/>
      <c r="J249" s="14"/>
      <c r="K249" s="38"/>
      <c r="L249" s="38"/>
      <c r="M249" s="17"/>
    </row>
    <row r="250" spans="2:13" ht="14.45" customHeight="1" x14ac:dyDescent="0.25">
      <c r="B250" s="17"/>
      <c r="C250" s="14"/>
      <c r="D250" s="14"/>
      <c r="E250" s="18"/>
      <c r="F250" s="61"/>
      <c r="G250" s="73"/>
      <c r="H250" s="79"/>
      <c r="I250" s="79"/>
      <c r="J250" s="14"/>
      <c r="K250" s="38"/>
      <c r="L250" s="38"/>
      <c r="M250" s="17"/>
    </row>
    <row r="251" spans="2:13" ht="14.45" customHeight="1" x14ac:dyDescent="0.25">
      <c r="B251" s="17"/>
      <c r="C251" s="14"/>
      <c r="D251" s="14"/>
      <c r="E251" s="18"/>
      <c r="F251" s="61"/>
      <c r="G251" s="73"/>
      <c r="H251" s="79"/>
      <c r="I251" s="79"/>
      <c r="J251" s="14"/>
      <c r="K251" s="38"/>
      <c r="L251" s="38"/>
      <c r="M251" s="17"/>
    </row>
    <row r="252" spans="2:13" ht="14.45" customHeight="1" x14ac:dyDescent="0.25">
      <c r="B252" s="17"/>
      <c r="C252" s="14"/>
      <c r="D252" s="14"/>
      <c r="E252" s="18"/>
      <c r="F252" s="61"/>
      <c r="G252" s="73"/>
      <c r="H252" s="79"/>
      <c r="I252" s="79"/>
      <c r="J252" s="14"/>
      <c r="K252" s="38"/>
      <c r="L252" s="38"/>
      <c r="M252" s="17"/>
    </row>
    <row r="253" spans="2:13" ht="14.45" customHeight="1" x14ac:dyDescent="0.25">
      <c r="B253" s="17"/>
      <c r="C253" s="14"/>
      <c r="D253" s="14"/>
      <c r="E253" s="18"/>
      <c r="F253" s="61"/>
      <c r="G253" s="73"/>
      <c r="H253" s="79"/>
      <c r="I253" s="79"/>
      <c r="J253" s="14"/>
      <c r="K253" s="38"/>
      <c r="L253" s="38"/>
      <c r="M253" s="17"/>
    </row>
    <row r="254" spans="2:13" ht="14.45" customHeight="1" x14ac:dyDescent="0.25">
      <c r="B254" s="17"/>
      <c r="C254" s="14"/>
      <c r="D254" s="14"/>
      <c r="E254" s="18"/>
      <c r="F254" s="61"/>
      <c r="G254" s="73"/>
      <c r="H254" s="79"/>
      <c r="I254" s="79"/>
      <c r="J254" s="14"/>
      <c r="K254" s="38"/>
      <c r="L254" s="38"/>
      <c r="M254" s="17"/>
    </row>
    <row r="255" spans="2:13" ht="14.45" customHeight="1" x14ac:dyDescent="0.25">
      <c r="B255" s="17"/>
      <c r="C255" s="14"/>
      <c r="D255" s="14"/>
      <c r="E255" s="18"/>
      <c r="F255" s="61"/>
      <c r="G255" s="73"/>
      <c r="H255" s="79"/>
      <c r="I255" s="79"/>
      <c r="J255" s="14"/>
      <c r="K255" s="38"/>
      <c r="L255" s="38"/>
      <c r="M255" s="17"/>
    </row>
    <row r="256" spans="2:13" ht="14.45" customHeight="1" x14ac:dyDescent="0.25">
      <c r="B256" s="17"/>
      <c r="C256" s="14"/>
      <c r="D256" s="14"/>
      <c r="E256" s="18"/>
      <c r="F256" s="61"/>
      <c r="G256" s="73"/>
      <c r="H256" s="79"/>
      <c r="I256" s="79"/>
      <c r="J256" s="14"/>
      <c r="K256" s="38"/>
      <c r="L256" s="38"/>
      <c r="M256" s="17"/>
    </row>
    <row r="257" spans="2:13" ht="14.45" customHeight="1" x14ac:dyDescent="0.25">
      <c r="B257" s="17"/>
      <c r="C257" s="14"/>
      <c r="D257" s="14"/>
      <c r="E257" s="18"/>
      <c r="F257" s="61"/>
      <c r="G257" s="73"/>
      <c r="H257" s="79"/>
      <c r="I257" s="79"/>
      <c r="J257" s="14"/>
      <c r="K257" s="38"/>
      <c r="L257" s="38"/>
      <c r="M257" s="17"/>
    </row>
    <row r="258" spans="2:13" ht="14.45" customHeight="1" x14ac:dyDescent="0.25">
      <c r="B258" s="17"/>
      <c r="C258" s="14"/>
      <c r="D258" s="14"/>
      <c r="E258" s="18"/>
      <c r="F258" s="61"/>
      <c r="G258" s="73"/>
      <c r="H258" s="79"/>
      <c r="I258" s="79"/>
      <c r="J258" s="14"/>
      <c r="K258" s="38"/>
      <c r="L258" s="38"/>
      <c r="M258" s="17"/>
    </row>
    <row r="259" spans="2:13" ht="14.45" customHeight="1" x14ac:dyDescent="0.25">
      <c r="B259" s="17"/>
      <c r="C259" s="14"/>
      <c r="D259" s="14"/>
      <c r="E259" s="18"/>
      <c r="F259" s="61"/>
      <c r="G259" s="73"/>
      <c r="H259" s="79"/>
      <c r="I259" s="79"/>
      <c r="J259" s="14"/>
      <c r="K259" s="38"/>
      <c r="L259" s="38"/>
      <c r="M259" s="17"/>
    </row>
    <row r="260" spans="2:13" ht="14.45" customHeight="1" x14ac:dyDescent="0.25">
      <c r="B260" s="17"/>
      <c r="C260" s="14"/>
      <c r="D260" s="14"/>
      <c r="E260" s="18"/>
      <c r="F260" s="61"/>
      <c r="G260" s="73"/>
      <c r="H260" s="79"/>
      <c r="I260" s="79"/>
      <c r="J260" s="14"/>
      <c r="K260" s="38"/>
      <c r="L260" s="38"/>
      <c r="M260" s="17"/>
    </row>
    <row r="261" spans="2:13" ht="14.45" customHeight="1" x14ac:dyDescent="0.25">
      <c r="B261" s="17"/>
      <c r="C261" s="14"/>
      <c r="D261" s="14"/>
      <c r="E261" s="18"/>
      <c r="F261" s="61"/>
      <c r="G261" s="73"/>
      <c r="H261" s="79"/>
      <c r="I261" s="79"/>
      <c r="J261" s="14"/>
      <c r="K261" s="38"/>
      <c r="L261" s="38"/>
      <c r="M261" s="17"/>
    </row>
    <row r="262" spans="2:13" ht="14.45" customHeight="1" x14ac:dyDescent="0.25">
      <c r="B262" s="17"/>
      <c r="C262" s="14"/>
      <c r="D262" s="14"/>
      <c r="E262" s="18"/>
      <c r="F262" s="61"/>
      <c r="G262" s="73"/>
      <c r="H262" s="79"/>
      <c r="I262" s="79"/>
      <c r="J262" s="14"/>
      <c r="K262" s="38"/>
      <c r="L262" s="38"/>
      <c r="M262" s="17"/>
    </row>
    <row r="263" spans="2:13" ht="14.45" customHeight="1" x14ac:dyDescent="0.25">
      <c r="B263" s="17"/>
      <c r="C263" s="14"/>
      <c r="D263" s="14"/>
      <c r="E263" s="18"/>
      <c r="F263" s="61"/>
      <c r="G263" s="73"/>
      <c r="H263" s="79"/>
      <c r="I263" s="79"/>
      <c r="J263" s="14"/>
      <c r="K263" s="38"/>
      <c r="L263" s="38"/>
      <c r="M263" s="17"/>
    </row>
    <row r="264" spans="2:13" ht="14.45" customHeight="1" x14ac:dyDescent="0.25">
      <c r="B264" s="17"/>
      <c r="C264" s="14"/>
      <c r="D264" s="14"/>
      <c r="E264" s="18"/>
      <c r="F264" s="61"/>
      <c r="G264" s="73"/>
      <c r="H264" s="79"/>
      <c r="I264" s="79"/>
      <c r="J264" s="14"/>
      <c r="K264" s="38"/>
      <c r="L264" s="38"/>
      <c r="M264" s="17"/>
    </row>
    <row r="265" spans="2:13" ht="14.45" customHeight="1" x14ac:dyDescent="0.25">
      <c r="B265" s="17"/>
      <c r="C265" s="14"/>
      <c r="D265" s="14"/>
      <c r="E265" s="18"/>
      <c r="F265" s="61"/>
      <c r="G265" s="73"/>
      <c r="H265" s="79"/>
      <c r="I265" s="79"/>
      <c r="J265" s="14"/>
      <c r="K265" s="38"/>
      <c r="L265" s="38"/>
      <c r="M265" s="17"/>
    </row>
    <row r="266" spans="2:13" ht="14.45" customHeight="1" x14ac:dyDescent="0.25">
      <c r="B266" s="17"/>
      <c r="C266" s="14"/>
      <c r="D266" s="14"/>
      <c r="E266" s="18"/>
      <c r="F266" s="61"/>
      <c r="G266" s="73"/>
      <c r="H266" s="79"/>
      <c r="I266" s="79"/>
      <c r="J266" s="14"/>
      <c r="K266" s="38"/>
      <c r="L266" s="38"/>
      <c r="M266" s="17"/>
    </row>
    <row r="267" spans="2:13" ht="14.45" customHeight="1" x14ac:dyDescent="0.25">
      <c r="B267" s="17"/>
      <c r="C267" s="14"/>
      <c r="D267" s="14"/>
      <c r="E267" s="18"/>
      <c r="F267" s="61"/>
      <c r="G267" s="73"/>
      <c r="H267" s="79"/>
      <c r="I267" s="79"/>
      <c r="J267" s="14"/>
      <c r="K267" s="38"/>
      <c r="L267" s="38"/>
      <c r="M267" s="17"/>
    </row>
    <row r="268" spans="2:13" ht="14.45" customHeight="1" x14ac:dyDescent="0.25">
      <c r="B268" s="17"/>
      <c r="C268" s="14"/>
      <c r="D268" s="14"/>
      <c r="E268" s="18"/>
      <c r="F268" s="61"/>
      <c r="G268" s="73"/>
      <c r="H268" s="79"/>
      <c r="I268" s="79"/>
      <c r="J268" s="14"/>
      <c r="K268" s="38"/>
      <c r="L268" s="38"/>
      <c r="M268" s="17"/>
    </row>
    <row r="269" spans="2:13" ht="14.45" customHeight="1" x14ac:dyDescent="0.25">
      <c r="B269" s="17"/>
      <c r="C269" s="14"/>
      <c r="D269" s="14"/>
      <c r="E269" s="18"/>
      <c r="F269" s="61"/>
      <c r="G269" s="73"/>
      <c r="H269" s="79"/>
      <c r="I269" s="79"/>
      <c r="J269" s="14"/>
      <c r="K269" s="38"/>
      <c r="L269" s="38"/>
      <c r="M269" s="17"/>
    </row>
    <row r="270" spans="2:13" ht="14.45" customHeight="1" x14ac:dyDescent="0.25">
      <c r="B270" s="17"/>
      <c r="C270" s="14"/>
      <c r="D270" s="14"/>
      <c r="E270" s="18"/>
      <c r="F270" s="61"/>
      <c r="G270" s="73"/>
      <c r="H270" s="79"/>
      <c r="I270" s="79"/>
      <c r="J270" s="14"/>
      <c r="K270" s="38"/>
      <c r="L270" s="38"/>
      <c r="M270" s="17"/>
    </row>
    <row r="271" spans="2:13" ht="14.45" customHeight="1" x14ac:dyDescent="0.25">
      <c r="B271" s="17"/>
      <c r="C271" s="14"/>
      <c r="D271" s="14"/>
      <c r="E271" s="18"/>
      <c r="F271" s="61"/>
      <c r="G271" s="73"/>
      <c r="H271" s="79"/>
      <c r="I271" s="79"/>
      <c r="J271" s="14"/>
      <c r="K271" s="38"/>
      <c r="L271" s="38"/>
      <c r="M271" s="17"/>
    </row>
    <row r="272" spans="2:13" ht="14.45" customHeight="1" x14ac:dyDescent="0.25">
      <c r="B272" s="17"/>
      <c r="C272" s="14"/>
      <c r="D272" s="14"/>
      <c r="E272" s="18"/>
      <c r="F272" s="61"/>
      <c r="G272" s="73"/>
      <c r="H272" s="79"/>
      <c r="I272" s="79"/>
      <c r="J272" s="14"/>
      <c r="K272" s="38"/>
      <c r="L272" s="38"/>
      <c r="M272" s="17"/>
    </row>
    <row r="273" spans="2:13" ht="14.45" customHeight="1" x14ac:dyDescent="0.25">
      <c r="B273" s="17"/>
      <c r="C273" s="14"/>
      <c r="D273" s="14"/>
      <c r="E273" s="18"/>
      <c r="F273" s="61"/>
      <c r="G273" s="73"/>
      <c r="H273" s="79"/>
      <c r="I273" s="79"/>
      <c r="J273" s="14"/>
      <c r="K273" s="38"/>
      <c r="L273" s="38"/>
      <c r="M273" s="17"/>
    </row>
    <row r="274" spans="2:13" ht="14.45" customHeight="1" x14ac:dyDescent="0.25">
      <c r="B274" s="17"/>
      <c r="C274" s="14"/>
      <c r="D274" s="14"/>
      <c r="E274" s="18"/>
      <c r="F274" s="61"/>
      <c r="G274" s="73"/>
      <c r="H274" s="79"/>
      <c r="I274" s="79"/>
      <c r="J274" s="14"/>
      <c r="K274" s="38"/>
      <c r="L274" s="38"/>
      <c r="M274" s="17"/>
    </row>
    <row r="275" spans="2:13" ht="14.45" customHeight="1" x14ac:dyDescent="0.25">
      <c r="B275" s="17"/>
      <c r="C275" s="14"/>
      <c r="D275" s="14"/>
      <c r="E275" s="18"/>
      <c r="F275" s="61"/>
      <c r="G275" s="73"/>
      <c r="H275" s="79"/>
      <c r="I275" s="79"/>
      <c r="J275" s="14"/>
      <c r="K275" s="38"/>
      <c r="L275" s="38"/>
      <c r="M275" s="17"/>
    </row>
    <row r="276" spans="2:13" ht="14.45" customHeight="1" x14ac:dyDescent="0.25">
      <c r="B276" s="17"/>
      <c r="C276" s="14"/>
      <c r="D276" s="14"/>
      <c r="E276" s="18"/>
      <c r="F276" s="61"/>
      <c r="G276" s="73"/>
      <c r="H276" s="79"/>
      <c r="I276" s="79"/>
      <c r="J276" s="14"/>
      <c r="K276" s="38"/>
      <c r="L276" s="38"/>
      <c r="M276" s="17"/>
    </row>
    <row r="277" spans="2:13" ht="14.45" customHeight="1" x14ac:dyDescent="0.25">
      <c r="B277" s="17"/>
      <c r="C277" s="14"/>
      <c r="D277" s="14"/>
      <c r="E277" s="18"/>
      <c r="F277" s="61"/>
      <c r="G277" s="73"/>
      <c r="H277" s="79"/>
      <c r="I277" s="79"/>
      <c r="J277" s="14"/>
      <c r="K277" s="38"/>
      <c r="L277" s="38"/>
      <c r="M277" s="17"/>
    </row>
    <row r="278" spans="2:13" ht="14.45" customHeight="1" x14ac:dyDescent="0.25">
      <c r="B278" s="17"/>
      <c r="C278" s="14"/>
      <c r="D278" s="14"/>
      <c r="E278" s="18"/>
      <c r="F278" s="61"/>
      <c r="G278" s="73"/>
      <c r="H278" s="79"/>
      <c r="I278" s="79"/>
      <c r="J278" s="14"/>
      <c r="K278" s="38"/>
      <c r="L278" s="38"/>
      <c r="M278" s="17"/>
    </row>
    <row r="279" spans="2:13" ht="14.45" customHeight="1" x14ac:dyDescent="0.25">
      <c r="B279" s="17"/>
      <c r="C279" s="14"/>
      <c r="D279" s="14"/>
      <c r="E279" s="18"/>
      <c r="F279" s="61"/>
      <c r="G279" s="73"/>
      <c r="H279" s="79"/>
      <c r="I279" s="79"/>
      <c r="J279" s="14"/>
      <c r="K279" s="38"/>
      <c r="L279" s="38"/>
      <c r="M279" s="17"/>
    </row>
    <row r="280" spans="2:13" ht="14.45" customHeight="1" x14ac:dyDescent="0.25">
      <c r="B280" s="17"/>
      <c r="C280" s="14"/>
      <c r="D280" s="14"/>
      <c r="E280" s="18"/>
      <c r="F280" s="61"/>
      <c r="G280" s="73"/>
      <c r="H280" s="79"/>
      <c r="I280" s="79"/>
      <c r="J280" s="14"/>
      <c r="K280" s="38"/>
      <c r="L280" s="38"/>
      <c r="M280" s="17"/>
    </row>
    <row r="281" spans="2:13" ht="14.45" customHeight="1" x14ac:dyDescent="0.25">
      <c r="B281" s="17"/>
      <c r="C281" s="14"/>
      <c r="D281" s="14"/>
      <c r="E281" s="18"/>
      <c r="F281" s="61"/>
      <c r="G281" s="73"/>
      <c r="H281" s="79"/>
      <c r="I281" s="79"/>
      <c r="J281" s="14"/>
      <c r="K281" s="38"/>
      <c r="L281" s="38"/>
      <c r="M281" s="17"/>
    </row>
    <row r="282" spans="2:13" ht="14.45" customHeight="1" x14ac:dyDescent="0.25">
      <c r="B282" s="17"/>
      <c r="C282" s="14"/>
      <c r="D282" s="14"/>
      <c r="E282" s="18"/>
      <c r="F282" s="61"/>
      <c r="G282" s="73"/>
      <c r="H282" s="79"/>
      <c r="I282" s="79"/>
      <c r="J282" s="14"/>
      <c r="K282" s="38"/>
      <c r="L282" s="38"/>
      <c r="M282" s="17"/>
    </row>
    <row r="283" spans="2:13" ht="14.45" customHeight="1" x14ac:dyDescent="0.25">
      <c r="B283" s="17"/>
      <c r="C283" s="14"/>
      <c r="D283" s="14"/>
      <c r="E283" s="18"/>
      <c r="F283" s="61"/>
      <c r="G283" s="73"/>
      <c r="H283" s="79"/>
      <c r="I283" s="79"/>
      <c r="J283" s="14"/>
      <c r="K283" s="38"/>
      <c r="L283" s="38"/>
      <c r="M283" s="17"/>
    </row>
    <row r="284" spans="2:13" ht="14.45" customHeight="1" x14ac:dyDescent="0.25">
      <c r="B284" s="17"/>
      <c r="C284" s="14"/>
      <c r="D284" s="14"/>
      <c r="E284" s="18"/>
      <c r="F284" s="61"/>
      <c r="G284" s="73"/>
      <c r="H284" s="79"/>
      <c r="I284" s="79"/>
      <c r="J284" s="14"/>
      <c r="K284" s="38"/>
      <c r="L284" s="38"/>
      <c r="M284" s="17"/>
    </row>
    <row r="285" spans="2:13" ht="14.45" customHeight="1" x14ac:dyDescent="0.25">
      <c r="B285" s="17"/>
      <c r="C285" s="14"/>
      <c r="D285" s="14"/>
      <c r="E285" s="18"/>
      <c r="F285" s="61"/>
      <c r="G285" s="73"/>
      <c r="H285" s="79"/>
      <c r="I285" s="79"/>
      <c r="J285" s="14"/>
      <c r="K285" s="38"/>
      <c r="L285" s="38"/>
      <c r="M285" s="17"/>
    </row>
    <row r="286" spans="2:13" ht="14.45" customHeight="1" x14ac:dyDescent="0.25">
      <c r="B286" s="17"/>
      <c r="C286" s="14"/>
      <c r="D286" s="14"/>
      <c r="E286" s="18"/>
      <c r="F286" s="61"/>
      <c r="G286" s="73"/>
      <c r="H286" s="79"/>
      <c r="I286" s="79"/>
      <c r="J286" s="14"/>
      <c r="K286" s="38"/>
      <c r="L286" s="38"/>
      <c r="M286" s="17"/>
    </row>
    <row r="287" spans="2:13" ht="14.45" customHeight="1" x14ac:dyDescent="0.25">
      <c r="B287" s="17"/>
      <c r="C287" s="14"/>
      <c r="D287" s="14"/>
      <c r="E287" s="18"/>
      <c r="F287" s="61"/>
      <c r="G287" s="73"/>
      <c r="H287" s="79"/>
      <c r="I287" s="79"/>
      <c r="J287" s="14"/>
      <c r="K287" s="38"/>
      <c r="L287" s="38"/>
      <c r="M287" s="17"/>
    </row>
    <row r="288" spans="2:13" ht="14.45" customHeight="1" x14ac:dyDescent="0.25">
      <c r="B288" s="17"/>
      <c r="C288" s="14"/>
      <c r="D288" s="14"/>
      <c r="E288" s="18"/>
      <c r="F288" s="61"/>
      <c r="G288" s="73"/>
      <c r="H288" s="79"/>
      <c r="I288" s="79"/>
      <c r="J288" s="14"/>
      <c r="K288" s="38"/>
      <c r="L288" s="38"/>
      <c r="M288" s="17"/>
    </row>
    <row r="289" spans="2:13" ht="14.45" customHeight="1" x14ac:dyDescent="0.25">
      <c r="B289" s="17"/>
      <c r="C289" s="14"/>
      <c r="D289" s="14"/>
      <c r="E289" s="18"/>
      <c r="F289" s="61"/>
      <c r="G289" s="73"/>
      <c r="H289" s="79"/>
      <c r="I289" s="79"/>
      <c r="J289" s="14"/>
      <c r="K289" s="38"/>
      <c r="L289" s="38"/>
      <c r="M289" s="17"/>
    </row>
    <row r="290" spans="2:13" ht="14.45" customHeight="1" x14ac:dyDescent="0.25">
      <c r="B290" s="17"/>
      <c r="C290" s="14"/>
      <c r="D290" s="14"/>
      <c r="E290" s="18"/>
      <c r="F290" s="61"/>
      <c r="G290" s="73"/>
      <c r="H290" s="79"/>
      <c r="I290" s="79"/>
      <c r="J290" s="14"/>
      <c r="K290" s="38"/>
      <c r="L290" s="38"/>
      <c r="M290" s="17"/>
    </row>
    <row r="291" spans="2:13" ht="14.45" customHeight="1" x14ac:dyDescent="0.25">
      <c r="B291" s="17"/>
      <c r="C291" s="14"/>
      <c r="D291" s="14"/>
      <c r="E291" s="18"/>
      <c r="F291" s="61"/>
      <c r="G291" s="73"/>
      <c r="H291" s="79"/>
      <c r="I291" s="79"/>
      <c r="J291" s="14"/>
      <c r="K291" s="38"/>
      <c r="L291" s="38"/>
      <c r="M291" s="17"/>
    </row>
    <row r="292" spans="2:13" ht="14.45" customHeight="1" x14ac:dyDescent="0.25">
      <c r="B292" s="17"/>
      <c r="C292" s="14"/>
      <c r="D292" s="14"/>
      <c r="E292" s="18"/>
      <c r="F292" s="61"/>
      <c r="G292" s="73"/>
      <c r="H292" s="79"/>
      <c r="I292" s="79"/>
      <c r="J292" s="14"/>
      <c r="K292" s="38"/>
      <c r="L292" s="38"/>
      <c r="M292" s="17"/>
    </row>
    <row r="293" spans="2:13" ht="14.45" customHeight="1" x14ac:dyDescent="0.25">
      <c r="B293" s="17"/>
      <c r="C293" s="14"/>
      <c r="D293" s="14"/>
      <c r="E293" s="18"/>
      <c r="F293" s="61"/>
      <c r="G293" s="73"/>
      <c r="H293" s="79"/>
      <c r="I293" s="79"/>
      <c r="J293" s="14"/>
      <c r="K293" s="38"/>
      <c r="L293" s="38"/>
      <c r="M293" s="17"/>
    </row>
    <row r="294" spans="2:13" ht="14.45" customHeight="1" x14ac:dyDescent="0.25">
      <c r="B294" s="17"/>
      <c r="C294" s="14"/>
      <c r="D294" s="14"/>
      <c r="E294" s="18"/>
      <c r="F294" s="61"/>
      <c r="G294" s="73"/>
      <c r="H294" s="79"/>
      <c r="I294" s="79"/>
      <c r="J294" s="14"/>
      <c r="K294" s="38"/>
      <c r="L294" s="38"/>
      <c r="M294" s="17"/>
    </row>
    <row r="295" spans="2:13" ht="14.45" customHeight="1" x14ac:dyDescent="0.25">
      <c r="B295" s="17"/>
      <c r="C295" s="14"/>
      <c r="D295" s="14"/>
      <c r="E295" s="18"/>
      <c r="F295" s="61"/>
      <c r="G295" s="73"/>
      <c r="H295" s="79"/>
      <c r="I295" s="79"/>
      <c r="J295" s="14"/>
      <c r="K295" s="38"/>
      <c r="L295" s="38"/>
      <c r="M295" s="17"/>
    </row>
    <row r="296" spans="2:13" ht="14.45" customHeight="1" x14ac:dyDescent="0.25">
      <c r="B296" s="17"/>
      <c r="C296" s="14"/>
      <c r="D296" s="14"/>
      <c r="E296" s="18"/>
      <c r="F296" s="61"/>
      <c r="G296" s="73"/>
      <c r="H296" s="79"/>
      <c r="I296" s="79"/>
      <c r="J296" s="14"/>
      <c r="K296" s="38"/>
      <c r="L296" s="38"/>
      <c r="M296" s="17"/>
    </row>
    <row r="297" spans="2:13" ht="14.45" customHeight="1" x14ac:dyDescent="0.25">
      <c r="B297" s="17"/>
      <c r="C297" s="14"/>
      <c r="D297" s="14"/>
      <c r="E297" s="18"/>
      <c r="F297" s="61"/>
      <c r="G297" s="73"/>
      <c r="H297" s="79"/>
      <c r="I297" s="79"/>
      <c r="J297" s="14"/>
      <c r="K297" s="38"/>
      <c r="L297" s="38"/>
      <c r="M297" s="17"/>
    </row>
    <row r="298" spans="2:13" ht="14.45" customHeight="1" x14ac:dyDescent="0.25">
      <c r="B298" s="17"/>
      <c r="C298" s="14"/>
      <c r="D298" s="14"/>
      <c r="E298" s="18"/>
      <c r="F298" s="61"/>
      <c r="G298" s="73"/>
      <c r="H298" s="79"/>
      <c r="I298" s="79"/>
      <c r="J298" s="14"/>
      <c r="K298" s="38"/>
      <c r="L298" s="38"/>
      <c r="M298" s="17"/>
    </row>
    <row r="299" spans="2:13" ht="14.45" customHeight="1" x14ac:dyDescent="0.25">
      <c r="B299" s="17"/>
      <c r="C299" s="14"/>
      <c r="D299" s="14"/>
      <c r="E299" s="18"/>
      <c r="F299" s="61"/>
      <c r="G299" s="73"/>
      <c r="H299" s="79"/>
      <c r="I299" s="79"/>
      <c r="J299" s="14"/>
      <c r="K299" s="38"/>
      <c r="L299" s="38"/>
      <c r="M299" s="17"/>
    </row>
    <row r="300" spans="2:13" ht="14.45" customHeight="1" x14ac:dyDescent="0.25">
      <c r="B300" s="17"/>
      <c r="C300" s="14"/>
      <c r="D300" s="14"/>
      <c r="E300" s="18"/>
      <c r="F300" s="61"/>
      <c r="G300" s="73"/>
      <c r="H300" s="79"/>
      <c r="I300" s="79"/>
      <c r="J300" s="14"/>
      <c r="K300" s="38"/>
      <c r="L300" s="38"/>
      <c r="M300" s="17"/>
    </row>
    <row r="301" spans="2:13" ht="14.45" customHeight="1" x14ac:dyDescent="0.25">
      <c r="B301" s="17"/>
      <c r="C301" s="14"/>
      <c r="D301" s="14"/>
      <c r="E301" s="18"/>
      <c r="F301" s="61"/>
      <c r="G301" s="73"/>
      <c r="H301" s="79"/>
      <c r="I301" s="79"/>
      <c r="J301" s="14"/>
      <c r="K301" s="38"/>
      <c r="L301" s="38"/>
      <c r="M301" s="17"/>
    </row>
    <row r="302" spans="2:13" ht="14.45" customHeight="1" x14ac:dyDescent="0.25">
      <c r="B302" s="17"/>
      <c r="C302" s="14"/>
      <c r="D302" s="14"/>
      <c r="E302" s="18"/>
      <c r="F302" s="61"/>
      <c r="G302" s="73"/>
      <c r="H302" s="79"/>
      <c r="I302" s="79"/>
      <c r="J302" s="14"/>
      <c r="K302" s="38"/>
      <c r="L302" s="38"/>
      <c r="M302" s="17"/>
    </row>
    <row r="303" spans="2:13" ht="14.45" customHeight="1" x14ac:dyDescent="0.25">
      <c r="B303" s="17"/>
      <c r="C303" s="14"/>
      <c r="D303" s="14"/>
      <c r="E303" s="18"/>
      <c r="F303" s="61"/>
      <c r="G303" s="73"/>
      <c r="H303" s="79"/>
      <c r="I303" s="79"/>
      <c r="J303" s="14"/>
      <c r="K303" s="38"/>
      <c r="L303" s="38"/>
      <c r="M303" s="17"/>
    </row>
    <row r="304" spans="2:13" ht="14.45" customHeight="1" x14ac:dyDescent="0.25">
      <c r="B304" s="17"/>
      <c r="C304" s="14"/>
      <c r="D304" s="14"/>
      <c r="E304" s="18"/>
      <c r="F304" s="61"/>
      <c r="G304" s="73"/>
      <c r="H304" s="79"/>
      <c r="I304" s="79"/>
      <c r="J304" s="14"/>
      <c r="K304" s="38"/>
      <c r="L304" s="38"/>
      <c r="M304" s="17"/>
    </row>
    <row r="305" spans="2:13" ht="14.45" customHeight="1" x14ac:dyDescent="0.25">
      <c r="B305" s="17"/>
      <c r="C305" s="14"/>
      <c r="D305" s="14"/>
      <c r="E305" s="18"/>
      <c r="F305" s="61"/>
      <c r="G305" s="73"/>
      <c r="H305" s="79"/>
      <c r="I305" s="79"/>
      <c r="J305" s="14"/>
      <c r="K305" s="38"/>
      <c r="L305" s="38"/>
      <c r="M305" s="17"/>
    </row>
    <row r="306" spans="2:13" ht="14.45" customHeight="1" x14ac:dyDescent="0.25">
      <c r="B306" s="17"/>
      <c r="C306" s="14"/>
      <c r="D306" s="14"/>
      <c r="E306" s="18"/>
      <c r="F306" s="61"/>
      <c r="G306" s="73"/>
      <c r="H306" s="79"/>
      <c r="I306" s="79"/>
      <c r="J306" s="14"/>
      <c r="K306" s="38"/>
      <c r="L306" s="38"/>
      <c r="M306" s="17"/>
    </row>
    <row r="307" spans="2:13" ht="14.45" customHeight="1" x14ac:dyDescent="0.25">
      <c r="B307" s="17"/>
      <c r="C307" s="14"/>
      <c r="D307" s="14"/>
      <c r="E307" s="18"/>
      <c r="F307" s="61"/>
      <c r="G307" s="73"/>
      <c r="H307" s="79"/>
      <c r="I307" s="79"/>
      <c r="J307" s="14"/>
      <c r="K307" s="38"/>
      <c r="L307" s="38"/>
      <c r="M307" s="17"/>
    </row>
    <row r="308" spans="2:13" ht="14.45" customHeight="1" x14ac:dyDescent="0.25">
      <c r="B308" s="17"/>
      <c r="C308" s="14"/>
      <c r="D308" s="14"/>
      <c r="E308" s="18"/>
      <c r="F308" s="61"/>
      <c r="G308" s="73"/>
      <c r="H308" s="79"/>
      <c r="I308" s="79"/>
      <c r="J308" s="14"/>
      <c r="K308" s="38"/>
      <c r="L308" s="38"/>
      <c r="M308" s="17"/>
    </row>
    <row r="309" spans="2:13" ht="14.45" customHeight="1" x14ac:dyDescent="0.25">
      <c r="B309" s="17"/>
      <c r="C309" s="14"/>
      <c r="D309" s="14"/>
      <c r="E309" s="18"/>
      <c r="F309" s="61"/>
      <c r="G309" s="73"/>
      <c r="H309" s="79"/>
      <c r="I309" s="79"/>
      <c r="J309" s="14"/>
      <c r="K309" s="38"/>
      <c r="L309" s="38"/>
      <c r="M309" s="17"/>
    </row>
    <row r="310" spans="2:13" ht="14.45" customHeight="1" x14ac:dyDescent="0.25">
      <c r="B310" s="17"/>
      <c r="C310" s="14"/>
      <c r="D310" s="14"/>
      <c r="E310" s="18"/>
      <c r="F310" s="61"/>
      <c r="G310" s="73"/>
      <c r="H310" s="79"/>
      <c r="I310" s="79"/>
      <c r="J310" s="14"/>
      <c r="K310" s="38"/>
      <c r="L310" s="38"/>
      <c r="M310" s="17"/>
    </row>
    <row r="311" spans="2:13" ht="14.45" customHeight="1" x14ac:dyDescent="0.25">
      <c r="B311" s="17"/>
      <c r="C311" s="14"/>
      <c r="D311" s="14"/>
      <c r="E311" s="18"/>
      <c r="F311" s="61"/>
      <c r="G311" s="73"/>
      <c r="H311" s="79"/>
      <c r="I311" s="79"/>
      <c r="J311" s="14"/>
      <c r="K311" s="38"/>
      <c r="L311" s="38"/>
      <c r="M311" s="17"/>
    </row>
    <row r="312" spans="2:13" ht="14.45" customHeight="1" x14ac:dyDescent="0.25">
      <c r="B312" s="17"/>
      <c r="C312" s="14"/>
      <c r="D312" s="14"/>
      <c r="E312" s="18"/>
      <c r="F312" s="61"/>
      <c r="G312" s="73"/>
      <c r="H312" s="79"/>
      <c r="I312" s="79"/>
      <c r="J312" s="14"/>
      <c r="K312" s="38"/>
      <c r="L312" s="38"/>
      <c r="M312" s="17"/>
    </row>
    <row r="313" spans="2:13" ht="14.45" customHeight="1" x14ac:dyDescent="0.25">
      <c r="B313" s="17"/>
      <c r="C313" s="14"/>
      <c r="D313" s="14"/>
      <c r="E313" s="18"/>
      <c r="F313" s="61"/>
      <c r="G313" s="73"/>
      <c r="H313" s="79"/>
      <c r="I313" s="79"/>
      <c r="J313" s="14"/>
      <c r="K313" s="38"/>
      <c r="L313" s="38"/>
      <c r="M313" s="17"/>
    </row>
    <row r="314" spans="2:13" ht="14.45" customHeight="1" x14ac:dyDescent="0.25">
      <c r="B314" s="17"/>
      <c r="C314" s="14"/>
      <c r="D314" s="14"/>
      <c r="E314" s="18"/>
      <c r="F314" s="61"/>
      <c r="G314" s="73"/>
      <c r="H314" s="79"/>
      <c r="I314" s="79"/>
      <c r="J314" s="14"/>
      <c r="K314" s="38"/>
      <c r="L314" s="38"/>
      <c r="M314" s="17"/>
    </row>
    <row r="315" spans="2:13" ht="14.45" customHeight="1" x14ac:dyDescent="0.25">
      <c r="B315" s="17"/>
      <c r="C315" s="14"/>
      <c r="D315" s="14"/>
      <c r="E315" s="18"/>
      <c r="F315" s="61"/>
      <c r="G315" s="73"/>
      <c r="H315" s="79"/>
      <c r="I315" s="79"/>
      <c r="J315" s="14"/>
      <c r="K315" s="38"/>
      <c r="L315" s="38"/>
      <c r="M315" s="17"/>
    </row>
    <row r="316" spans="2:13" ht="14.45" customHeight="1" x14ac:dyDescent="0.25">
      <c r="B316" s="17"/>
      <c r="C316" s="14"/>
      <c r="D316" s="14"/>
      <c r="E316" s="18"/>
      <c r="F316" s="61"/>
      <c r="G316" s="73"/>
      <c r="H316" s="79"/>
      <c r="I316" s="79"/>
      <c r="J316" s="14"/>
      <c r="K316" s="38"/>
      <c r="L316" s="38"/>
      <c r="M316" s="17"/>
    </row>
    <row r="317" spans="2:13" ht="14.45" customHeight="1" x14ac:dyDescent="0.25">
      <c r="B317" s="17"/>
      <c r="C317" s="14"/>
      <c r="D317" s="14"/>
      <c r="E317" s="18"/>
      <c r="F317" s="61"/>
      <c r="G317" s="73"/>
      <c r="H317" s="79"/>
      <c r="I317" s="79"/>
      <c r="J317" s="14"/>
      <c r="K317" s="38"/>
      <c r="L317" s="38"/>
      <c r="M317" s="17"/>
    </row>
    <row r="318" spans="2:13" ht="14.45" customHeight="1" x14ac:dyDescent="0.25">
      <c r="B318" s="17"/>
      <c r="C318" s="14"/>
      <c r="D318" s="14"/>
      <c r="E318" s="18"/>
      <c r="F318" s="61"/>
      <c r="G318" s="73"/>
      <c r="H318" s="79"/>
      <c r="I318" s="79"/>
      <c r="J318" s="14"/>
      <c r="K318" s="38"/>
      <c r="L318" s="38"/>
      <c r="M318" s="17"/>
    </row>
    <row r="319" spans="2:13" ht="14.45" customHeight="1" x14ac:dyDescent="0.25">
      <c r="B319" s="17"/>
      <c r="C319" s="14"/>
      <c r="D319" s="14"/>
      <c r="E319" s="18"/>
      <c r="F319" s="61"/>
      <c r="G319" s="73"/>
      <c r="H319" s="79"/>
      <c r="I319" s="79"/>
      <c r="J319" s="14"/>
      <c r="K319" s="38"/>
      <c r="L319" s="38"/>
      <c r="M319" s="17"/>
    </row>
    <row r="320" spans="2:13" ht="14.45" customHeight="1" x14ac:dyDescent="0.25">
      <c r="B320" s="17"/>
      <c r="C320" s="14"/>
      <c r="D320" s="14"/>
      <c r="E320" s="18"/>
      <c r="F320" s="61"/>
      <c r="G320" s="73"/>
      <c r="H320" s="79"/>
      <c r="I320" s="79"/>
      <c r="J320" s="14"/>
      <c r="K320" s="38"/>
      <c r="L320" s="38"/>
      <c r="M320" s="17"/>
    </row>
    <row r="321" spans="2:13" ht="14.45" customHeight="1" x14ac:dyDescent="0.25">
      <c r="B321" s="17"/>
      <c r="C321" s="14"/>
      <c r="D321" s="14"/>
      <c r="E321" s="18"/>
      <c r="F321" s="61"/>
      <c r="G321" s="73"/>
      <c r="H321" s="79"/>
      <c r="I321" s="79"/>
      <c r="J321" s="14"/>
      <c r="K321" s="38"/>
      <c r="L321" s="38"/>
      <c r="M321" s="17"/>
    </row>
    <row r="322" spans="2:13" ht="14.45" customHeight="1" x14ac:dyDescent="0.25">
      <c r="B322" s="17"/>
      <c r="C322" s="14"/>
      <c r="D322" s="14"/>
      <c r="E322" s="18"/>
      <c r="F322" s="61"/>
      <c r="G322" s="73"/>
      <c r="H322" s="79"/>
      <c r="I322" s="79"/>
      <c r="J322" s="14"/>
      <c r="K322" s="38"/>
      <c r="L322" s="38"/>
      <c r="M322" s="17"/>
    </row>
    <row r="323" spans="2:13" ht="14.45" customHeight="1" x14ac:dyDescent="0.25">
      <c r="B323" s="17"/>
      <c r="C323" s="14"/>
      <c r="D323" s="14"/>
      <c r="E323" s="18"/>
      <c r="F323" s="61"/>
      <c r="G323" s="73"/>
      <c r="H323" s="79"/>
      <c r="I323" s="79"/>
      <c r="J323" s="14"/>
      <c r="K323" s="38"/>
      <c r="L323" s="38"/>
      <c r="M323" s="17"/>
    </row>
    <row r="324" spans="2:13" ht="14.45" customHeight="1" x14ac:dyDescent="0.25">
      <c r="B324" s="17"/>
      <c r="C324" s="14"/>
      <c r="D324" s="14"/>
      <c r="E324" s="18"/>
      <c r="F324" s="61"/>
      <c r="G324" s="73"/>
      <c r="H324" s="79"/>
      <c r="I324" s="79"/>
      <c r="J324" s="14"/>
      <c r="K324" s="38"/>
      <c r="L324" s="38"/>
      <c r="M324" s="17"/>
    </row>
    <row r="325" spans="2:13" ht="14.45" customHeight="1" x14ac:dyDescent="0.25">
      <c r="B325" s="17"/>
      <c r="C325" s="14"/>
      <c r="D325" s="14"/>
      <c r="E325" s="18"/>
      <c r="F325" s="61"/>
      <c r="G325" s="73"/>
      <c r="H325" s="79"/>
      <c r="I325" s="79"/>
      <c r="J325" s="14"/>
      <c r="K325" s="38"/>
      <c r="L325" s="38"/>
      <c r="M325" s="17"/>
    </row>
    <row r="326" spans="2:13" ht="14.45" customHeight="1" x14ac:dyDescent="0.25">
      <c r="B326" s="17"/>
      <c r="C326" s="14"/>
      <c r="D326" s="14"/>
      <c r="E326" s="18"/>
      <c r="F326" s="61"/>
      <c r="G326" s="73"/>
      <c r="H326" s="79"/>
      <c r="I326" s="79"/>
      <c r="J326" s="14"/>
      <c r="K326" s="38"/>
      <c r="L326" s="38"/>
      <c r="M326" s="17"/>
    </row>
    <row r="327" spans="2:13" ht="14.45" customHeight="1" x14ac:dyDescent="0.25">
      <c r="B327" s="17"/>
      <c r="C327" s="14"/>
      <c r="D327" s="14"/>
      <c r="E327" s="18"/>
      <c r="F327" s="61"/>
      <c r="G327" s="73"/>
      <c r="H327" s="79"/>
      <c r="I327" s="79"/>
      <c r="J327" s="14"/>
      <c r="K327" s="38"/>
      <c r="L327" s="38"/>
      <c r="M327" s="17"/>
    </row>
    <row r="328" spans="2:13" ht="14.45" customHeight="1" x14ac:dyDescent="0.25">
      <c r="B328" s="17"/>
      <c r="C328" s="14"/>
      <c r="D328" s="14"/>
      <c r="E328" s="18"/>
      <c r="F328" s="61"/>
      <c r="G328" s="73"/>
      <c r="H328" s="79"/>
      <c r="I328" s="79"/>
      <c r="J328" s="14"/>
      <c r="K328" s="38"/>
      <c r="L328" s="38"/>
      <c r="M328" s="17"/>
    </row>
    <row r="329" spans="2:13" ht="14.45" customHeight="1" x14ac:dyDescent="0.25">
      <c r="B329" s="17"/>
      <c r="C329" s="14"/>
      <c r="D329" s="14"/>
      <c r="E329" s="18"/>
      <c r="F329" s="61"/>
      <c r="G329" s="73"/>
      <c r="H329" s="79"/>
      <c r="I329" s="79"/>
      <c r="J329" s="14"/>
      <c r="K329" s="38"/>
      <c r="L329" s="38"/>
      <c r="M329" s="17"/>
    </row>
    <row r="330" spans="2:13" ht="14.45" customHeight="1" x14ac:dyDescent="0.25">
      <c r="B330" s="17"/>
      <c r="C330" s="14"/>
      <c r="D330" s="14"/>
      <c r="E330" s="18"/>
      <c r="F330" s="61"/>
      <c r="G330" s="73"/>
      <c r="H330" s="79"/>
      <c r="I330" s="79"/>
      <c r="J330" s="14"/>
      <c r="K330" s="38"/>
      <c r="L330" s="38"/>
      <c r="M330" s="17"/>
    </row>
    <row r="331" spans="2:13" ht="14.45" customHeight="1" x14ac:dyDescent="0.25">
      <c r="B331" s="17"/>
      <c r="C331" s="14"/>
      <c r="D331" s="14"/>
      <c r="E331" s="18"/>
      <c r="F331" s="61"/>
      <c r="G331" s="73"/>
      <c r="H331" s="79"/>
      <c r="I331" s="79"/>
      <c r="J331" s="14"/>
      <c r="K331" s="38"/>
      <c r="L331" s="38"/>
      <c r="M331" s="17"/>
    </row>
    <row r="332" spans="2:13" ht="14.45" customHeight="1" x14ac:dyDescent="0.25">
      <c r="B332" s="17"/>
      <c r="C332" s="14"/>
      <c r="D332" s="14"/>
      <c r="E332" s="18"/>
      <c r="F332" s="61"/>
      <c r="G332" s="73"/>
      <c r="H332" s="79"/>
      <c r="I332" s="79"/>
      <c r="J332" s="14"/>
      <c r="K332" s="38"/>
      <c r="L332" s="38"/>
      <c r="M332" s="17"/>
    </row>
    <row r="333" spans="2:13" ht="14.45" customHeight="1" x14ac:dyDescent="0.25">
      <c r="B333" s="17"/>
      <c r="C333" s="14"/>
      <c r="D333" s="14"/>
      <c r="E333" s="18"/>
      <c r="F333" s="61"/>
      <c r="G333" s="73"/>
      <c r="H333" s="79"/>
      <c r="I333" s="79"/>
      <c r="J333" s="14"/>
      <c r="K333" s="38"/>
      <c r="L333" s="38"/>
      <c r="M333" s="17"/>
    </row>
    <row r="334" spans="2:13" ht="14.45" customHeight="1" x14ac:dyDescent="0.25">
      <c r="B334" s="17"/>
      <c r="C334" s="14"/>
      <c r="D334" s="14"/>
      <c r="E334" s="18"/>
      <c r="F334" s="61"/>
      <c r="G334" s="73"/>
      <c r="H334" s="79"/>
      <c r="I334" s="79"/>
      <c r="J334" s="14"/>
      <c r="K334" s="38"/>
      <c r="L334" s="38"/>
      <c r="M334" s="17"/>
    </row>
    <row r="335" spans="2:13" ht="14.45" customHeight="1" x14ac:dyDescent="0.25">
      <c r="B335" s="17"/>
      <c r="C335" s="14"/>
      <c r="D335" s="14"/>
      <c r="E335" s="18"/>
      <c r="F335" s="61"/>
      <c r="G335" s="73"/>
      <c r="H335" s="79"/>
      <c r="I335" s="79"/>
      <c r="J335" s="14"/>
      <c r="K335" s="38"/>
      <c r="L335" s="38"/>
      <c r="M335" s="17"/>
    </row>
    <row r="336" spans="2:13" ht="14.45" customHeight="1" x14ac:dyDescent="0.25">
      <c r="B336" s="17"/>
      <c r="C336" s="14"/>
      <c r="D336" s="14"/>
      <c r="E336" s="18"/>
      <c r="F336" s="61"/>
      <c r="G336" s="73"/>
      <c r="H336" s="79"/>
      <c r="I336" s="79"/>
      <c r="J336" s="14"/>
      <c r="K336" s="38"/>
      <c r="L336" s="38"/>
      <c r="M336" s="17"/>
    </row>
    <row r="337" spans="2:13" ht="14.45" customHeight="1" x14ac:dyDescent="0.25">
      <c r="B337" s="17"/>
      <c r="C337" s="14"/>
      <c r="D337" s="14"/>
      <c r="E337" s="18"/>
      <c r="F337" s="61"/>
      <c r="G337" s="73"/>
      <c r="H337" s="79"/>
      <c r="I337" s="79"/>
      <c r="J337" s="14"/>
      <c r="K337" s="38"/>
      <c r="L337" s="38"/>
      <c r="M337" s="17"/>
    </row>
    <row r="338" spans="2:13" ht="14.45" customHeight="1" x14ac:dyDescent="0.25">
      <c r="B338" s="17"/>
      <c r="C338" s="14"/>
      <c r="D338" s="14"/>
      <c r="E338" s="18"/>
      <c r="F338" s="61"/>
      <c r="G338" s="73"/>
      <c r="H338" s="79"/>
      <c r="I338" s="79"/>
      <c r="J338" s="14"/>
      <c r="K338" s="38"/>
      <c r="L338" s="38"/>
      <c r="M338" s="17"/>
    </row>
    <row r="339" spans="2:13" ht="14.45" customHeight="1" x14ac:dyDescent="0.25">
      <c r="B339" s="17"/>
      <c r="C339" s="14"/>
      <c r="D339" s="14"/>
      <c r="E339" s="18"/>
      <c r="F339" s="61"/>
      <c r="G339" s="73"/>
      <c r="H339" s="79"/>
      <c r="I339" s="79"/>
      <c r="J339" s="14"/>
      <c r="K339" s="38"/>
      <c r="L339" s="38"/>
      <c r="M339" s="17"/>
    </row>
    <row r="340" spans="2:13" ht="14.45" customHeight="1" x14ac:dyDescent="0.25">
      <c r="B340" s="17"/>
      <c r="C340" s="14"/>
      <c r="D340" s="14"/>
      <c r="E340" s="18"/>
      <c r="F340" s="61"/>
      <c r="G340" s="73"/>
      <c r="H340" s="79"/>
      <c r="I340" s="79"/>
      <c r="J340" s="14"/>
      <c r="K340" s="38"/>
      <c r="L340" s="38"/>
      <c r="M340" s="17"/>
    </row>
    <row r="341" spans="2:13" ht="14.45" customHeight="1" x14ac:dyDescent="0.25">
      <c r="B341" s="17"/>
      <c r="C341" s="14"/>
      <c r="D341" s="14"/>
      <c r="E341" s="18"/>
      <c r="F341" s="61"/>
      <c r="G341" s="73"/>
      <c r="H341" s="79"/>
      <c r="I341" s="79"/>
      <c r="J341" s="14"/>
      <c r="K341" s="38"/>
      <c r="L341" s="38"/>
      <c r="M341" s="17"/>
    </row>
    <row r="342" spans="2:13" ht="14.45" customHeight="1" x14ac:dyDescent="0.25">
      <c r="B342" s="17"/>
      <c r="C342" s="14"/>
      <c r="D342" s="14"/>
      <c r="E342" s="18"/>
      <c r="F342" s="61"/>
      <c r="G342" s="73"/>
      <c r="H342" s="79"/>
      <c r="I342" s="79"/>
      <c r="J342" s="14"/>
      <c r="K342" s="38"/>
      <c r="L342" s="38"/>
      <c r="M342" s="17"/>
    </row>
    <row r="343" spans="2:13" ht="14.45" customHeight="1" x14ac:dyDescent="0.25">
      <c r="B343" s="17"/>
      <c r="C343" s="14"/>
      <c r="D343" s="14"/>
      <c r="E343" s="18"/>
      <c r="F343" s="61"/>
      <c r="G343" s="73"/>
      <c r="H343" s="79"/>
      <c r="I343" s="79"/>
      <c r="J343" s="14"/>
      <c r="K343" s="38"/>
      <c r="L343" s="38"/>
      <c r="M343" s="17"/>
    </row>
    <row r="344" spans="2:13" ht="14.45" customHeight="1" x14ac:dyDescent="0.25">
      <c r="B344" s="17"/>
      <c r="C344" s="14"/>
      <c r="D344" s="14"/>
      <c r="E344" s="18"/>
      <c r="F344" s="61"/>
      <c r="G344" s="73"/>
      <c r="H344" s="79"/>
      <c r="I344" s="79"/>
      <c r="J344" s="14"/>
      <c r="K344" s="38"/>
      <c r="L344" s="38"/>
      <c r="M344" s="17"/>
    </row>
    <row r="345" spans="2:13" ht="14.45" customHeight="1" x14ac:dyDescent="0.25">
      <c r="B345" s="17"/>
      <c r="C345" s="14"/>
      <c r="D345" s="14"/>
      <c r="E345" s="18"/>
      <c r="F345" s="61"/>
      <c r="G345" s="73"/>
      <c r="H345" s="79"/>
      <c r="I345" s="79"/>
      <c r="J345" s="14"/>
      <c r="K345" s="38"/>
      <c r="L345" s="38"/>
      <c r="M345" s="17"/>
    </row>
    <row r="346" spans="2:13" ht="14.45" customHeight="1" x14ac:dyDescent="0.25">
      <c r="B346" s="17"/>
      <c r="C346" s="14"/>
      <c r="D346" s="14"/>
      <c r="E346" s="18"/>
      <c r="F346" s="61"/>
      <c r="G346" s="73"/>
      <c r="H346" s="79"/>
      <c r="I346" s="79"/>
      <c r="J346" s="14"/>
      <c r="K346" s="38"/>
      <c r="L346" s="38"/>
      <c r="M346" s="17"/>
    </row>
    <row r="347" spans="2:13" ht="14.45" customHeight="1" x14ac:dyDescent="0.25">
      <c r="B347" s="17"/>
      <c r="C347" s="14"/>
      <c r="D347" s="14"/>
      <c r="E347" s="18"/>
      <c r="F347" s="61"/>
      <c r="G347" s="73"/>
      <c r="H347" s="79"/>
      <c r="I347" s="79"/>
      <c r="J347" s="14"/>
      <c r="K347" s="38"/>
      <c r="L347" s="38"/>
      <c r="M347" s="17"/>
    </row>
    <row r="348" spans="2:13" ht="14.45" customHeight="1" x14ac:dyDescent="0.25">
      <c r="B348" s="17"/>
      <c r="C348" s="14"/>
      <c r="D348" s="14"/>
      <c r="E348" s="18"/>
      <c r="F348" s="61"/>
      <c r="G348" s="73"/>
      <c r="H348" s="79"/>
      <c r="I348" s="79"/>
      <c r="J348" s="14"/>
      <c r="K348" s="38"/>
      <c r="L348" s="38"/>
      <c r="M348" s="17"/>
    </row>
    <row r="349" spans="2:13" ht="14.45" customHeight="1" x14ac:dyDescent="0.25">
      <c r="B349" s="17"/>
      <c r="C349" s="14"/>
      <c r="D349" s="14"/>
      <c r="E349" s="18"/>
      <c r="F349" s="61"/>
      <c r="G349" s="73"/>
      <c r="H349" s="79"/>
      <c r="I349" s="79"/>
      <c r="J349" s="14"/>
      <c r="K349" s="38"/>
      <c r="L349" s="38"/>
      <c r="M349" s="17"/>
    </row>
    <row r="350" spans="2:13" ht="14.45" customHeight="1" x14ac:dyDescent="0.25">
      <c r="B350" s="17"/>
      <c r="C350" s="14"/>
      <c r="D350" s="14"/>
      <c r="E350" s="18"/>
      <c r="F350" s="61"/>
      <c r="G350" s="73"/>
      <c r="H350" s="79"/>
      <c r="I350" s="79"/>
      <c r="J350" s="14"/>
      <c r="K350" s="38"/>
      <c r="L350" s="38"/>
      <c r="M350" s="17"/>
    </row>
    <row r="351" spans="2:13" ht="14.45" customHeight="1" x14ac:dyDescent="0.25">
      <c r="B351" s="17"/>
      <c r="C351" s="14"/>
      <c r="D351" s="14"/>
      <c r="E351" s="18"/>
      <c r="F351" s="61"/>
      <c r="G351" s="73"/>
      <c r="H351" s="79"/>
      <c r="I351" s="79"/>
      <c r="J351" s="14"/>
      <c r="K351" s="38"/>
      <c r="L351" s="38"/>
      <c r="M351" s="17"/>
    </row>
    <row r="352" spans="2:13" ht="14.45" customHeight="1" x14ac:dyDescent="0.25">
      <c r="B352" s="17"/>
      <c r="C352" s="14"/>
      <c r="D352" s="14"/>
      <c r="E352" s="18"/>
      <c r="F352" s="61"/>
      <c r="G352" s="73"/>
      <c r="H352" s="79"/>
      <c r="I352" s="79"/>
      <c r="J352" s="14"/>
      <c r="K352" s="38"/>
      <c r="L352" s="38"/>
      <c r="M352" s="17"/>
    </row>
    <row r="353" spans="2:13" ht="14.45" customHeight="1" x14ac:dyDescent="0.25">
      <c r="B353" s="17"/>
      <c r="C353" s="14"/>
      <c r="D353" s="14"/>
      <c r="E353" s="18"/>
      <c r="F353" s="61"/>
      <c r="G353" s="73"/>
      <c r="H353" s="79"/>
      <c r="I353" s="79"/>
      <c r="J353" s="14"/>
      <c r="K353" s="38"/>
      <c r="L353" s="38"/>
      <c r="M353" s="17"/>
    </row>
    <row r="354" spans="2:13" ht="14.45" customHeight="1" x14ac:dyDescent="0.25">
      <c r="B354" s="17"/>
      <c r="C354" s="14"/>
      <c r="D354" s="14"/>
      <c r="E354" s="18"/>
      <c r="F354" s="61"/>
      <c r="G354" s="73"/>
      <c r="H354" s="79"/>
      <c r="I354" s="79"/>
      <c r="J354" s="14"/>
      <c r="K354" s="38"/>
      <c r="L354" s="38"/>
      <c r="M354" s="17"/>
    </row>
    <row r="355" spans="2:13" ht="14.45" customHeight="1" x14ac:dyDescent="0.25">
      <c r="B355" s="17"/>
      <c r="C355" s="14"/>
      <c r="D355" s="14"/>
      <c r="E355" s="18"/>
      <c r="F355" s="61"/>
      <c r="G355" s="73"/>
      <c r="H355" s="79"/>
      <c r="I355" s="79"/>
      <c r="J355" s="14"/>
      <c r="K355" s="38"/>
      <c r="L355" s="38"/>
      <c r="M355" s="17"/>
    </row>
    <row r="356" spans="2:13" ht="14.45" customHeight="1" x14ac:dyDescent="0.25">
      <c r="B356" s="17"/>
      <c r="C356" s="14"/>
      <c r="D356" s="14"/>
      <c r="E356" s="18"/>
      <c r="F356" s="61"/>
      <c r="G356" s="73"/>
      <c r="H356" s="79"/>
      <c r="I356" s="79"/>
      <c r="J356" s="14"/>
      <c r="K356" s="38"/>
      <c r="L356" s="38"/>
      <c r="M356" s="17"/>
    </row>
    <row r="357" spans="2:13" ht="14.45" customHeight="1" x14ac:dyDescent="0.25">
      <c r="B357" s="17"/>
      <c r="C357" s="14"/>
      <c r="D357" s="14"/>
      <c r="E357" s="18"/>
      <c r="F357" s="61"/>
      <c r="G357" s="73"/>
      <c r="H357" s="79"/>
      <c r="I357" s="79"/>
      <c r="J357" s="14"/>
      <c r="K357" s="38"/>
      <c r="L357" s="38"/>
      <c r="M357" s="17"/>
    </row>
    <row r="358" spans="2:13" ht="14.45" customHeight="1" x14ac:dyDescent="0.25">
      <c r="B358" s="17"/>
      <c r="C358" s="14"/>
      <c r="D358" s="14"/>
      <c r="E358" s="18"/>
      <c r="F358" s="61"/>
      <c r="G358" s="73"/>
      <c r="H358" s="79"/>
      <c r="I358" s="79"/>
      <c r="J358" s="14"/>
      <c r="K358" s="38"/>
      <c r="L358" s="38"/>
      <c r="M358" s="17"/>
    </row>
    <row r="359" spans="2:13" ht="14.45" customHeight="1" x14ac:dyDescent="0.25">
      <c r="B359" s="17"/>
      <c r="C359" s="14"/>
      <c r="D359" s="14"/>
      <c r="E359" s="18"/>
      <c r="F359" s="61"/>
      <c r="G359" s="73"/>
      <c r="H359" s="79"/>
      <c r="I359" s="79"/>
      <c r="J359" s="14"/>
      <c r="K359" s="38"/>
      <c r="L359" s="38"/>
      <c r="M359" s="17"/>
    </row>
    <row r="360" spans="2:13" ht="14.45" customHeight="1" x14ac:dyDescent="0.25">
      <c r="B360" s="17"/>
      <c r="C360" s="14"/>
      <c r="D360" s="14"/>
      <c r="E360" s="18"/>
      <c r="F360" s="61"/>
      <c r="G360" s="73"/>
      <c r="H360" s="79"/>
      <c r="I360" s="79"/>
      <c r="J360" s="14"/>
      <c r="K360" s="38"/>
      <c r="L360" s="38"/>
      <c r="M360" s="17"/>
    </row>
    <row r="361" spans="2:13" ht="14.45" customHeight="1" x14ac:dyDescent="0.25">
      <c r="B361" s="17"/>
      <c r="C361" s="14"/>
      <c r="D361" s="14"/>
      <c r="E361" s="18"/>
      <c r="F361" s="61"/>
      <c r="G361" s="73"/>
      <c r="H361" s="79"/>
      <c r="I361" s="79"/>
      <c r="J361" s="14"/>
      <c r="K361" s="38"/>
      <c r="L361" s="38"/>
      <c r="M361" s="17"/>
    </row>
    <row r="362" spans="2:13" ht="14.45" customHeight="1" x14ac:dyDescent="0.25">
      <c r="B362" s="17"/>
      <c r="C362" s="14"/>
      <c r="D362" s="14"/>
      <c r="E362" s="18"/>
      <c r="F362" s="61"/>
      <c r="G362" s="73"/>
      <c r="H362" s="79"/>
      <c r="I362" s="79"/>
      <c r="J362" s="14"/>
      <c r="K362" s="38"/>
      <c r="L362" s="38"/>
      <c r="M362" s="17"/>
    </row>
    <row r="363" spans="2:13" ht="14.45" customHeight="1" x14ac:dyDescent="0.25">
      <c r="B363" s="17"/>
      <c r="C363" s="14"/>
      <c r="D363" s="14"/>
      <c r="E363" s="18"/>
      <c r="F363" s="61"/>
      <c r="G363" s="73"/>
      <c r="H363" s="79"/>
      <c r="I363" s="79"/>
      <c r="J363" s="14"/>
      <c r="K363" s="38"/>
      <c r="L363" s="38"/>
      <c r="M363" s="17"/>
    </row>
    <row r="364" spans="2:13" ht="14.45" customHeight="1" x14ac:dyDescent="0.25">
      <c r="B364" s="17"/>
      <c r="C364" s="14"/>
      <c r="D364" s="14"/>
      <c r="E364" s="18"/>
      <c r="F364" s="61"/>
      <c r="G364" s="73"/>
      <c r="H364" s="79"/>
      <c r="I364" s="79"/>
      <c r="J364" s="14"/>
      <c r="K364" s="38"/>
      <c r="L364" s="38"/>
      <c r="M364" s="17"/>
    </row>
    <row r="365" spans="2:13" ht="14.45" customHeight="1" x14ac:dyDescent="0.25">
      <c r="B365" s="17"/>
      <c r="C365" s="14"/>
      <c r="D365" s="14"/>
      <c r="E365" s="18"/>
      <c r="F365" s="61"/>
      <c r="G365" s="73"/>
      <c r="H365" s="79"/>
      <c r="I365" s="79"/>
      <c r="J365" s="14"/>
      <c r="K365" s="38"/>
      <c r="L365" s="38"/>
      <c r="M365" s="17"/>
    </row>
    <row r="366" spans="2:13" ht="14.45" customHeight="1" x14ac:dyDescent="0.25">
      <c r="B366" s="17"/>
      <c r="C366" s="14"/>
      <c r="D366" s="14"/>
      <c r="E366" s="18"/>
      <c r="F366" s="61"/>
      <c r="G366" s="73"/>
      <c r="H366" s="79"/>
      <c r="I366" s="79"/>
      <c r="J366" s="14"/>
      <c r="K366" s="38"/>
      <c r="L366" s="38"/>
      <c r="M366" s="17"/>
    </row>
    <row r="367" spans="2:13" ht="14.45" customHeight="1" x14ac:dyDescent="0.25">
      <c r="B367" s="17"/>
      <c r="C367" s="14"/>
      <c r="D367" s="14"/>
      <c r="E367" s="18"/>
      <c r="F367" s="61"/>
      <c r="G367" s="73"/>
      <c r="H367" s="79"/>
      <c r="I367" s="79"/>
      <c r="J367" s="14"/>
      <c r="K367" s="38"/>
      <c r="L367" s="38"/>
      <c r="M367" s="17"/>
    </row>
    <row r="368" spans="2:13" ht="14.45" customHeight="1" x14ac:dyDescent="0.25">
      <c r="B368" s="17"/>
      <c r="C368" s="14"/>
      <c r="D368" s="14"/>
      <c r="E368" s="18"/>
      <c r="F368" s="61"/>
      <c r="G368" s="73"/>
      <c r="H368" s="79"/>
      <c r="I368" s="79"/>
      <c r="J368" s="14"/>
      <c r="K368" s="38"/>
      <c r="L368" s="38"/>
      <c r="M368" s="17"/>
    </row>
    <row r="369" spans="2:13" ht="14.45" customHeight="1" x14ac:dyDescent="0.25">
      <c r="B369" s="17"/>
      <c r="C369" s="14"/>
      <c r="D369" s="14"/>
      <c r="E369" s="18"/>
      <c r="F369" s="61"/>
      <c r="G369" s="73"/>
      <c r="H369" s="79"/>
      <c r="I369" s="79"/>
      <c r="J369" s="14"/>
      <c r="K369" s="38"/>
      <c r="L369" s="38"/>
      <c r="M369" s="17"/>
    </row>
    <row r="370" spans="2:13" ht="14.45" customHeight="1" x14ac:dyDescent="0.25">
      <c r="B370" s="17"/>
      <c r="C370" s="14"/>
      <c r="D370" s="14"/>
      <c r="E370" s="18"/>
      <c r="F370" s="61"/>
      <c r="G370" s="73"/>
      <c r="H370" s="79"/>
      <c r="I370" s="79"/>
      <c r="J370" s="14"/>
      <c r="K370" s="38"/>
      <c r="L370" s="38"/>
      <c r="M370" s="17"/>
    </row>
    <row r="371" spans="2:13" ht="14.45" customHeight="1" x14ac:dyDescent="0.25">
      <c r="B371" s="17"/>
      <c r="C371" s="14"/>
      <c r="D371" s="14"/>
      <c r="E371" s="18"/>
      <c r="F371" s="61"/>
      <c r="G371" s="73"/>
      <c r="H371" s="79"/>
      <c r="I371" s="79"/>
      <c r="J371" s="14"/>
      <c r="K371" s="38"/>
      <c r="L371" s="38"/>
      <c r="M371" s="17"/>
    </row>
    <row r="372" spans="2:13" ht="14.45" customHeight="1" x14ac:dyDescent="0.25">
      <c r="B372" s="17"/>
      <c r="C372" s="14"/>
      <c r="D372" s="14"/>
      <c r="E372" s="18"/>
      <c r="F372" s="61"/>
      <c r="G372" s="73"/>
      <c r="H372" s="79"/>
      <c r="I372" s="79"/>
      <c r="J372" s="14"/>
      <c r="K372" s="38"/>
      <c r="L372" s="38"/>
      <c r="M372" s="17"/>
    </row>
    <row r="373" spans="2:13" ht="14.45" customHeight="1" x14ac:dyDescent="0.25">
      <c r="B373" s="17"/>
      <c r="C373" s="14"/>
      <c r="D373" s="14"/>
      <c r="E373" s="18"/>
      <c r="F373" s="61"/>
      <c r="G373" s="73"/>
      <c r="H373" s="79"/>
      <c r="I373" s="79"/>
      <c r="J373" s="14"/>
      <c r="K373" s="38"/>
      <c r="L373" s="38"/>
      <c r="M373" s="17"/>
    </row>
    <row r="374" spans="2:13" ht="14.45" customHeight="1" x14ac:dyDescent="0.25">
      <c r="B374" s="17"/>
      <c r="C374" s="14"/>
      <c r="D374" s="14"/>
      <c r="E374" s="18"/>
      <c r="F374" s="61"/>
      <c r="G374" s="73"/>
      <c r="H374" s="79"/>
      <c r="I374" s="79"/>
      <c r="J374" s="14"/>
      <c r="K374" s="38"/>
      <c r="L374" s="38"/>
      <c r="M374" s="17"/>
    </row>
    <row r="375" spans="2:13" ht="14.45" customHeight="1" x14ac:dyDescent="0.25">
      <c r="B375" s="17"/>
      <c r="C375" s="14"/>
      <c r="D375" s="14"/>
      <c r="E375" s="18"/>
      <c r="F375" s="61"/>
      <c r="G375" s="73"/>
      <c r="H375" s="79"/>
      <c r="I375" s="79"/>
      <c r="J375" s="14"/>
      <c r="K375" s="38"/>
      <c r="L375" s="38"/>
      <c r="M375" s="17"/>
    </row>
    <row r="376" spans="2:13" ht="14.45" customHeight="1" x14ac:dyDescent="0.25">
      <c r="B376" s="17"/>
      <c r="C376" s="14"/>
      <c r="D376" s="14"/>
      <c r="E376" s="18"/>
      <c r="F376" s="61"/>
      <c r="G376" s="73"/>
      <c r="H376" s="79"/>
      <c r="I376" s="79"/>
      <c r="J376" s="14"/>
      <c r="K376" s="38"/>
      <c r="L376" s="38"/>
      <c r="M376" s="17"/>
    </row>
    <row r="377" spans="2:13" ht="14.45" customHeight="1" x14ac:dyDescent="0.25">
      <c r="B377" s="17"/>
      <c r="C377" s="14"/>
      <c r="D377" s="14"/>
      <c r="E377" s="18"/>
      <c r="F377" s="61"/>
      <c r="G377" s="73"/>
      <c r="H377" s="79"/>
      <c r="I377" s="79"/>
      <c r="J377" s="14"/>
      <c r="K377" s="38"/>
      <c r="L377" s="38"/>
      <c r="M377" s="17"/>
    </row>
    <row r="378" spans="2:13" ht="14.45" customHeight="1" x14ac:dyDescent="0.25">
      <c r="B378" s="17"/>
      <c r="C378" s="14"/>
      <c r="D378" s="14"/>
      <c r="E378" s="18"/>
      <c r="F378" s="61"/>
      <c r="G378" s="73"/>
      <c r="H378" s="79"/>
      <c r="I378" s="79"/>
      <c r="J378" s="14"/>
      <c r="K378" s="38"/>
      <c r="L378" s="38"/>
      <c r="M378" s="17"/>
    </row>
    <row r="379" spans="2:13" ht="14.45" customHeight="1" x14ac:dyDescent="0.25">
      <c r="B379" s="17"/>
      <c r="C379" s="14"/>
      <c r="D379" s="14"/>
      <c r="E379" s="18"/>
      <c r="F379" s="61"/>
      <c r="G379" s="73"/>
      <c r="H379" s="79"/>
      <c r="I379" s="79"/>
      <c r="J379" s="14"/>
      <c r="K379" s="38"/>
      <c r="L379" s="38"/>
      <c r="M379" s="17"/>
    </row>
    <row r="380" spans="2:13" ht="14.45" customHeight="1" x14ac:dyDescent="0.25">
      <c r="B380" s="17"/>
      <c r="C380" s="14"/>
      <c r="D380" s="14"/>
      <c r="E380" s="18"/>
      <c r="F380" s="61"/>
      <c r="G380" s="73"/>
      <c r="H380" s="79"/>
      <c r="I380" s="79"/>
      <c r="J380" s="14"/>
      <c r="K380" s="38"/>
      <c r="L380" s="38"/>
      <c r="M380" s="17"/>
    </row>
    <row r="381" spans="2:13" ht="14.45" customHeight="1" x14ac:dyDescent="0.25">
      <c r="B381" s="17"/>
      <c r="C381" s="14"/>
      <c r="D381" s="14"/>
      <c r="E381" s="18"/>
      <c r="F381" s="61"/>
      <c r="G381" s="73"/>
      <c r="H381" s="79"/>
      <c r="I381" s="79"/>
      <c r="J381" s="14"/>
      <c r="K381" s="38"/>
      <c r="L381" s="38"/>
      <c r="M381" s="17"/>
    </row>
    <row r="382" spans="2:13" ht="14.45" customHeight="1" x14ac:dyDescent="0.25">
      <c r="B382" s="17"/>
      <c r="C382" s="14"/>
      <c r="D382" s="14"/>
      <c r="E382" s="18"/>
      <c r="F382" s="61"/>
      <c r="G382" s="73"/>
      <c r="H382" s="79"/>
      <c r="I382" s="79"/>
      <c r="J382" s="14"/>
      <c r="K382" s="38"/>
      <c r="L382" s="38"/>
      <c r="M382" s="17"/>
    </row>
    <row r="383" spans="2:13" ht="14.45" customHeight="1" x14ac:dyDescent="0.25">
      <c r="B383" s="17"/>
      <c r="C383" s="14"/>
      <c r="D383" s="14"/>
      <c r="E383" s="18"/>
      <c r="F383" s="61"/>
      <c r="G383" s="73"/>
      <c r="H383" s="79"/>
      <c r="I383" s="79"/>
      <c r="J383" s="14"/>
      <c r="K383" s="38"/>
      <c r="L383" s="38"/>
      <c r="M383" s="17"/>
    </row>
    <row r="384" spans="2:13" ht="14.45" customHeight="1" x14ac:dyDescent="0.25">
      <c r="B384" s="17"/>
      <c r="C384" s="14"/>
      <c r="D384" s="14"/>
      <c r="E384" s="18"/>
      <c r="F384" s="61"/>
      <c r="G384" s="73"/>
      <c r="H384" s="79"/>
      <c r="I384" s="79"/>
      <c r="J384" s="14"/>
      <c r="K384" s="38"/>
      <c r="L384" s="38"/>
      <c r="M384" s="17"/>
    </row>
    <row r="385" spans="2:13" ht="14.45" customHeight="1" x14ac:dyDescent="0.25">
      <c r="B385" s="17"/>
      <c r="C385" s="14"/>
      <c r="D385" s="14"/>
      <c r="E385" s="18"/>
      <c r="F385" s="61"/>
      <c r="G385" s="73"/>
      <c r="H385" s="79"/>
      <c r="I385" s="79"/>
      <c r="J385" s="14"/>
      <c r="K385" s="38"/>
      <c r="L385" s="38"/>
      <c r="M385" s="17"/>
    </row>
    <row r="386" spans="2:13" ht="14.45" customHeight="1" x14ac:dyDescent="0.25">
      <c r="B386" s="17"/>
      <c r="C386" s="14"/>
      <c r="D386" s="14"/>
      <c r="E386" s="18"/>
      <c r="F386" s="61"/>
      <c r="G386" s="73"/>
      <c r="H386" s="79"/>
      <c r="I386" s="79"/>
      <c r="J386" s="14"/>
      <c r="K386" s="38"/>
      <c r="L386" s="38"/>
      <c r="M386" s="17"/>
    </row>
    <row r="387" spans="2:13" ht="14.45" customHeight="1" x14ac:dyDescent="0.25">
      <c r="B387" s="17"/>
      <c r="C387" s="14"/>
      <c r="D387" s="14"/>
      <c r="E387" s="18"/>
      <c r="F387" s="61"/>
      <c r="G387" s="73"/>
      <c r="H387" s="79"/>
      <c r="I387" s="79"/>
      <c r="J387" s="14"/>
      <c r="K387" s="38"/>
      <c r="L387" s="38"/>
      <c r="M387" s="17"/>
    </row>
    <row r="388" spans="2:13" ht="14.45" customHeight="1" x14ac:dyDescent="0.25">
      <c r="B388" s="17"/>
      <c r="C388" s="14"/>
      <c r="D388" s="14"/>
      <c r="E388" s="18"/>
      <c r="F388" s="61"/>
      <c r="G388" s="73"/>
      <c r="H388" s="79"/>
      <c r="I388" s="79"/>
      <c r="J388" s="14"/>
      <c r="K388" s="38"/>
      <c r="L388" s="38"/>
      <c r="M388" s="17"/>
    </row>
    <row r="389" spans="2:13" ht="14.45" customHeight="1" x14ac:dyDescent="0.25">
      <c r="B389" s="17"/>
      <c r="C389" s="14"/>
      <c r="D389" s="14"/>
      <c r="E389" s="18"/>
      <c r="F389" s="61"/>
      <c r="G389" s="73"/>
      <c r="H389" s="79"/>
      <c r="I389" s="79"/>
      <c r="J389" s="14"/>
      <c r="K389" s="38"/>
      <c r="L389" s="38"/>
      <c r="M389" s="17"/>
    </row>
    <row r="390" spans="2:13" ht="14.45" customHeight="1" x14ac:dyDescent="0.25">
      <c r="B390" s="17"/>
      <c r="C390" s="14"/>
      <c r="D390" s="14"/>
      <c r="E390" s="18"/>
      <c r="F390" s="61"/>
      <c r="G390" s="73"/>
      <c r="H390" s="79"/>
      <c r="I390" s="79"/>
      <c r="J390" s="14"/>
      <c r="K390" s="38"/>
      <c r="L390" s="38"/>
      <c r="M390" s="17"/>
    </row>
    <row r="391" spans="2:13" ht="14.45" customHeight="1" x14ac:dyDescent="0.25">
      <c r="B391" s="17"/>
      <c r="C391" s="14"/>
      <c r="D391" s="14"/>
      <c r="E391" s="18"/>
      <c r="F391" s="61"/>
      <c r="G391" s="73"/>
      <c r="H391" s="79"/>
      <c r="I391" s="79"/>
      <c r="J391" s="14"/>
      <c r="K391" s="38"/>
      <c r="L391" s="38"/>
      <c r="M391" s="17"/>
    </row>
    <row r="392" spans="2:13" ht="14.45" customHeight="1" x14ac:dyDescent="0.25">
      <c r="B392" s="17"/>
      <c r="C392" s="14"/>
      <c r="D392" s="14"/>
      <c r="E392" s="18"/>
      <c r="F392" s="61"/>
      <c r="G392" s="73"/>
      <c r="H392" s="79"/>
      <c r="I392" s="79"/>
      <c r="J392" s="14"/>
      <c r="K392" s="38"/>
      <c r="L392" s="38"/>
      <c r="M392" s="17"/>
    </row>
    <row r="393" spans="2:13" ht="14.45" customHeight="1" x14ac:dyDescent="0.25">
      <c r="B393" s="17"/>
      <c r="C393" s="14"/>
      <c r="D393" s="14"/>
      <c r="E393" s="18"/>
      <c r="F393" s="61"/>
      <c r="G393" s="73"/>
      <c r="H393" s="79"/>
      <c r="I393" s="79"/>
      <c r="J393" s="14"/>
      <c r="K393" s="38"/>
      <c r="L393" s="38"/>
      <c r="M393" s="17"/>
    </row>
    <row r="394" spans="2:13" ht="14.45" customHeight="1" x14ac:dyDescent="0.25">
      <c r="B394" s="17"/>
      <c r="C394" s="14"/>
      <c r="D394" s="14"/>
      <c r="E394" s="18"/>
      <c r="F394" s="61"/>
      <c r="G394" s="73"/>
      <c r="H394" s="79"/>
      <c r="I394" s="79"/>
      <c r="J394" s="14"/>
      <c r="K394" s="38"/>
      <c r="L394" s="38"/>
      <c r="M394" s="17"/>
    </row>
    <row r="395" spans="2:13" ht="14.45" customHeight="1" x14ac:dyDescent="0.25">
      <c r="B395" s="17"/>
      <c r="C395" s="14"/>
      <c r="D395" s="14"/>
      <c r="E395" s="18"/>
      <c r="F395" s="61"/>
      <c r="G395" s="73"/>
      <c r="H395" s="79"/>
      <c r="I395" s="79"/>
      <c r="J395" s="14"/>
      <c r="K395" s="38"/>
      <c r="L395" s="38"/>
      <c r="M395" s="17"/>
    </row>
    <row r="396" spans="2:13" ht="14.45" customHeight="1" x14ac:dyDescent="0.25">
      <c r="B396" s="17"/>
      <c r="C396" s="14"/>
      <c r="D396" s="14"/>
      <c r="E396" s="18"/>
      <c r="F396" s="61"/>
      <c r="G396" s="73"/>
      <c r="H396" s="79"/>
      <c r="I396" s="79"/>
      <c r="J396" s="14"/>
      <c r="K396" s="38"/>
      <c r="L396" s="38"/>
      <c r="M396" s="17"/>
    </row>
    <row r="397" spans="2:13" ht="14.45" customHeight="1" x14ac:dyDescent="0.25">
      <c r="B397" s="17"/>
      <c r="C397" s="14"/>
      <c r="D397" s="14"/>
      <c r="E397" s="18"/>
      <c r="F397" s="61"/>
      <c r="G397" s="73"/>
      <c r="H397" s="79"/>
      <c r="I397" s="79"/>
      <c r="J397" s="14"/>
      <c r="K397" s="38"/>
      <c r="L397" s="38"/>
      <c r="M397" s="17"/>
    </row>
    <row r="398" spans="2:13" ht="14.45" customHeight="1" x14ac:dyDescent="0.25">
      <c r="B398" s="17"/>
      <c r="C398" s="14"/>
      <c r="D398" s="14"/>
      <c r="E398" s="18"/>
      <c r="F398" s="61"/>
      <c r="G398" s="73"/>
      <c r="H398" s="79"/>
      <c r="I398" s="79"/>
      <c r="J398" s="14"/>
      <c r="K398" s="38"/>
      <c r="L398" s="38"/>
      <c r="M398" s="17"/>
    </row>
    <row r="399" spans="2:13" ht="14.45" customHeight="1" x14ac:dyDescent="0.25">
      <c r="B399" s="17"/>
      <c r="C399" s="14"/>
      <c r="D399" s="14"/>
      <c r="E399" s="18"/>
      <c r="F399" s="61"/>
      <c r="G399" s="73"/>
      <c r="H399" s="79"/>
      <c r="I399" s="79"/>
      <c r="J399" s="14"/>
      <c r="K399" s="38"/>
      <c r="L399" s="38"/>
      <c r="M399" s="17"/>
    </row>
    <row r="400" spans="2:13" ht="14.45" customHeight="1" x14ac:dyDescent="0.25">
      <c r="B400" s="17"/>
      <c r="C400" s="14"/>
      <c r="D400" s="14"/>
      <c r="E400" s="18"/>
      <c r="F400" s="61"/>
      <c r="G400" s="73"/>
      <c r="H400" s="79"/>
      <c r="I400" s="79"/>
      <c r="J400" s="14"/>
      <c r="K400" s="38"/>
      <c r="L400" s="38"/>
      <c r="M400" s="17"/>
    </row>
    <row r="401" spans="2:13" ht="14.45" customHeight="1" x14ac:dyDescent="0.25">
      <c r="B401" s="17"/>
      <c r="C401" s="14"/>
      <c r="D401" s="14"/>
      <c r="E401" s="18"/>
      <c r="F401" s="61"/>
      <c r="G401" s="73"/>
      <c r="H401" s="79"/>
      <c r="I401" s="79"/>
      <c r="J401" s="14"/>
      <c r="K401" s="38"/>
      <c r="L401" s="38"/>
      <c r="M401" s="17"/>
    </row>
    <row r="402" spans="2:13" ht="14.45" customHeight="1" x14ac:dyDescent="0.25">
      <c r="B402" s="17"/>
      <c r="C402" s="14"/>
      <c r="D402" s="14"/>
      <c r="E402" s="18"/>
      <c r="F402" s="61"/>
      <c r="G402" s="73"/>
      <c r="H402" s="79"/>
      <c r="I402" s="79"/>
      <c r="J402" s="14"/>
      <c r="K402" s="38"/>
      <c r="L402" s="38"/>
      <c r="M402" s="17"/>
    </row>
    <row r="403" spans="2:13" ht="14.45" customHeight="1" x14ac:dyDescent="0.25">
      <c r="B403" s="17"/>
      <c r="C403" s="14"/>
      <c r="D403" s="14"/>
      <c r="E403" s="18"/>
      <c r="F403" s="61"/>
      <c r="G403" s="73"/>
      <c r="H403" s="79"/>
      <c r="I403" s="79"/>
      <c r="J403" s="14"/>
      <c r="K403" s="38"/>
      <c r="L403" s="38"/>
      <c r="M403" s="17"/>
    </row>
    <row r="404" spans="2:13" ht="14.45" customHeight="1" x14ac:dyDescent="0.25">
      <c r="B404" s="17"/>
      <c r="C404" s="14"/>
      <c r="D404" s="14"/>
      <c r="E404" s="18"/>
      <c r="F404" s="61"/>
      <c r="G404" s="73"/>
      <c r="H404" s="79"/>
      <c r="I404" s="79"/>
      <c r="J404" s="14"/>
      <c r="K404" s="38"/>
      <c r="L404" s="38"/>
      <c r="M404" s="17"/>
    </row>
    <row r="405" spans="2:13" ht="14.45" customHeight="1" x14ac:dyDescent="0.25">
      <c r="B405" s="17"/>
      <c r="C405" s="14"/>
      <c r="D405" s="14"/>
      <c r="E405" s="18"/>
      <c r="F405" s="61"/>
      <c r="G405" s="73"/>
      <c r="H405" s="79"/>
      <c r="I405" s="79"/>
      <c r="J405" s="14"/>
      <c r="K405" s="38"/>
      <c r="L405" s="38"/>
      <c r="M405" s="17"/>
    </row>
    <row r="406" spans="2:13" ht="14.45" customHeight="1" x14ac:dyDescent="0.25">
      <c r="B406" s="17"/>
      <c r="C406" s="14"/>
      <c r="D406" s="14"/>
      <c r="E406" s="18"/>
      <c r="F406" s="61"/>
      <c r="G406" s="73"/>
      <c r="H406" s="79"/>
      <c r="I406" s="79"/>
      <c r="J406" s="14"/>
      <c r="K406" s="38"/>
      <c r="L406" s="38"/>
      <c r="M406" s="17"/>
    </row>
    <row r="407" spans="2:13" ht="14.45" customHeight="1" x14ac:dyDescent="0.25">
      <c r="B407" s="17"/>
      <c r="C407" s="14"/>
      <c r="D407" s="14"/>
      <c r="E407" s="18"/>
      <c r="F407" s="61"/>
      <c r="G407" s="73"/>
      <c r="H407" s="79"/>
      <c r="I407" s="79"/>
      <c r="J407" s="14"/>
      <c r="K407" s="38"/>
      <c r="L407" s="38"/>
      <c r="M407" s="17"/>
    </row>
    <row r="408" spans="2:13" ht="14.45" customHeight="1" x14ac:dyDescent="0.25">
      <c r="B408" s="17"/>
      <c r="C408" s="14"/>
      <c r="D408" s="14"/>
      <c r="E408" s="18"/>
      <c r="F408" s="61"/>
      <c r="G408" s="73"/>
      <c r="H408" s="79"/>
      <c r="I408" s="79"/>
      <c r="J408" s="14"/>
      <c r="K408" s="38"/>
      <c r="L408" s="38"/>
      <c r="M408" s="17"/>
    </row>
    <row r="409" spans="2:13" ht="14.45" customHeight="1" x14ac:dyDescent="0.25">
      <c r="B409" s="17"/>
      <c r="C409" s="14"/>
      <c r="D409" s="14"/>
      <c r="E409" s="18"/>
      <c r="F409" s="61"/>
      <c r="G409" s="73"/>
      <c r="H409" s="79"/>
      <c r="I409" s="79"/>
      <c r="J409" s="14"/>
      <c r="K409" s="38"/>
      <c r="L409" s="38"/>
      <c r="M409" s="17"/>
    </row>
    <row r="410" spans="2:13" ht="14.45" customHeight="1" x14ac:dyDescent="0.25">
      <c r="B410" s="17"/>
      <c r="C410" s="14"/>
      <c r="D410" s="14"/>
      <c r="E410" s="18"/>
      <c r="F410" s="61"/>
      <c r="G410" s="73"/>
      <c r="H410" s="79"/>
      <c r="I410" s="79"/>
      <c r="J410" s="14"/>
      <c r="K410" s="38"/>
      <c r="L410" s="38"/>
      <c r="M410" s="17"/>
    </row>
    <row r="411" spans="2:13" ht="14.45" customHeight="1" x14ac:dyDescent="0.25">
      <c r="B411" s="17"/>
      <c r="C411" s="14"/>
      <c r="D411" s="14"/>
      <c r="E411" s="18"/>
      <c r="F411" s="61"/>
      <c r="G411" s="73"/>
      <c r="H411" s="79"/>
      <c r="I411" s="79"/>
      <c r="J411" s="14"/>
      <c r="K411" s="38"/>
      <c r="L411" s="38"/>
      <c r="M411" s="17"/>
    </row>
    <row r="412" spans="2:13" ht="14.45" customHeight="1" x14ac:dyDescent="0.25">
      <c r="B412" s="17"/>
      <c r="C412" s="14"/>
      <c r="D412" s="14"/>
      <c r="E412" s="18"/>
      <c r="F412" s="61"/>
      <c r="G412" s="73"/>
      <c r="H412" s="79"/>
      <c r="I412" s="79"/>
      <c r="J412" s="14"/>
      <c r="K412" s="38"/>
      <c r="L412" s="38"/>
      <c r="M412" s="17"/>
    </row>
    <row r="413" spans="2:13" ht="14.45" customHeight="1" x14ac:dyDescent="0.25">
      <c r="B413" s="17"/>
      <c r="C413" s="14"/>
      <c r="D413" s="14"/>
      <c r="E413" s="18"/>
      <c r="F413" s="61"/>
      <c r="G413" s="73"/>
      <c r="H413" s="79"/>
      <c r="I413" s="79"/>
      <c r="J413" s="14"/>
      <c r="K413" s="38"/>
      <c r="L413" s="38"/>
      <c r="M413" s="17"/>
    </row>
    <row r="414" spans="2:13" ht="14.45" customHeight="1" x14ac:dyDescent="0.25">
      <c r="B414" s="17"/>
      <c r="C414" s="14"/>
      <c r="D414" s="14"/>
      <c r="E414" s="18"/>
      <c r="F414" s="61"/>
      <c r="G414" s="73"/>
      <c r="H414" s="79"/>
      <c r="I414" s="79"/>
      <c r="J414" s="14"/>
      <c r="K414" s="38"/>
      <c r="L414" s="38"/>
      <c r="M414" s="17"/>
    </row>
    <row r="415" spans="2:13" ht="14.45" customHeight="1" x14ac:dyDescent="0.25">
      <c r="B415" s="17"/>
      <c r="C415" s="14"/>
      <c r="D415" s="14"/>
      <c r="E415" s="18"/>
      <c r="F415" s="61"/>
      <c r="G415" s="73"/>
      <c r="H415" s="79"/>
      <c r="I415" s="79"/>
      <c r="J415" s="14"/>
      <c r="K415" s="38"/>
      <c r="L415" s="38"/>
      <c r="M415" s="17"/>
    </row>
    <row r="416" spans="2:13" ht="14.45" customHeight="1" x14ac:dyDescent="0.25">
      <c r="B416" s="17"/>
      <c r="C416" s="14"/>
      <c r="D416" s="14"/>
      <c r="E416" s="18"/>
      <c r="F416" s="61"/>
      <c r="G416" s="73"/>
      <c r="H416" s="79"/>
      <c r="I416" s="79"/>
      <c r="J416" s="14"/>
      <c r="K416" s="38"/>
      <c r="L416" s="38"/>
      <c r="M416" s="17"/>
    </row>
    <row r="417" spans="2:13" ht="14.45" customHeight="1" x14ac:dyDescent="0.25">
      <c r="B417" s="17"/>
      <c r="C417" s="14"/>
      <c r="D417" s="14"/>
      <c r="E417" s="18"/>
      <c r="F417" s="61"/>
      <c r="G417" s="73"/>
      <c r="H417" s="79"/>
      <c r="I417" s="79"/>
      <c r="J417" s="14"/>
      <c r="K417" s="38"/>
      <c r="L417" s="38"/>
      <c r="M417" s="17"/>
    </row>
    <row r="418" spans="2:13" ht="14.45" customHeight="1" x14ac:dyDescent="0.25">
      <c r="B418" s="17"/>
      <c r="C418" s="14"/>
      <c r="D418" s="14"/>
      <c r="E418" s="18"/>
      <c r="F418" s="61"/>
      <c r="G418" s="73"/>
      <c r="H418" s="79"/>
      <c r="I418" s="79"/>
      <c r="J418" s="14"/>
      <c r="K418" s="38"/>
      <c r="L418" s="38"/>
      <c r="M418" s="17"/>
    </row>
    <row r="419" spans="2:13" ht="14.45" customHeight="1" x14ac:dyDescent="0.25">
      <c r="B419" s="17"/>
      <c r="C419" s="14"/>
      <c r="D419" s="14"/>
      <c r="E419" s="18"/>
      <c r="F419" s="61"/>
      <c r="G419" s="73"/>
      <c r="H419" s="79"/>
      <c r="I419" s="79"/>
      <c r="J419" s="14"/>
      <c r="K419" s="38"/>
      <c r="L419" s="38"/>
      <c r="M419" s="17"/>
    </row>
    <row r="420" spans="2:13" ht="14.45" customHeight="1" x14ac:dyDescent="0.25">
      <c r="B420" s="17"/>
      <c r="C420" s="14"/>
      <c r="D420" s="14"/>
      <c r="E420" s="18"/>
      <c r="F420" s="61"/>
      <c r="G420" s="73"/>
      <c r="H420" s="79"/>
      <c r="I420" s="79"/>
      <c r="J420" s="14"/>
      <c r="K420" s="38"/>
      <c r="L420" s="38"/>
      <c r="M420" s="17"/>
    </row>
    <row r="421" spans="2:13" ht="14.45" customHeight="1" x14ac:dyDescent="0.25">
      <c r="B421" s="17"/>
      <c r="C421" s="14"/>
      <c r="D421" s="14"/>
      <c r="E421" s="18"/>
      <c r="F421" s="61"/>
      <c r="G421" s="73"/>
      <c r="H421" s="79"/>
      <c r="I421" s="79"/>
      <c r="J421" s="14"/>
      <c r="K421" s="38"/>
      <c r="L421" s="38"/>
      <c r="M421" s="17"/>
    </row>
    <row r="422" spans="2:13" ht="14.45" customHeight="1" x14ac:dyDescent="0.25">
      <c r="B422" s="17"/>
      <c r="C422" s="14"/>
      <c r="D422" s="14"/>
      <c r="E422" s="18"/>
      <c r="F422" s="61"/>
      <c r="G422" s="73"/>
      <c r="H422" s="79"/>
      <c r="I422" s="79"/>
      <c r="J422" s="14"/>
      <c r="K422" s="38"/>
      <c r="L422" s="38"/>
      <c r="M422" s="17"/>
    </row>
    <row r="423" spans="2:13" ht="14.45" customHeight="1" x14ac:dyDescent="0.25">
      <c r="B423" s="17"/>
      <c r="C423" s="14"/>
      <c r="D423" s="14"/>
      <c r="E423" s="18"/>
      <c r="F423" s="61"/>
      <c r="G423" s="73"/>
      <c r="H423" s="79"/>
      <c r="I423" s="79"/>
      <c r="J423" s="14"/>
      <c r="K423" s="38"/>
      <c r="L423" s="38"/>
      <c r="M423" s="17"/>
    </row>
    <row r="424" spans="2:13" ht="14.45" customHeight="1" x14ac:dyDescent="0.25">
      <c r="B424" s="17"/>
      <c r="C424" s="14"/>
      <c r="D424" s="14"/>
      <c r="E424" s="18"/>
      <c r="F424" s="61"/>
      <c r="G424" s="73"/>
      <c r="H424" s="79"/>
      <c r="I424" s="79"/>
      <c r="J424" s="14"/>
      <c r="K424" s="38"/>
      <c r="L424" s="38"/>
      <c r="M424" s="17"/>
    </row>
    <row r="425" spans="2:13" ht="14.45" customHeight="1" x14ac:dyDescent="0.25">
      <c r="B425" s="17"/>
      <c r="C425" s="14"/>
      <c r="D425" s="14"/>
      <c r="E425" s="18"/>
      <c r="F425" s="61"/>
      <c r="G425" s="73"/>
      <c r="H425" s="79"/>
      <c r="I425" s="79"/>
      <c r="J425" s="14"/>
      <c r="K425" s="38"/>
      <c r="L425" s="38"/>
      <c r="M425" s="17"/>
    </row>
    <row r="426" spans="2:13" ht="14.45" customHeight="1" x14ac:dyDescent="0.25">
      <c r="B426" s="17"/>
      <c r="C426" s="14"/>
      <c r="D426" s="14"/>
      <c r="E426" s="18"/>
      <c r="F426" s="61"/>
      <c r="G426" s="73"/>
      <c r="H426" s="79"/>
      <c r="I426" s="79"/>
      <c r="J426" s="14"/>
      <c r="K426" s="38"/>
      <c r="L426" s="38"/>
      <c r="M426" s="17"/>
    </row>
    <row r="427" spans="2:13" ht="14.45" customHeight="1" x14ac:dyDescent="0.25">
      <c r="B427" s="17"/>
      <c r="C427" s="14"/>
      <c r="D427" s="14"/>
      <c r="E427" s="18"/>
      <c r="F427" s="61"/>
      <c r="G427" s="73"/>
      <c r="H427" s="79"/>
      <c r="I427" s="79"/>
      <c r="J427" s="14"/>
      <c r="K427" s="38"/>
      <c r="L427" s="38"/>
      <c r="M427" s="17"/>
    </row>
    <row r="428" spans="2:13" ht="14.45" customHeight="1" x14ac:dyDescent="0.25">
      <c r="B428" s="17"/>
      <c r="C428" s="14"/>
      <c r="D428" s="14"/>
      <c r="E428" s="18"/>
      <c r="F428" s="61"/>
      <c r="G428" s="73"/>
      <c r="H428" s="79"/>
      <c r="I428" s="79"/>
      <c r="J428" s="14"/>
      <c r="K428" s="38"/>
      <c r="L428" s="38"/>
      <c r="M428" s="17"/>
    </row>
    <row r="429" spans="2:13" ht="14.45" customHeight="1" x14ac:dyDescent="0.25">
      <c r="B429" s="17"/>
      <c r="C429" s="14"/>
      <c r="D429" s="14"/>
      <c r="E429" s="18"/>
      <c r="F429" s="61"/>
      <c r="G429" s="73"/>
      <c r="H429" s="79"/>
      <c r="I429" s="79"/>
      <c r="J429" s="14"/>
      <c r="K429" s="38"/>
      <c r="L429" s="38"/>
      <c r="M429" s="17"/>
    </row>
    <row r="430" spans="2:13" ht="14.45" customHeight="1" x14ac:dyDescent="0.25">
      <c r="B430" s="17"/>
      <c r="C430" s="14"/>
      <c r="D430" s="14"/>
      <c r="E430" s="18"/>
      <c r="F430" s="61"/>
      <c r="G430" s="73"/>
      <c r="H430" s="79"/>
      <c r="I430" s="79"/>
      <c r="J430" s="14"/>
      <c r="K430" s="38"/>
      <c r="L430" s="38"/>
      <c r="M430" s="17"/>
    </row>
    <row r="431" spans="2:13" ht="14.45" customHeight="1" x14ac:dyDescent="0.25">
      <c r="B431" s="17"/>
      <c r="C431" s="14"/>
      <c r="D431" s="14"/>
      <c r="E431" s="18"/>
      <c r="F431" s="61"/>
      <c r="G431" s="73"/>
      <c r="H431" s="79"/>
      <c r="I431" s="79"/>
      <c r="J431" s="14"/>
      <c r="K431" s="38"/>
      <c r="L431" s="38"/>
      <c r="M431" s="17"/>
    </row>
    <row r="432" spans="2:13" ht="14.45" customHeight="1" x14ac:dyDescent="0.25">
      <c r="B432" s="17"/>
      <c r="C432" s="14"/>
      <c r="D432" s="14"/>
      <c r="E432" s="18"/>
      <c r="F432" s="61"/>
      <c r="G432" s="73"/>
      <c r="H432" s="79"/>
      <c r="I432" s="79"/>
      <c r="J432" s="14"/>
      <c r="K432" s="38"/>
      <c r="L432" s="38"/>
      <c r="M432" s="17"/>
    </row>
    <row r="433" spans="2:13" ht="14.45" customHeight="1" x14ac:dyDescent="0.25">
      <c r="B433" s="17"/>
      <c r="C433" s="14"/>
      <c r="D433" s="14"/>
      <c r="E433" s="18"/>
      <c r="F433" s="61"/>
      <c r="G433" s="73"/>
      <c r="H433" s="79"/>
      <c r="I433" s="79"/>
      <c r="J433" s="14"/>
      <c r="K433" s="38"/>
      <c r="L433" s="38"/>
      <c r="M433" s="17"/>
    </row>
    <row r="434" spans="2:13" ht="14.45" customHeight="1" x14ac:dyDescent="0.25">
      <c r="B434" s="17"/>
      <c r="C434" s="14"/>
      <c r="D434" s="14"/>
      <c r="E434" s="18"/>
      <c r="F434" s="61"/>
      <c r="G434" s="73"/>
      <c r="H434" s="79"/>
      <c r="I434" s="79"/>
      <c r="J434" s="14"/>
      <c r="K434" s="38"/>
      <c r="L434" s="38"/>
      <c r="M434" s="17"/>
    </row>
    <row r="435" spans="2:13" ht="14.45" customHeight="1" x14ac:dyDescent="0.25">
      <c r="B435" s="17"/>
      <c r="C435" s="14"/>
      <c r="D435" s="14"/>
      <c r="E435" s="18"/>
      <c r="F435" s="61"/>
      <c r="G435" s="73"/>
      <c r="H435" s="79"/>
      <c r="I435" s="79"/>
      <c r="J435" s="14"/>
      <c r="K435" s="38"/>
      <c r="L435" s="38"/>
      <c r="M435" s="17"/>
    </row>
    <row r="436" spans="2:13" ht="14.45" customHeight="1" x14ac:dyDescent="0.25">
      <c r="B436" s="17"/>
      <c r="C436" s="14"/>
      <c r="D436" s="14"/>
      <c r="E436" s="18"/>
      <c r="F436" s="61"/>
      <c r="G436" s="73"/>
      <c r="H436" s="79"/>
      <c r="I436" s="79"/>
      <c r="J436" s="14"/>
      <c r="K436" s="38"/>
      <c r="L436" s="38"/>
      <c r="M436" s="17"/>
    </row>
    <row r="437" spans="2:13" ht="14.45" customHeight="1" x14ac:dyDescent="0.25">
      <c r="B437" s="17"/>
      <c r="C437" s="14"/>
      <c r="D437" s="14"/>
      <c r="E437" s="18"/>
      <c r="F437" s="61"/>
      <c r="G437" s="73"/>
      <c r="H437" s="79"/>
      <c r="I437" s="79"/>
      <c r="J437" s="14"/>
      <c r="K437" s="38"/>
      <c r="L437" s="38"/>
      <c r="M437" s="17"/>
    </row>
    <row r="438" spans="2:13" ht="14.45" customHeight="1" x14ac:dyDescent="0.25">
      <c r="B438" s="17"/>
      <c r="C438" s="14"/>
      <c r="D438" s="14"/>
      <c r="E438" s="18"/>
      <c r="F438" s="61"/>
      <c r="G438" s="73"/>
      <c r="H438" s="79"/>
      <c r="I438" s="79"/>
      <c r="J438" s="14"/>
      <c r="K438" s="38"/>
      <c r="L438" s="38"/>
      <c r="M438" s="17"/>
    </row>
    <row r="439" spans="2:13" ht="14.45" customHeight="1" x14ac:dyDescent="0.25">
      <c r="B439" s="17"/>
      <c r="C439" s="14"/>
      <c r="D439" s="14"/>
      <c r="E439" s="18"/>
      <c r="F439" s="61"/>
      <c r="G439" s="73"/>
      <c r="H439" s="79"/>
      <c r="I439" s="79"/>
      <c r="J439" s="14"/>
      <c r="K439" s="38"/>
      <c r="L439" s="38"/>
      <c r="M439" s="17"/>
    </row>
    <row r="440" spans="2:13" ht="14.45" customHeight="1" x14ac:dyDescent="0.25">
      <c r="B440" s="17"/>
      <c r="C440" s="14"/>
      <c r="D440" s="14"/>
      <c r="E440" s="18"/>
      <c r="F440" s="61"/>
      <c r="G440" s="73"/>
      <c r="H440" s="79"/>
      <c r="I440" s="79"/>
      <c r="J440" s="14"/>
      <c r="K440" s="38"/>
      <c r="L440" s="38"/>
      <c r="M440" s="17"/>
    </row>
    <row r="441" spans="2:13" ht="14.45" customHeight="1" x14ac:dyDescent="0.25">
      <c r="B441" s="17"/>
      <c r="C441" s="14"/>
      <c r="D441" s="14"/>
      <c r="E441" s="18"/>
      <c r="F441" s="61"/>
      <c r="G441" s="73"/>
      <c r="H441" s="79"/>
      <c r="I441" s="79"/>
      <c r="J441" s="14"/>
      <c r="K441" s="38"/>
      <c r="L441" s="38"/>
      <c r="M441" s="17"/>
    </row>
    <row r="442" spans="2:13" ht="14.45" customHeight="1" x14ac:dyDescent="0.25">
      <c r="B442" s="17"/>
      <c r="C442" s="14"/>
      <c r="D442" s="14"/>
      <c r="E442" s="18"/>
      <c r="F442" s="61"/>
      <c r="G442" s="73"/>
      <c r="H442" s="79"/>
      <c r="I442" s="79"/>
      <c r="J442" s="14"/>
      <c r="K442" s="38"/>
      <c r="L442" s="38"/>
      <c r="M442" s="17"/>
    </row>
    <row r="443" spans="2:13" ht="14.45" customHeight="1" x14ac:dyDescent="0.25">
      <c r="B443" s="17"/>
      <c r="C443" s="14"/>
      <c r="D443" s="14"/>
      <c r="E443" s="18"/>
      <c r="F443" s="61"/>
      <c r="G443" s="73"/>
      <c r="H443" s="79"/>
      <c r="I443" s="79"/>
      <c r="J443" s="14"/>
      <c r="K443" s="38"/>
      <c r="L443" s="38"/>
      <c r="M443" s="17"/>
    </row>
    <row r="444" spans="2:13" ht="14.45" customHeight="1" x14ac:dyDescent="0.25">
      <c r="B444" s="17"/>
      <c r="C444" s="14"/>
      <c r="D444" s="14"/>
      <c r="E444" s="18"/>
      <c r="F444" s="61"/>
      <c r="G444" s="73"/>
      <c r="H444" s="79"/>
      <c r="I444" s="79"/>
      <c r="J444" s="14"/>
      <c r="K444" s="38"/>
      <c r="L444" s="38"/>
      <c r="M444" s="17"/>
    </row>
    <row r="445" spans="2:13" ht="14.45" customHeight="1" x14ac:dyDescent="0.25">
      <c r="B445" s="17"/>
      <c r="C445" s="14"/>
      <c r="D445" s="14"/>
      <c r="E445" s="18"/>
      <c r="F445" s="61"/>
      <c r="G445" s="73"/>
      <c r="H445" s="79"/>
      <c r="I445" s="79"/>
      <c r="J445" s="14"/>
      <c r="K445" s="38"/>
      <c r="L445" s="38"/>
      <c r="M445" s="17"/>
    </row>
    <row r="446" spans="2:13" ht="14.45" customHeight="1" x14ac:dyDescent="0.25">
      <c r="B446" s="17"/>
      <c r="C446" s="14"/>
      <c r="D446" s="14"/>
      <c r="E446" s="18"/>
      <c r="F446" s="61"/>
      <c r="G446" s="73"/>
      <c r="H446" s="79"/>
      <c r="I446" s="79"/>
      <c r="J446" s="14"/>
      <c r="K446" s="38"/>
      <c r="L446" s="38"/>
      <c r="M446" s="17"/>
    </row>
    <row r="447" spans="2:13" ht="14.45" customHeight="1" x14ac:dyDescent="0.25">
      <c r="B447" s="17"/>
      <c r="C447" s="14"/>
      <c r="D447" s="14"/>
      <c r="E447" s="18"/>
      <c r="F447" s="61"/>
      <c r="G447" s="73"/>
      <c r="H447" s="79"/>
      <c r="I447" s="79"/>
      <c r="J447" s="14"/>
      <c r="K447" s="38"/>
      <c r="L447" s="38"/>
      <c r="M447" s="17"/>
    </row>
    <row r="448" spans="2:13" ht="14.45" customHeight="1" x14ac:dyDescent="0.25">
      <c r="B448" s="17"/>
      <c r="C448" s="14"/>
      <c r="D448" s="14"/>
      <c r="E448" s="18"/>
      <c r="F448" s="61"/>
      <c r="G448" s="73"/>
      <c r="H448" s="79"/>
      <c r="I448" s="79"/>
      <c r="J448" s="14"/>
      <c r="K448" s="38"/>
      <c r="L448" s="38"/>
      <c r="M448" s="17"/>
    </row>
    <row r="449" spans="2:13" ht="14.45" customHeight="1" x14ac:dyDescent="0.25">
      <c r="B449" s="17"/>
      <c r="C449" s="14"/>
      <c r="D449" s="14"/>
      <c r="E449" s="18"/>
      <c r="F449" s="61"/>
      <c r="G449" s="73"/>
      <c r="H449" s="79"/>
      <c r="I449" s="79"/>
      <c r="J449" s="14"/>
      <c r="K449" s="38"/>
      <c r="L449" s="38"/>
      <c r="M449" s="17"/>
    </row>
    <row r="450" spans="2:13" ht="14.45" customHeight="1" x14ac:dyDescent="0.25">
      <c r="B450" s="17"/>
      <c r="C450" s="14"/>
      <c r="D450" s="14"/>
      <c r="E450" s="18"/>
      <c r="F450" s="61"/>
      <c r="G450" s="73"/>
      <c r="H450" s="79"/>
      <c r="I450" s="79"/>
      <c r="J450" s="14"/>
      <c r="K450" s="38"/>
      <c r="L450" s="38"/>
      <c r="M450" s="17"/>
    </row>
    <row r="451" spans="2:13" ht="14.45" customHeight="1" x14ac:dyDescent="0.25">
      <c r="B451" s="17"/>
      <c r="C451" s="14"/>
      <c r="D451" s="14"/>
      <c r="E451" s="18"/>
      <c r="F451" s="61"/>
      <c r="G451" s="73"/>
      <c r="H451" s="79"/>
      <c r="I451" s="79"/>
      <c r="J451" s="14"/>
      <c r="K451" s="38"/>
      <c r="L451" s="38"/>
      <c r="M451" s="17"/>
    </row>
    <row r="452" spans="2:13" ht="14.45" customHeight="1" x14ac:dyDescent="0.25">
      <c r="B452" s="17"/>
      <c r="C452" s="14"/>
      <c r="D452" s="14"/>
      <c r="E452" s="18"/>
      <c r="F452" s="61"/>
      <c r="G452" s="73"/>
      <c r="H452" s="79"/>
      <c r="I452" s="79"/>
      <c r="J452" s="14"/>
      <c r="K452" s="38"/>
      <c r="L452" s="38"/>
      <c r="M452" s="17"/>
    </row>
    <row r="453" spans="2:13" ht="14.45" customHeight="1" x14ac:dyDescent="0.25">
      <c r="B453" s="17"/>
      <c r="C453" s="14"/>
      <c r="D453" s="14"/>
      <c r="E453" s="18"/>
      <c r="F453" s="61"/>
      <c r="G453" s="73"/>
      <c r="H453" s="79"/>
      <c r="I453" s="79"/>
      <c r="J453" s="14"/>
      <c r="K453" s="38"/>
      <c r="L453" s="38"/>
      <c r="M453" s="17"/>
    </row>
    <row r="454" spans="2:13" ht="14.45" customHeight="1" x14ac:dyDescent="0.25">
      <c r="B454" s="17"/>
      <c r="C454" s="14"/>
      <c r="D454" s="14"/>
      <c r="E454" s="18"/>
      <c r="F454" s="61"/>
      <c r="G454" s="73"/>
      <c r="H454" s="79"/>
      <c r="I454" s="79"/>
      <c r="J454" s="14"/>
      <c r="K454" s="38"/>
      <c r="L454" s="38"/>
      <c r="M454" s="17"/>
    </row>
    <row r="455" spans="2:13" ht="14.45" customHeight="1" x14ac:dyDescent="0.25">
      <c r="B455" s="17"/>
      <c r="C455" s="14"/>
      <c r="D455" s="14"/>
      <c r="E455" s="18"/>
      <c r="F455" s="61"/>
      <c r="G455" s="73"/>
      <c r="H455" s="79"/>
      <c r="I455" s="79"/>
      <c r="J455" s="14"/>
      <c r="K455" s="38"/>
      <c r="L455" s="38"/>
      <c r="M455" s="17"/>
    </row>
    <row r="456" spans="2:13" ht="14.45" customHeight="1" x14ac:dyDescent="0.25">
      <c r="B456" s="17"/>
      <c r="C456" s="14"/>
      <c r="D456" s="14"/>
      <c r="E456" s="18"/>
      <c r="F456" s="61"/>
      <c r="G456" s="73"/>
      <c r="H456" s="79"/>
      <c r="I456" s="79"/>
      <c r="J456" s="14"/>
      <c r="K456" s="38"/>
      <c r="L456" s="38"/>
      <c r="M456" s="17"/>
    </row>
    <row r="457" spans="2:13" ht="14.45" customHeight="1" x14ac:dyDescent="0.25">
      <c r="B457" s="17"/>
      <c r="C457" s="14"/>
      <c r="D457" s="14"/>
      <c r="E457" s="18"/>
      <c r="F457" s="61"/>
      <c r="G457" s="73"/>
      <c r="H457" s="79"/>
      <c r="I457" s="79"/>
      <c r="J457" s="14"/>
      <c r="K457" s="38"/>
      <c r="L457" s="38"/>
      <c r="M457" s="17"/>
    </row>
    <row r="458" spans="2:13" ht="14.45" customHeight="1" x14ac:dyDescent="0.25">
      <c r="B458" s="17"/>
      <c r="C458" s="14"/>
      <c r="D458" s="14"/>
      <c r="E458" s="18"/>
      <c r="F458" s="61"/>
      <c r="G458" s="73"/>
      <c r="H458" s="79"/>
      <c r="I458" s="79"/>
      <c r="J458" s="14"/>
      <c r="K458" s="38"/>
      <c r="L458" s="38"/>
      <c r="M458" s="17"/>
    </row>
    <row r="459" spans="2:13" ht="14.45" customHeight="1" x14ac:dyDescent="0.25">
      <c r="B459" s="17"/>
      <c r="C459" s="14"/>
      <c r="D459" s="14"/>
      <c r="E459" s="18"/>
      <c r="F459" s="61"/>
      <c r="G459" s="73"/>
      <c r="H459" s="79"/>
      <c r="I459" s="79"/>
      <c r="J459" s="14"/>
      <c r="K459" s="38"/>
      <c r="L459" s="38"/>
      <c r="M459" s="17"/>
    </row>
    <row r="460" spans="2:13" ht="14.45" customHeight="1" x14ac:dyDescent="0.25">
      <c r="B460" s="17"/>
      <c r="C460" s="14"/>
      <c r="D460" s="14"/>
      <c r="E460" s="18"/>
      <c r="F460" s="61"/>
      <c r="G460" s="73"/>
      <c r="H460" s="79"/>
      <c r="I460" s="79"/>
      <c r="J460" s="14"/>
      <c r="K460" s="38"/>
      <c r="L460" s="38"/>
      <c r="M460" s="17"/>
    </row>
    <row r="461" spans="2:13" ht="14.45" customHeight="1" x14ac:dyDescent="0.25">
      <c r="B461" s="17"/>
      <c r="C461" s="14"/>
      <c r="D461" s="14"/>
      <c r="E461" s="18"/>
      <c r="F461" s="61"/>
      <c r="G461" s="73"/>
      <c r="H461" s="79"/>
      <c r="I461" s="79"/>
      <c r="J461" s="14"/>
      <c r="K461" s="38"/>
      <c r="L461" s="38"/>
      <c r="M461" s="17"/>
    </row>
    <row r="462" spans="2:13" ht="14.45" customHeight="1" x14ac:dyDescent="0.25">
      <c r="B462" s="17"/>
      <c r="C462" s="14"/>
      <c r="D462" s="14"/>
      <c r="E462" s="18"/>
      <c r="F462" s="61"/>
      <c r="G462" s="73"/>
      <c r="H462" s="79"/>
      <c r="I462" s="79"/>
      <c r="J462" s="14"/>
      <c r="K462" s="38"/>
      <c r="L462" s="38"/>
      <c r="M462" s="17"/>
    </row>
    <row r="463" spans="2:13" ht="14.45" customHeight="1" x14ac:dyDescent="0.25">
      <c r="B463" s="17"/>
      <c r="C463" s="14"/>
      <c r="D463" s="14"/>
      <c r="E463" s="18"/>
      <c r="F463" s="61"/>
      <c r="G463" s="73"/>
      <c r="H463" s="79"/>
      <c r="I463" s="79"/>
      <c r="J463" s="14"/>
      <c r="K463" s="38"/>
      <c r="L463" s="38"/>
      <c r="M463" s="17"/>
    </row>
    <row r="464" spans="2:13" ht="14.45" customHeight="1" x14ac:dyDescent="0.25">
      <c r="B464" s="17"/>
      <c r="C464" s="14"/>
      <c r="D464" s="14"/>
      <c r="E464" s="18"/>
      <c r="F464" s="61"/>
      <c r="G464" s="73"/>
      <c r="H464" s="79"/>
      <c r="I464" s="79"/>
      <c r="J464" s="14"/>
      <c r="K464" s="38"/>
      <c r="L464" s="38"/>
      <c r="M464" s="17"/>
    </row>
    <row r="465" spans="2:13" ht="14.45" customHeight="1" x14ac:dyDescent="0.25">
      <c r="B465" s="17"/>
      <c r="C465" s="14"/>
      <c r="D465" s="14"/>
      <c r="E465" s="18"/>
      <c r="F465" s="61"/>
      <c r="G465" s="73"/>
      <c r="H465" s="79"/>
      <c r="I465" s="79"/>
      <c r="J465" s="14"/>
      <c r="K465" s="38"/>
      <c r="L465" s="38"/>
      <c r="M465" s="17"/>
    </row>
    <row r="466" spans="2:13" ht="14.45" customHeight="1" x14ac:dyDescent="0.25">
      <c r="B466" s="17"/>
      <c r="C466" s="14"/>
      <c r="D466" s="14"/>
      <c r="E466" s="18"/>
      <c r="F466" s="61"/>
      <c r="G466" s="73"/>
      <c r="H466" s="79"/>
      <c r="I466" s="79"/>
      <c r="J466" s="14"/>
      <c r="K466" s="38"/>
      <c r="L466" s="38"/>
      <c r="M466" s="17"/>
    </row>
    <row r="467" spans="2:13" ht="14.45" customHeight="1" x14ac:dyDescent="0.25">
      <c r="B467" s="17"/>
      <c r="C467" s="14"/>
      <c r="D467" s="14"/>
      <c r="E467" s="18"/>
      <c r="F467" s="61"/>
      <c r="G467" s="73"/>
      <c r="H467" s="79"/>
      <c r="I467" s="79"/>
      <c r="J467" s="14"/>
      <c r="K467" s="38"/>
      <c r="L467" s="38"/>
      <c r="M467" s="17"/>
    </row>
    <row r="468" spans="2:13" ht="14.45" customHeight="1" x14ac:dyDescent="0.25">
      <c r="B468" s="17"/>
      <c r="C468" s="14"/>
      <c r="D468" s="14"/>
      <c r="E468" s="18"/>
      <c r="F468" s="61"/>
      <c r="G468" s="73"/>
      <c r="H468" s="79"/>
      <c r="I468" s="79"/>
      <c r="J468" s="14"/>
      <c r="K468" s="38"/>
      <c r="L468" s="38"/>
      <c r="M468" s="17"/>
    </row>
    <row r="469" spans="2:13" ht="14.45" customHeight="1" x14ac:dyDescent="0.25">
      <c r="B469" s="17"/>
      <c r="C469" s="14"/>
      <c r="D469" s="14"/>
      <c r="E469" s="18"/>
      <c r="F469" s="61"/>
      <c r="G469" s="73"/>
      <c r="H469" s="79"/>
      <c r="I469" s="79"/>
      <c r="J469" s="14"/>
      <c r="K469" s="38"/>
      <c r="L469" s="38"/>
      <c r="M469" s="17"/>
    </row>
    <row r="470" spans="2:13" ht="14.45" customHeight="1" x14ac:dyDescent="0.25">
      <c r="B470" s="17"/>
      <c r="C470" s="14"/>
      <c r="D470" s="14"/>
      <c r="E470" s="18"/>
      <c r="F470" s="61"/>
      <c r="G470" s="73"/>
      <c r="H470" s="79"/>
      <c r="I470" s="79"/>
      <c r="J470" s="14"/>
      <c r="K470" s="38"/>
      <c r="L470" s="38"/>
      <c r="M470" s="17"/>
    </row>
    <row r="471" spans="2:13" ht="14.45" customHeight="1" x14ac:dyDescent="0.25">
      <c r="B471" s="17"/>
      <c r="C471" s="14"/>
      <c r="D471" s="14"/>
      <c r="E471" s="18"/>
      <c r="F471" s="61"/>
      <c r="G471" s="73"/>
      <c r="H471" s="79"/>
      <c r="I471" s="79"/>
      <c r="J471" s="14"/>
      <c r="K471" s="38"/>
      <c r="L471" s="38"/>
      <c r="M471" s="17"/>
    </row>
    <row r="472" spans="2:13" ht="14.45" customHeight="1" x14ac:dyDescent="0.25">
      <c r="B472" s="17"/>
      <c r="C472" s="14"/>
      <c r="D472" s="14"/>
      <c r="E472" s="18"/>
      <c r="F472" s="61"/>
      <c r="G472" s="73"/>
      <c r="H472" s="79"/>
      <c r="I472" s="79"/>
      <c r="J472" s="14"/>
      <c r="K472" s="38"/>
      <c r="L472" s="38"/>
      <c r="M472" s="17"/>
    </row>
    <row r="473" spans="2:13" ht="14.45" customHeight="1" x14ac:dyDescent="0.25">
      <c r="B473" s="17"/>
      <c r="C473" s="14"/>
      <c r="D473" s="14"/>
      <c r="E473" s="18"/>
      <c r="F473" s="61"/>
      <c r="G473" s="73"/>
      <c r="H473" s="79"/>
      <c r="I473" s="79"/>
      <c r="J473" s="14"/>
      <c r="K473" s="38"/>
      <c r="L473" s="38"/>
      <c r="M473" s="17"/>
    </row>
    <row r="474" spans="2:13" ht="14.45" customHeight="1" x14ac:dyDescent="0.25">
      <c r="B474" s="17"/>
      <c r="C474" s="14"/>
      <c r="D474" s="14"/>
      <c r="E474" s="18"/>
      <c r="F474" s="61"/>
      <c r="G474" s="73"/>
      <c r="H474" s="79"/>
      <c r="I474" s="79"/>
      <c r="J474" s="14"/>
      <c r="K474" s="38"/>
      <c r="L474" s="38"/>
      <c r="M474" s="17"/>
    </row>
    <row r="475" spans="2:13" ht="14.45" customHeight="1" x14ac:dyDescent="0.25">
      <c r="B475" s="17"/>
      <c r="C475" s="14"/>
      <c r="D475" s="14"/>
      <c r="E475" s="18"/>
      <c r="F475" s="61"/>
      <c r="G475" s="73"/>
      <c r="H475" s="79"/>
      <c r="I475" s="79"/>
      <c r="J475" s="14"/>
      <c r="K475" s="38"/>
      <c r="L475" s="38"/>
      <c r="M475" s="17"/>
    </row>
    <row r="476" spans="2:13" ht="14.45" customHeight="1" x14ac:dyDescent="0.25">
      <c r="B476" s="17"/>
      <c r="C476" s="14"/>
      <c r="D476" s="14"/>
      <c r="E476" s="18"/>
      <c r="F476" s="61"/>
      <c r="G476" s="73"/>
      <c r="H476" s="79"/>
      <c r="I476" s="79"/>
      <c r="J476" s="14"/>
      <c r="K476" s="38"/>
      <c r="L476" s="38"/>
      <c r="M476" s="17"/>
    </row>
    <row r="477" spans="2:13" ht="14.45" customHeight="1" x14ac:dyDescent="0.25">
      <c r="B477" s="17"/>
      <c r="C477" s="14"/>
      <c r="D477" s="14"/>
      <c r="E477" s="18"/>
      <c r="F477" s="61"/>
      <c r="G477" s="73"/>
      <c r="H477" s="79"/>
      <c r="I477" s="79"/>
      <c r="J477" s="14"/>
      <c r="K477" s="38"/>
      <c r="L477" s="38"/>
      <c r="M477" s="17"/>
    </row>
    <row r="478" spans="2:13" ht="14.45" customHeight="1" x14ac:dyDescent="0.25">
      <c r="B478" s="17"/>
      <c r="C478" s="14"/>
      <c r="D478" s="14"/>
      <c r="E478" s="18"/>
      <c r="F478" s="61"/>
      <c r="G478" s="73"/>
      <c r="H478" s="79"/>
      <c r="I478" s="79"/>
      <c r="J478" s="14"/>
      <c r="K478" s="38"/>
      <c r="L478" s="38"/>
      <c r="M478" s="17"/>
    </row>
    <row r="479" spans="2:13" ht="14.45" customHeight="1" x14ac:dyDescent="0.25">
      <c r="B479" s="17"/>
      <c r="C479" s="14"/>
      <c r="D479" s="14"/>
      <c r="E479" s="18"/>
      <c r="F479" s="61"/>
      <c r="G479" s="73"/>
      <c r="H479" s="79"/>
      <c r="I479" s="79"/>
      <c r="J479" s="14"/>
      <c r="K479" s="38"/>
      <c r="L479" s="38"/>
      <c r="M479" s="17"/>
    </row>
    <row r="480" spans="2:13" ht="14.45" customHeight="1" x14ac:dyDescent="0.25">
      <c r="B480" s="17"/>
      <c r="C480" s="14"/>
      <c r="D480" s="14"/>
      <c r="E480" s="18"/>
      <c r="F480" s="61"/>
      <c r="G480" s="73"/>
      <c r="H480" s="79"/>
      <c r="I480" s="79"/>
      <c r="J480" s="14"/>
      <c r="K480" s="38"/>
      <c r="L480" s="38"/>
      <c r="M480" s="17"/>
    </row>
    <row r="481" spans="2:13" ht="14.45" customHeight="1" x14ac:dyDescent="0.25">
      <c r="B481" s="17"/>
      <c r="C481" s="14"/>
      <c r="D481" s="14"/>
      <c r="E481" s="18"/>
      <c r="F481" s="61"/>
      <c r="G481" s="73"/>
      <c r="H481" s="79"/>
      <c r="I481" s="79"/>
      <c r="J481" s="14"/>
      <c r="K481" s="38"/>
      <c r="L481" s="38"/>
      <c r="M481" s="17"/>
    </row>
    <row r="482" spans="2:13" ht="14.45" customHeight="1" x14ac:dyDescent="0.25">
      <c r="B482" s="17"/>
      <c r="C482" s="14"/>
      <c r="D482" s="14"/>
      <c r="E482" s="18"/>
      <c r="F482" s="61"/>
      <c r="G482" s="73"/>
      <c r="H482" s="79"/>
      <c r="I482" s="79"/>
      <c r="J482" s="14"/>
      <c r="K482" s="38"/>
      <c r="L482" s="38"/>
      <c r="M482" s="17"/>
    </row>
    <row r="483" spans="2:13" ht="14.45" customHeight="1" x14ac:dyDescent="0.25">
      <c r="B483" s="17"/>
      <c r="C483" s="14"/>
      <c r="D483" s="14"/>
      <c r="E483" s="18"/>
      <c r="F483" s="61"/>
      <c r="G483" s="73"/>
      <c r="H483" s="79"/>
      <c r="I483" s="79"/>
      <c r="J483" s="14"/>
      <c r="K483" s="38"/>
      <c r="L483" s="38"/>
      <c r="M483" s="17"/>
    </row>
    <row r="484" spans="2:13" ht="14.45" customHeight="1" x14ac:dyDescent="0.25">
      <c r="B484" s="17"/>
      <c r="C484" s="14"/>
      <c r="D484" s="14"/>
      <c r="E484" s="18"/>
      <c r="F484" s="61"/>
      <c r="G484" s="73"/>
      <c r="H484" s="79"/>
      <c r="I484" s="79"/>
      <c r="J484" s="14"/>
      <c r="K484" s="38"/>
      <c r="L484" s="38"/>
      <c r="M484" s="17"/>
    </row>
    <row r="485" spans="2:13" ht="14.45" customHeight="1" x14ac:dyDescent="0.25">
      <c r="B485" s="17"/>
      <c r="C485" s="14"/>
      <c r="D485" s="14"/>
      <c r="E485" s="18"/>
      <c r="F485" s="61"/>
      <c r="G485" s="73"/>
      <c r="H485" s="79"/>
      <c r="I485" s="79"/>
      <c r="J485" s="14"/>
      <c r="K485" s="38"/>
      <c r="L485" s="38"/>
      <c r="M485" s="17"/>
    </row>
    <row r="486" spans="2:13" ht="14.45" customHeight="1" x14ac:dyDescent="0.25">
      <c r="B486" s="17"/>
      <c r="C486" s="14"/>
      <c r="D486" s="14"/>
      <c r="E486" s="18"/>
      <c r="F486" s="61"/>
      <c r="G486" s="73"/>
      <c r="H486" s="79"/>
      <c r="I486" s="79"/>
      <c r="J486" s="14"/>
      <c r="K486" s="38"/>
      <c r="L486" s="38"/>
      <c r="M486" s="17"/>
    </row>
    <row r="487" spans="2:13" ht="14.45" customHeight="1" x14ac:dyDescent="0.25">
      <c r="B487" s="17"/>
      <c r="C487" s="14"/>
      <c r="D487" s="14"/>
      <c r="E487" s="18"/>
      <c r="F487" s="61"/>
      <c r="G487" s="73"/>
      <c r="H487" s="79"/>
      <c r="I487" s="79"/>
      <c r="J487" s="14"/>
      <c r="K487" s="38"/>
      <c r="L487" s="38"/>
      <c r="M487" s="17"/>
    </row>
    <row r="488" spans="2:13" ht="14.45" customHeight="1" x14ac:dyDescent="0.25">
      <c r="B488" s="17"/>
      <c r="C488" s="14"/>
      <c r="D488" s="14"/>
      <c r="E488" s="18"/>
      <c r="F488" s="61"/>
      <c r="G488" s="73"/>
      <c r="H488" s="79"/>
      <c r="I488" s="79"/>
      <c r="J488" s="14"/>
      <c r="K488" s="38"/>
      <c r="L488" s="38"/>
      <c r="M488" s="17"/>
    </row>
    <row r="489" spans="2:13" ht="14.45" customHeight="1" x14ac:dyDescent="0.25">
      <c r="B489" s="17"/>
      <c r="C489" s="14"/>
      <c r="D489" s="14"/>
      <c r="E489" s="18"/>
      <c r="F489" s="61"/>
      <c r="G489" s="73"/>
      <c r="H489" s="79"/>
      <c r="I489" s="79"/>
      <c r="J489" s="14"/>
      <c r="K489" s="38"/>
      <c r="L489" s="38"/>
      <c r="M489" s="17"/>
    </row>
    <row r="490" spans="2:13" ht="14.45" customHeight="1" x14ac:dyDescent="0.25">
      <c r="B490" s="17"/>
      <c r="C490" s="14"/>
      <c r="D490" s="14"/>
      <c r="E490" s="18"/>
      <c r="F490" s="61"/>
      <c r="G490" s="73"/>
      <c r="H490" s="79"/>
      <c r="I490" s="79"/>
      <c r="J490" s="14"/>
      <c r="K490" s="38"/>
      <c r="L490" s="38"/>
      <c r="M490" s="17"/>
    </row>
    <row r="491" spans="2:13" ht="14.45" customHeight="1" x14ac:dyDescent="0.25">
      <c r="B491" s="17"/>
      <c r="C491" s="14"/>
      <c r="D491" s="14"/>
      <c r="E491" s="18"/>
      <c r="F491" s="61"/>
      <c r="G491" s="73"/>
      <c r="H491" s="79"/>
      <c r="I491" s="79"/>
      <c r="J491" s="14"/>
      <c r="K491" s="38"/>
      <c r="L491" s="38"/>
      <c r="M491" s="17"/>
    </row>
    <row r="492" spans="2:13" ht="14.45" customHeight="1" x14ac:dyDescent="0.25">
      <c r="B492" s="17"/>
      <c r="C492" s="14"/>
      <c r="D492" s="14"/>
      <c r="E492" s="18"/>
      <c r="F492" s="61"/>
      <c r="G492" s="73"/>
      <c r="H492" s="79"/>
      <c r="I492" s="79"/>
      <c r="J492" s="14"/>
      <c r="K492" s="38"/>
      <c r="L492" s="38"/>
      <c r="M492" s="17"/>
    </row>
    <row r="493" spans="2:13" ht="14.45" customHeight="1" x14ac:dyDescent="0.25">
      <c r="B493" s="17"/>
      <c r="C493" s="14"/>
      <c r="D493" s="14"/>
      <c r="E493" s="18"/>
      <c r="F493" s="61"/>
      <c r="G493" s="73"/>
      <c r="H493" s="79"/>
      <c r="I493" s="79"/>
      <c r="J493" s="14"/>
      <c r="K493" s="38"/>
      <c r="L493" s="38"/>
      <c r="M493" s="17"/>
    </row>
    <row r="494" spans="2:13" ht="14.45" customHeight="1" x14ac:dyDescent="0.25">
      <c r="B494" s="17"/>
      <c r="C494" s="14"/>
      <c r="D494" s="14"/>
      <c r="E494" s="18"/>
      <c r="F494" s="61"/>
      <c r="G494" s="73"/>
      <c r="H494" s="79"/>
      <c r="I494" s="79"/>
      <c r="J494" s="14"/>
      <c r="K494" s="38"/>
      <c r="L494" s="38"/>
      <c r="M494" s="17"/>
    </row>
    <row r="495" spans="2:13" ht="14.45" customHeight="1" x14ac:dyDescent="0.25">
      <c r="B495" s="17"/>
      <c r="C495" s="14"/>
      <c r="D495" s="14"/>
      <c r="E495" s="18"/>
      <c r="F495" s="61"/>
      <c r="G495" s="73"/>
      <c r="H495" s="79"/>
      <c r="I495" s="79"/>
      <c r="J495" s="14"/>
      <c r="K495" s="38"/>
      <c r="L495" s="38"/>
      <c r="M495" s="17"/>
    </row>
    <row r="496" spans="2:13" ht="14.45" customHeight="1" x14ac:dyDescent="0.25">
      <c r="B496" s="17"/>
      <c r="C496" s="14"/>
      <c r="D496" s="14"/>
      <c r="E496" s="18"/>
      <c r="F496" s="61"/>
      <c r="G496" s="73"/>
      <c r="H496" s="79"/>
      <c r="I496" s="79"/>
      <c r="J496" s="14"/>
      <c r="K496" s="38"/>
      <c r="L496" s="38"/>
      <c r="M496" s="17"/>
    </row>
    <row r="497" spans="2:13" ht="14.45" customHeight="1" x14ac:dyDescent="0.25">
      <c r="B497" s="17"/>
      <c r="C497" s="14"/>
      <c r="D497" s="14"/>
      <c r="E497" s="18"/>
      <c r="F497" s="61"/>
      <c r="G497" s="73"/>
      <c r="H497" s="79"/>
      <c r="I497" s="79"/>
      <c r="J497" s="14"/>
      <c r="K497" s="38"/>
      <c r="L497" s="38"/>
      <c r="M497" s="17"/>
    </row>
    <row r="498" spans="2:13" ht="14.45" customHeight="1" x14ac:dyDescent="0.25">
      <c r="B498" s="17"/>
      <c r="C498" s="14"/>
      <c r="D498" s="14"/>
      <c r="E498" s="18"/>
      <c r="F498" s="61"/>
      <c r="G498" s="73"/>
      <c r="H498" s="79"/>
      <c r="I498" s="79"/>
      <c r="J498" s="14"/>
      <c r="K498" s="38"/>
      <c r="L498" s="38"/>
      <c r="M498" s="17"/>
    </row>
    <row r="499" spans="2:13" ht="14.45" customHeight="1" x14ac:dyDescent="0.25">
      <c r="B499" s="17"/>
      <c r="C499" s="14"/>
      <c r="D499" s="14"/>
      <c r="E499" s="18"/>
      <c r="F499" s="61"/>
      <c r="G499" s="73"/>
      <c r="H499" s="79"/>
      <c r="I499" s="79"/>
      <c r="J499" s="14"/>
      <c r="K499" s="38"/>
      <c r="L499" s="38"/>
      <c r="M499" s="17"/>
    </row>
    <row r="500" spans="2:13" ht="14.45" customHeight="1" x14ac:dyDescent="0.25">
      <c r="B500" s="17"/>
      <c r="C500" s="14"/>
      <c r="D500" s="14"/>
      <c r="E500" s="18"/>
      <c r="F500" s="61"/>
      <c r="G500" s="73"/>
      <c r="H500" s="79"/>
      <c r="I500" s="79"/>
      <c r="J500" s="14"/>
      <c r="K500" s="38"/>
      <c r="L500" s="38"/>
      <c r="M500" s="17"/>
    </row>
    <row r="501" spans="2:13" ht="14.45" customHeight="1" x14ac:dyDescent="0.25">
      <c r="B501" s="17"/>
      <c r="C501" s="14"/>
      <c r="D501" s="14"/>
      <c r="E501" s="18"/>
      <c r="F501" s="61"/>
      <c r="G501" s="73"/>
      <c r="H501" s="79"/>
      <c r="I501" s="79"/>
      <c r="J501" s="14"/>
      <c r="K501" s="38"/>
      <c r="L501" s="38"/>
      <c r="M501" s="17"/>
    </row>
    <row r="502" spans="2:13" ht="14.45" customHeight="1" x14ac:dyDescent="0.25">
      <c r="B502" s="17"/>
      <c r="C502" s="14"/>
      <c r="D502" s="14"/>
      <c r="E502" s="18"/>
      <c r="F502" s="61"/>
      <c r="G502" s="73"/>
      <c r="H502" s="79"/>
      <c r="I502" s="79"/>
      <c r="J502" s="14"/>
      <c r="K502" s="38"/>
      <c r="L502" s="38"/>
      <c r="M502" s="17"/>
    </row>
    <row r="503" spans="2:13" ht="14.45" customHeight="1" x14ac:dyDescent="0.25">
      <c r="B503" s="17"/>
      <c r="C503" s="14"/>
      <c r="D503" s="14"/>
      <c r="E503" s="18"/>
      <c r="F503" s="61"/>
      <c r="G503" s="73"/>
      <c r="H503" s="79"/>
      <c r="I503" s="79"/>
      <c r="J503" s="14"/>
      <c r="K503" s="38"/>
      <c r="L503" s="38"/>
      <c r="M503" s="17"/>
    </row>
    <row r="504" spans="2:13" ht="14.45" customHeight="1" x14ac:dyDescent="0.25">
      <c r="B504" s="17"/>
      <c r="C504" s="14"/>
      <c r="D504" s="14"/>
      <c r="E504" s="18"/>
      <c r="F504" s="61"/>
      <c r="G504" s="73"/>
      <c r="H504" s="79"/>
      <c r="I504" s="79"/>
      <c r="J504" s="14"/>
      <c r="K504" s="38"/>
      <c r="L504" s="38"/>
      <c r="M504" s="17"/>
    </row>
    <row r="505" spans="2:13" ht="14.45" customHeight="1" x14ac:dyDescent="0.25">
      <c r="B505" s="17"/>
      <c r="C505" s="14"/>
      <c r="D505" s="14"/>
      <c r="E505" s="18"/>
      <c r="F505" s="61"/>
      <c r="G505" s="73"/>
      <c r="H505" s="79"/>
      <c r="I505" s="79"/>
      <c r="J505" s="14"/>
      <c r="K505" s="38"/>
      <c r="L505" s="38"/>
      <c r="M505" s="17"/>
    </row>
    <row r="506" spans="2:13" ht="14.45" customHeight="1" x14ac:dyDescent="0.25">
      <c r="B506" s="17"/>
      <c r="C506" s="14"/>
      <c r="D506" s="14"/>
      <c r="E506" s="18"/>
      <c r="F506" s="61"/>
      <c r="G506" s="73"/>
      <c r="H506" s="79"/>
      <c r="I506" s="79"/>
      <c r="J506" s="14"/>
      <c r="K506" s="38"/>
      <c r="L506" s="38"/>
      <c r="M506" s="17"/>
    </row>
    <row r="507" spans="2:13" ht="14.45" customHeight="1" x14ac:dyDescent="0.25">
      <c r="B507" s="17"/>
      <c r="C507" s="14"/>
      <c r="D507" s="14"/>
      <c r="E507" s="18"/>
      <c r="F507" s="61"/>
      <c r="G507" s="73"/>
      <c r="H507" s="79"/>
      <c r="I507" s="79"/>
      <c r="J507" s="14"/>
      <c r="K507" s="38"/>
      <c r="L507" s="38"/>
      <c r="M507" s="17"/>
    </row>
    <row r="508" spans="2:13" ht="14.45" customHeight="1" x14ac:dyDescent="0.25">
      <c r="B508" s="17"/>
      <c r="C508" s="14"/>
      <c r="D508" s="14"/>
      <c r="E508" s="18"/>
      <c r="F508" s="61"/>
      <c r="G508" s="73"/>
      <c r="H508" s="79"/>
      <c r="I508" s="79"/>
      <c r="J508" s="14"/>
      <c r="K508" s="38"/>
      <c r="L508" s="38"/>
      <c r="M508" s="17"/>
    </row>
    <row r="509" spans="2:13" ht="14.45" customHeight="1" x14ac:dyDescent="0.25">
      <c r="B509" s="17"/>
      <c r="C509" s="14"/>
      <c r="D509" s="14"/>
      <c r="E509" s="18"/>
      <c r="F509" s="61"/>
      <c r="G509" s="73"/>
      <c r="H509" s="79"/>
      <c r="I509" s="79"/>
      <c r="J509" s="14"/>
      <c r="K509" s="38"/>
      <c r="L509" s="38"/>
      <c r="M509" s="17"/>
    </row>
    <row r="510" spans="2:13" ht="14.45" customHeight="1" x14ac:dyDescent="0.25">
      <c r="B510" s="17"/>
      <c r="C510" s="14"/>
      <c r="D510" s="14"/>
      <c r="E510" s="18"/>
      <c r="F510" s="61"/>
      <c r="G510" s="73"/>
      <c r="H510" s="79"/>
      <c r="I510" s="79"/>
      <c r="J510" s="14"/>
      <c r="K510" s="38"/>
      <c r="L510" s="38"/>
      <c r="M510" s="17"/>
    </row>
    <row r="511" spans="2:13" ht="14.45" customHeight="1" x14ac:dyDescent="0.25">
      <c r="B511" s="17"/>
      <c r="C511" s="14"/>
      <c r="D511" s="14"/>
      <c r="E511" s="18"/>
      <c r="F511" s="61"/>
      <c r="G511" s="73"/>
      <c r="H511" s="79"/>
      <c r="I511" s="79"/>
      <c r="J511" s="14"/>
      <c r="K511" s="38"/>
      <c r="L511" s="38"/>
      <c r="M511" s="17"/>
    </row>
    <row r="512" spans="2:13" ht="14.45" customHeight="1" x14ac:dyDescent="0.25">
      <c r="B512" s="17"/>
      <c r="C512" s="14"/>
      <c r="D512" s="14"/>
      <c r="E512" s="18"/>
      <c r="F512" s="61"/>
      <c r="G512" s="73"/>
      <c r="H512" s="79"/>
      <c r="I512" s="79"/>
      <c r="J512" s="14"/>
      <c r="K512" s="38"/>
      <c r="L512" s="38"/>
      <c r="M512" s="17"/>
    </row>
    <row r="513" spans="2:13" ht="14.45" customHeight="1" x14ac:dyDescent="0.25">
      <c r="B513" s="17"/>
      <c r="C513" s="14"/>
      <c r="D513" s="14"/>
      <c r="E513" s="18"/>
      <c r="F513" s="61"/>
      <c r="G513" s="73"/>
      <c r="H513" s="79"/>
      <c r="I513" s="79"/>
      <c r="J513" s="14"/>
      <c r="K513" s="38"/>
      <c r="L513" s="38"/>
      <c r="M513" s="17"/>
    </row>
    <row r="514" spans="2:13" ht="14.45" customHeight="1" x14ac:dyDescent="0.25">
      <c r="B514" s="17"/>
      <c r="C514" s="14"/>
      <c r="D514" s="14"/>
      <c r="E514" s="18"/>
      <c r="F514" s="61"/>
      <c r="G514" s="73"/>
      <c r="H514" s="79"/>
      <c r="I514" s="79"/>
      <c r="J514" s="14"/>
      <c r="K514" s="38"/>
      <c r="L514" s="38"/>
      <c r="M514" s="17"/>
    </row>
    <row r="515" spans="2:13" ht="14.45" customHeight="1" x14ac:dyDescent="0.25">
      <c r="B515" s="17"/>
      <c r="C515" s="14"/>
      <c r="D515" s="14"/>
      <c r="E515" s="18"/>
      <c r="F515" s="61"/>
      <c r="G515" s="73"/>
      <c r="H515" s="79"/>
      <c r="I515" s="79"/>
      <c r="J515" s="14"/>
      <c r="K515" s="38"/>
      <c r="L515" s="38"/>
      <c r="M515" s="17"/>
    </row>
    <row r="516" spans="2:13" ht="14.45" customHeight="1" x14ac:dyDescent="0.25">
      <c r="B516" s="17"/>
      <c r="C516" s="14"/>
      <c r="D516" s="14"/>
      <c r="E516" s="18"/>
      <c r="F516" s="61"/>
      <c r="G516" s="73"/>
      <c r="H516" s="79"/>
      <c r="I516" s="79"/>
      <c r="J516" s="14"/>
      <c r="K516" s="38"/>
      <c r="L516" s="38"/>
      <c r="M516" s="17"/>
    </row>
    <row r="517" spans="2:13" ht="14.45" customHeight="1" x14ac:dyDescent="0.25">
      <c r="B517" s="17"/>
      <c r="C517" s="14"/>
      <c r="D517" s="14"/>
      <c r="E517" s="18"/>
      <c r="F517" s="61"/>
      <c r="G517" s="73"/>
      <c r="H517" s="79"/>
      <c r="I517" s="79"/>
      <c r="J517" s="14"/>
      <c r="K517" s="38"/>
      <c r="L517" s="38"/>
      <c r="M517" s="17"/>
    </row>
    <row r="518" spans="2:13" ht="14.45" customHeight="1" x14ac:dyDescent="0.25">
      <c r="B518" s="17"/>
      <c r="C518" s="14"/>
      <c r="D518" s="14"/>
      <c r="E518" s="18"/>
      <c r="F518" s="61"/>
      <c r="G518" s="73"/>
      <c r="H518" s="79"/>
      <c r="I518" s="79"/>
      <c r="J518" s="14"/>
      <c r="K518" s="38"/>
      <c r="L518" s="38"/>
      <c r="M518" s="17"/>
    </row>
    <row r="519" spans="2:13" ht="14.45" customHeight="1" x14ac:dyDescent="0.25">
      <c r="B519" s="17"/>
      <c r="C519" s="14"/>
      <c r="D519" s="14"/>
      <c r="E519" s="18"/>
      <c r="F519" s="61"/>
      <c r="G519" s="73"/>
      <c r="H519" s="79"/>
      <c r="I519" s="79"/>
      <c r="J519" s="14"/>
      <c r="K519" s="38"/>
      <c r="L519" s="38"/>
      <c r="M519" s="17"/>
    </row>
    <row r="520" spans="2:13" ht="14.45" customHeight="1" x14ac:dyDescent="0.25">
      <c r="B520" s="17"/>
      <c r="C520" s="14"/>
      <c r="D520" s="14"/>
      <c r="E520" s="18"/>
      <c r="F520" s="61"/>
      <c r="G520" s="73"/>
      <c r="H520" s="79"/>
      <c r="I520" s="79"/>
      <c r="J520" s="14"/>
      <c r="K520" s="38"/>
      <c r="L520" s="38"/>
      <c r="M520" s="17"/>
    </row>
    <row r="521" spans="2:13" ht="14.45" customHeight="1" x14ac:dyDescent="0.25">
      <c r="B521" s="17"/>
      <c r="C521" s="14"/>
      <c r="D521" s="14"/>
      <c r="E521" s="18"/>
      <c r="F521" s="61"/>
      <c r="G521" s="73"/>
      <c r="H521" s="79"/>
      <c r="I521" s="79"/>
      <c r="J521" s="14"/>
      <c r="K521" s="38"/>
      <c r="L521" s="38"/>
      <c r="M521" s="17"/>
    </row>
    <row r="522" spans="2:13" ht="14.45" customHeight="1" x14ac:dyDescent="0.25">
      <c r="B522" s="17"/>
      <c r="C522" s="14"/>
      <c r="D522" s="14"/>
      <c r="E522" s="18"/>
      <c r="F522" s="61"/>
      <c r="G522" s="73"/>
      <c r="H522" s="79"/>
      <c r="I522" s="79"/>
      <c r="J522" s="14"/>
      <c r="K522" s="38"/>
      <c r="L522" s="38"/>
      <c r="M522" s="17"/>
    </row>
    <row r="523" spans="2:13" ht="14.45" customHeight="1" x14ac:dyDescent="0.25">
      <c r="B523" s="17"/>
      <c r="C523" s="14"/>
      <c r="D523" s="14"/>
      <c r="E523" s="18"/>
      <c r="F523" s="61"/>
      <c r="G523" s="73"/>
      <c r="H523" s="79"/>
      <c r="I523" s="79"/>
      <c r="J523" s="14"/>
      <c r="K523" s="38"/>
      <c r="L523" s="38"/>
      <c r="M523" s="17"/>
    </row>
    <row r="524" spans="2:13" ht="14.45" customHeight="1" x14ac:dyDescent="0.25">
      <c r="B524" s="17"/>
      <c r="C524" s="14"/>
      <c r="D524" s="14"/>
      <c r="E524" s="18"/>
      <c r="F524" s="61"/>
      <c r="G524" s="73"/>
      <c r="H524" s="79"/>
      <c r="I524" s="79"/>
      <c r="J524" s="14"/>
      <c r="K524" s="38"/>
      <c r="L524" s="38"/>
      <c r="M524" s="17"/>
    </row>
    <row r="525" spans="2:13" ht="14.45" customHeight="1" x14ac:dyDescent="0.25">
      <c r="B525" s="17"/>
      <c r="C525" s="14"/>
      <c r="D525" s="14"/>
      <c r="E525" s="18"/>
      <c r="F525" s="61"/>
      <c r="G525" s="73"/>
      <c r="H525" s="79"/>
      <c r="I525" s="79"/>
      <c r="J525" s="14"/>
      <c r="K525" s="38"/>
      <c r="L525" s="38"/>
      <c r="M525" s="17"/>
    </row>
    <row r="526" spans="2:13" ht="14.45" customHeight="1" x14ac:dyDescent="0.25">
      <c r="B526" s="17"/>
      <c r="C526" s="14"/>
      <c r="D526" s="14"/>
      <c r="E526" s="18"/>
      <c r="F526" s="61"/>
      <c r="G526" s="73"/>
      <c r="H526" s="79"/>
      <c r="I526" s="79"/>
      <c r="J526" s="14"/>
      <c r="K526" s="38"/>
      <c r="L526" s="38"/>
      <c r="M526" s="17"/>
    </row>
    <row r="527" spans="2:13" ht="14.45" customHeight="1" x14ac:dyDescent="0.25">
      <c r="B527" s="17"/>
      <c r="C527" s="14"/>
      <c r="D527" s="14"/>
      <c r="E527" s="18"/>
      <c r="F527" s="61"/>
      <c r="G527" s="73"/>
      <c r="H527" s="79"/>
      <c r="I527" s="79"/>
      <c r="J527" s="14"/>
      <c r="K527" s="38"/>
      <c r="L527" s="38"/>
      <c r="M527" s="17"/>
    </row>
    <row r="528" spans="2:13" ht="14.45" customHeight="1" x14ac:dyDescent="0.25">
      <c r="B528" s="17"/>
      <c r="C528" s="14"/>
      <c r="D528" s="14"/>
      <c r="E528" s="18"/>
      <c r="F528" s="61"/>
      <c r="G528" s="73"/>
      <c r="H528" s="79"/>
      <c r="I528" s="79"/>
      <c r="J528" s="14"/>
      <c r="K528" s="38"/>
      <c r="L528" s="38"/>
      <c r="M528" s="17"/>
    </row>
    <row r="529" spans="2:13" ht="14.45" customHeight="1" x14ac:dyDescent="0.25">
      <c r="B529" s="17"/>
      <c r="C529" s="14"/>
      <c r="D529" s="14"/>
      <c r="E529" s="18"/>
      <c r="F529" s="61"/>
      <c r="G529" s="73"/>
      <c r="H529" s="79"/>
      <c r="I529" s="79"/>
      <c r="J529" s="14"/>
      <c r="K529" s="38"/>
      <c r="L529" s="38"/>
      <c r="M529" s="17"/>
    </row>
    <row r="530" spans="2:13" ht="14.45" customHeight="1" x14ac:dyDescent="0.25">
      <c r="B530" s="17"/>
      <c r="C530" s="14"/>
      <c r="D530" s="14"/>
      <c r="E530" s="18"/>
      <c r="F530" s="61"/>
      <c r="G530" s="73"/>
      <c r="H530" s="79"/>
      <c r="I530" s="79"/>
      <c r="J530" s="14"/>
      <c r="K530" s="38"/>
      <c r="L530" s="38"/>
      <c r="M530" s="17"/>
    </row>
    <row r="531" spans="2:13" ht="14.45" customHeight="1" x14ac:dyDescent="0.25">
      <c r="B531" s="17"/>
      <c r="C531" s="14"/>
      <c r="D531" s="14"/>
      <c r="E531" s="18"/>
      <c r="F531" s="61"/>
      <c r="G531" s="73"/>
      <c r="H531" s="79"/>
      <c r="I531" s="79"/>
      <c r="J531" s="14"/>
      <c r="K531" s="38"/>
      <c r="L531" s="38"/>
      <c r="M531" s="17"/>
    </row>
    <row r="532" spans="2:13" ht="14.45" customHeight="1" x14ac:dyDescent="0.25">
      <c r="B532" s="17"/>
      <c r="C532" s="14"/>
      <c r="D532" s="14"/>
      <c r="E532" s="18"/>
      <c r="F532" s="61"/>
      <c r="G532" s="73"/>
      <c r="H532" s="79"/>
      <c r="I532" s="79"/>
      <c r="J532" s="14"/>
      <c r="K532" s="38"/>
      <c r="L532" s="38"/>
      <c r="M532" s="17"/>
    </row>
    <row r="533" spans="2:13" ht="14.45" customHeight="1" x14ac:dyDescent="0.25">
      <c r="B533" s="17"/>
      <c r="C533" s="14"/>
      <c r="D533" s="14"/>
      <c r="E533" s="18"/>
      <c r="F533" s="61"/>
      <c r="G533" s="73"/>
      <c r="H533" s="79"/>
      <c r="I533" s="79"/>
      <c r="J533" s="14"/>
      <c r="K533" s="38"/>
      <c r="L533" s="38"/>
      <c r="M533" s="17"/>
    </row>
    <row r="534" spans="2:13" ht="14.45" customHeight="1" x14ac:dyDescent="0.25">
      <c r="B534" s="17"/>
      <c r="C534" s="14"/>
      <c r="D534" s="14"/>
      <c r="E534" s="18"/>
      <c r="F534" s="61"/>
      <c r="G534" s="73"/>
      <c r="H534" s="79"/>
      <c r="I534" s="79"/>
      <c r="J534" s="14"/>
      <c r="K534" s="38"/>
      <c r="L534" s="38"/>
      <c r="M534" s="17"/>
    </row>
    <row r="535" spans="2:13" ht="14.45" customHeight="1" x14ac:dyDescent="0.25">
      <c r="B535" s="17"/>
      <c r="C535" s="14"/>
      <c r="D535" s="14"/>
      <c r="E535" s="18"/>
      <c r="F535" s="61"/>
      <c r="G535" s="73"/>
      <c r="H535" s="79"/>
      <c r="I535" s="79"/>
      <c r="J535" s="14"/>
      <c r="K535" s="38"/>
      <c r="L535" s="38"/>
      <c r="M535" s="17"/>
    </row>
    <row r="536" spans="2:13" ht="14.45" customHeight="1" x14ac:dyDescent="0.25">
      <c r="B536" s="17"/>
      <c r="C536" s="14"/>
      <c r="D536" s="14"/>
      <c r="E536" s="18"/>
      <c r="F536" s="61"/>
      <c r="G536" s="73"/>
      <c r="H536" s="79"/>
      <c r="I536" s="79"/>
      <c r="J536" s="14"/>
      <c r="K536" s="38"/>
      <c r="L536" s="38"/>
      <c r="M536" s="17"/>
    </row>
    <row r="537" spans="2:13" ht="14.45" customHeight="1" x14ac:dyDescent="0.25">
      <c r="B537" s="17"/>
      <c r="C537" s="14"/>
      <c r="D537" s="14"/>
      <c r="E537" s="18"/>
      <c r="F537" s="61"/>
      <c r="G537" s="73"/>
      <c r="H537" s="79"/>
      <c r="I537" s="79"/>
      <c r="J537" s="14"/>
      <c r="K537" s="38"/>
      <c r="L537" s="38"/>
      <c r="M537" s="17"/>
    </row>
    <row r="538" spans="2:13" ht="14.45" customHeight="1" x14ac:dyDescent="0.25">
      <c r="B538" s="17"/>
      <c r="C538" s="14"/>
      <c r="D538" s="14"/>
      <c r="E538" s="18"/>
      <c r="F538" s="61"/>
      <c r="G538" s="73"/>
      <c r="H538" s="79"/>
      <c r="I538" s="79"/>
      <c r="J538" s="14"/>
      <c r="K538" s="38"/>
      <c r="L538" s="38"/>
      <c r="M538" s="17"/>
    </row>
    <row r="539" spans="2:13" ht="14.45" customHeight="1" x14ac:dyDescent="0.25">
      <c r="B539" s="17"/>
      <c r="C539" s="14"/>
      <c r="D539" s="14"/>
      <c r="E539" s="18"/>
      <c r="F539" s="61"/>
      <c r="G539" s="73"/>
      <c r="H539" s="79"/>
      <c r="I539" s="79"/>
      <c r="J539" s="14"/>
      <c r="K539" s="38"/>
      <c r="L539" s="38"/>
      <c r="M539" s="17"/>
    </row>
    <row r="540" spans="2:13" ht="14.45" customHeight="1" x14ac:dyDescent="0.25">
      <c r="B540" s="17"/>
      <c r="C540" s="14"/>
      <c r="D540" s="14"/>
      <c r="E540" s="18"/>
      <c r="F540" s="61"/>
      <c r="G540" s="73"/>
      <c r="H540" s="79"/>
      <c r="I540" s="79"/>
      <c r="J540" s="14"/>
      <c r="K540" s="38"/>
      <c r="L540" s="38"/>
      <c r="M540" s="17"/>
    </row>
    <row r="541" spans="2:13" ht="14.45" customHeight="1" x14ac:dyDescent="0.25">
      <c r="B541" s="17"/>
      <c r="C541" s="14"/>
      <c r="D541" s="14"/>
      <c r="E541" s="18"/>
      <c r="F541" s="61"/>
      <c r="G541" s="73"/>
      <c r="H541" s="79"/>
      <c r="I541" s="79"/>
      <c r="J541" s="14"/>
      <c r="K541" s="38"/>
      <c r="L541" s="38"/>
      <c r="M541" s="17"/>
    </row>
    <row r="542" spans="2:13" ht="14.45" customHeight="1" x14ac:dyDescent="0.25">
      <c r="B542" s="17"/>
      <c r="C542" s="14"/>
      <c r="D542" s="14"/>
      <c r="E542" s="18"/>
      <c r="F542" s="61"/>
      <c r="G542" s="73"/>
      <c r="H542" s="79"/>
      <c r="I542" s="79"/>
      <c r="J542" s="14"/>
      <c r="K542" s="38"/>
      <c r="L542" s="38"/>
      <c r="M542" s="17"/>
    </row>
    <row r="543" spans="2:13" ht="14.45" customHeight="1" x14ac:dyDescent="0.25">
      <c r="B543" s="17"/>
      <c r="C543" s="14"/>
      <c r="D543" s="14"/>
      <c r="E543" s="18"/>
      <c r="F543" s="61"/>
      <c r="G543" s="73"/>
      <c r="H543" s="79"/>
      <c r="I543" s="79"/>
      <c r="J543" s="14"/>
      <c r="K543" s="38"/>
      <c r="L543" s="38"/>
      <c r="M543" s="17"/>
    </row>
    <row r="544" spans="2:13" ht="14.45" customHeight="1" x14ac:dyDescent="0.25">
      <c r="B544" s="17"/>
      <c r="C544" s="14"/>
      <c r="D544" s="14"/>
      <c r="E544" s="18"/>
      <c r="F544" s="61"/>
      <c r="G544" s="73"/>
      <c r="H544" s="79"/>
      <c r="I544" s="79"/>
      <c r="J544" s="14"/>
      <c r="K544" s="38"/>
      <c r="L544" s="38"/>
      <c r="M544" s="17"/>
    </row>
    <row r="545" spans="2:13" ht="14.45" customHeight="1" x14ac:dyDescent="0.25">
      <c r="B545" s="17"/>
      <c r="C545" s="14"/>
      <c r="D545" s="14"/>
      <c r="E545" s="18"/>
      <c r="F545" s="61"/>
      <c r="G545" s="73"/>
      <c r="H545" s="79"/>
      <c r="I545" s="79"/>
      <c r="J545" s="14"/>
      <c r="K545" s="38"/>
      <c r="L545" s="38"/>
      <c r="M545" s="17"/>
    </row>
    <row r="546" spans="2:13" ht="14.45" customHeight="1" x14ac:dyDescent="0.25">
      <c r="B546" s="17"/>
      <c r="C546" s="14"/>
      <c r="D546" s="14"/>
      <c r="E546" s="18"/>
      <c r="F546" s="61"/>
      <c r="G546" s="73"/>
      <c r="H546" s="79"/>
      <c r="I546" s="79"/>
      <c r="J546" s="14"/>
      <c r="K546" s="38"/>
      <c r="L546" s="38"/>
      <c r="M546" s="17"/>
    </row>
    <row r="547" spans="2:13" ht="14.45" customHeight="1" x14ac:dyDescent="0.25">
      <c r="B547" s="17"/>
      <c r="C547" s="14"/>
      <c r="D547" s="14"/>
      <c r="E547" s="18"/>
      <c r="F547" s="61"/>
      <c r="G547" s="73"/>
      <c r="H547" s="79"/>
      <c r="I547" s="79"/>
      <c r="J547" s="14"/>
      <c r="K547" s="38"/>
      <c r="L547" s="38"/>
      <c r="M547" s="17"/>
    </row>
    <row r="548" spans="2:13" ht="14.45" customHeight="1" x14ac:dyDescent="0.25">
      <c r="B548" s="17"/>
      <c r="C548" s="14"/>
      <c r="D548" s="14"/>
      <c r="E548" s="18"/>
      <c r="F548" s="61"/>
      <c r="G548" s="73"/>
      <c r="H548" s="79"/>
      <c r="I548" s="79"/>
      <c r="J548" s="14"/>
      <c r="K548" s="38"/>
      <c r="L548" s="38"/>
      <c r="M548" s="17"/>
    </row>
    <row r="549" spans="2:13" ht="14.45" customHeight="1" x14ac:dyDescent="0.25">
      <c r="B549" s="17"/>
      <c r="C549" s="14"/>
      <c r="D549" s="14"/>
      <c r="E549" s="18"/>
      <c r="F549" s="61"/>
      <c r="G549" s="73"/>
      <c r="H549" s="79"/>
      <c r="I549" s="79"/>
      <c r="J549" s="14"/>
      <c r="K549" s="38"/>
      <c r="L549" s="38"/>
      <c r="M549" s="17"/>
    </row>
    <row r="550" spans="2:13" ht="14.45" customHeight="1" x14ac:dyDescent="0.25">
      <c r="B550" s="17"/>
      <c r="C550" s="14"/>
      <c r="D550" s="14"/>
      <c r="E550" s="18"/>
      <c r="F550" s="61"/>
      <c r="G550" s="73"/>
      <c r="H550" s="79"/>
      <c r="I550" s="79"/>
      <c r="J550" s="14"/>
      <c r="K550" s="38"/>
      <c r="L550" s="38"/>
      <c r="M550" s="17"/>
    </row>
    <row r="551" spans="2:13" ht="14.45" customHeight="1" x14ac:dyDescent="0.25">
      <c r="B551" s="17"/>
      <c r="C551" s="14"/>
      <c r="D551" s="14"/>
      <c r="E551" s="18"/>
      <c r="F551" s="61"/>
      <c r="G551" s="73"/>
      <c r="H551" s="79"/>
      <c r="I551" s="79"/>
      <c r="J551" s="14"/>
      <c r="K551" s="38"/>
      <c r="L551" s="38"/>
      <c r="M551" s="17"/>
    </row>
    <row r="552" spans="2:13" ht="14.45" customHeight="1" x14ac:dyDescent="0.25">
      <c r="B552" s="17"/>
      <c r="C552" s="14"/>
      <c r="D552" s="14"/>
      <c r="E552" s="18"/>
      <c r="F552" s="61"/>
      <c r="G552" s="73"/>
      <c r="H552" s="79"/>
      <c r="I552" s="79"/>
      <c r="J552" s="14"/>
      <c r="K552" s="38"/>
      <c r="L552" s="38"/>
      <c r="M552" s="17"/>
    </row>
    <row r="553" spans="2:13" ht="14.45" customHeight="1" x14ac:dyDescent="0.25">
      <c r="B553" s="17"/>
      <c r="C553" s="14"/>
      <c r="D553" s="14"/>
      <c r="E553" s="18"/>
      <c r="F553" s="61"/>
      <c r="G553" s="73"/>
      <c r="H553" s="79"/>
      <c r="I553" s="79"/>
      <c r="J553" s="14"/>
      <c r="K553" s="38"/>
      <c r="L553" s="38"/>
      <c r="M553" s="17"/>
    </row>
    <row r="554" spans="2:13" ht="14.45" customHeight="1" x14ac:dyDescent="0.25">
      <c r="B554" s="17"/>
      <c r="C554" s="14"/>
      <c r="D554" s="14"/>
      <c r="E554" s="18"/>
      <c r="F554" s="61"/>
      <c r="G554" s="73"/>
      <c r="H554" s="79"/>
      <c r="I554" s="79"/>
      <c r="J554" s="14"/>
      <c r="K554" s="38"/>
      <c r="L554" s="38"/>
      <c r="M554" s="17"/>
    </row>
    <row r="555" spans="2:13" ht="14.45" customHeight="1" x14ac:dyDescent="0.25">
      <c r="B555" s="17"/>
      <c r="C555" s="14"/>
      <c r="D555" s="14"/>
      <c r="E555" s="18"/>
      <c r="F555" s="61"/>
      <c r="G555" s="73"/>
      <c r="H555" s="79"/>
      <c r="I555" s="79"/>
      <c r="J555" s="14"/>
      <c r="K555" s="38"/>
      <c r="L555" s="38"/>
      <c r="M555" s="17"/>
    </row>
    <row r="556" spans="2:13" ht="14.45" customHeight="1" x14ac:dyDescent="0.25">
      <c r="B556" s="17"/>
      <c r="C556" s="14"/>
      <c r="D556" s="14"/>
      <c r="E556" s="18"/>
      <c r="F556" s="61"/>
      <c r="G556" s="73"/>
      <c r="H556" s="79"/>
      <c r="I556" s="79"/>
      <c r="J556" s="14"/>
      <c r="K556" s="38"/>
      <c r="L556" s="38"/>
      <c r="M556" s="17"/>
    </row>
    <row r="557" spans="2:13" ht="14.45" customHeight="1" x14ac:dyDescent="0.25">
      <c r="B557" s="17"/>
      <c r="C557" s="14"/>
      <c r="D557" s="14"/>
      <c r="E557" s="18"/>
      <c r="F557" s="61"/>
      <c r="G557" s="73"/>
      <c r="H557" s="79"/>
      <c r="I557" s="79"/>
      <c r="J557" s="14"/>
      <c r="K557" s="38"/>
      <c r="L557" s="38"/>
      <c r="M557" s="17"/>
    </row>
    <row r="558" spans="2:13" ht="14.45" customHeight="1" x14ac:dyDescent="0.25">
      <c r="B558" s="17"/>
      <c r="C558" s="14"/>
      <c r="D558" s="14"/>
      <c r="E558" s="18"/>
      <c r="F558" s="61"/>
      <c r="G558" s="73"/>
      <c r="H558" s="79"/>
      <c r="I558" s="79"/>
      <c r="J558" s="14"/>
      <c r="K558" s="38"/>
      <c r="L558" s="38"/>
      <c r="M558" s="17"/>
    </row>
    <row r="559" spans="2:13" ht="14.45" customHeight="1" x14ac:dyDescent="0.25">
      <c r="B559" s="17"/>
      <c r="C559" s="14"/>
      <c r="D559" s="14"/>
      <c r="E559" s="18"/>
      <c r="F559" s="61"/>
      <c r="G559" s="73"/>
      <c r="H559" s="79"/>
      <c r="I559" s="79"/>
      <c r="J559" s="14"/>
      <c r="K559" s="38"/>
      <c r="L559" s="38"/>
      <c r="M559" s="17"/>
    </row>
    <row r="560" spans="2:13" ht="14.45" customHeight="1" x14ac:dyDescent="0.25">
      <c r="B560" s="17"/>
      <c r="C560" s="14"/>
      <c r="D560" s="14"/>
      <c r="E560" s="18"/>
      <c r="F560" s="61"/>
      <c r="G560" s="73"/>
      <c r="H560" s="79"/>
      <c r="I560" s="79"/>
      <c r="J560" s="14"/>
      <c r="K560" s="38"/>
      <c r="L560" s="38"/>
      <c r="M560" s="17"/>
    </row>
    <row r="561" spans="2:13" ht="14.45" customHeight="1" x14ac:dyDescent="0.25">
      <c r="B561" s="17"/>
      <c r="C561" s="14"/>
      <c r="D561" s="14"/>
      <c r="E561" s="18"/>
      <c r="F561" s="61"/>
      <c r="G561" s="73"/>
      <c r="H561" s="79"/>
      <c r="I561" s="79"/>
      <c r="J561" s="14"/>
      <c r="K561" s="38"/>
      <c r="L561" s="38"/>
      <c r="M561" s="17"/>
    </row>
    <row r="562" spans="2:13" ht="14.45" customHeight="1" x14ac:dyDescent="0.25">
      <c r="B562" s="17"/>
      <c r="C562" s="14"/>
      <c r="D562" s="14"/>
      <c r="E562" s="18"/>
      <c r="F562" s="61"/>
      <c r="G562" s="73"/>
      <c r="H562" s="79"/>
      <c r="I562" s="79"/>
      <c r="J562" s="14"/>
      <c r="K562" s="38"/>
      <c r="L562" s="38"/>
      <c r="M562" s="17"/>
    </row>
    <row r="563" spans="2:13" ht="14.45" customHeight="1" x14ac:dyDescent="0.25">
      <c r="B563" s="17"/>
      <c r="C563" s="14"/>
      <c r="D563" s="14"/>
      <c r="E563" s="18"/>
      <c r="F563" s="61"/>
      <c r="G563" s="73"/>
      <c r="H563" s="79"/>
      <c r="I563" s="79"/>
      <c r="J563" s="14"/>
      <c r="K563" s="38"/>
      <c r="L563" s="38"/>
      <c r="M563" s="17"/>
    </row>
    <row r="564" spans="2:13" ht="14.45" customHeight="1" x14ac:dyDescent="0.25">
      <c r="B564" s="17"/>
      <c r="C564" s="14"/>
      <c r="D564" s="14"/>
      <c r="E564" s="18"/>
      <c r="F564" s="61"/>
      <c r="G564" s="73"/>
      <c r="H564" s="79"/>
      <c r="I564" s="79"/>
      <c r="J564" s="14"/>
      <c r="K564" s="38"/>
      <c r="L564" s="38"/>
      <c r="M564" s="17"/>
    </row>
    <row r="565" spans="2:13" ht="14.45" customHeight="1" x14ac:dyDescent="0.25">
      <c r="B565" s="17"/>
      <c r="C565" s="14"/>
      <c r="D565" s="14"/>
      <c r="E565" s="18"/>
      <c r="F565" s="61"/>
      <c r="G565" s="73"/>
      <c r="H565" s="79"/>
      <c r="I565" s="79"/>
      <c r="J565" s="14"/>
      <c r="K565" s="38"/>
      <c r="L565" s="38"/>
      <c r="M565" s="17"/>
    </row>
    <row r="566" spans="2:13" ht="14.45" customHeight="1" x14ac:dyDescent="0.25">
      <c r="B566" s="17"/>
      <c r="C566" s="14"/>
      <c r="D566" s="14"/>
      <c r="E566" s="18"/>
      <c r="F566" s="61"/>
      <c r="G566" s="73"/>
      <c r="H566" s="79"/>
      <c r="I566" s="79"/>
      <c r="J566" s="14"/>
      <c r="K566" s="38"/>
      <c r="L566" s="38"/>
      <c r="M566" s="17"/>
    </row>
    <row r="567" spans="2:13" ht="14.45" customHeight="1" x14ac:dyDescent="0.25">
      <c r="B567" s="17"/>
      <c r="C567" s="14"/>
      <c r="D567" s="14"/>
      <c r="E567" s="18"/>
      <c r="F567" s="61"/>
      <c r="G567" s="73"/>
      <c r="H567" s="79"/>
      <c r="I567" s="79"/>
      <c r="J567" s="14"/>
      <c r="K567" s="38"/>
      <c r="L567" s="38"/>
      <c r="M567" s="17"/>
    </row>
    <row r="568" spans="2:13" ht="14.45" customHeight="1" x14ac:dyDescent="0.25">
      <c r="B568" s="17"/>
      <c r="C568" s="14"/>
      <c r="D568" s="14"/>
      <c r="E568" s="18"/>
      <c r="F568" s="61"/>
      <c r="G568" s="73"/>
      <c r="H568" s="79"/>
      <c r="I568" s="79"/>
      <c r="J568" s="14"/>
      <c r="K568" s="38"/>
      <c r="L568" s="38"/>
      <c r="M568" s="17"/>
    </row>
    <row r="569" spans="2:13" ht="14.45" customHeight="1" x14ac:dyDescent="0.25">
      <c r="B569" s="17"/>
      <c r="C569" s="14"/>
      <c r="D569" s="14"/>
      <c r="E569" s="18"/>
      <c r="F569" s="61"/>
      <c r="G569" s="73"/>
      <c r="H569" s="79"/>
      <c r="I569" s="79"/>
      <c r="J569" s="14"/>
      <c r="K569" s="38"/>
      <c r="L569" s="38"/>
      <c r="M569" s="17"/>
    </row>
    <row r="570" spans="2:13" ht="14.45" customHeight="1" x14ac:dyDescent="0.25">
      <c r="B570" s="17"/>
      <c r="C570" s="14"/>
      <c r="D570" s="14"/>
      <c r="E570" s="18"/>
      <c r="F570" s="61"/>
      <c r="G570" s="73"/>
      <c r="H570" s="79"/>
      <c r="I570" s="79"/>
      <c r="J570" s="14"/>
      <c r="K570" s="38"/>
      <c r="L570" s="38"/>
      <c r="M570" s="17"/>
    </row>
    <row r="571" spans="2:13" ht="14.45" customHeight="1" x14ac:dyDescent="0.25">
      <c r="B571" s="17"/>
      <c r="C571" s="14"/>
      <c r="D571" s="14"/>
      <c r="E571" s="18"/>
      <c r="F571" s="61"/>
      <c r="G571" s="73"/>
      <c r="H571" s="79"/>
      <c r="I571" s="79"/>
      <c r="J571" s="14"/>
      <c r="K571" s="38"/>
      <c r="L571" s="38"/>
      <c r="M571" s="17"/>
    </row>
    <row r="572" spans="2:13" ht="14.45" customHeight="1" x14ac:dyDescent="0.25">
      <c r="B572" s="17"/>
      <c r="C572" s="14"/>
      <c r="D572" s="14"/>
      <c r="E572" s="18"/>
      <c r="F572" s="61"/>
      <c r="G572" s="73"/>
      <c r="H572" s="79"/>
      <c r="I572" s="79"/>
      <c r="J572" s="14"/>
      <c r="K572" s="38"/>
      <c r="L572" s="38"/>
      <c r="M572" s="17"/>
    </row>
    <row r="573" spans="2:13" ht="14.45" customHeight="1" x14ac:dyDescent="0.25">
      <c r="B573" s="17"/>
      <c r="C573" s="14"/>
      <c r="D573" s="14"/>
      <c r="E573" s="18"/>
      <c r="F573" s="61"/>
      <c r="G573" s="73"/>
      <c r="H573" s="79"/>
      <c r="I573" s="79"/>
      <c r="J573" s="14"/>
      <c r="K573" s="38"/>
      <c r="L573" s="38"/>
      <c r="M573" s="17"/>
    </row>
    <row r="574" spans="2:13" ht="14.45" customHeight="1" x14ac:dyDescent="0.25">
      <c r="B574" s="17"/>
      <c r="C574" s="14"/>
      <c r="D574" s="14"/>
      <c r="E574" s="18"/>
      <c r="F574" s="61"/>
      <c r="G574" s="73"/>
      <c r="H574" s="79"/>
      <c r="I574" s="79"/>
      <c r="J574" s="14"/>
      <c r="K574" s="38"/>
      <c r="L574" s="38"/>
      <c r="M574" s="17"/>
    </row>
    <row r="575" spans="2:13" ht="14.45" customHeight="1" x14ac:dyDescent="0.25">
      <c r="B575" s="17"/>
      <c r="C575" s="14"/>
      <c r="D575" s="14"/>
      <c r="E575" s="18"/>
      <c r="F575" s="61"/>
      <c r="G575" s="73"/>
      <c r="H575" s="79"/>
      <c r="I575" s="79"/>
      <c r="J575" s="14"/>
      <c r="K575" s="38"/>
      <c r="L575" s="38"/>
      <c r="M575" s="17"/>
    </row>
    <row r="576" spans="2:13" ht="14.45" customHeight="1" x14ac:dyDescent="0.25">
      <c r="B576" s="17"/>
      <c r="C576" s="14"/>
      <c r="D576" s="14"/>
      <c r="E576" s="18"/>
      <c r="F576" s="61"/>
      <c r="G576" s="73"/>
      <c r="H576" s="79"/>
      <c r="I576" s="79"/>
      <c r="J576" s="14"/>
      <c r="K576" s="38"/>
      <c r="L576" s="38"/>
      <c r="M576" s="17"/>
    </row>
    <row r="577" spans="2:13" ht="14.45" customHeight="1" x14ac:dyDescent="0.25">
      <c r="B577" s="17"/>
      <c r="C577" s="14"/>
      <c r="D577" s="14"/>
      <c r="E577" s="18"/>
      <c r="F577" s="61"/>
      <c r="G577" s="73"/>
      <c r="H577" s="79"/>
      <c r="I577" s="79"/>
      <c r="J577" s="14"/>
      <c r="K577" s="38"/>
      <c r="L577" s="38"/>
      <c r="M577" s="17"/>
    </row>
    <row r="578" spans="2:13" ht="14.45" customHeight="1" x14ac:dyDescent="0.25">
      <c r="B578" s="17"/>
      <c r="C578" s="14"/>
      <c r="D578" s="14"/>
      <c r="E578" s="18"/>
      <c r="F578" s="61"/>
      <c r="G578" s="73"/>
      <c r="H578" s="79"/>
      <c r="I578" s="79"/>
      <c r="J578" s="14"/>
      <c r="K578" s="38"/>
      <c r="L578" s="38"/>
      <c r="M578" s="17"/>
    </row>
    <row r="579" spans="2:13" ht="14.45" customHeight="1" x14ac:dyDescent="0.25">
      <c r="B579" s="17"/>
      <c r="C579" s="14"/>
      <c r="D579" s="14"/>
      <c r="E579" s="18"/>
      <c r="F579" s="61"/>
      <c r="G579" s="73"/>
      <c r="H579" s="79"/>
      <c r="I579" s="79"/>
      <c r="J579" s="14"/>
      <c r="K579" s="38"/>
      <c r="L579" s="38"/>
      <c r="M579" s="17"/>
    </row>
    <row r="580" spans="2:13" ht="14.45" customHeight="1" x14ac:dyDescent="0.25">
      <c r="B580" s="17"/>
      <c r="C580" s="14"/>
      <c r="D580" s="14"/>
      <c r="E580" s="18"/>
      <c r="F580" s="61"/>
      <c r="G580" s="73"/>
      <c r="H580" s="79"/>
      <c r="I580" s="79"/>
      <c r="J580" s="14"/>
      <c r="K580" s="38"/>
      <c r="L580" s="38"/>
      <c r="M580" s="17"/>
    </row>
    <row r="581" spans="2:13" ht="14.45" customHeight="1" x14ac:dyDescent="0.25">
      <c r="B581" s="17"/>
      <c r="C581" s="14"/>
      <c r="D581" s="14"/>
      <c r="E581" s="18"/>
      <c r="F581" s="61"/>
      <c r="G581" s="73"/>
      <c r="H581" s="79"/>
      <c r="I581" s="79"/>
      <c r="J581" s="14"/>
      <c r="K581" s="38"/>
      <c r="L581" s="38"/>
      <c r="M581" s="17"/>
    </row>
    <row r="582" spans="2:13" ht="14.45" customHeight="1" x14ac:dyDescent="0.25">
      <c r="B582" s="17"/>
      <c r="C582" s="14"/>
      <c r="D582" s="14"/>
      <c r="E582" s="18"/>
      <c r="F582" s="61"/>
      <c r="G582" s="73"/>
      <c r="H582" s="79"/>
      <c r="I582" s="79"/>
      <c r="J582" s="14"/>
      <c r="K582" s="38"/>
      <c r="L582" s="38"/>
      <c r="M582" s="17"/>
    </row>
    <row r="583" spans="2:13" ht="14.45" customHeight="1" x14ac:dyDescent="0.25">
      <c r="B583" s="17"/>
      <c r="C583" s="14"/>
      <c r="D583" s="14"/>
      <c r="E583" s="18"/>
      <c r="F583" s="61"/>
      <c r="G583" s="73"/>
      <c r="H583" s="79"/>
      <c r="I583" s="79"/>
      <c r="J583" s="14"/>
      <c r="K583" s="38"/>
      <c r="L583" s="38"/>
      <c r="M583" s="17"/>
    </row>
    <row r="584" spans="2:13" ht="14.45" customHeight="1" x14ac:dyDescent="0.25">
      <c r="B584" s="17"/>
      <c r="C584" s="14"/>
      <c r="D584" s="14"/>
      <c r="E584" s="18"/>
      <c r="F584" s="61"/>
      <c r="G584" s="73"/>
      <c r="H584" s="79"/>
      <c r="I584" s="79"/>
      <c r="J584" s="14"/>
      <c r="K584" s="38"/>
      <c r="L584" s="38"/>
      <c r="M584" s="17"/>
    </row>
    <row r="585" spans="2:13" ht="14.45" customHeight="1" x14ac:dyDescent="0.25">
      <c r="B585" s="17"/>
      <c r="C585" s="14"/>
      <c r="D585" s="14"/>
      <c r="E585" s="18"/>
      <c r="F585" s="61"/>
      <c r="G585" s="73"/>
      <c r="H585" s="79"/>
      <c r="I585" s="79"/>
      <c r="J585" s="14"/>
      <c r="K585" s="38"/>
      <c r="L585" s="38"/>
      <c r="M585" s="17"/>
    </row>
    <row r="586" spans="2:13" ht="14.45" customHeight="1" x14ac:dyDescent="0.25">
      <c r="B586" s="17"/>
      <c r="C586" s="14"/>
      <c r="D586" s="14"/>
      <c r="E586" s="18"/>
      <c r="F586" s="61"/>
      <c r="G586" s="73"/>
      <c r="H586" s="79"/>
      <c r="I586" s="79"/>
      <c r="J586" s="14"/>
      <c r="K586" s="38"/>
      <c r="L586" s="38"/>
      <c r="M586" s="17"/>
    </row>
    <row r="587" spans="2:13" ht="14.45" customHeight="1" x14ac:dyDescent="0.25">
      <c r="B587" s="17"/>
      <c r="C587" s="14"/>
      <c r="D587" s="14"/>
      <c r="E587" s="18"/>
      <c r="F587" s="61"/>
      <c r="G587" s="73"/>
      <c r="H587" s="79"/>
      <c r="I587" s="79"/>
      <c r="J587" s="14"/>
      <c r="K587" s="38"/>
      <c r="L587" s="38"/>
      <c r="M587" s="17"/>
    </row>
    <row r="588" spans="2:13" ht="14.45" customHeight="1" x14ac:dyDescent="0.25">
      <c r="B588" s="17"/>
      <c r="C588" s="14"/>
      <c r="D588" s="14"/>
      <c r="E588" s="18"/>
      <c r="F588" s="61"/>
      <c r="G588" s="73"/>
      <c r="H588" s="79"/>
      <c r="I588" s="79"/>
      <c r="J588" s="14"/>
      <c r="K588" s="38"/>
      <c r="L588" s="38"/>
      <c r="M588" s="17"/>
    </row>
    <row r="589" spans="2:13" ht="14.45" customHeight="1" x14ac:dyDescent="0.25">
      <c r="B589" s="17"/>
      <c r="C589" s="14"/>
      <c r="D589" s="14"/>
      <c r="E589" s="18"/>
      <c r="F589" s="61"/>
      <c r="G589" s="73"/>
      <c r="H589" s="79"/>
      <c r="I589" s="79"/>
      <c r="J589" s="14"/>
      <c r="K589" s="38"/>
      <c r="L589" s="38"/>
      <c r="M589" s="17"/>
    </row>
    <row r="590" spans="2:13" ht="14.45" customHeight="1" x14ac:dyDescent="0.25">
      <c r="B590" s="17"/>
      <c r="C590" s="14"/>
      <c r="D590" s="14"/>
      <c r="E590" s="18"/>
      <c r="F590" s="61"/>
      <c r="G590" s="73"/>
      <c r="H590" s="79"/>
      <c r="I590" s="79"/>
      <c r="J590" s="14"/>
      <c r="K590" s="38"/>
      <c r="L590" s="38"/>
      <c r="M590" s="17"/>
    </row>
    <row r="591" spans="2:13" ht="14.45" customHeight="1" x14ac:dyDescent="0.25">
      <c r="B591" s="17"/>
      <c r="C591" s="14"/>
      <c r="D591" s="14"/>
      <c r="E591" s="18"/>
      <c r="F591" s="61"/>
      <c r="G591" s="73"/>
      <c r="H591" s="79"/>
      <c r="I591" s="79"/>
      <c r="J591" s="14"/>
      <c r="K591" s="38"/>
      <c r="L591" s="38"/>
      <c r="M591" s="17"/>
    </row>
    <row r="592" spans="2:13" ht="14.45" customHeight="1" x14ac:dyDescent="0.25">
      <c r="B592" s="17"/>
      <c r="C592" s="14"/>
      <c r="D592" s="14"/>
      <c r="E592" s="18"/>
      <c r="F592" s="61"/>
      <c r="G592" s="73"/>
      <c r="H592" s="79"/>
      <c r="I592" s="79"/>
      <c r="J592" s="14"/>
      <c r="K592" s="38"/>
      <c r="L592" s="38"/>
      <c r="M592" s="17"/>
    </row>
    <row r="593" spans="2:13" ht="14.45" customHeight="1" x14ac:dyDescent="0.25">
      <c r="B593" s="17"/>
      <c r="C593" s="14"/>
      <c r="D593" s="14"/>
      <c r="E593" s="18"/>
      <c r="F593" s="61"/>
      <c r="G593" s="73"/>
      <c r="H593" s="79"/>
      <c r="I593" s="79"/>
      <c r="J593" s="14"/>
      <c r="K593" s="38"/>
      <c r="L593" s="38"/>
      <c r="M593" s="17"/>
    </row>
    <row r="594" spans="2:13" ht="14.45" customHeight="1" x14ac:dyDescent="0.25">
      <c r="B594" s="17"/>
      <c r="C594" s="14"/>
      <c r="D594" s="14"/>
      <c r="E594" s="18"/>
      <c r="F594" s="61"/>
      <c r="G594" s="73"/>
      <c r="H594" s="79"/>
      <c r="I594" s="79"/>
      <c r="J594" s="14"/>
      <c r="K594" s="38"/>
      <c r="L594" s="38"/>
      <c r="M594" s="17"/>
    </row>
    <row r="595" spans="2:13" ht="14.45" customHeight="1" x14ac:dyDescent="0.25">
      <c r="B595" s="17"/>
      <c r="C595" s="14"/>
      <c r="D595" s="14"/>
      <c r="E595" s="18"/>
      <c r="F595" s="61"/>
      <c r="G595" s="73"/>
      <c r="H595" s="79"/>
      <c r="I595" s="79"/>
      <c r="J595" s="14"/>
      <c r="K595" s="38"/>
      <c r="L595" s="38"/>
      <c r="M595" s="17"/>
    </row>
    <row r="596" spans="2:13" ht="14.45" customHeight="1" x14ac:dyDescent="0.25">
      <c r="B596" s="17"/>
      <c r="C596" s="14"/>
      <c r="D596" s="14"/>
      <c r="E596" s="18"/>
      <c r="F596" s="61"/>
      <c r="G596" s="73"/>
      <c r="H596" s="79"/>
      <c r="I596" s="79"/>
      <c r="J596" s="14"/>
      <c r="K596" s="38"/>
      <c r="L596" s="38"/>
      <c r="M596" s="17"/>
    </row>
    <row r="597" spans="2:13" ht="14.45" customHeight="1" x14ac:dyDescent="0.25">
      <c r="B597" s="17"/>
      <c r="C597" s="14"/>
      <c r="D597" s="14"/>
      <c r="E597" s="18"/>
      <c r="F597" s="61"/>
      <c r="G597" s="73"/>
      <c r="H597" s="79"/>
      <c r="I597" s="79"/>
      <c r="J597" s="14"/>
      <c r="K597" s="38"/>
      <c r="L597" s="38"/>
      <c r="M597" s="17"/>
    </row>
    <row r="598" spans="2:13" ht="14.45" customHeight="1" x14ac:dyDescent="0.25">
      <c r="B598" s="17"/>
      <c r="C598" s="14"/>
      <c r="D598" s="14"/>
      <c r="E598" s="18"/>
      <c r="F598" s="61"/>
      <c r="G598" s="73"/>
      <c r="H598" s="79"/>
      <c r="I598" s="79"/>
      <c r="J598" s="14"/>
      <c r="K598" s="38"/>
      <c r="L598" s="38"/>
      <c r="M598" s="17"/>
    </row>
    <row r="599" spans="2:13" ht="14.45" customHeight="1" x14ac:dyDescent="0.25">
      <c r="B599" s="17"/>
      <c r="C599" s="14"/>
      <c r="D599" s="14"/>
      <c r="E599" s="18"/>
      <c r="F599" s="61"/>
      <c r="G599" s="73"/>
      <c r="H599" s="79"/>
      <c r="I599" s="79"/>
      <c r="J599" s="14"/>
      <c r="K599" s="38"/>
      <c r="L599" s="38"/>
      <c r="M599" s="17"/>
    </row>
    <row r="600" spans="2:13" ht="14.45" customHeight="1" x14ac:dyDescent="0.25">
      <c r="B600" s="17"/>
      <c r="C600" s="14"/>
      <c r="D600" s="14"/>
      <c r="E600" s="18"/>
      <c r="F600" s="61"/>
      <c r="G600" s="73"/>
      <c r="H600" s="79"/>
      <c r="I600" s="79"/>
      <c r="J600" s="14"/>
      <c r="K600" s="38"/>
      <c r="L600" s="38"/>
      <c r="M600" s="17"/>
    </row>
    <row r="601" spans="2:13" ht="14.45" customHeight="1" x14ac:dyDescent="0.25">
      <c r="B601" s="17"/>
      <c r="C601" s="14"/>
      <c r="D601" s="14"/>
      <c r="E601" s="18"/>
      <c r="F601" s="61"/>
      <c r="G601" s="73"/>
      <c r="H601" s="79"/>
      <c r="I601" s="79"/>
      <c r="J601" s="14"/>
      <c r="K601" s="38"/>
      <c r="L601" s="38"/>
      <c r="M601" s="17"/>
    </row>
    <row r="602" spans="2:13" ht="14.45" customHeight="1" x14ac:dyDescent="0.25">
      <c r="B602" s="17"/>
      <c r="C602" s="14"/>
      <c r="D602" s="14"/>
      <c r="E602" s="18"/>
      <c r="F602" s="61"/>
      <c r="G602" s="73"/>
      <c r="H602" s="79"/>
      <c r="I602" s="79"/>
      <c r="J602" s="14"/>
      <c r="K602" s="38"/>
      <c r="L602" s="38"/>
      <c r="M602" s="17"/>
    </row>
    <row r="603" spans="2:13" ht="14.45" customHeight="1" x14ac:dyDescent="0.25">
      <c r="B603" s="17"/>
      <c r="C603" s="14"/>
      <c r="D603" s="14"/>
      <c r="E603" s="18"/>
      <c r="F603" s="61"/>
      <c r="G603" s="73"/>
      <c r="H603" s="79"/>
      <c r="I603" s="79"/>
      <c r="J603" s="14"/>
      <c r="K603" s="38"/>
      <c r="L603" s="38"/>
      <c r="M603" s="17"/>
    </row>
    <row r="604" spans="2:13" ht="14.45" customHeight="1" x14ac:dyDescent="0.25">
      <c r="B604" s="17"/>
      <c r="C604" s="14"/>
      <c r="D604" s="14"/>
      <c r="E604" s="18"/>
      <c r="F604" s="61"/>
      <c r="G604" s="73"/>
      <c r="H604" s="79"/>
      <c r="I604" s="79"/>
      <c r="J604" s="14"/>
      <c r="K604" s="38"/>
      <c r="L604" s="38"/>
      <c r="M604" s="17"/>
    </row>
    <row r="605" spans="2:13" ht="14.45" customHeight="1" x14ac:dyDescent="0.25">
      <c r="B605" s="17"/>
      <c r="C605" s="14"/>
      <c r="D605" s="14"/>
      <c r="E605" s="18"/>
      <c r="F605" s="61"/>
      <c r="G605" s="73"/>
      <c r="H605" s="79"/>
      <c r="I605" s="79"/>
      <c r="J605" s="14"/>
      <c r="K605" s="38"/>
      <c r="L605" s="38"/>
      <c r="M605" s="17"/>
    </row>
    <row r="606" spans="2:13" ht="14.45" customHeight="1" x14ac:dyDescent="0.25">
      <c r="B606" s="17"/>
      <c r="C606" s="14"/>
      <c r="D606" s="14"/>
      <c r="E606" s="18"/>
      <c r="F606" s="61"/>
      <c r="G606" s="73"/>
      <c r="H606" s="79"/>
      <c r="I606" s="79"/>
      <c r="J606" s="14"/>
      <c r="K606" s="38"/>
      <c r="L606" s="38"/>
      <c r="M606" s="17"/>
    </row>
    <row r="607" spans="2:13" ht="14.45" customHeight="1" x14ac:dyDescent="0.25">
      <c r="B607" s="17"/>
      <c r="C607" s="14"/>
      <c r="D607" s="14"/>
      <c r="E607" s="18"/>
      <c r="F607" s="61"/>
      <c r="G607" s="73"/>
      <c r="H607" s="79"/>
      <c r="I607" s="79"/>
      <c r="J607" s="14"/>
      <c r="K607" s="38"/>
      <c r="L607" s="38"/>
      <c r="M607" s="17"/>
    </row>
    <row r="608" spans="2:13" ht="14.45" customHeight="1" x14ac:dyDescent="0.25">
      <c r="B608" s="17"/>
      <c r="C608" s="14"/>
      <c r="D608" s="14"/>
      <c r="E608" s="18"/>
      <c r="F608" s="61"/>
      <c r="G608" s="73"/>
      <c r="H608" s="79"/>
      <c r="I608" s="79"/>
      <c r="J608" s="14"/>
      <c r="K608" s="38"/>
      <c r="L608" s="38"/>
      <c r="M608" s="17"/>
    </row>
    <row r="609" spans="2:13" ht="14.45" customHeight="1" x14ac:dyDescent="0.25">
      <c r="B609" s="17"/>
      <c r="C609" s="14"/>
      <c r="D609" s="14"/>
      <c r="E609" s="18"/>
      <c r="F609" s="61"/>
      <c r="G609" s="73"/>
      <c r="H609" s="79"/>
      <c r="I609" s="79"/>
      <c r="J609" s="14"/>
      <c r="K609" s="38"/>
      <c r="L609" s="38"/>
      <c r="M609" s="17"/>
    </row>
    <row r="610" spans="2:13" ht="14.45" customHeight="1" x14ac:dyDescent="0.25">
      <c r="B610" s="17"/>
      <c r="C610" s="14"/>
      <c r="D610" s="14"/>
      <c r="E610" s="18"/>
      <c r="F610" s="61"/>
      <c r="G610" s="73"/>
      <c r="H610" s="79"/>
      <c r="I610" s="79"/>
      <c r="J610" s="14"/>
      <c r="K610" s="38"/>
      <c r="L610" s="38"/>
      <c r="M610" s="17"/>
    </row>
    <row r="611" spans="2:13" ht="14.45" customHeight="1" x14ac:dyDescent="0.25">
      <c r="B611" s="17"/>
      <c r="C611" s="14"/>
      <c r="D611" s="14"/>
      <c r="E611" s="18"/>
      <c r="F611" s="61"/>
      <c r="G611" s="73"/>
      <c r="H611" s="79"/>
      <c r="I611" s="79"/>
      <c r="J611" s="14"/>
      <c r="K611" s="38"/>
      <c r="L611" s="38"/>
      <c r="M611" s="17"/>
    </row>
    <row r="612" spans="2:13" ht="14.45" customHeight="1" x14ac:dyDescent="0.25">
      <c r="B612" s="17"/>
      <c r="C612" s="14"/>
      <c r="D612" s="14"/>
      <c r="E612" s="18"/>
      <c r="F612" s="61"/>
      <c r="G612" s="73"/>
      <c r="H612" s="79"/>
      <c r="I612" s="79"/>
      <c r="J612" s="14"/>
      <c r="K612" s="38"/>
      <c r="L612" s="38"/>
      <c r="M612" s="17"/>
    </row>
    <row r="613" spans="2:13" ht="14.45" customHeight="1" x14ac:dyDescent="0.25">
      <c r="B613" s="17"/>
      <c r="C613" s="14"/>
      <c r="D613" s="14"/>
      <c r="E613" s="18"/>
      <c r="F613" s="61"/>
      <c r="G613" s="73"/>
      <c r="H613" s="79"/>
      <c r="I613" s="79"/>
      <c r="J613" s="14"/>
      <c r="K613" s="38"/>
      <c r="L613" s="38"/>
      <c r="M613" s="17"/>
    </row>
    <row r="614" spans="2:13" ht="14.45" customHeight="1" x14ac:dyDescent="0.25">
      <c r="B614" s="17"/>
      <c r="C614" s="14"/>
      <c r="D614" s="14"/>
      <c r="E614" s="18"/>
      <c r="F614" s="61"/>
      <c r="G614" s="73"/>
      <c r="H614" s="79"/>
      <c r="I614" s="79"/>
      <c r="J614" s="14"/>
      <c r="K614" s="38"/>
      <c r="L614" s="38"/>
      <c r="M614" s="17"/>
    </row>
    <row r="615" spans="2:13" ht="14.45" customHeight="1" x14ac:dyDescent="0.25">
      <c r="B615" s="17"/>
      <c r="C615" s="14"/>
      <c r="D615" s="14"/>
      <c r="E615" s="18"/>
      <c r="F615" s="61"/>
      <c r="G615" s="73"/>
      <c r="H615" s="79"/>
      <c r="I615" s="79"/>
      <c r="J615" s="14"/>
      <c r="K615" s="38"/>
      <c r="L615" s="38"/>
      <c r="M615" s="17"/>
    </row>
    <row r="616" spans="2:13" ht="14.45" customHeight="1" x14ac:dyDescent="0.25">
      <c r="B616" s="17"/>
      <c r="C616" s="14"/>
      <c r="D616" s="14"/>
      <c r="E616" s="18"/>
      <c r="F616" s="61"/>
      <c r="G616" s="73"/>
      <c r="H616" s="79"/>
      <c r="I616" s="79"/>
      <c r="J616" s="14"/>
      <c r="K616" s="38"/>
      <c r="L616" s="38"/>
      <c r="M616" s="17"/>
    </row>
    <row r="617" spans="2:13" ht="14.45" customHeight="1" x14ac:dyDescent="0.25">
      <c r="B617" s="17"/>
      <c r="C617" s="14"/>
      <c r="D617" s="14"/>
      <c r="E617" s="18"/>
      <c r="F617" s="61"/>
      <c r="G617" s="73"/>
      <c r="H617" s="79"/>
      <c r="I617" s="79"/>
      <c r="J617" s="14"/>
      <c r="K617" s="38"/>
      <c r="L617" s="38"/>
      <c r="M617" s="17"/>
    </row>
    <row r="618" spans="2:13" ht="14.45" customHeight="1" x14ac:dyDescent="0.25">
      <c r="B618" s="17"/>
      <c r="C618" s="14"/>
      <c r="D618" s="14"/>
      <c r="E618" s="18"/>
      <c r="F618" s="61"/>
      <c r="G618" s="73"/>
      <c r="H618" s="79"/>
      <c r="I618" s="79"/>
      <c r="J618" s="14"/>
      <c r="K618" s="38"/>
      <c r="L618" s="38"/>
      <c r="M618" s="17"/>
    </row>
    <row r="619" spans="2:13" ht="14.45" customHeight="1" x14ac:dyDescent="0.25">
      <c r="B619" s="17"/>
      <c r="C619" s="14"/>
      <c r="D619" s="14"/>
      <c r="E619" s="18"/>
      <c r="F619" s="61"/>
      <c r="G619" s="73"/>
      <c r="H619" s="79"/>
      <c r="I619" s="79"/>
      <c r="J619" s="14"/>
      <c r="K619" s="38"/>
      <c r="L619" s="38"/>
      <c r="M619" s="17"/>
    </row>
    <row r="620" spans="2:13" ht="14.45" customHeight="1" x14ac:dyDescent="0.25">
      <c r="B620" s="17"/>
      <c r="C620" s="14"/>
      <c r="D620" s="14"/>
      <c r="E620" s="18"/>
      <c r="F620" s="61"/>
      <c r="G620" s="73"/>
      <c r="H620" s="79"/>
      <c r="I620" s="79"/>
      <c r="J620" s="14"/>
      <c r="K620" s="38"/>
      <c r="L620" s="38"/>
      <c r="M620" s="17"/>
    </row>
    <row r="621" spans="2:13" ht="14.45" customHeight="1" x14ac:dyDescent="0.25">
      <c r="B621" s="17"/>
      <c r="C621" s="14"/>
      <c r="D621" s="14"/>
      <c r="E621" s="18"/>
      <c r="F621" s="61"/>
      <c r="G621" s="73"/>
      <c r="H621" s="79"/>
      <c r="I621" s="79"/>
      <c r="J621" s="14"/>
      <c r="K621" s="38"/>
      <c r="L621" s="38"/>
      <c r="M621" s="17"/>
    </row>
    <row r="622" spans="2:13" ht="14.45" customHeight="1" x14ac:dyDescent="0.25">
      <c r="B622" s="17"/>
      <c r="C622" s="14"/>
      <c r="D622" s="14"/>
      <c r="E622" s="18"/>
      <c r="F622" s="61"/>
      <c r="G622" s="73"/>
      <c r="H622" s="79"/>
      <c r="I622" s="79"/>
      <c r="J622" s="14"/>
      <c r="K622" s="38"/>
      <c r="L622" s="38"/>
      <c r="M622" s="17"/>
    </row>
    <row r="623" spans="2:13" ht="14.45" customHeight="1" x14ac:dyDescent="0.25">
      <c r="B623" s="17"/>
      <c r="C623" s="14"/>
      <c r="D623" s="14"/>
      <c r="E623" s="18"/>
      <c r="F623" s="61"/>
      <c r="G623" s="73"/>
      <c r="H623" s="79"/>
      <c r="I623" s="79"/>
      <c r="J623" s="14"/>
      <c r="K623" s="38"/>
      <c r="L623" s="38"/>
      <c r="M623" s="17"/>
    </row>
    <row r="624" spans="2:13" ht="14.45" customHeight="1" x14ac:dyDescent="0.25">
      <c r="B624" s="17"/>
      <c r="C624" s="14"/>
      <c r="D624" s="14"/>
      <c r="E624" s="18"/>
      <c r="F624" s="61"/>
      <c r="G624" s="73"/>
      <c r="H624" s="79"/>
      <c r="I624" s="79"/>
      <c r="J624" s="14"/>
      <c r="K624" s="38"/>
      <c r="L624" s="38"/>
      <c r="M624" s="17"/>
    </row>
    <row r="625" spans="2:13" ht="14.45" customHeight="1" x14ac:dyDescent="0.25">
      <c r="B625" s="17"/>
      <c r="C625" s="14"/>
      <c r="D625" s="14"/>
      <c r="E625" s="18"/>
      <c r="F625" s="61"/>
      <c r="G625" s="73"/>
      <c r="H625" s="79"/>
      <c r="I625" s="79"/>
      <c r="J625" s="14"/>
      <c r="K625" s="38"/>
      <c r="L625" s="38"/>
      <c r="M625" s="17"/>
    </row>
    <row r="626" spans="2:13" ht="14.45" customHeight="1" x14ac:dyDescent="0.25">
      <c r="B626" s="17"/>
      <c r="C626" s="14"/>
      <c r="D626" s="14"/>
      <c r="E626" s="18"/>
      <c r="F626" s="61"/>
      <c r="G626" s="73"/>
      <c r="H626" s="79"/>
      <c r="I626" s="79"/>
      <c r="J626" s="14"/>
      <c r="K626" s="38"/>
      <c r="L626" s="38"/>
      <c r="M626" s="17"/>
    </row>
    <row r="627" spans="2:13" ht="14.45" customHeight="1" x14ac:dyDescent="0.25">
      <c r="B627" s="17"/>
      <c r="C627" s="14"/>
      <c r="D627" s="14"/>
      <c r="E627" s="18"/>
      <c r="F627" s="61"/>
      <c r="G627" s="73"/>
      <c r="H627" s="79"/>
      <c r="I627" s="79"/>
      <c r="J627" s="14"/>
      <c r="K627" s="38"/>
      <c r="L627" s="38"/>
      <c r="M627" s="17"/>
    </row>
    <row r="628" spans="2:13" ht="14.45" customHeight="1" x14ac:dyDescent="0.25">
      <c r="B628" s="17"/>
      <c r="C628" s="14"/>
      <c r="D628" s="14"/>
      <c r="E628" s="18"/>
      <c r="F628" s="61"/>
      <c r="G628" s="73"/>
      <c r="H628" s="79"/>
      <c r="I628" s="79"/>
      <c r="J628" s="14"/>
      <c r="K628" s="38"/>
      <c r="L628" s="38"/>
      <c r="M628" s="17"/>
    </row>
    <row r="629" spans="2:13" ht="14.45" customHeight="1" x14ac:dyDescent="0.25">
      <c r="B629" s="17"/>
      <c r="C629" s="14"/>
      <c r="D629" s="14"/>
      <c r="E629" s="18"/>
      <c r="F629" s="61"/>
      <c r="G629" s="73"/>
      <c r="H629" s="79"/>
      <c r="I629" s="79"/>
      <c r="J629" s="14"/>
      <c r="K629" s="38"/>
      <c r="L629" s="38"/>
      <c r="M629" s="17"/>
    </row>
    <row r="630" spans="2:13" ht="14.45" customHeight="1" x14ac:dyDescent="0.25">
      <c r="B630" s="17"/>
      <c r="C630" s="14"/>
      <c r="D630" s="14"/>
      <c r="E630" s="18"/>
      <c r="F630" s="61"/>
      <c r="G630" s="73"/>
      <c r="H630" s="79"/>
      <c r="I630" s="79"/>
      <c r="J630" s="14"/>
      <c r="K630" s="38"/>
      <c r="L630" s="38"/>
      <c r="M630" s="17"/>
    </row>
    <row r="631" spans="2:13" ht="14.45" customHeight="1" x14ac:dyDescent="0.25">
      <c r="B631" s="17"/>
      <c r="C631" s="14"/>
      <c r="D631" s="14"/>
      <c r="E631" s="18"/>
      <c r="F631" s="61"/>
      <c r="G631" s="73"/>
      <c r="H631" s="79"/>
      <c r="I631" s="79"/>
      <c r="J631" s="14"/>
      <c r="K631" s="38"/>
      <c r="L631" s="38"/>
      <c r="M631" s="17"/>
    </row>
    <row r="632" spans="2:13" ht="14.45" customHeight="1" x14ac:dyDescent="0.25">
      <c r="B632" s="17"/>
      <c r="C632" s="14"/>
      <c r="D632" s="14"/>
      <c r="E632" s="18"/>
      <c r="F632" s="61"/>
      <c r="G632" s="73"/>
      <c r="H632" s="79"/>
      <c r="I632" s="79"/>
      <c r="J632" s="14"/>
      <c r="K632" s="38"/>
      <c r="L632" s="38"/>
      <c r="M632" s="17"/>
    </row>
    <row r="633" spans="2:13" ht="14.45" customHeight="1" x14ac:dyDescent="0.25">
      <c r="B633" s="17"/>
      <c r="C633" s="14"/>
      <c r="D633" s="14"/>
      <c r="E633" s="18"/>
      <c r="F633" s="61"/>
      <c r="G633" s="73"/>
      <c r="H633" s="79"/>
      <c r="I633" s="79"/>
      <c r="J633" s="14"/>
      <c r="K633" s="38"/>
      <c r="L633" s="38"/>
      <c r="M633" s="17"/>
    </row>
    <row r="634" spans="2:13" ht="14.45" customHeight="1" x14ac:dyDescent="0.25">
      <c r="B634" s="17"/>
      <c r="C634" s="14"/>
      <c r="D634" s="14"/>
      <c r="E634" s="18"/>
      <c r="F634" s="61"/>
      <c r="G634" s="73"/>
      <c r="H634" s="79"/>
      <c r="I634" s="79"/>
      <c r="J634" s="14"/>
      <c r="K634" s="38"/>
      <c r="L634" s="38"/>
      <c r="M634" s="17"/>
    </row>
    <row r="635" spans="2:13" ht="14.45" customHeight="1" x14ac:dyDescent="0.25">
      <c r="B635" s="17"/>
      <c r="C635" s="14"/>
      <c r="D635" s="14"/>
      <c r="E635" s="18"/>
      <c r="F635" s="61"/>
      <c r="G635" s="73"/>
      <c r="H635" s="79"/>
      <c r="I635" s="79"/>
      <c r="J635" s="14"/>
      <c r="K635" s="38"/>
      <c r="L635" s="38"/>
      <c r="M635" s="17"/>
    </row>
    <row r="636" spans="2:13" ht="14.45" customHeight="1" x14ac:dyDescent="0.25">
      <c r="B636" s="17"/>
      <c r="C636" s="14"/>
      <c r="D636" s="14"/>
      <c r="E636" s="18"/>
      <c r="F636" s="61"/>
      <c r="G636" s="73"/>
      <c r="H636" s="79"/>
      <c r="I636" s="79"/>
      <c r="J636" s="14"/>
      <c r="K636" s="38"/>
      <c r="L636" s="38"/>
      <c r="M636" s="17"/>
    </row>
    <row r="637" spans="2:13" ht="14.45" customHeight="1" x14ac:dyDescent="0.25">
      <c r="B637" s="17"/>
      <c r="C637" s="14"/>
      <c r="D637" s="14"/>
      <c r="E637" s="18"/>
      <c r="F637" s="61"/>
      <c r="G637" s="73"/>
      <c r="H637" s="79"/>
      <c r="I637" s="79"/>
      <c r="J637" s="14"/>
      <c r="K637" s="38"/>
      <c r="L637" s="38"/>
      <c r="M637" s="17"/>
    </row>
    <row r="638" spans="2:13" ht="14.45" customHeight="1" x14ac:dyDescent="0.25">
      <c r="B638" s="17"/>
      <c r="C638" s="14"/>
      <c r="D638" s="14"/>
      <c r="E638" s="18"/>
      <c r="F638" s="61"/>
      <c r="G638" s="73"/>
      <c r="H638" s="79"/>
      <c r="I638" s="79"/>
      <c r="J638" s="14"/>
      <c r="K638" s="38"/>
      <c r="L638" s="38"/>
      <c r="M638" s="17"/>
    </row>
    <row r="639" spans="2:13" ht="14.45" customHeight="1" x14ac:dyDescent="0.25">
      <c r="B639" s="17"/>
      <c r="C639" s="14"/>
      <c r="D639" s="14"/>
      <c r="E639" s="18"/>
      <c r="F639" s="61"/>
      <c r="G639" s="73"/>
      <c r="H639" s="79"/>
      <c r="I639" s="79"/>
      <c r="J639" s="14"/>
      <c r="K639" s="38"/>
      <c r="L639" s="38"/>
      <c r="M639" s="17"/>
    </row>
    <row r="640" spans="2:13" ht="14.45" customHeight="1" x14ac:dyDescent="0.25">
      <c r="B640" s="17"/>
      <c r="C640" s="14"/>
      <c r="D640" s="14"/>
      <c r="E640" s="18"/>
      <c r="F640" s="61"/>
      <c r="G640" s="73"/>
      <c r="H640" s="79"/>
      <c r="I640" s="79"/>
      <c r="J640" s="14"/>
      <c r="K640" s="38"/>
      <c r="L640" s="38"/>
      <c r="M640" s="17"/>
    </row>
    <row r="641" spans="2:13" ht="14.45" customHeight="1" x14ac:dyDescent="0.25">
      <c r="B641" s="17"/>
      <c r="C641" s="14"/>
      <c r="D641" s="14"/>
      <c r="E641" s="18"/>
      <c r="F641" s="61"/>
      <c r="G641" s="73"/>
      <c r="H641" s="79"/>
      <c r="I641" s="79"/>
      <c r="J641" s="14"/>
      <c r="K641" s="38"/>
      <c r="L641" s="38"/>
      <c r="M641" s="17"/>
    </row>
    <row r="642" spans="2:13" ht="14.45" customHeight="1" x14ac:dyDescent="0.25">
      <c r="B642" s="17"/>
      <c r="C642" s="14"/>
      <c r="D642" s="14"/>
      <c r="E642" s="18"/>
      <c r="F642" s="61"/>
      <c r="G642" s="73"/>
      <c r="H642" s="79"/>
      <c r="I642" s="79"/>
      <c r="J642" s="14"/>
      <c r="K642" s="38"/>
      <c r="L642" s="38"/>
      <c r="M642" s="17"/>
    </row>
    <row r="643" spans="2:13" ht="14.45" customHeight="1" x14ac:dyDescent="0.25">
      <c r="B643" s="17"/>
      <c r="C643" s="14"/>
      <c r="D643" s="14"/>
      <c r="E643" s="18"/>
      <c r="F643" s="61"/>
      <c r="G643" s="73"/>
      <c r="H643" s="79"/>
      <c r="I643" s="79"/>
      <c r="J643" s="14"/>
      <c r="K643" s="38"/>
      <c r="L643" s="38"/>
      <c r="M643" s="17"/>
    </row>
    <row r="644" spans="2:13" ht="14.45" customHeight="1" x14ac:dyDescent="0.25">
      <c r="B644" s="17"/>
      <c r="C644" s="14"/>
      <c r="D644" s="14"/>
      <c r="E644" s="18"/>
      <c r="F644" s="61"/>
      <c r="G644" s="73"/>
      <c r="H644" s="79"/>
      <c r="I644" s="79"/>
      <c r="J644" s="14"/>
      <c r="K644" s="38"/>
      <c r="L644" s="38"/>
      <c r="M644" s="17"/>
    </row>
    <row r="645" spans="2:13" ht="14.45" customHeight="1" x14ac:dyDescent="0.25">
      <c r="B645" s="17"/>
      <c r="C645" s="14"/>
      <c r="D645" s="14"/>
      <c r="E645" s="18"/>
      <c r="F645" s="61"/>
      <c r="G645" s="73"/>
      <c r="H645" s="79"/>
      <c r="I645" s="79"/>
      <c r="J645" s="14"/>
      <c r="K645" s="38"/>
      <c r="L645" s="38"/>
      <c r="M645" s="17"/>
    </row>
    <row r="646" spans="2:13" ht="14.45" customHeight="1" x14ac:dyDescent="0.25">
      <c r="B646" s="17"/>
      <c r="C646" s="14"/>
      <c r="D646" s="14"/>
      <c r="E646" s="18"/>
      <c r="F646" s="61"/>
      <c r="G646" s="73"/>
      <c r="H646" s="79"/>
      <c r="I646" s="79"/>
      <c r="J646" s="14"/>
      <c r="K646" s="38"/>
      <c r="L646" s="38"/>
      <c r="M646" s="17"/>
    </row>
    <row r="647" spans="2:13" ht="14.45" customHeight="1" x14ac:dyDescent="0.25">
      <c r="B647" s="17"/>
      <c r="C647" s="14"/>
      <c r="D647" s="14"/>
      <c r="E647" s="18"/>
      <c r="F647" s="61"/>
      <c r="G647" s="73"/>
      <c r="H647" s="79"/>
      <c r="I647" s="79"/>
      <c r="J647" s="14"/>
      <c r="K647" s="38"/>
      <c r="L647" s="38"/>
      <c r="M647" s="17"/>
    </row>
    <row r="648" spans="2:13" ht="14.45" customHeight="1" x14ac:dyDescent="0.25">
      <c r="B648" s="17"/>
      <c r="C648" s="14"/>
      <c r="D648" s="14"/>
      <c r="E648" s="18"/>
      <c r="F648" s="61"/>
      <c r="G648" s="73"/>
      <c r="H648" s="79"/>
      <c r="I648" s="79"/>
      <c r="J648" s="14"/>
      <c r="K648" s="38"/>
      <c r="L648" s="38"/>
      <c r="M648" s="17"/>
    </row>
    <row r="649" spans="2:13" ht="14.45" customHeight="1" x14ac:dyDescent="0.25">
      <c r="B649" s="17"/>
      <c r="C649" s="14"/>
      <c r="D649" s="14"/>
      <c r="E649" s="18"/>
      <c r="F649" s="61"/>
      <c r="G649" s="73"/>
      <c r="H649" s="79"/>
      <c r="I649" s="79"/>
      <c r="J649" s="14"/>
      <c r="K649" s="38"/>
      <c r="L649" s="38"/>
      <c r="M649" s="17"/>
    </row>
    <row r="650" spans="2:13" ht="14.45" customHeight="1" x14ac:dyDescent="0.25">
      <c r="B650" s="17"/>
      <c r="C650" s="14"/>
      <c r="D650" s="14"/>
      <c r="E650" s="18"/>
      <c r="F650" s="61"/>
      <c r="G650" s="73"/>
      <c r="H650" s="79"/>
      <c r="I650" s="79"/>
      <c r="J650" s="14"/>
      <c r="K650" s="38"/>
      <c r="L650" s="38"/>
      <c r="M650" s="17"/>
    </row>
    <row r="651" spans="2:13" ht="14.45" customHeight="1" x14ac:dyDescent="0.25">
      <c r="B651" s="17"/>
      <c r="C651" s="14"/>
      <c r="D651" s="14"/>
      <c r="E651" s="18"/>
      <c r="F651" s="61"/>
      <c r="G651" s="73"/>
      <c r="H651" s="79"/>
      <c r="I651" s="79"/>
      <c r="J651" s="14"/>
      <c r="K651" s="38"/>
      <c r="L651" s="38"/>
      <c r="M651" s="17"/>
    </row>
    <row r="652" spans="2:13" ht="14.45" customHeight="1" x14ac:dyDescent="0.25">
      <c r="B652" s="17"/>
      <c r="C652" s="14"/>
      <c r="D652" s="14"/>
      <c r="E652" s="18"/>
      <c r="F652" s="61"/>
      <c r="G652" s="73"/>
      <c r="H652" s="79"/>
      <c r="I652" s="79"/>
      <c r="J652" s="14"/>
      <c r="K652" s="38"/>
      <c r="L652" s="38"/>
      <c r="M652" s="17"/>
    </row>
    <row r="653" spans="2:13" ht="14.45" customHeight="1" x14ac:dyDescent="0.25">
      <c r="B653" s="17"/>
      <c r="C653" s="14"/>
      <c r="D653" s="14"/>
      <c r="E653" s="18"/>
      <c r="F653" s="61"/>
      <c r="G653" s="73"/>
      <c r="H653" s="79"/>
      <c r="I653" s="79"/>
      <c r="J653" s="14"/>
      <c r="K653" s="38"/>
      <c r="L653" s="38"/>
      <c r="M653" s="17"/>
    </row>
    <row r="654" spans="2:13" ht="14.45" customHeight="1" x14ac:dyDescent="0.25">
      <c r="B654" s="17"/>
      <c r="C654" s="14"/>
      <c r="D654" s="14"/>
      <c r="E654" s="18"/>
      <c r="F654" s="61"/>
      <c r="G654" s="73"/>
      <c r="H654" s="79"/>
      <c r="I654" s="79"/>
      <c r="J654" s="14"/>
      <c r="K654" s="38"/>
      <c r="L654" s="38"/>
      <c r="M654" s="17"/>
    </row>
    <row r="655" spans="2:13" ht="14.45" customHeight="1" x14ac:dyDescent="0.25">
      <c r="B655" s="17"/>
      <c r="C655" s="14"/>
      <c r="D655" s="14"/>
      <c r="E655" s="18"/>
      <c r="F655" s="61"/>
      <c r="G655" s="73"/>
      <c r="H655" s="79"/>
      <c r="I655" s="79"/>
      <c r="J655" s="14"/>
      <c r="K655" s="38"/>
      <c r="L655" s="38"/>
      <c r="M655" s="17"/>
    </row>
    <row r="656" spans="2:13" ht="14.45" customHeight="1" x14ac:dyDescent="0.25">
      <c r="B656" s="17"/>
      <c r="C656" s="14"/>
      <c r="D656" s="14"/>
      <c r="E656" s="18"/>
      <c r="F656" s="61"/>
      <c r="G656" s="73"/>
      <c r="H656" s="79"/>
      <c r="I656" s="79"/>
      <c r="J656" s="14"/>
      <c r="K656" s="38"/>
      <c r="L656" s="38"/>
      <c r="M656" s="17"/>
    </row>
    <row r="657" spans="2:13" ht="14.45" customHeight="1" x14ac:dyDescent="0.25">
      <c r="B657" s="17"/>
      <c r="C657" s="14"/>
      <c r="D657" s="14"/>
      <c r="E657" s="18"/>
      <c r="F657" s="61"/>
      <c r="G657" s="73"/>
      <c r="H657" s="79"/>
      <c r="I657" s="79"/>
      <c r="J657" s="14"/>
      <c r="K657" s="38"/>
      <c r="L657" s="38"/>
      <c r="M657" s="17"/>
    </row>
    <row r="658" spans="2:13" ht="14.45" customHeight="1" x14ac:dyDescent="0.25">
      <c r="B658" s="17"/>
      <c r="C658" s="14"/>
      <c r="D658" s="14"/>
      <c r="E658" s="18"/>
      <c r="F658" s="61"/>
      <c r="G658" s="73"/>
      <c r="H658" s="79"/>
      <c r="I658" s="79"/>
      <c r="J658" s="14"/>
      <c r="K658" s="38"/>
      <c r="L658" s="38"/>
      <c r="M658" s="17"/>
    </row>
    <row r="659" spans="2:13" ht="14.45" customHeight="1" x14ac:dyDescent="0.25">
      <c r="B659" s="17"/>
      <c r="C659" s="14"/>
      <c r="D659" s="14"/>
      <c r="E659" s="18"/>
      <c r="F659" s="61"/>
      <c r="G659" s="73"/>
      <c r="H659" s="79"/>
      <c r="I659" s="79"/>
      <c r="J659" s="14"/>
      <c r="K659" s="38"/>
      <c r="L659" s="38"/>
      <c r="M659" s="17"/>
    </row>
    <row r="660" spans="2:13" ht="14.45" customHeight="1" x14ac:dyDescent="0.25">
      <c r="B660" s="17"/>
      <c r="C660" s="14"/>
      <c r="D660" s="14"/>
      <c r="E660" s="18"/>
      <c r="F660" s="61"/>
      <c r="G660" s="73"/>
      <c r="H660" s="79"/>
      <c r="I660" s="79"/>
      <c r="J660" s="14"/>
      <c r="K660" s="38"/>
      <c r="L660" s="38"/>
      <c r="M660" s="17"/>
    </row>
    <row r="661" spans="2:13" ht="14.45" customHeight="1" x14ac:dyDescent="0.25">
      <c r="B661" s="17"/>
      <c r="C661" s="14"/>
      <c r="D661" s="14"/>
      <c r="E661" s="18"/>
      <c r="F661" s="61"/>
      <c r="G661" s="73"/>
      <c r="H661" s="79"/>
      <c r="I661" s="79"/>
      <c r="J661" s="14"/>
      <c r="K661" s="38"/>
      <c r="L661" s="38"/>
      <c r="M661" s="17"/>
    </row>
    <row r="662" spans="2:13" ht="14.45" customHeight="1" x14ac:dyDescent="0.25">
      <c r="B662" s="17"/>
      <c r="C662" s="14"/>
      <c r="D662" s="14"/>
      <c r="E662" s="18"/>
      <c r="F662" s="61"/>
      <c r="G662" s="73"/>
      <c r="H662" s="79"/>
      <c r="I662" s="79"/>
      <c r="J662" s="14"/>
      <c r="K662" s="38"/>
      <c r="L662" s="38"/>
      <c r="M662" s="17"/>
    </row>
    <row r="663" spans="2:13" ht="14.45" customHeight="1" x14ac:dyDescent="0.25">
      <c r="B663" s="17"/>
      <c r="C663" s="14"/>
      <c r="D663" s="14"/>
      <c r="E663" s="18"/>
      <c r="F663" s="61"/>
      <c r="G663" s="73"/>
      <c r="H663" s="79"/>
      <c r="I663" s="79"/>
      <c r="J663" s="14"/>
      <c r="K663" s="38"/>
      <c r="L663" s="38"/>
      <c r="M663" s="17"/>
    </row>
    <row r="664" spans="2:13" ht="14.45" customHeight="1" x14ac:dyDescent="0.25">
      <c r="B664" s="17"/>
      <c r="C664" s="14"/>
      <c r="D664" s="14"/>
      <c r="E664" s="18"/>
      <c r="F664" s="61"/>
      <c r="G664" s="73"/>
      <c r="H664" s="79"/>
      <c r="I664" s="79"/>
      <c r="J664" s="14"/>
      <c r="K664" s="38"/>
      <c r="L664" s="38"/>
      <c r="M664" s="17"/>
    </row>
    <row r="665" spans="2:13" ht="14.45" customHeight="1" x14ac:dyDescent="0.25">
      <c r="B665" s="17"/>
      <c r="C665" s="14"/>
      <c r="D665" s="14"/>
      <c r="E665" s="18"/>
      <c r="F665" s="61"/>
      <c r="G665" s="73"/>
      <c r="H665" s="79"/>
      <c r="I665" s="79"/>
      <c r="J665" s="14"/>
      <c r="K665" s="38"/>
      <c r="L665" s="38"/>
      <c r="M665" s="17"/>
    </row>
    <row r="666" spans="2:13" ht="14.45" customHeight="1" x14ac:dyDescent="0.25">
      <c r="B666" s="17"/>
      <c r="C666" s="14"/>
      <c r="D666" s="14"/>
      <c r="E666" s="18"/>
      <c r="F666" s="61"/>
      <c r="G666" s="73"/>
      <c r="H666" s="79"/>
      <c r="I666" s="79"/>
      <c r="J666" s="14"/>
      <c r="K666" s="38"/>
      <c r="L666" s="38"/>
      <c r="M666" s="17"/>
    </row>
    <row r="667" spans="2:13" ht="14.45" customHeight="1" x14ac:dyDescent="0.25">
      <c r="B667" s="17"/>
      <c r="C667" s="14"/>
      <c r="D667" s="14"/>
      <c r="E667" s="18"/>
      <c r="F667" s="61"/>
      <c r="G667" s="73"/>
      <c r="H667" s="79"/>
      <c r="I667" s="79"/>
      <c r="J667" s="14"/>
      <c r="K667" s="38"/>
      <c r="L667" s="38"/>
      <c r="M667" s="17"/>
    </row>
    <row r="668" spans="2:13" ht="14.45" customHeight="1" x14ac:dyDescent="0.25">
      <c r="B668" s="17"/>
      <c r="C668" s="14"/>
      <c r="D668" s="14"/>
      <c r="E668" s="18"/>
      <c r="F668" s="61"/>
      <c r="G668" s="73"/>
      <c r="H668" s="79"/>
      <c r="I668" s="79"/>
      <c r="J668" s="14"/>
      <c r="K668" s="38"/>
      <c r="L668" s="38"/>
      <c r="M668" s="17"/>
    </row>
    <row r="669" spans="2:13" ht="14.45" customHeight="1" x14ac:dyDescent="0.25">
      <c r="B669" s="17"/>
      <c r="C669" s="14"/>
      <c r="D669" s="14"/>
      <c r="E669" s="18"/>
      <c r="F669" s="61"/>
      <c r="G669" s="73"/>
      <c r="H669" s="79"/>
      <c r="I669" s="79"/>
      <c r="J669" s="14"/>
      <c r="K669" s="38"/>
      <c r="L669" s="38"/>
      <c r="M669" s="17"/>
    </row>
    <row r="670" spans="2:13" ht="14.45" customHeight="1" x14ac:dyDescent="0.25">
      <c r="B670" s="17"/>
      <c r="C670" s="14"/>
      <c r="D670" s="14"/>
      <c r="E670" s="18"/>
      <c r="F670" s="61"/>
      <c r="G670" s="73"/>
      <c r="H670" s="79"/>
      <c r="I670" s="79"/>
      <c r="J670" s="14"/>
      <c r="K670" s="38"/>
      <c r="L670" s="38"/>
      <c r="M670" s="17"/>
    </row>
    <row r="671" spans="2:13" ht="14.45" customHeight="1" x14ac:dyDescent="0.25">
      <c r="B671" s="17"/>
      <c r="C671" s="14"/>
      <c r="D671" s="14"/>
      <c r="E671" s="18"/>
      <c r="F671" s="61"/>
      <c r="G671" s="73"/>
      <c r="H671" s="79"/>
      <c r="I671" s="79"/>
      <c r="J671" s="14"/>
      <c r="K671" s="38"/>
      <c r="L671" s="38"/>
      <c r="M671" s="17"/>
    </row>
    <row r="672" spans="2:13" ht="14.45" customHeight="1" x14ac:dyDescent="0.25">
      <c r="B672" s="17"/>
      <c r="C672" s="14"/>
      <c r="D672" s="14"/>
      <c r="E672" s="18"/>
      <c r="F672" s="61"/>
      <c r="G672" s="73"/>
      <c r="H672" s="79"/>
      <c r="I672" s="79"/>
      <c r="J672" s="14"/>
      <c r="K672" s="38"/>
      <c r="L672" s="38"/>
      <c r="M672" s="17"/>
    </row>
    <row r="673" spans="2:13" ht="14.45" customHeight="1" x14ac:dyDescent="0.25">
      <c r="B673" s="17"/>
      <c r="C673" s="14"/>
      <c r="D673" s="14"/>
      <c r="E673" s="18"/>
      <c r="F673" s="61"/>
      <c r="G673" s="73"/>
      <c r="H673" s="79"/>
      <c r="I673" s="79"/>
      <c r="J673" s="14"/>
      <c r="K673" s="38"/>
      <c r="L673" s="38"/>
      <c r="M673" s="17"/>
    </row>
    <row r="674" spans="2:13" ht="14.45" customHeight="1" x14ac:dyDescent="0.25">
      <c r="B674" s="17"/>
      <c r="C674" s="14"/>
      <c r="D674" s="14"/>
      <c r="E674" s="18"/>
      <c r="F674" s="61"/>
      <c r="G674" s="73"/>
      <c r="H674" s="79"/>
      <c r="I674" s="79"/>
      <c r="J674" s="14"/>
      <c r="K674" s="38"/>
      <c r="L674" s="38"/>
      <c r="M674" s="17"/>
    </row>
    <row r="675" spans="2:13" ht="14.45" customHeight="1" x14ac:dyDescent="0.25">
      <c r="B675" s="17"/>
      <c r="C675" s="14"/>
      <c r="D675" s="14"/>
      <c r="E675" s="18"/>
      <c r="F675" s="61"/>
      <c r="G675" s="73"/>
      <c r="H675" s="79"/>
      <c r="I675" s="79"/>
      <c r="J675" s="14"/>
      <c r="K675" s="38"/>
      <c r="L675" s="38"/>
      <c r="M675" s="17"/>
    </row>
    <row r="676" spans="2:13" ht="14.45" customHeight="1" x14ac:dyDescent="0.25">
      <c r="B676" s="17"/>
      <c r="C676" s="14"/>
      <c r="D676" s="14"/>
      <c r="E676" s="18"/>
      <c r="F676" s="61"/>
      <c r="G676" s="73"/>
      <c r="H676" s="79"/>
      <c r="I676" s="79"/>
      <c r="J676" s="14"/>
      <c r="K676" s="38"/>
      <c r="L676" s="38"/>
      <c r="M676" s="17"/>
    </row>
    <row r="677" spans="2:13" ht="14.45" customHeight="1" x14ac:dyDescent="0.25">
      <c r="B677" s="17"/>
      <c r="C677" s="14"/>
      <c r="D677" s="14"/>
      <c r="E677" s="18"/>
      <c r="F677" s="61"/>
      <c r="G677" s="73"/>
      <c r="H677" s="79"/>
      <c r="I677" s="79"/>
      <c r="J677" s="14"/>
      <c r="K677" s="38"/>
      <c r="L677" s="38"/>
      <c r="M677" s="17"/>
    </row>
    <row r="678" spans="2:13" ht="14.45" customHeight="1" x14ac:dyDescent="0.25">
      <c r="B678" s="17"/>
      <c r="C678" s="14"/>
      <c r="D678" s="14"/>
      <c r="E678" s="18"/>
      <c r="F678" s="61"/>
      <c r="G678" s="73"/>
      <c r="H678" s="79"/>
      <c r="I678" s="79"/>
      <c r="J678" s="14"/>
      <c r="K678" s="38"/>
      <c r="L678" s="38"/>
      <c r="M678" s="17"/>
    </row>
    <row r="679" spans="2:13" ht="14.45" customHeight="1" x14ac:dyDescent="0.25">
      <c r="B679" s="17"/>
      <c r="C679" s="14"/>
      <c r="D679" s="14"/>
      <c r="E679" s="18"/>
      <c r="F679" s="61"/>
      <c r="G679" s="73"/>
      <c r="H679" s="79"/>
      <c r="I679" s="79"/>
      <c r="J679" s="14"/>
      <c r="K679" s="38"/>
      <c r="L679" s="38"/>
      <c r="M679" s="17"/>
    </row>
    <row r="680" spans="2:13" ht="14.45" customHeight="1" x14ac:dyDescent="0.25">
      <c r="B680" s="17"/>
      <c r="C680" s="14"/>
      <c r="D680" s="14"/>
      <c r="E680" s="18"/>
      <c r="F680" s="61"/>
      <c r="G680" s="73"/>
      <c r="H680" s="79"/>
      <c r="I680" s="79"/>
      <c r="J680" s="14"/>
      <c r="K680" s="38"/>
      <c r="L680" s="38"/>
      <c r="M680" s="17"/>
    </row>
    <row r="681" spans="2:13" ht="14.45" customHeight="1" x14ac:dyDescent="0.25">
      <c r="B681" s="17"/>
      <c r="C681" s="14"/>
      <c r="D681" s="14"/>
      <c r="E681" s="18"/>
      <c r="F681" s="61"/>
      <c r="G681" s="73"/>
      <c r="H681" s="79"/>
      <c r="I681" s="79"/>
      <c r="J681" s="14"/>
      <c r="K681" s="38"/>
      <c r="L681" s="38"/>
      <c r="M681" s="17"/>
    </row>
    <row r="682" spans="2:13" ht="14.45" customHeight="1" x14ac:dyDescent="0.25">
      <c r="B682" s="17"/>
      <c r="C682" s="14"/>
      <c r="D682" s="14"/>
      <c r="E682" s="18"/>
      <c r="F682" s="61"/>
      <c r="G682" s="73"/>
      <c r="H682" s="79"/>
      <c r="I682" s="79"/>
      <c r="J682" s="14"/>
      <c r="K682" s="38"/>
      <c r="L682" s="38"/>
      <c r="M682" s="17"/>
    </row>
    <row r="683" spans="2:13" ht="14.45" customHeight="1" x14ac:dyDescent="0.25">
      <c r="B683" s="17"/>
      <c r="C683" s="14"/>
      <c r="D683" s="14"/>
      <c r="E683" s="18"/>
      <c r="F683" s="61"/>
      <c r="G683" s="73"/>
      <c r="H683" s="79"/>
      <c r="I683" s="79"/>
      <c r="J683" s="14"/>
      <c r="K683" s="38"/>
      <c r="L683" s="38"/>
      <c r="M683" s="17"/>
    </row>
    <row r="684" spans="2:13" ht="14.45" customHeight="1" x14ac:dyDescent="0.25">
      <c r="B684" s="17"/>
      <c r="C684" s="14"/>
      <c r="D684" s="14"/>
      <c r="E684" s="18"/>
      <c r="F684" s="61"/>
      <c r="G684" s="73"/>
      <c r="H684" s="79"/>
      <c r="I684" s="79"/>
      <c r="J684" s="14"/>
      <c r="K684" s="38"/>
      <c r="L684" s="38"/>
      <c r="M684" s="17"/>
    </row>
    <row r="685" spans="2:13" ht="14.45" customHeight="1" x14ac:dyDescent="0.25">
      <c r="B685" s="17"/>
      <c r="C685" s="14"/>
      <c r="D685" s="14"/>
      <c r="E685" s="18"/>
      <c r="F685" s="61"/>
      <c r="G685" s="73"/>
      <c r="H685" s="79"/>
      <c r="I685" s="79"/>
      <c r="J685" s="14"/>
      <c r="K685" s="38"/>
      <c r="L685" s="38"/>
      <c r="M685" s="17"/>
    </row>
    <row r="686" spans="2:13" ht="14.45" customHeight="1" x14ac:dyDescent="0.25">
      <c r="B686" s="17"/>
      <c r="C686" s="14"/>
      <c r="D686" s="14"/>
      <c r="E686" s="18"/>
      <c r="F686" s="61"/>
      <c r="G686" s="73"/>
      <c r="H686" s="79"/>
      <c r="I686" s="79"/>
      <c r="J686" s="14"/>
      <c r="K686" s="38"/>
      <c r="L686" s="38"/>
      <c r="M686" s="17"/>
    </row>
    <row r="687" spans="2:13" ht="14.45" customHeight="1" x14ac:dyDescent="0.25">
      <c r="B687" s="17"/>
      <c r="C687" s="14"/>
      <c r="D687" s="14"/>
      <c r="E687" s="18"/>
      <c r="F687" s="61"/>
      <c r="G687" s="73"/>
      <c r="H687" s="79"/>
      <c r="I687" s="79"/>
      <c r="J687" s="14"/>
      <c r="K687" s="38"/>
      <c r="L687" s="38"/>
      <c r="M687" s="17"/>
    </row>
    <row r="688" spans="2:13" ht="14.45" customHeight="1" x14ac:dyDescent="0.25">
      <c r="B688" s="17"/>
      <c r="C688" s="14"/>
      <c r="D688" s="14"/>
      <c r="E688" s="18"/>
      <c r="F688" s="61"/>
      <c r="G688" s="73"/>
      <c r="H688" s="79"/>
      <c r="I688" s="79"/>
      <c r="J688" s="14"/>
      <c r="K688" s="38"/>
      <c r="L688" s="38"/>
      <c r="M688" s="17"/>
    </row>
    <row r="689" spans="2:13" ht="14.45" customHeight="1" x14ac:dyDescent="0.25">
      <c r="B689" s="17"/>
      <c r="C689" s="14"/>
      <c r="D689" s="14"/>
      <c r="E689" s="18"/>
      <c r="F689" s="61"/>
      <c r="G689" s="73"/>
      <c r="H689" s="79"/>
      <c r="I689" s="79"/>
      <c r="J689" s="14"/>
      <c r="K689" s="38"/>
      <c r="L689" s="38"/>
      <c r="M689" s="17"/>
    </row>
    <row r="690" spans="2:13" ht="14.45" customHeight="1" x14ac:dyDescent="0.25">
      <c r="B690" s="17"/>
      <c r="C690" s="14"/>
      <c r="D690" s="14"/>
      <c r="E690" s="18"/>
      <c r="F690" s="61"/>
      <c r="G690" s="73"/>
      <c r="H690" s="79"/>
      <c r="I690" s="79"/>
      <c r="J690" s="14"/>
      <c r="K690" s="38"/>
      <c r="L690" s="38"/>
      <c r="M690" s="17"/>
    </row>
    <row r="691" spans="2:13" ht="14.45" customHeight="1" x14ac:dyDescent="0.25">
      <c r="B691" s="17"/>
      <c r="C691" s="14"/>
      <c r="D691" s="14"/>
      <c r="E691" s="18"/>
      <c r="F691" s="61"/>
      <c r="G691" s="73"/>
      <c r="H691" s="79"/>
      <c r="I691" s="79"/>
      <c r="J691" s="14"/>
      <c r="K691" s="38"/>
      <c r="L691" s="38"/>
      <c r="M691" s="17"/>
    </row>
    <row r="692" spans="2:13" ht="14.45" customHeight="1" x14ac:dyDescent="0.25">
      <c r="B692" s="17"/>
      <c r="C692" s="14"/>
      <c r="D692" s="14"/>
      <c r="E692" s="18"/>
      <c r="F692" s="61"/>
      <c r="G692" s="73"/>
      <c r="H692" s="79"/>
      <c r="I692" s="79"/>
      <c r="J692" s="14"/>
      <c r="K692" s="38"/>
      <c r="L692" s="38"/>
      <c r="M692" s="17"/>
    </row>
    <row r="693" spans="2:13" ht="14.45" customHeight="1" x14ac:dyDescent="0.25">
      <c r="B693" s="17"/>
      <c r="C693" s="14"/>
      <c r="D693" s="14"/>
      <c r="E693" s="18"/>
      <c r="F693" s="61"/>
      <c r="G693" s="73"/>
      <c r="H693" s="79"/>
      <c r="I693" s="79"/>
      <c r="J693" s="14"/>
      <c r="K693" s="38"/>
      <c r="L693" s="38"/>
      <c r="M693" s="17"/>
    </row>
    <row r="694" spans="2:13" ht="14.45" customHeight="1" x14ac:dyDescent="0.25">
      <c r="B694" s="17"/>
      <c r="C694" s="14"/>
      <c r="D694" s="14"/>
      <c r="E694" s="18"/>
      <c r="F694" s="61"/>
      <c r="G694" s="73"/>
      <c r="H694" s="79"/>
      <c r="I694" s="79"/>
      <c r="J694" s="14"/>
      <c r="K694" s="38"/>
      <c r="L694" s="38"/>
      <c r="M694" s="17"/>
    </row>
    <row r="695" spans="2:13" ht="14.45" customHeight="1" x14ac:dyDescent="0.25">
      <c r="B695" s="17"/>
      <c r="C695" s="14"/>
      <c r="D695" s="14"/>
      <c r="E695" s="18"/>
      <c r="F695" s="61"/>
      <c r="G695" s="73"/>
      <c r="H695" s="79"/>
      <c r="I695" s="79"/>
      <c r="J695" s="14"/>
      <c r="K695" s="38"/>
      <c r="L695" s="38"/>
      <c r="M695" s="17"/>
    </row>
    <row r="696" spans="2:13" ht="14.45" customHeight="1" x14ac:dyDescent="0.25">
      <c r="B696" s="17"/>
      <c r="C696" s="14"/>
      <c r="D696" s="14"/>
      <c r="E696" s="18"/>
      <c r="F696" s="61"/>
      <c r="G696" s="73"/>
      <c r="H696" s="79"/>
      <c r="I696" s="79"/>
      <c r="J696" s="14"/>
      <c r="K696" s="38"/>
      <c r="L696" s="38"/>
      <c r="M696" s="17"/>
    </row>
    <row r="697" spans="2:13" ht="14.45" customHeight="1" x14ac:dyDescent="0.25">
      <c r="B697" s="17"/>
      <c r="C697" s="14"/>
      <c r="D697" s="14"/>
      <c r="E697" s="18"/>
      <c r="F697" s="61"/>
      <c r="G697" s="73"/>
      <c r="H697" s="79"/>
      <c r="I697" s="79"/>
      <c r="J697" s="14"/>
      <c r="K697" s="38"/>
      <c r="L697" s="38"/>
      <c r="M697" s="17"/>
    </row>
    <row r="698" spans="2:13" ht="14.45" customHeight="1" x14ac:dyDescent="0.25">
      <c r="B698" s="17"/>
      <c r="C698" s="14"/>
      <c r="D698" s="14"/>
      <c r="E698" s="18"/>
      <c r="F698" s="61"/>
      <c r="G698" s="73"/>
      <c r="H698" s="79"/>
      <c r="I698" s="79"/>
      <c r="J698" s="14"/>
      <c r="K698" s="38"/>
      <c r="L698" s="38"/>
      <c r="M698" s="17"/>
    </row>
    <row r="699" spans="2:13" ht="14.45" customHeight="1" x14ac:dyDescent="0.25">
      <c r="B699" s="17"/>
      <c r="C699" s="14"/>
      <c r="D699" s="14"/>
      <c r="E699" s="18"/>
      <c r="F699" s="61"/>
      <c r="G699" s="73"/>
      <c r="H699" s="79"/>
      <c r="I699" s="79"/>
      <c r="J699" s="14"/>
      <c r="K699" s="38"/>
      <c r="L699" s="38"/>
      <c r="M699" s="17"/>
    </row>
    <row r="700" spans="2:13" ht="14.45" customHeight="1" x14ac:dyDescent="0.25">
      <c r="B700" s="17"/>
      <c r="C700" s="14"/>
      <c r="D700" s="14"/>
      <c r="E700" s="18"/>
      <c r="F700" s="61"/>
      <c r="G700" s="73"/>
      <c r="H700" s="79"/>
      <c r="I700" s="79"/>
      <c r="J700" s="14"/>
      <c r="K700" s="38"/>
      <c r="L700" s="38"/>
      <c r="M700" s="17"/>
    </row>
    <row r="701" spans="2:13" ht="14.45" customHeight="1" x14ac:dyDescent="0.25">
      <c r="B701" s="17"/>
      <c r="C701" s="14"/>
      <c r="D701" s="14"/>
      <c r="E701" s="18"/>
      <c r="F701" s="61"/>
      <c r="G701" s="73"/>
      <c r="H701" s="79"/>
      <c r="I701" s="79"/>
      <c r="J701" s="14"/>
      <c r="K701" s="38"/>
      <c r="L701" s="38"/>
      <c r="M701" s="17"/>
    </row>
    <row r="702" spans="2:13" ht="14.45" customHeight="1" x14ac:dyDescent="0.25">
      <c r="B702" s="17"/>
      <c r="C702" s="14"/>
      <c r="D702" s="14"/>
      <c r="E702" s="18"/>
      <c r="F702" s="61"/>
      <c r="G702" s="73"/>
      <c r="H702" s="79"/>
      <c r="I702" s="79"/>
      <c r="J702" s="14"/>
      <c r="K702" s="38"/>
      <c r="L702" s="38"/>
      <c r="M702" s="17"/>
    </row>
    <row r="703" spans="2:13" ht="14.45" customHeight="1" x14ac:dyDescent="0.25">
      <c r="B703" s="17"/>
      <c r="C703" s="14"/>
      <c r="D703" s="14"/>
      <c r="E703" s="18"/>
      <c r="F703" s="61"/>
      <c r="G703" s="73"/>
      <c r="H703" s="79"/>
      <c r="I703" s="79"/>
      <c r="J703" s="14"/>
      <c r="K703" s="38"/>
      <c r="L703" s="38"/>
      <c r="M703" s="17"/>
    </row>
    <row r="704" spans="2:13" ht="14.45" customHeight="1" x14ac:dyDescent="0.25">
      <c r="B704" s="17"/>
      <c r="C704" s="14"/>
      <c r="D704" s="14"/>
      <c r="E704" s="18"/>
      <c r="F704" s="61"/>
      <c r="G704" s="73"/>
      <c r="H704" s="79"/>
      <c r="I704" s="79"/>
      <c r="J704" s="14"/>
      <c r="K704" s="38"/>
      <c r="L704" s="38"/>
      <c r="M704" s="17"/>
    </row>
    <row r="705" spans="2:13" ht="14.45" customHeight="1" x14ac:dyDescent="0.25">
      <c r="B705" s="17"/>
      <c r="C705" s="14"/>
      <c r="D705" s="14"/>
      <c r="E705" s="18"/>
      <c r="F705" s="61"/>
      <c r="G705" s="73"/>
      <c r="H705" s="79"/>
      <c r="I705" s="79"/>
      <c r="J705" s="14"/>
      <c r="K705" s="38"/>
      <c r="L705" s="38"/>
      <c r="M705" s="17"/>
    </row>
    <row r="706" spans="2:13" ht="14.45" customHeight="1" x14ac:dyDescent="0.25">
      <c r="B706" s="17"/>
      <c r="C706" s="14"/>
      <c r="D706" s="14"/>
      <c r="E706" s="18"/>
      <c r="F706" s="61"/>
      <c r="G706" s="73"/>
      <c r="H706" s="79"/>
      <c r="I706" s="79"/>
      <c r="J706" s="14"/>
      <c r="K706" s="38"/>
      <c r="L706" s="38"/>
      <c r="M706" s="17"/>
    </row>
    <row r="707" spans="2:13" ht="14.45" customHeight="1" x14ac:dyDescent="0.25">
      <c r="B707" s="17"/>
      <c r="C707" s="14"/>
      <c r="D707" s="14"/>
      <c r="E707" s="18"/>
      <c r="F707" s="61"/>
      <c r="G707" s="73"/>
      <c r="H707" s="79"/>
      <c r="I707" s="79"/>
      <c r="J707" s="14"/>
      <c r="K707" s="38"/>
      <c r="L707" s="38"/>
      <c r="M707" s="17"/>
    </row>
    <row r="708" spans="2:13" ht="14.45" customHeight="1" x14ac:dyDescent="0.25">
      <c r="B708" s="17"/>
      <c r="C708" s="14"/>
      <c r="D708" s="14"/>
      <c r="E708" s="18"/>
      <c r="F708" s="61"/>
      <c r="G708" s="73"/>
      <c r="H708" s="79"/>
      <c r="I708" s="79"/>
      <c r="J708" s="14"/>
      <c r="K708" s="38"/>
      <c r="L708" s="38"/>
      <c r="M708" s="17"/>
    </row>
    <row r="709" spans="2:13" ht="14.45" customHeight="1" x14ac:dyDescent="0.25">
      <c r="B709" s="17"/>
      <c r="C709" s="14"/>
      <c r="D709" s="14"/>
      <c r="E709" s="18"/>
      <c r="F709" s="61"/>
      <c r="G709" s="73"/>
      <c r="H709" s="79"/>
      <c r="I709" s="79"/>
      <c r="J709" s="14"/>
      <c r="K709" s="38"/>
      <c r="L709" s="38"/>
      <c r="M709" s="17"/>
    </row>
    <row r="710" spans="2:13" ht="14.45" customHeight="1" x14ac:dyDescent="0.25">
      <c r="B710" s="17"/>
      <c r="C710" s="14"/>
      <c r="D710" s="14"/>
      <c r="E710" s="18"/>
      <c r="F710" s="61"/>
      <c r="G710" s="73"/>
      <c r="H710" s="79"/>
      <c r="I710" s="79"/>
      <c r="J710" s="14"/>
      <c r="K710" s="38"/>
      <c r="L710" s="38"/>
      <c r="M710" s="17"/>
    </row>
    <row r="711" spans="2:13" ht="14.45" customHeight="1" x14ac:dyDescent="0.25">
      <c r="B711" s="17"/>
      <c r="C711" s="14"/>
      <c r="D711" s="14"/>
      <c r="E711" s="18"/>
      <c r="F711" s="61"/>
      <c r="G711" s="73"/>
      <c r="H711" s="79"/>
      <c r="I711" s="79"/>
      <c r="J711" s="14"/>
      <c r="K711" s="38"/>
      <c r="L711" s="38"/>
      <c r="M711" s="17"/>
    </row>
    <row r="712" spans="2:13" ht="14.45" customHeight="1" x14ac:dyDescent="0.25">
      <c r="B712" s="17"/>
      <c r="C712" s="14"/>
      <c r="D712" s="14"/>
      <c r="E712" s="18"/>
      <c r="F712" s="61"/>
      <c r="G712" s="73"/>
      <c r="H712" s="79"/>
      <c r="I712" s="79"/>
      <c r="J712" s="14"/>
      <c r="K712" s="38"/>
      <c r="L712" s="38"/>
      <c r="M712" s="17"/>
    </row>
    <row r="713" spans="2:13" ht="14.45" customHeight="1" x14ac:dyDescent="0.25">
      <c r="B713" s="17"/>
      <c r="C713" s="14"/>
      <c r="D713" s="14"/>
      <c r="E713" s="18"/>
      <c r="F713" s="61"/>
      <c r="G713" s="73"/>
      <c r="H713" s="79"/>
      <c r="I713" s="79"/>
      <c r="J713" s="14"/>
      <c r="K713" s="38"/>
      <c r="L713" s="38"/>
      <c r="M713" s="17"/>
    </row>
    <row r="714" spans="2:13" ht="14.45" customHeight="1" x14ac:dyDescent="0.25">
      <c r="B714" s="17"/>
      <c r="C714" s="14"/>
      <c r="D714" s="14"/>
      <c r="E714" s="18"/>
      <c r="F714" s="61"/>
      <c r="G714" s="73"/>
      <c r="H714" s="79"/>
      <c r="I714" s="79"/>
      <c r="J714" s="14"/>
      <c r="K714" s="38"/>
      <c r="L714" s="38"/>
      <c r="M714" s="17"/>
    </row>
    <row r="715" spans="2:13" ht="14.45" customHeight="1" x14ac:dyDescent="0.25">
      <c r="B715" s="17"/>
      <c r="C715" s="14"/>
      <c r="D715" s="14"/>
      <c r="E715" s="18"/>
      <c r="F715" s="61"/>
      <c r="G715" s="73"/>
      <c r="H715" s="79"/>
      <c r="I715" s="79"/>
      <c r="J715" s="14"/>
      <c r="K715" s="38"/>
      <c r="L715" s="38"/>
      <c r="M715" s="17"/>
    </row>
    <row r="716" spans="2:13" ht="14.45" customHeight="1" x14ac:dyDescent="0.25">
      <c r="B716" s="17"/>
      <c r="C716" s="14"/>
      <c r="D716" s="14"/>
      <c r="E716" s="18"/>
      <c r="F716" s="61"/>
      <c r="G716" s="73"/>
      <c r="H716" s="79"/>
      <c r="I716" s="79"/>
      <c r="J716" s="14"/>
      <c r="K716" s="38"/>
      <c r="L716" s="38"/>
      <c r="M716" s="17"/>
    </row>
    <row r="717" spans="2:13" ht="14.45" customHeight="1" x14ac:dyDescent="0.25">
      <c r="B717" s="17"/>
      <c r="C717" s="14"/>
      <c r="D717" s="14"/>
      <c r="E717" s="18"/>
      <c r="F717" s="61"/>
      <c r="G717" s="73"/>
      <c r="H717" s="79"/>
      <c r="I717" s="79"/>
      <c r="J717" s="14"/>
      <c r="K717" s="38"/>
      <c r="L717" s="38"/>
      <c r="M717" s="17"/>
    </row>
    <row r="718" spans="2:13" ht="14.45" customHeight="1" x14ac:dyDescent="0.25">
      <c r="B718" s="17"/>
      <c r="C718" s="14"/>
      <c r="D718" s="14"/>
      <c r="E718" s="18"/>
      <c r="F718" s="61"/>
      <c r="G718" s="73"/>
      <c r="H718" s="79"/>
      <c r="I718" s="79"/>
      <c r="J718" s="14"/>
      <c r="K718" s="38"/>
      <c r="L718" s="38"/>
      <c r="M718" s="17"/>
    </row>
    <row r="719" spans="2:13" ht="14.45" customHeight="1" x14ac:dyDescent="0.25">
      <c r="B719" s="17"/>
      <c r="C719" s="14"/>
      <c r="D719" s="14"/>
      <c r="E719" s="18"/>
      <c r="F719" s="61"/>
      <c r="G719" s="73"/>
      <c r="H719" s="79"/>
      <c r="I719" s="79"/>
      <c r="J719" s="14"/>
      <c r="K719" s="38"/>
      <c r="L719" s="38"/>
      <c r="M719" s="17"/>
    </row>
    <row r="720" spans="2:13" ht="14.45" customHeight="1" x14ac:dyDescent="0.25">
      <c r="B720" s="17"/>
      <c r="C720" s="14"/>
      <c r="D720" s="14"/>
      <c r="E720" s="18"/>
      <c r="F720" s="61"/>
      <c r="G720" s="73"/>
      <c r="H720" s="79"/>
      <c r="I720" s="79"/>
      <c r="J720" s="14"/>
      <c r="K720" s="38"/>
      <c r="L720" s="38"/>
      <c r="M720" s="17"/>
    </row>
    <row r="721" spans="2:13" ht="14.45" customHeight="1" x14ac:dyDescent="0.25">
      <c r="B721" s="17"/>
      <c r="C721" s="14"/>
      <c r="D721" s="14"/>
      <c r="E721" s="18"/>
      <c r="F721" s="61"/>
      <c r="G721" s="73"/>
      <c r="H721" s="79"/>
      <c r="I721" s="79"/>
      <c r="J721" s="14"/>
      <c r="K721" s="38"/>
      <c r="L721" s="38"/>
      <c r="M721" s="17"/>
    </row>
    <row r="722" spans="2:13" ht="14.45" customHeight="1" x14ac:dyDescent="0.25">
      <c r="B722" s="17"/>
      <c r="C722" s="14"/>
      <c r="D722" s="14"/>
      <c r="E722" s="18"/>
      <c r="F722" s="61"/>
      <c r="G722" s="73"/>
      <c r="H722" s="79"/>
      <c r="I722" s="79"/>
      <c r="J722" s="14"/>
      <c r="K722" s="38"/>
      <c r="L722" s="38"/>
      <c r="M722" s="17"/>
    </row>
    <row r="723" spans="2:13" ht="14.45" customHeight="1" x14ac:dyDescent="0.25">
      <c r="B723" s="17"/>
      <c r="C723" s="14"/>
      <c r="D723" s="14"/>
      <c r="E723" s="18"/>
      <c r="F723" s="61"/>
      <c r="G723" s="73"/>
      <c r="H723" s="79"/>
      <c r="I723" s="79"/>
      <c r="J723" s="14"/>
      <c r="K723" s="38"/>
      <c r="L723" s="38"/>
      <c r="M723" s="17"/>
    </row>
    <row r="724" spans="2:13" ht="14.45" customHeight="1" x14ac:dyDescent="0.25">
      <c r="B724" s="17"/>
      <c r="C724" s="14"/>
      <c r="D724" s="14"/>
      <c r="E724" s="18"/>
      <c r="F724" s="61"/>
      <c r="G724" s="73"/>
      <c r="H724" s="79"/>
      <c r="I724" s="79"/>
      <c r="J724" s="14"/>
      <c r="K724" s="38"/>
      <c r="L724" s="38"/>
      <c r="M724" s="17"/>
    </row>
    <row r="725" spans="2:13" ht="14.45" customHeight="1" x14ac:dyDescent="0.25">
      <c r="B725" s="17"/>
      <c r="C725" s="14"/>
      <c r="D725" s="14"/>
      <c r="E725" s="18"/>
      <c r="F725" s="61"/>
      <c r="G725" s="73"/>
      <c r="H725" s="79"/>
      <c r="I725" s="79"/>
      <c r="J725" s="14"/>
      <c r="K725" s="38"/>
      <c r="L725" s="38"/>
      <c r="M725" s="17"/>
    </row>
    <row r="726" spans="2:13" ht="14.45" customHeight="1" x14ac:dyDescent="0.25">
      <c r="B726" s="17"/>
      <c r="C726" s="14"/>
      <c r="D726" s="14"/>
      <c r="E726" s="18"/>
      <c r="F726" s="61"/>
      <c r="G726" s="73"/>
      <c r="H726" s="79"/>
      <c r="I726" s="79"/>
      <c r="J726" s="14"/>
      <c r="K726" s="38"/>
      <c r="L726" s="38"/>
      <c r="M726" s="17"/>
    </row>
    <row r="727" spans="2:13" ht="14.45" customHeight="1" x14ac:dyDescent="0.25">
      <c r="B727" s="17"/>
      <c r="C727" s="14"/>
      <c r="D727" s="14"/>
      <c r="E727" s="18"/>
      <c r="F727" s="61"/>
      <c r="G727" s="73"/>
      <c r="H727" s="79"/>
      <c r="I727" s="79"/>
      <c r="J727" s="14"/>
      <c r="K727" s="38"/>
      <c r="L727" s="38"/>
      <c r="M727" s="17"/>
    </row>
    <row r="728" spans="2:13" ht="14.45" customHeight="1" x14ac:dyDescent="0.25">
      <c r="B728" s="17"/>
      <c r="C728" s="14"/>
      <c r="D728" s="14"/>
      <c r="E728" s="18"/>
      <c r="F728" s="61"/>
      <c r="G728" s="73"/>
      <c r="H728" s="79"/>
      <c r="I728" s="79"/>
      <c r="J728" s="14"/>
      <c r="K728" s="38"/>
      <c r="L728" s="38"/>
      <c r="M728" s="17"/>
    </row>
    <row r="729" spans="2:13" ht="14.45" customHeight="1" x14ac:dyDescent="0.25">
      <c r="B729" s="17"/>
      <c r="C729" s="14"/>
      <c r="D729" s="14"/>
      <c r="E729" s="18"/>
      <c r="F729" s="61"/>
      <c r="G729" s="73"/>
      <c r="H729" s="79"/>
      <c r="I729" s="79"/>
      <c r="J729" s="14"/>
      <c r="K729" s="38"/>
      <c r="L729" s="38"/>
      <c r="M729" s="17"/>
    </row>
    <row r="730" spans="2:13" ht="14.45" customHeight="1" x14ac:dyDescent="0.25">
      <c r="B730" s="17"/>
      <c r="C730" s="14"/>
      <c r="D730" s="14"/>
      <c r="E730" s="18"/>
      <c r="F730" s="61"/>
      <c r="G730" s="73"/>
      <c r="H730" s="79"/>
      <c r="I730" s="79"/>
      <c r="J730" s="14"/>
      <c r="K730" s="38"/>
      <c r="L730" s="38"/>
      <c r="M730" s="17"/>
    </row>
    <row r="731" spans="2:13" ht="14.45" customHeight="1" x14ac:dyDescent="0.25">
      <c r="B731" s="17"/>
      <c r="C731" s="14"/>
      <c r="D731" s="14"/>
      <c r="E731" s="18"/>
      <c r="F731" s="61"/>
      <c r="G731" s="73"/>
      <c r="H731" s="79"/>
      <c r="I731" s="79"/>
      <c r="J731" s="14"/>
      <c r="K731" s="38"/>
      <c r="L731" s="38"/>
      <c r="M731" s="17"/>
    </row>
    <row r="732" spans="2:13" ht="14.45" customHeight="1" x14ac:dyDescent="0.25">
      <c r="B732" s="17"/>
      <c r="C732" s="14"/>
      <c r="D732" s="14"/>
      <c r="E732" s="18"/>
      <c r="F732" s="61"/>
      <c r="G732" s="73"/>
      <c r="H732" s="79"/>
      <c r="I732" s="79"/>
      <c r="J732" s="14"/>
      <c r="K732" s="38"/>
      <c r="L732" s="38"/>
      <c r="M732" s="17"/>
    </row>
    <row r="733" spans="2:13" ht="14.45" customHeight="1" x14ac:dyDescent="0.25">
      <c r="B733" s="17"/>
      <c r="C733" s="14"/>
      <c r="D733" s="14"/>
      <c r="E733" s="18"/>
      <c r="F733" s="61"/>
      <c r="G733" s="73"/>
      <c r="H733" s="79"/>
      <c r="I733" s="79"/>
      <c r="J733" s="14"/>
      <c r="K733" s="38"/>
      <c r="L733" s="38"/>
      <c r="M733" s="17"/>
    </row>
    <row r="734" spans="2:13" ht="14.45" customHeight="1" x14ac:dyDescent="0.25">
      <c r="B734" s="17"/>
      <c r="C734" s="14"/>
      <c r="D734" s="14"/>
      <c r="E734" s="18"/>
      <c r="F734" s="61"/>
      <c r="G734" s="73"/>
      <c r="H734" s="79"/>
      <c r="I734" s="79"/>
      <c r="J734" s="14"/>
      <c r="K734" s="38"/>
      <c r="L734" s="38"/>
      <c r="M734" s="17"/>
    </row>
    <row r="735" spans="2:13" ht="14.45" customHeight="1" x14ac:dyDescent="0.25">
      <c r="B735" s="17"/>
      <c r="C735" s="14"/>
      <c r="D735" s="14"/>
      <c r="E735" s="18"/>
      <c r="F735" s="61"/>
      <c r="G735" s="73"/>
      <c r="H735" s="79"/>
      <c r="I735" s="79"/>
      <c r="J735" s="14"/>
      <c r="K735" s="38"/>
      <c r="L735" s="38"/>
      <c r="M735" s="17"/>
    </row>
    <row r="736" spans="2:13" ht="14.45" customHeight="1" x14ac:dyDescent="0.25">
      <c r="B736" s="17"/>
      <c r="C736" s="14"/>
      <c r="D736" s="14"/>
      <c r="E736" s="18"/>
      <c r="F736" s="61"/>
      <c r="G736" s="73"/>
      <c r="H736" s="79"/>
      <c r="I736" s="79"/>
      <c r="J736" s="14"/>
      <c r="K736" s="38"/>
      <c r="L736" s="38"/>
      <c r="M736" s="17"/>
    </row>
    <row r="737" spans="2:13" ht="14.45" customHeight="1" x14ac:dyDescent="0.25">
      <c r="B737" s="17"/>
      <c r="C737" s="14"/>
      <c r="D737" s="14"/>
      <c r="E737" s="18"/>
      <c r="F737" s="61"/>
      <c r="G737" s="73"/>
      <c r="H737" s="79"/>
      <c r="I737" s="79"/>
      <c r="J737" s="14"/>
      <c r="K737" s="38"/>
      <c r="L737" s="38"/>
      <c r="M737" s="17"/>
    </row>
    <row r="738" spans="2:13" ht="14.45" customHeight="1" x14ac:dyDescent="0.25">
      <c r="B738" s="17"/>
      <c r="C738" s="14"/>
      <c r="D738" s="14"/>
      <c r="E738" s="18"/>
      <c r="F738" s="61"/>
      <c r="G738" s="73"/>
      <c r="H738" s="79"/>
      <c r="I738" s="79"/>
      <c r="J738" s="14"/>
      <c r="K738" s="38"/>
      <c r="L738" s="38"/>
      <c r="M738" s="17"/>
    </row>
    <row r="739" spans="2:13" ht="14.45" customHeight="1" x14ac:dyDescent="0.25">
      <c r="B739" s="17"/>
      <c r="C739" s="14"/>
      <c r="D739" s="14"/>
      <c r="E739" s="18"/>
      <c r="F739" s="61"/>
      <c r="G739" s="73"/>
      <c r="H739" s="79"/>
      <c r="I739" s="79"/>
      <c r="J739" s="14"/>
      <c r="K739" s="38"/>
      <c r="L739" s="38"/>
      <c r="M739" s="17"/>
    </row>
    <row r="740" spans="2:13" ht="14.45" customHeight="1" x14ac:dyDescent="0.25">
      <c r="B740" s="17"/>
      <c r="C740" s="14"/>
      <c r="D740" s="14"/>
      <c r="E740" s="18"/>
      <c r="F740" s="61"/>
      <c r="G740" s="73"/>
      <c r="H740" s="79"/>
      <c r="I740" s="79"/>
      <c r="J740" s="14"/>
      <c r="K740" s="38"/>
      <c r="L740" s="38"/>
      <c r="M740" s="17"/>
    </row>
    <row r="741" spans="2:13" ht="14.45" customHeight="1" x14ac:dyDescent="0.25">
      <c r="B741" s="17"/>
      <c r="C741" s="14"/>
      <c r="D741" s="14"/>
      <c r="E741" s="18"/>
      <c r="F741" s="61"/>
      <c r="G741" s="73"/>
      <c r="H741" s="79"/>
      <c r="I741" s="79"/>
      <c r="J741" s="14"/>
      <c r="K741" s="38"/>
      <c r="L741" s="38"/>
      <c r="M741" s="17"/>
    </row>
    <row r="742" spans="2:13" ht="14.45" customHeight="1" x14ac:dyDescent="0.25">
      <c r="B742" s="17"/>
      <c r="C742" s="14"/>
      <c r="D742" s="14"/>
      <c r="E742" s="18"/>
      <c r="F742" s="61"/>
      <c r="G742" s="73"/>
      <c r="H742" s="79"/>
      <c r="I742" s="79"/>
      <c r="J742" s="14"/>
      <c r="K742" s="38"/>
      <c r="L742" s="38"/>
      <c r="M742" s="17"/>
    </row>
    <row r="743" spans="2:13" ht="14.45" customHeight="1" x14ac:dyDescent="0.25">
      <c r="B743" s="17"/>
      <c r="C743" s="14"/>
      <c r="D743" s="14"/>
      <c r="E743" s="18"/>
      <c r="F743" s="61"/>
      <c r="G743" s="73"/>
      <c r="H743" s="79"/>
      <c r="I743" s="79"/>
      <c r="J743" s="14"/>
      <c r="K743" s="38"/>
      <c r="L743" s="38"/>
      <c r="M743" s="17"/>
    </row>
    <row r="744" spans="2:13" ht="14.45" customHeight="1" x14ac:dyDescent="0.25">
      <c r="B744" s="17"/>
      <c r="C744" s="14"/>
      <c r="D744" s="14"/>
      <c r="E744" s="18"/>
      <c r="F744" s="61"/>
      <c r="G744" s="73"/>
      <c r="H744" s="79"/>
      <c r="I744" s="79"/>
      <c r="J744" s="14"/>
      <c r="K744" s="38"/>
      <c r="L744" s="38"/>
      <c r="M744" s="17"/>
    </row>
    <row r="745" spans="2:13" ht="14.45" customHeight="1" x14ac:dyDescent="0.25">
      <c r="B745" s="17"/>
      <c r="C745" s="14"/>
      <c r="D745" s="14"/>
      <c r="E745" s="18"/>
      <c r="F745" s="61"/>
      <c r="G745" s="73"/>
      <c r="H745" s="79"/>
      <c r="I745" s="79"/>
      <c r="J745" s="14"/>
      <c r="K745" s="38"/>
      <c r="L745" s="38"/>
      <c r="M745" s="17"/>
    </row>
    <row r="746" spans="2:13" ht="14.45" customHeight="1" x14ac:dyDescent="0.25">
      <c r="B746" s="17"/>
      <c r="C746" s="14"/>
      <c r="D746" s="14"/>
      <c r="E746" s="18"/>
      <c r="F746" s="61"/>
      <c r="G746" s="73"/>
      <c r="H746" s="79"/>
      <c r="I746" s="79"/>
      <c r="J746" s="14"/>
      <c r="K746" s="38"/>
      <c r="L746" s="38"/>
      <c r="M746" s="17"/>
    </row>
    <row r="747" spans="2:13" ht="14.45" customHeight="1" x14ac:dyDescent="0.25">
      <c r="B747" s="17"/>
      <c r="C747" s="14"/>
      <c r="D747" s="14"/>
      <c r="E747" s="18"/>
      <c r="F747" s="61"/>
      <c r="G747" s="73"/>
      <c r="H747" s="79"/>
      <c r="I747" s="79"/>
      <c r="J747" s="14"/>
      <c r="K747" s="38"/>
      <c r="L747" s="38"/>
      <c r="M747" s="17"/>
    </row>
    <row r="748" spans="2:13" ht="14.45" customHeight="1" x14ac:dyDescent="0.25">
      <c r="B748" s="17"/>
      <c r="C748" s="14"/>
      <c r="D748" s="14"/>
      <c r="E748" s="18"/>
      <c r="F748" s="61"/>
      <c r="G748" s="73"/>
      <c r="H748" s="79"/>
      <c r="I748" s="79"/>
      <c r="J748" s="14"/>
      <c r="K748" s="38"/>
      <c r="L748" s="38"/>
      <c r="M748" s="17"/>
    </row>
    <row r="749" spans="2:13" ht="14.45" customHeight="1" x14ac:dyDescent="0.25">
      <c r="B749" s="17"/>
      <c r="C749" s="14"/>
      <c r="D749" s="14"/>
      <c r="E749" s="18"/>
      <c r="F749" s="61"/>
      <c r="G749" s="73"/>
      <c r="H749" s="79"/>
      <c r="I749" s="79"/>
      <c r="J749" s="14"/>
      <c r="K749" s="38"/>
      <c r="L749" s="38"/>
      <c r="M749" s="17"/>
    </row>
    <row r="750" spans="2:13" ht="14.45" customHeight="1" x14ac:dyDescent="0.25">
      <c r="B750" s="17"/>
      <c r="C750" s="14"/>
      <c r="D750" s="14"/>
      <c r="E750" s="18"/>
      <c r="F750" s="61"/>
      <c r="G750" s="73"/>
      <c r="H750" s="79"/>
      <c r="I750" s="79"/>
      <c r="J750" s="14"/>
      <c r="K750" s="38"/>
      <c r="L750" s="38"/>
      <c r="M750" s="17"/>
    </row>
    <row r="751" spans="2:13" ht="14.45" customHeight="1" x14ac:dyDescent="0.25">
      <c r="B751" s="17"/>
      <c r="C751" s="14"/>
      <c r="D751" s="14"/>
      <c r="E751" s="18"/>
      <c r="F751" s="61"/>
      <c r="G751" s="73"/>
      <c r="H751" s="79"/>
      <c r="I751" s="79"/>
      <c r="J751" s="14"/>
      <c r="K751" s="38"/>
      <c r="L751" s="38"/>
      <c r="M751" s="17"/>
    </row>
    <row r="752" spans="2:13" ht="14.45" customHeight="1" x14ac:dyDescent="0.25">
      <c r="B752" s="17"/>
      <c r="C752" s="14"/>
      <c r="D752" s="14"/>
      <c r="E752" s="18"/>
      <c r="F752" s="61"/>
      <c r="G752" s="73"/>
      <c r="H752" s="79"/>
      <c r="I752" s="79"/>
      <c r="J752" s="14"/>
      <c r="K752" s="38"/>
      <c r="L752" s="38"/>
      <c r="M752" s="17"/>
    </row>
    <row r="753" spans="2:13" ht="14.45" customHeight="1" x14ac:dyDescent="0.25">
      <c r="B753" s="17"/>
      <c r="C753" s="14"/>
      <c r="D753" s="14"/>
      <c r="E753" s="18"/>
      <c r="F753" s="61"/>
      <c r="G753" s="73"/>
      <c r="H753" s="79"/>
      <c r="I753" s="79"/>
      <c r="J753" s="14"/>
      <c r="K753" s="38"/>
      <c r="L753" s="38"/>
      <c r="M753" s="17"/>
    </row>
    <row r="754" spans="2:13" ht="14.45" customHeight="1" x14ac:dyDescent="0.25">
      <c r="B754" s="17"/>
      <c r="C754" s="14"/>
      <c r="D754" s="14"/>
      <c r="E754" s="18"/>
      <c r="F754" s="61"/>
      <c r="G754" s="73"/>
      <c r="H754" s="79"/>
      <c r="I754" s="79"/>
      <c r="J754" s="14"/>
      <c r="K754" s="38"/>
      <c r="L754" s="38"/>
      <c r="M754" s="17"/>
    </row>
    <row r="755" spans="2:13" ht="14.45" customHeight="1" x14ac:dyDescent="0.25">
      <c r="B755" s="17"/>
      <c r="C755" s="14"/>
      <c r="D755" s="14"/>
      <c r="E755" s="18"/>
      <c r="F755" s="61"/>
      <c r="G755" s="73"/>
      <c r="H755" s="79"/>
      <c r="I755" s="79"/>
      <c r="J755" s="14"/>
      <c r="K755" s="38"/>
      <c r="L755" s="38"/>
      <c r="M755" s="17"/>
    </row>
    <row r="756" spans="2:13" ht="14.45" customHeight="1" x14ac:dyDescent="0.25">
      <c r="B756" s="17"/>
      <c r="C756" s="14"/>
      <c r="D756" s="14"/>
      <c r="E756" s="18"/>
      <c r="F756" s="61"/>
      <c r="G756" s="73"/>
      <c r="H756" s="79"/>
      <c r="I756" s="79"/>
      <c r="J756" s="14"/>
      <c r="K756" s="38"/>
      <c r="L756" s="38"/>
      <c r="M756" s="17"/>
    </row>
    <row r="757" spans="2:13" ht="14.45" customHeight="1" x14ac:dyDescent="0.25">
      <c r="B757" s="17"/>
      <c r="C757" s="14"/>
      <c r="D757" s="14"/>
      <c r="E757" s="18"/>
      <c r="F757" s="61"/>
      <c r="G757" s="73"/>
      <c r="H757" s="79"/>
      <c r="I757" s="79"/>
      <c r="J757" s="14"/>
      <c r="K757" s="38"/>
      <c r="L757" s="38"/>
      <c r="M757" s="17"/>
    </row>
    <row r="758" spans="2:13" ht="14.45" customHeight="1" x14ac:dyDescent="0.25">
      <c r="B758" s="17"/>
      <c r="C758" s="14"/>
      <c r="D758" s="14"/>
      <c r="E758" s="18"/>
      <c r="F758" s="61"/>
      <c r="G758" s="73"/>
      <c r="H758" s="79"/>
      <c r="I758" s="79"/>
      <c r="J758" s="14"/>
      <c r="K758" s="38"/>
      <c r="L758" s="38"/>
      <c r="M758" s="17"/>
    </row>
    <row r="759" spans="2:13" ht="14.45" customHeight="1" x14ac:dyDescent="0.25">
      <c r="B759" s="17"/>
      <c r="C759" s="14"/>
      <c r="D759" s="14"/>
      <c r="E759" s="18"/>
      <c r="F759" s="61"/>
      <c r="G759" s="73"/>
      <c r="H759" s="79"/>
      <c r="I759" s="79"/>
      <c r="J759" s="14"/>
      <c r="K759" s="38"/>
      <c r="L759" s="38"/>
      <c r="M759" s="17"/>
    </row>
    <row r="760" spans="2:13" ht="14.45" customHeight="1" x14ac:dyDescent="0.25">
      <c r="B760" s="17"/>
      <c r="C760" s="14"/>
      <c r="D760" s="14"/>
      <c r="E760" s="18"/>
      <c r="F760" s="61"/>
      <c r="G760" s="73"/>
      <c r="H760" s="79"/>
      <c r="I760" s="79"/>
      <c r="J760" s="14"/>
      <c r="K760" s="38"/>
      <c r="L760" s="38"/>
      <c r="M760" s="17"/>
    </row>
    <row r="761" spans="2:13" ht="14.45" customHeight="1" x14ac:dyDescent="0.25">
      <c r="B761" s="17"/>
      <c r="C761" s="14"/>
      <c r="D761" s="14"/>
      <c r="E761" s="18"/>
      <c r="F761" s="61"/>
      <c r="G761" s="73"/>
      <c r="H761" s="79"/>
      <c r="I761" s="79"/>
      <c r="J761" s="14"/>
      <c r="K761" s="38"/>
      <c r="L761" s="38"/>
      <c r="M761" s="17"/>
    </row>
    <row r="762" spans="2:13" ht="14.45" customHeight="1" x14ac:dyDescent="0.25">
      <c r="B762" s="17"/>
      <c r="C762" s="14"/>
      <c r="D762" s="14"/>
      <c r="E762" s="18"/>
      <c r="F762" s="61"/>
      <c r="G762" s="73"/>
      <c r="H762" s="79"/>
      <c r="I762" s="79"/>
      <c r="J762" s="14"/>
      <c r="K762" s="38"/>
      <c r="L762" s="38"/>
      <c r="M762" s="17"/>
    </row>
    <row r="763" spans="2:13" ht="14.45" customHeight="1" x14ac:dyDescent="0.25">
      <c r="B763" s="17"/>
      <c r="C763" s="14"/>
      <c r="D763" s="14"/>
      <c r="E763" s="18"/>
      <c r="F763" s="61"/>
      <c r="G763" s="73"/>
      <c r="H763" s="79"/>
      <c r="I763" s="79"/>
      <c r="J763" s="14"/>
      <c r="K763" s="38"/>
      <c r="L763" s="38"/>
      <c r="M763" s="17"/>
    </row>
    <row r="764" spans="2:13" ht="14.45" customHeight="1" x14ac:dyDescent="0.25">
      <c r="B764" s="17"/>
      <c r="C764" s="14"/>
      <c r="D764" s="14"/>
      <c r="E764" s="18"/>
      <c r="F764" s="61"/>
      <c r="G764" s="73"/>
      <c r="H764" s="79"/>
      <c r="I764" s="79"/>
      <c r="J764" s="14"/>
      <c r="K764" s="38"/>
      <c r="L764" s="38"/>
      <c r="M764" s="17"/>
    </row>
    <row r="765" spans="2:13" ht="14.45" customHeight="1" x14ac:dyDescent="0.25">
      <c r="B765" s="17"/>
      <c r="C765" s="14"/>
      <c r="D765" s="14"/>
      <c r="E765" s="18"/>
      <c r="F765" s="61"/>
      <c r="G765" s="73"/>
      <c r="H765" s="79"/>
      <c r="I765" s="79"/>
      <c r="J765" s="14"/>
      <c r="K765" s="38"/>
      <c r="L765" s="38"/>
      <c r="M765" s="17"/>
    </row>
    <row r="766" spans="2:13" ht="14.45" customHeight="1" x14ac:dyDescent="0.25">
      <c r="B766" s="17"/>
      <c r="C766" s="14"/>
      <c r="D766" s="14"/>
      <c r="E766" s="18"/>
      <c r="F766" s="61"/>
      <c r="G766" s="73"/>
      <c r="H766" s="79"/>
      <c r="I766" s="79"/>
      <c r="J766" s="14"/>
      <c r="K766" s="38"/>
      <c r="L766" s="38"/>
      <c r="M766" s="17"/>
    </row>
    <row r="767" spans="2:13" ht="14.45" customHeight="1" x14ac:dyDescent="0.25">
      <c r="B767" s="17"/>
      <c r="C767" s="14"/>
      <c r="D767" s="14"/>
      <c r="E767" s="18"/>
      <c r="F767" s="61"/>
      <c r="G767" s="73"/>
      <c r="H767" s="79"/>
      <c r="I767" s="79"/>
      <c r="J767" s="14"/>
      <c r="K767" s="38"/>
      <c r="L767" s="38"/>
      <c r="M767" s="17"/>
    </row>
    <row r="768" spans="2:13" ht="14.45" customHeight="1" x14ac:dyDescent="0.25">
      <c r="B768" s="17"/>
      <c r="C768" s="14"/>
      <c r="D768" s="14"/>
      <c r="E768" s="18"/>
      <c r="F768" s="61"/>
      <c r="G768" s="73"/>
      <c r="H768" s="79"/>
      <c r="I768" s="79"/>
      <c r="J768" s="14"/>
      <c r="K768" s="38"/>
      <c r="L768" s="38"/>
      <c r="M768" s="17"/>
    </row>
    <row r="769" spans="2:13" ht="14.45" customHeight="1" x14ac:dyDescent="0.25">
      <c r="B769" s="17"/>
      <c r="C769" s="14"/>
      <c r="D769" s="14"/>
      <c r="E769" s="18"/>
      <c r="F769" s="61"/>
      <c r="G769" s="73"/>
      <c r="H769" s="79"/>
      <c r="I769" s="79"/>
      <c r="J769" s="14"/>
      <c r="K769" s="38"/>
      <c r="L769" s="38"/>
      <c r="M769" s="17"/>
    </row>
    <row r="770" spans="2:13" ht="14.45" customHeight="1" x14ac:dyDescent="0.25">
      <c r="B770" s="17"/>
      <c r="C770" s="14"/>
      <c r="D770" s="14"/>
      <c r="E770" s="18"/>
      <c r="F770" s="61"/>
      <c r="G770" s="73"/>
      <c r="H770" s="79"/>
      <c r="I770" s="79"/>
      <c r="J770" s="14"/>
      <c r="K770" s="38"/>
      <c r="L770" s="38"/>
      <c r="M770" s="17"/>
    </row>
    <row r="771" spans="2:13" ht="14.45" customHeight="1" x14ac:dyDescent="0.25">
      <c r="B771" s="17"/>
      <c r="C771" s="14"/>
      <c r="D771" s="14"/>
      <c r="E771" s="18"/>
      <c r="F771" s="61"/>
      <c r="G771" s="73"/>
      <c r="H771" s="79"/>
      <c r="I771" s="79"/>
      <c r="J771" s="14"/>
      <c r="K771" s="38"/>
      <c r="L771" s="38"/>
      <c r="M771" s="17"/>
    </row>
    <row r="772" spans="2:13" ht="14.45" customHeight="1" x14ac:dyDescent="0.25">
      <c r="B772" s="17"/>
      <c r="C772" s="14"/>
      <c r="D772" s="14"/>
      <c r="E772" s="18"/>
      <c r="F772" s="61"/>
      <c r="G772" s="73"/>
      <c r="H772" s="79"/>
      <c r="I772" s="79"/>
      <c r="J772" s="14"/>
      <c r="K772" s="38"/>
      <c r="L772" s="38"/>
      <c r="M772" s="17"/>
    </row>
    <row r="773" spans="2:13" ht="14.45" customHeight="1" x14ac:dyDescent="0.25">
      <c r="B773" s="17"/>
      <c r="C773" s="14"/>
      <c r="D773" s="14"/>
      <c r="E773" s="18"/>
      <c r="F773" s="61"/>
      <c r="G773" s="73"/>
      <c r="H773" s="79"/>
      <c r="I773" s="79"/>
      <c r="J773" s="14"/>
      <c r="K773" s="38"/>
      <c r="L773" s="38"/>
      <c r="M773" s="17"/>
    </row>
    <row r="774" spans="2:13" ht="14.45" customHeight="1" x14ac:dyDescent="0.25">
      <c r="B774" s="17"/>
      <c r="C774" s="14"/>
      <c r="D774" s="14"/>
      <c r="E774" s="18"/>
      <c r="F774" s="61"/>
      <c r="G774" s="73"/>
      <c r="H774" s="79"/>
      <c r="I774" s="79"/>
      <c r="J774" s="14"/>
      <c r="K774" s="38"/>
      <c r="L774" s="38"/>
      <c r="M774" s="17"/>
    </row>
    <row r="775" spans="2:13" ht="14.45" customHeight="1" x14ac:dyDescent="0.25">
      <c r="B775" s="17"/>
      <c r="C775" s="14"/>
      <c r="D775" s="14"/>
      <c r="E775" s="18"/>
      <c r="F775" s="61"/>
      <c r="G775" s="73"/>
      <c r="H775" s="79"/>
      <c r="I775" s="79"/>
      <c r="J775" s="14"/>
      <c r="K775" s="38"/>
      <c r="L775" s="38"/>
      <c r="M775" s="17"/>
    </row>
    <row r="776" spans="2:13" ht="14.45" customHeight="1" x14ac:dyDescent="0.25">
      <c r="B776" s="17"/>
      <c r="C776" s="14"/>
      <c r="D776" s="14"/>
      <c r="E776" s="18"/>
      <c r="F776" s="61"/>
      <c r="G776" s="73"/>
      <c r="H776" s="79"/>
      <c r="I776" s="79"/>
      <c r="J776" s="14"/>
      <c r="K776" s="38"/>
      <c r="L776" s="38"/>
      <c r="M776" s="17"/>
    </row>
    <row r="777" spans="2:13" ht="14.45" customHeight="1" x14ac:dyDescent="0.25">
      <c r="B777" s="17"/>
      <c r="C777" s="14"/>
      <c r="D777" s="14"/>
      <c r="E777" s="18"/>
      <c r="F777" s="61"/>
      <c r="G777" s="73"/>
      <c r="H777" s="79"/>
      <c r="I777" s="79"/>
      <c r="J777" s="14"/>
      <c r="K777" s="38"/>
      <c r="L777" s="38"/>
      <c r="M777" s="17"/>
    </row>
    <row r="778" spans="2:13" ht="14.45" customHeight="1" x14ac:dyDescent="0.25">
      <c r="B778" s="17"/>
      <c r="C778" s="14"/>
      <c r="D778" s="14"/>
      <c r="E778" s="18"/>
      <c r="F778" s="61"/>
      <c r="G778" s="73"/>
      <c r="H778" s="79"/>
      <c r="I778" s="79"/>
      <c r="J778" s="14"/>
      <c r="K778" s="38"/>
      <c r="L778" s="38"/>
      <c r="M778" s="17"/>
    </row>
    <row r="779" spans="2:13" ht="14.45" customHeight="1" x14ac:dyDescent="0.25">
      <c r="B779" s="17"/>
      <c r="C779" s="14"/>
      <c r="D779" s="14"/>
      <c r="E779" s="18"/>
      <c r="F779" s="61"/>
      <c r="G779" s="73"/>
      <c r="H779" s="79"/>
      <c r="I779" s="79"/>
      <c r="J779" s="14"/>
      <c r="K779" s="38"/>
      <c r="L779" s="38"/>
      <c r="M779" s="17"/>
    </row>
    <row r="780" spans="2:13" ht="14.45" customHeight="1" x14ac:dyDescent="0.25">
      <c r="B780" s="17"/>
      <c r="C780" s="14"/>
      <c r="D780" s="14"/>
      <c r="E780" s="18"/>
      <c r="F780" s="61"/>
      <c r="G780" s="73"/>
      <c r="H780" s="79"/>
      <c r="I780" s="79"/>
      <c r="J780" s="14"/>
      <c r="K780" s="38"/>
      <c r="L780" s="38"/>
      <c r="M780" s="17"/>
    </row>
    <row r="781" spans="2:13" ht="14.45" customHeight="1" x14ac:dyDescent="0.25">
      <c r="B781" s="17"/>
      <c r="C781" s="14"/>
      <c r="D781" s="14"/>
      <c r="E781" s="18"/>
      <c r="F781" s="61"/>
      <c r="G781" s="73"/>
      <c r="H781" s="79"/>
      <c r="I781" s="79"/>
      <c r="J781" s="14"/>
      <c r="K781" s="38"/>
      <c r="L781" s="38"/>
      <c r="M781" s="17"/>
    </row>
    <row r="782" spans="2:13" ht="14.45" customHeight="1" x14ac:dyDescent="0.25">
      <c r="B782" s="17"/>
      <c r="C782" s="14"/>
      <c r="D782" s="14"/>
      <c r="E782" s="18"/>
      <c r="F782" s="61"/>
      <c r="G782" s="73"/>
      <c r="H782" s="79"/>
      <c r="I782" s="79"/>
      <c r="J782" s="14"/>
      <c r="K782" s="38"/>
      <c r="L782" s="38"/>
      <c r="M782" s="17"/>
    </row>
    <row r="783" spans="2:13" ht="14.45" customHeight="1" x14ac:dyDescent="0.25">
      <c r="B783" s="17"/>
      <c r="C783" s="14"/>
      <c r="D783" s="14"/>
      <c r="E783" s="18"/>
      <c r="F783" s="61"/>
      <c r="G783" s="73"/>
      <c r="H783" s="79"/>
      <c r="I783" s="79"/>
      <c r="J783" s="14"/>
      <c r="K783" s="38"/>
      <c r="L783" s="38"/>
      <c r="M783" s="17"/>
    </row>
    <row r="784" spans="2:13" ht="14.45" customHeight="1" x14ac:dyDescent="0.25">
      <c r="B784" s="17"/>
      <c r="C784" s="14"/>
      <c r="D784" s="14"/>
      <c r="E784" s="18"/>
      <c r="F784" s="61"/>
      <c r="G784" s="73"/>
      <c r="H784" s="79"/>
      <c r="I784" s="79"/>
      <c r="J784" s="14"/>
      <c r="K784" s="38"/>
      <c r="L784" s="38"/>
      <c r="M784" s="17"/>
    </row>
    <row r="785" spans="2:13" ht="14.45" customHeight="1" x14ac:dyDescent="0.25">
      <c r="B785" s="17"/>
      <c r="C785" s="14"/>
      <c r="D785" s="14"/>
      <c r="E785" s="18"/>
      <c r="F785" s="61"/>
      <c r="G785" s="73"/>
      <c r="H785" s="79"/>
      <c r="I785" s="79"/>
      <c r="J785" s="14"/>
      <c r="K785" s="38"/>
      <c r="L785" s="38"/>
      <c r="M785" s="17"/>
    </row>
    <row r="786" spans="2:13" ht="14.45" customHeight="1" x14ac:dyDescent="0.25">
      <c r="B786" s="17"/>
      <c r="C786" s="14"/>
      <c r="D786" s="14"/>
      <c r="E786" s="18"/>
      <c r="F786" s="61"/>
      <c r="G786" s="73"/>
      <c r="H786" s="79"/>
      <c r="I786" s="79"/>
      <c r="J786" s="14"/>
      <c r="K786" s="38"/>
      <c r="L786" s="38"/>
      <c r="M786" s="17"/>
    </row>
    <row r="787" spans="2:13" ht="14.45" customHeight="1" x14ac:dyDescent="0.25">
      <c r="B787" s="17"/>
      <c r="C787" s="14"/>
      <c r="D787" s="14"/>
      <c r="E787" s="18"/>
      <c r="F787" s="61"/>
      <c r="G787" s="73"/>
      <c r="H787" s="79"/>
      <c r="I787" s="79"/>
      <c r="J787" s="14"/>
      <c r="K787" s="38"/>
      <c r="L787" s="38"/>
      <c r="M787" s="17"/>
    </row>
    <row r="788" spans="2:13" ht="14.45" customHeight="1" x14ac:dyDescent="0.25">
      <c r="B788" s="17"/>
      <c r="C788" s="14"/>
      <c r="D788" s="14"/>
      <c r="E788" s="18"/>
      <c r="F788" s="61"/>
      <c r="G788" s="73"/>
      <c r="H788" s="79"/>
      <c r="I788" s="79"/>
      <c r="J788" s="14"/>
      <c r="K788" s="38"/>
      <c r="L788" s="38"/>
      <c r="M788" s="17"/>
    </row>
    <row r="789" spans="2:13" ht="14.45" customHeight="1" x14ac:dyDescent="0.25">
      <c r="B789" s="17"/>
      <c r="C789" s="14"/>
      <c r="D789" s="14"/>
      <c r="E789" s="18"/>
      <c r="F789" s="61"/>
      <c r="G789" s="73"/>
      <c r="H789" s="79"/>
      <c r="I789" s="79"/>
      <c r="J789" s="14"/>
      <c r="K789" s="38"/>
      <c r="L789" s="38"/>
      <c r="M789" s="17"/>
    </row>
    <row r="790" spans="2:13" ht="14.45" customHeight="1" x14ac:dyDescent="0.25">
      <c r="B790" s="17"/>
      <c r="C790" s="14"/>
      <c r="D790" s="14"/>
      <c r="E790" s="18"/>
      <c r="F790" s="61"/>
      <c r="G790" s="73"/>
      <c r="H790" s="79"/>
      <c r="I790" s="79"/>
      <c r="J790" s="14"/>
      <c r="K790" s="38"/>
      <c r="L790" s="38"/>
      <c r="M790" s="17"/>
    </row>
    <row r="791" spans="2:13" ht="14.45" customHeight="1" x14ac:dyDescent="0.25">
      <c r="B791" s="17"/>
      <c r="C791" s="14"/>
      <c r="D791" s="14"/>
      <c r="E791" s="18"/>
      <c r="F791" s="61"/>
      <c r="G791" s="73"/>
      <c r="H791" s="79"/>
      <c r="I791" s="79"/>
      <c r="J791" s="14"/>
      <c r="K791" s="38"/>
      <c r="L791" s="38"/>
      <c r="M791" s="17"/>
    </row>
    <row r="792" spans="2:13" ht="14.45" customHeight="1" x14ac:dyDescent="0.25">
      <c r="B792" s="17"/>
      <c r="C792" s="14"/>
      <c r="D792" s="14"/>
      <c r="E792" s="18"/>
      <c r="F792" s="61"/>
      <c r="G792" s="73"/>
      <c r="H792" s="79"/>
      <c r="I792" s="79"/>
      <c r="J792" s="14"/>
      <c r="K792" s="38"/>
      <c r="L792" s="38"/>
      <c r="M792" s="17"/>
    </row>
    <row r="793" spans="2:13" ht="14.45" customHeight="1" x14ac:dyDescent="0.25">
      <c r="B793" s="17"/>
      <c r="C793" s="14"/>
      <c r="D793" s="14"/>
      <c r="E793" s="18"/>
      <c r="F793" s="61"/>
      <c r="G793" s="73"/>
      <c r="H793" s="79"/>
      <c r="I793" s="79"/>
      <c r="J793" s="14"/>
      <c r="K793" s="38"/>
      <c r="L793" s="38"/>
      <c r="M793" s="17"/>
    </row>
    <row r="794" spans="2:13" ht="14.45" customHeight="1" x14ac:dyDescent="0.25">
      <c r="B794" s="17"/>
      <c r="C794" s="14"/>
      <c r="D794" s="14"/>
      <c r="E794" s="18"/>
      <c r="F794" s="61"/>
      <c r="G794" s="73"/>
      <c r="H794" s="79"/>
      <c r="I794" s="79"/>
      <c r="J794" s="14"/>
      <c r="K794" s="38"/>
      <c r="L794" s="38"/>
      <c r="M794" s="17"/>
    </row>
    <row r="795" spans="2:13" ht="14.45" customHeight="1" x14ac:dyDescent="0.25">
      <c r="B795" s="17"/>
      <c r="C795" s="14"/>
      <c r="D795" s="14"/>
      <c r="E795" s="18"/>
      <c r="F795" s="61"/>
      <c r="G795" s="73"/>
      <c r="H795" s="79"/>
      <c r="I795" s="79"/>
      <c r="J795" s="14"/>
      <c r="K795" s="38"/>
      <c r="L795" s="38"/>
      <c r="M795" s="17"/>
    </row>
    <row r="796" spans="2:13" ht="14.45" customHeight="1" x14ac:dyDescent="0.25">
      <c r="B796" s="17"/>
      <c r="C796" s="14"/>
      <c r="D796" s="14"/>
      <c r="E796" s="18"/>
      <c r="F796" s="61"/>
      <c r="G796" s="73"/>
      <c r="H796" s="79"/>
      <c r="I796" s="79"/>
      <c r="J796" s="14"/>
      <c r="K796" s="38"/>
      <c r="L796" s="38"/>
      <c r="M796" s="17"/>
    </row>
    <row r="797" spans="2:13" ht="14.45" customHeight="1" x14ac:dyDescent="0.25">
      <c r="B797" s="17"/>
      <c r="C797" s="14"/>
      <c r="D797" s="14"/>
      <c r="E797" s="18"/>
      <c r="F797" s="61"/>
      <c r="G797" s="73"/>
      <c r="H797" s="79"/>
      <c r="I797" s="79"/>
      <c r="J797" s="14"/>
      <c r="K797" s="38"/>
      <c r="L797" s="38"/>
      <c r="M797" s="17"/>
    </row>
    <row r="798" spans="2:13" ht="14.45" customHeight="1" x14ac:dyDescent="0.25">
      <c r="B798" s="17"/>
      <c r="C798" s="14"/>
      <c r="D798" s="14"/>
      <c r="E798" s="18"/>
      <c r="F798" s="61"/>
      <c r="G798" s="73"/>
      <c r="H798" s="79"/>
      <c r="I798" s="79"/>
      <c r="J798" s="14"/>
      <c r="K798" s="38"/>
      <c r="L798" s="38"/>
      <c r="M798" s="17"/>
    </row>
    <row r="799" spans="2:13" ht="14.45" customHeight="1" x14ac:dyDescent="0.25">
      <c r="B799" s="17"/>
      <c r="C799" s="14"/>
      <c r="D799" s="14"/>
      <c r="E799" s="18"/>
      <c r="F799" s="61"/>
      <c r="G799" s="73"/>
      <c r="H799" s="79"/>
      <c r="I799" s="79"/>
      <c r="J799" s="14"/>
      <c r="K799" s="38"/>
      <c r="L799" s="38"/>
      <c r="M799" s="17"/>
    </row>
    <row r="800" spans="2:13" ht="14.45" customHeight="1" x14ac:dyDescent="0.25">
      <c r="B800" s="17"/>
      <c r="C800" s="14"/>
      <c r="D800" s="14"/>
      <c r="E800" s="18"/>
      <c r="F800" s="61"/>
      <c r="G800" s="73"/>
      <c r="H800" s="79"/>
      <c r="I800" s="79"/>
      <c r="J800" s="14"/>
      <c r="K800" s="38"/>
      <c r="L800" s="38"/>
      <c r="M800" s="17"/>
    </row>
    <row r="801" spans="2:13" ht="14.45" customHeight="1" x14ac:dyDescent="0.25">
      <c r="B801" s="17"/>
      <c r="C801" s="14"/>
      <c r="D801" s="14"/>
      <c r="E801" s="18"/>
      <c r="F801" s="61"/>
      <c r="G801" s="73"/>
      <c r="H801" s="79"/>
      <c r="I801" s="79"/>
      <c r="J801" s="14"/>
      <c r="K801" s="38"/>
      <c r="L801" s="38"/>
      <c r="M801" s="17"/>
    </row>
    <row r="802" spans="2:13" ht="14.45" customHeight="1" x14ac:dyDescent="0.25">
      <c r="B802" s="17"/>
      <c r="C802" s="14"/>
      <c r="D802" s="14"/>
      <c r="E802" s="18"/>
      <c r="F802" s="61"/>
      <c r="G802" s="73"/>
      <c r="H802" s="79"/>
      <c r="I802" s="79"/>
      <c r="J802" s="14"/>
      <c r="K802" s="38"/>
      <c r="L802" s="38"/>
      <c r="M802" s="17"/>
    </row>
    <row r="803" spans="2:13" ht="14.45" customHeight="1" x14ac:dyDescent="0.25">
      <c r="B803" s="17"/>
      <c r="C803" s="14"/>
      <c r="D803" s="14"/>
      <c r="E803" s="18"/>
      <c r="F803" s="61"/>
      <c r="G803" s="73"/>
      <c r="H803" s="79"/>
      <c r="I803" s="79"/>
      <c r="J803" s="14"/>
      <c r="K803" s="38"/>
      <c r="L803" s="38"/>
      <c r="M803" s="17"/>
    </row>
    <row r="804" spans="2:13" ht="14.45" customHeight="1" x14ac:dyDescent="0.25">
      <c r="B804" s="17"/>
      <c r="C804" s="14"/>
      <c r="D804" s="14"/>
      <c r="E804" s="18"/>
      <c r="F804" s="61"/>
      <c r="G804" s="73"/>
      <c r="H804" s="79"/>
      <c r="I804" s="79"/>
      <c r="J804" s="14"/>
      <c r="K804" s="38"/>
      <c r="L804" s="38"/>
      <c r="M804" s="17"/>
    </row>
    <row r="805" spans="2:13" ht="14.45" customHeight="1" x14ac:dyDescent="0.25">
      <c r="B805" s="17"/>
      <c r="C805" s="14"/>
      <c r="D805" s="14"/>
      <c r="E805" s="18"/>
      <c r="F805" s="61"/>
      <c r="G805" s="73"/>
      <c r="H805" s="79"/>
      <c r="I805" s="79"/>
      <c r="J805" s="14"/>
      <c r="K805" s="38"/>
      <c r="L805" s="38"/>
      <c r="M805" s="17"/>
    </row>
    <row r="806" spans="2:13" ht="14.45" customHeight="1" x14ac:dyDescent="0.25">
      <c r="B806" s="17"/>
      <c r="C806" s="14"/>
      <c r="D806" s="14"/>
      <c r="E806" s="18"/>
      <c r="F806" s="61"/>
      <c r="G806" s="73"/>
      <c r="H806" s="79"/>
      <c r="I806" s="79"/>
      <c r="J806" s="14"/>
      <c r="K806" s="38"/>
      <c r="L806" s="38"/>
      <c r="M806" s="17"/>
    </row>
    <row r="807" spans="2:13" ht="14.45" customHeight="1" x14ac:dyDescent="0.25">
      <c r="B807" s="17"/>
      <c r="C807" s="14"/>
      <c r="D807" s="14"/>
      <c r="E807" s="18"/>
      <c r="F807" s="61"/>
      <c r="G807" s="73"/>
      <c r="H807" s="79"/>
      <c r="I807" s="79"/>
      <c r="J807" s="14"/>
      <c r="K807" s="38"/>
      <c r="L807" s="38"/>
      <c r="M807" s="17"/>
    </row>
    <row r="808" spans="2:13" ht="14.45" customHeight="1" x14ac:dyDescent="0.25">
      <c r="B808" s="17"/>
      <c r="C808" s="14"/>
      <c r="D808" s="14"/>
      <c r="E808" s="18"/>
      <c r="F808" s="61"/>
      <c r="G808" s="73"/>
      <c r="H808" s="79"/>
      <c r="I808" s="79"/>
      <c r="J808" s="14"/>
      <c r="K808" s="38"/>
      <c r="L808" s="38"/>
      <c r="M808" s="17"/>
    </row>
    <row r="809" spans="2:13" ht="14.45" customHeight="1" x14ac:dyDescent="0.25">
      <c r="B809" s="17"/>
      <c r="C809" s="14"/>
      <c r="D809" s="14"/>
      <c r="E809" s="18"/>
      <c r="F809" s="61"/>
      <c r="G809" s="73"/>
      <c r="H809" s="79"/>
      <c r="I809" s="79"/>
      <c r="J809" s="14"/>
      <c r="K809" s="38"/>
      <c r="L809" s="38"/>
      <c r="M809" s="17"/>
    </row>
    <row r="810" spans="2:13" ht="14.45" customHeight="1" x14ac:dyDescent="0.25">
      <c r="B810" s="17"/>
      <c r="C810" s="14"/>
      <c r="D810" s="14"/>
      <c r="E810" s="18"/>
      <c r="F810" s="61"/>
      <c r="G810" s="73"/>
      <c r="H810" s="79"/>
      <c r="I810" s="79"/>
      <c r="J810" s="14"/>
      <c r="K810" s="38"/>
      <c r="L810" s="38"/>
      <c r="M810" s="17"/>
    </row>
    <row r="811" spans="2:13" ht="14.45" customHeight="1" x14ac:dyDescent="0.25">
      <c r="B811" s="17"/>
      <c r="C811" s="14"/>
      <c r="D811" s="14"/>
      <c r="E811" s="18"/>
      <c r="F811" s="61"/>
      <c r="G811" s="73"/>
      <c r="H811" s="79"/>
      <c r="I811" s="79"/>
      <c r="J811" s="14"/>
      <c r="K811" s="38"/>
      <c r="L811" s="38"/>
      <c r="M811" s="17"/>
    </row>
    <row r="812" spans="2:13" ht="14.45" customHeight="1" x14ac:dyDescent="0.25">
      <c r="B812" s="17"/>
      <c r="C812" s="14"/>
      <c r="D812" s="14"/>
      <c r="E812" s="18"/>
      <c r="F812" s="61"/>
      <c r="G812" s="73"/>
      <c r="H812" s="79"/>
      <c r="I812" s="79"/>
      <c r="J812" s="14"/>
      <c r="K812" s="38"/>
      <c r="L812" s="38"/>
      <c r="M812" s="17"/>
    </row>
    <row r="813" spans="2:13" ht="14.45" customHeight="1" x14ac:dyDescent="0.25">
      <c r="B813" s="17"/>
      <c r="C813" s="14"/>
      <c r="D813" s="14"/>
      <c r="E813" s="18"/>
      <c r="F813" s="61"/>
      <c r="G813" s="73"/>
      <c r="H813" s="79"/>
      <c r="I813" s="79"/>
      <c r="J813" s="14"/>
      <c r="K813" s="38"/>
      <c r="L813" s="38"/>
      <c r="M813" s="17"/>
    </row>
    <row r="814" spans="2:13" ht="14.45" customHeight="1" x14ac:dyDescent="0.25">
      <c r="B814" s="17"/>
      <c r="C814" s="14"/>
      <c r="D814" s="14"/>
      <c r="E814" s="18"/>
      <c r="F814" s="61"/>
      <c r="G814" s="73"/>
      <c r="H814" s="79"/>
      <c r="I814" s="79"/>
      <c r="J814" s="14"/>
      <c r="K814" s="38"/>
      <c r="L814" s="38"/>
      <c r="M814" s="17"/>
    </row>
    <row r="815" spans="2:13" ht="14.45" customHeight="1" x14ac:dyDescent="0.25">
      <c r="B815" s="17"/>
      <c r="C815" s="14"/>
      <c r="D815" s="14"/>
      <c r="E815" s="18"/>
      <c r="F815" s="61"/>
      <c r="G815" s="73"/>
      <c r="H815" s="79"/>
      <c r="I815" s="79"/>
      <c r="J815" s="14"/>
      <c r="K815" s="38"/>
      <c r="L815" s="38"/>
      <c r="M815" s="17"/>
    </row>
    <row r="816" spans="2:13" ht="14.45" customHeight="1" x14ac:dyDescent="0.25">
      <c r="B816" s="17"/>
      <c r="C816" s="14"/>
      <c r="D816" s="14"/>
      <c r="E816" s="18"/>
      <c r="F816" s="61"/>
      <c r="G816" s="73"/>
      <c r="H816" s="79"/>
      <c r="I816" s="79"/>
      <c r="J816" s="14"/>
      <c r="K816" s="38"/>
      <c r="L816" s="38"/>
      <c r="M816" s="17"/>
    </row>
    <row r="817" spans="2:13" ht="14.45" customHeight="1" x14ac:dyDescent="0.25">
      <c r="B817" s="17"/>
      <c r="C817" s="14"/>
      <c r="D817" s="14"/>
      <c r="E817" s="18"/>
      <c r="F817" s="61"/>
      <c r="G817" s="73"/>
      <c r="H817" s="79"/>
      <c r="I817" s="79"/>
      <c r="J817" s="14"/>
      <c r="K817" s="38"/>
      <c r="L817" s="38"/>
      <c r="M817" s="17"/>
    </row>
    <row r="818" spans="2:13" ht="14.45" customHeight="1" x14ac:dyDescent="0.25">
      <c r="B818" s="17"/>
      <c r="C818" s="14"/>
      <c r="D818" s="14"/>
      <c r="E818" s="18"/>
      <c r="F818" s="61"/>
      <c r="G818" s="73"/>
      <c r="H818" s="79"/>
      <c r="I818" s="79"/>
      <c r="J818" s="14"/>
      <c r="K818" s="38"/>
      <c r="L818" s="38"/>
      <c r="M818" s="17"/>
    </row>
    <row r="819" spans="2:13" ht="14.45" customHeight="1" x14ac:dyDescent="0.25">
      <c r="B819" s="17"/>
      <c r="C819" s="14"/>
      <c r="D819" s="14"/>
      <c r="E819" s="18"/>
      <c r="F819" s="61"/>
      <c r="G819" s="73"/>
      <c r="H819" s="79"/>
      <c r="I819" s="79"/>
      <c r="J819" s="14"/>
      <c r="K819" s="38"/>
      <c r="L819" s="38"/>
      <c r="M819" s="17"/>
    </row>
    <row r="820" spans="2:13" ht="14.45" customHeight="1" x14ac:dyDescent="0.25">
      <c r="B820" s="17"/>
      <c r="C820" s="14"/>
      <c r="D820" s="14"/>
      <c r="E820" s="18"/>
      <c r="F820" s="61"/>
      <c r="G820" s="73"/>
      <c r="H820" s="79"/>
      <c r="I820" s="79"/>
      <c r="J820" s="14"/>
      <c r="K820" s="38"/>
      <c r="L820" s="38"/>
      <c r="M820" s="17"/>
    </row>
    <row r="821" spans="2:13" ht="14.45" customHeight="1" x14ac:dyDescent="0.25">
      <c r="B821" s="17"/>
      <c r="C821" s="14"/>
      <c r="D821" s="14"/>
      <c r="E821" s="18"/>
      <c r="F821" s="61"/>
      <c r="G821" s="73"/>
      <c r="H821" s="79"/>
      <c r="I821" s="79"/>
      <c r="J821" s="14"/>
      <c r="K821" s="38"/>
      <c r="L821" s="38"/>
      <c r="M821" s="17"/>
    </row>
    <row r="822" spans="2:13" ht="14.45" customHeight="1" x14ac:dyDescent="0.25">
      <c r="B822" s="17"/>
      <c r="C822" s="14"/>
      <c r="D822" s="14"/>
      <c r="E822" s="18"/>
      <c r="F822" s="61"/>
      <c r="G822" s="73"/>
      <c r="H822" s="79"/>
      <c r="I822" s="79"/>
      <c r="J822" s="14"/>
      <c r="K822" s="38"/>
      <c r="L822" s="38"/>
      <c r="M822" s="17"/>
    </row>
    <row r="823" spans="2:13" ht="14.45" customHeight="1" x14ac:dyDescent="0.25">
      <c r="B823" s="17"/>
      <c r="C823" s="14"/>
      <c r="D823" s="14"/>
      <c r="E823" s="18"/>
      <c r="F823" s="61"/>
      <c r="G823" s="73"/>
      <c r="H823" s="79"/>
      <c r="I823" s="79"/>
      <c r="J823" s="14"/>
      <c r="K823" s="38"/>
      <c r="L823" s="38"/>
      <c r="M823" s="17"/>
    </row>
    <row r="824" spans="2:13" ht="14.45" customHeight="1" x14ac:dyDescent="0.25">
      <c r="B824" s="17"/>
      <c r="C824" s="14"/>
      <c r="D824" s="14"/>
      <c r="E824" s="18"/>
      <c r="F824" s="61"/>
      <c r="G824" s="73"/>
      <c r="H824" s="79"/>
      <c r="I824" s="79"/>
      <c r="J824" s="14"/>
      <c r="K824" s="38"/>
      <c r="L824" s="38"/>
      <c r="M824" s="17"/>
    </row>
    <row r="825" spans="2:13" ht="14.45" customHeight="1" x14ac:dyDescent="0.25">
      <c r="B825" s="17"/>
      <c r="C825" s="14"/>
      <c r="D825" s="14"/>
      <c r="E825" s="18"/>
      <c r="F825" s="61"/>
      <c r="G825" s="73"/>
      <c r="H825" s="79"/>
      <c r="I825" s="79"/>
      <c r="J825" s="14"/>
      <c r="K825" s="38"/>
      <c r="L825" s="38"/>
      <c r="M825" s="17"/>
    </row>
    <row r="826" spans="2:13" ht="14.45" customHeight="1" x14ac:dyDescent="0.25">
      <c r="B826" s="17"/>
      <c r="C826" s="14"/>
      <c r="D826" s="14"/>
      <c r="E826" s="18"/>
      <c r="F826" s="61"/>
      <c r="G826" s="73"/>
      <c r="H826" s="79"/>
      <c r="I826" s="79"/>
      <c r="J826" s="14"/>
      <c r="K826" s="38"/>
      <c r="L826" s="38"/>
      <c r="M826" s="17"/>
    </row>
    <row r="827" spans="2:13" ht="14.45" customHeight="1" x14ac:dyDescent="0.25">
      <c r="B827" s="17"/>
      <c r="C827" s="14"/>
      <c r="D827" s="14"/>
      <c r="E827" s="18"/>
      <c r="F827" s="61"/>
      <c r="G827" s="73"/>
      <c r="H827" s="79"/>
      <c r="I827" s="79"/>
      <c r="J827" s="14"/>
      <c r="K827" s="38"/>
      <c r="L827" s="38"/>
      <c r="M827" s="17"/>
    </row>
    <row r="828" spans="2:13" ht="14.45" customHeight="1" x14ac:dyDescent="0.25">
      <c r="B828" s="17"/>
      <c r="C828" s="14"/>
      <c r="D828" s="14"/>
      <c r="E828" s="18"/>
      <c r="F828" s="61"/>
      <c r="G828" s="73"/>
      <c r="H828" s="79"/>
      <c r="I828" s="79"/>
      <c r="J828" s="14"/>
      <c r="K828" s="38"/>
      <c r="L828" s="38"/>
      <c r="M828" s="17"/>
    </row>
    <row r="829" spans="2:13" ht="14.45" customHeight="1" x14ac:dyDescent="0.25">
      <c r="B829" s="17"/>
      <c r="C829" s="14"/>
      <c r="D829" s="14"/>
      <c r="E829" s="18"/>
      <c r="F829" s="61"/>
      <c r="G829" s="73"/>
      <c r="H829" s="79"/>
      <c r="I829" s="79"/>
      <c r="J829" s="14"/>
      <c r="K829" s="38"/>
      <c r="L829" s="38"/>
      <c r="M829" s="17"/>
    </row>
    <row r="830" spans="2:13" ht="14.45" customHeight="1" x14ac:dyDescent="0.25">
      <c r="B830" s="17"/>
      <c r="C830" s="14"/>
      <c r="D830" s="14"/>
      <c r="E830" s="18"/>
      <c r="F830" s="61"/>
      <c r="G830" s="73"/>
      <c r="H830" s="79"/>
      <c r="I830" s="79"/>
      <c r="J830" s="14"/>
      <c r="K830" s="38"/>
      <c r="L830" s="38"/>
      <c r="M830" s="17"/>
    </row>
    <row r="831" spans="2:13" ht="14.45" customHeight="1" x14ac:dyDescent="0.25">
      <c r="B831" s="17"/>
      <c r="C831" s="14"/>
      <c r="D831" s="14"/>
      <c r="E831" s="18"/>
      <c r="F831" s="61"/>
      <c r="G831" s="73"/>
      <c r="H831" s="79"/>
      <c r="I831" s="79"/>
      <c r="J831" s="14"/>
      <c r="K831" s="38"/>
      <c r="L831" s="38"/>
      <c r="M831" s="17"/>
    </row>
    <row r="832" spans="2:13" ht="14.45" customHeight="1" x14ac:dyDescent="0.25">
      <c r="B832" s="17"/>
      <c r="C832" s="14"/>
      <c r="D832" s="14"/>
      <c r="E832" s="18"/>
      <c r="F832" s="61"/>
      <c r="G832" s="73"/>
      <c r="H832" s="79"/>
      <c r="I832" s="79"/>
      <c r="J832" s="14"/>
      <c r="K832" s="38"/>
      <c r="L832" s="38"/>
      <c r="M832" s="17"/>
    </row>
    <row r="833" spans="2:13" ht="14.45" customHeight="1" x14ac:dyDescent="0.25">
      <c r="B833" s="17"/>
      <c r="C833" s="14"/>
      <c r="D833" s="14"/>
      <c r="E833" s="18"/>
      <c r="F833" s="61"/>
      <c r="G833" s="73"/>
      <c r="H833" s="79"/>
      <c r="I833" s="79"/>
      <c r="J833" s="14"/>
      <c r="K833" s="38"/>
      <c r="L833" s="38"/>
      <c r="M833" s="17"/>
    </row>
    <row r="834" spans="2:13" ht="14.45" customHeight="1" x14ac:dyDescent="0.25">
      <c r="B834" s="17"/>
      <c r="C834" s="14"/>
      <c r="D834" s="14"/>
      <c r="E834" s="18"/>
      <c r="F834" s="61"/>
      <c r="G834" s="73"/>
      <c r="H834" s="79"/>
      <c r="I834" s="79"/>
      <c r="J834" s="14"/>
      <c r="K834" s="38"/>
      <c r="L834" s="38"/>
      <c r="M834" s="17"/>
    </row>
    <row r="835" spans="2:13" ht="14.45" customHeight="1" x14ac:dyDescent="0.25">
      <c r="B835" s="17"/>
      <c r="C835" s="14"/>
      <c r="D835" s="14"/>
      <c r="E835" s="18"/>
      <c r="F835" s="61"/>
      <c r="G835" s="73"/>
      <c r="H835" s="79"/>
      <c r="I835" s="79"/>
      <c r="J835" s="14"/>
      <c r="K835" s="38"/>
      <c r="L835" s="38"/>
      <c r="M835" s="17"/>
    </row>
    <row r="836" spans="2:13" ht="14.45" customHeight="1" x14ac:dyDescent="0.25">
      <c r="B836" s="17"/>
      <c r="C836" s="14"/>
      <c r="D836" s="14"/>
      <c r="E836" s="18"/>
      <c r="F836" s="61"/>
      <c r="G836" s="73"/>
      <c r="H836" s="79"/>
      <c r="I836" s="79"/>
      <c r="J836" s="14"/>
      <c r="K836" s="38"/>
      <c r="L836" s="38"/>
      <c r="M836" s="17"/>
    </row>
    <row r="837" spans="2:13" ht="14.45" customHeight="1" x14ac:dyDescent="0.25">
      <c r="B837" s="17"/>
      <c r="C837" s="14"/>
      <c r="D837" s="14"/>
      <c r="E837" s="18"/>
      <c r="F837" s="61"/>
      <c r="G837" s="73"/>
      <c r="H837" s="79"/>
      <c r="I837" s="79"/>
      <c r="J837" s="14"/>
      <c r="K837" s="38"/>
      <c r="L837" s="38"/>
      <c r="M837" s="17"/>
    </row>
    <row r="838" spans="2:13" ht="14.45" customHeight="1" x14ac:dyDescent="0.25">
      <c r="B838" s="17"/>
      <c r="C838" s="14"/>
      <c r="D838" s="14"/>
      <c r="E838" s="18"/>
      <c r="F838" s="61"/>
      <c r="G838" s="73"/>
      <c r="H838" s="79"/>
      <c r="I838" s="79"/>
      <c r="J838" s="14"/>
      <c r="K838" s="38"/>
      <c r="L838" s="38"/>
      <c r="M838" s="17"/>
    </row>
    <row r="839" spans="2:13" ht="14.45" customHeight="1" x14ac:dyDescent="0.25">
      <c r="B839" s="17"/>
      <c r="C839" s="14"/>
      <c r="D839" s="14"/>
      <c r="E839" s="18"/>
      <c r="F839" s="61"/>
      <c r="G839" s="73"/>
      <c r="H839" s="79"/>
      <c r="I839" s="79"/>
      <c r="J839" s="14"/>
      <c r="K839" s="38"/>
      <c r="L839" s="38"/>
      <c r="M839" s="17"/>
    </row>
    <row r="840" spans="2:13" ht="14.45" customHeight="1" x14ac:dyDescent="0.25">
      <c r="B840" s="17"/>
      <c r="C840" s="14"/>
      <c r="D840" s="14"/>
      <c r="E840" s="18"/>
      <c r="F840" s="61"/>
      <c r="G840" s="73"/>
      <c r="H840" s="79"/>
      <c r="I840" s="79"/>
      <c r="J840" s="14"/>
      <c r="K840" s="38"/>
      <c r="L840" s="38"/>
      <c r="M840" s="17"/>
    </row>
    <row r="841" spans="2:13" ht="14.45" customHeight="1" x14ac:dyDescent="0.25">
      <c r="B841" s="17"/>
      <c r="C841" s="14"/>
      <c r="D841" s="14"/>
      <c r="E841" s="18"/>
      <c r="F841" s="61"/>
      <c r="G841" s="73"/>
      <c r="H841" s="79"/>
      <c r="I841" s="79"/>
      <c r="J841" s="14"/>
      <c r="K841" s="38"/>
      <c r="L841" s="38"/>
      <c r="M841" s="17"/>
    </row>
    <row r="842" spans="2:13" ht="14.45" customHeight="1" x14ac:dyDescent="0.25">
      <c r="B842" s="17"/>
      <c r="C842" s="14"/>
      <c r="D842" s="14"/>
      <c r="E842" s="18"/>
      <c r="F842" s="61"/>
      <c r="G842" s="73"/>
      <c r="H842" s="79"/>
      <c r="I842" s="79"/>
      <c r="J842" s="14"/>
      <c r="K842" s="38"/>
      <c r="L842" s="38"/>
      <c r="M842" s="17"/>
    </row>
    <row r="843" spans="2:13" ht="14.45" customHeight="1" x14ac:dyDescent="0.25">
      <c r="B843" s="17"/>
      <c r="C843" s="14"/>
      <c r="D843" s="14"/>
      <c r="E843" s="18"/>
      <c r="F843" s="61"/>
      <c r="G843" s="73"/>
      <c r="H843" s="79"/>
      <c r="I843" s="79"/>
      <c r="J843" s="14"/>
      <c r="K843" s="38"/>
      <c r="L843" s="38"/>
      <c r="M843" s="17"/>
    </row>
    <row r="844" spans="2:13" ht="14.45" customHeight="1" x14ac:dyDescent="0.25">
      <c r="B844" s="17"/>
      <c r="C844" s="14"/>
      <c r="D844" s="14"/>
      <c r="E844" s="18"/>
      <c r="F844" s="61"/>
      <c r="G844" s="73"/>
      <c r="H844" s="79"/>
      <c r="I844" s="79"/>
      <c r="J844" s="14"/>
      <c r="K844" s="38"/>
      <c r="L844" s="38"/>
      <c r="M844" s="17"/>
    </row>
    <row r="845" spans="2:13" ht="14.45" customHeight="1" x14ac:dyDescent="0.25">
      <c r="B845" s="17"/>
      <c r="C845" s="14"/>
      <c r="D845" s="14"/>
      <c r="E845" s="18"/>
      <c r="F845" s="61"/>
      <c r="G845" s="73"/>
      <c r="H845" s="79"/>
      <c r="I845" s="79"/>
      <c r="J845" s="14"/>
      <c r="K845" s="38"/>
      <c r="L845" s="38"/>
      <c r="M845" s="17"/>
    </row>
    <row r="846" spans="2:13" ht="14.45" customHeight="1" x14ac:dyDescent="0.25">
      <c r="B846" s="17"/>
      <c r="C846" s="14"/>
      <c r="D846" s="14"/>
      <c r="E846" s="18"/>
      <c r="F846" s="61"/>
      <c r="G846" s="73"/>
      <c r="H846" s="79"/>
      <c r="I846" s="79"/>
      <c r="J846" s="14"/>
      <c r="K846" s="38"/>
      <c r="L846" s="38"/>
      <c r="M846" s="17"/>
    </row>
    <row r="847" spans="2:13" ht="14.45" customHeight="1" x14ac:dyDescent="0.25">
      <c r="B847" s="17"/>
      <c r="C847" s="14"/>
      <c r="D847" s="14"/>
      <c r="E847" s="18"/>
      <c r="F847" s="61"/>
      <c r="G847" s="73"/>
      <c r="H847" s="79"/>
      <c r="I847" s="79"/>
      <c r="J847" s="14"/>
      <c r="K847" s="38"/>
      <c r="L847" s="38"/>
      <c r="M847" s="17"/>
    </row>
    <row r="848" spans="2:13" ht="14.45" customHeight="1" x14ac:dyDescent="0.25">
      <c r="B848" s="17"/>
      <c r="C848" s="14"/>
      <c r="D848" s="14"/>
      <c r="E848" s="18"/>
      <c r="F848" s="61"/>
      <c r="G848" s="73"/>
      <c r="H848" s="79"/>
      <c r="I848" s="79"/>
      <c r="J848" s="14"/>
      <c r="K848" s="38"/>
      <c r="L848" s="38"/>
      <c r="M848" s="17"/>
    </row>
    <row r="849" spans="2:13" ht="14.45" customHeight="1" x14ac:dyDescent="0.25">
      <c r="B849" s="17"/>
      <c r="C849" s="14"/>
      <c r="D849" s="14"/>
      <c r="E849" s="18"/>
      <c r="F849" s="61"/>
      <c r="G849" s="73"/>
      <c r="H849" s="79"/>
      <c r="I849" s="79"/>
      <c r="J849" s="14"/>
      <c r="K849" s="38"/>
      <c r="L849" s="38"/>
      <c r="M849" s="17"/>
    </row>
    <row r="850" spans="2:13" ht="14.45" customHeight="1" x14ac:dyDescent="0.25">
      <c r="B850" s="17"/>
      <c r="C850" s="14"/>
      <c r="D850" s="14"/>
      <c r="E850" s="18"/>
      <c r="F850" s="61"/>
      <c r="G850" s="73"/>
      <c r="H850" s="79"/>
      <c r="I850" s="79"/>
      <c r="J850" s="14"/>
      <c r="K850" s="38"/>
      <c r="L850" s="38"/>
      <c r="M850" s="17"/>
    </row>
    <row r="851" spans="2:13" ht="14.45" customHeight="1" x14ac:dyDescent="0.25">
      <c r="B851" s="17"/>
      <c r="C851" s="14"/>
      <c r="D851" s="14"/>
      <c r="E851" s="18"/>
      <c r="F851" s="61"/>
      <c r="G851" s="73"/>
      <c r="H851" s="79"/>
      <c r="I851" s="79"/>
      <c r="J851" s="14"/>
      <c r="K851" s="38"/>
      <c r="L851" s="38"/>
      <c r="M851" s="17"/>
    </row>
    <row r="852" spans="2:13" ht="14.45" customHeight="1" x14ac:dyDescent="0.25">
      <c r="B852" s="17"/>
      <c r="C852" s="14"/>
      <c r="D852" s="14"/>
      <c r="E852" s="18"/>
      <c r="F852" s="61"/>
      <c r="G852" s="73"/>
      <c r="H852" s="79"/>
      <c r="I852" s="79"/>
      <c r="J852" s="14"/>
      <c r="K852" s="38"/>
      <c r="L852" s="38"/>
      <c r="M852" s="17"/>
    </row>
    <row r="853" spans="2:13" ht="14.45" customHeight="1" x14ac:dyDescent="0.25">
      <c r="B853" s="17"/>
      <c r="C853" s="14"/>
      <c r="D853" s="14"/>
      <c r="E853" s="18"/>
      <c r="F853" s="61"/>
      <c r="G853" s="73"/>
      <c r="H853" s="79"/>
      <c r="I853" s="79"/>
      <c r="J853" s="14"/>
      <c r="K853" s="38"/>
      <c r="L853" s="38"/>
      <c r="M853" s="17"/>
    </row>
    <row r="854" spans="2:13" ht="14.45" customHeight="1" x14ac:dyDescent="0.25">
      <c r="B854" s="17"/>
      <c r="C854" s="14"/>
      <c r="D854" s="14"/>
      <c r="E854" s="18"/>
      <c r="F854" s="61"/>
      <c r="G854" s="73"/>
      <c r="H854" s="79"/>
      <c r="I854" s="79"/>
      <c r="J854" s="14"/>
      <c r="K854" s="38"/>
      <c r="L854" s="38"/>
      <c r="M854" s="17"/>
    </row>
    <row r="855" spans="2:13" ht="14.45" customHeight="1" x14ac:dyDescent="0.25">
      <c r="B855" s="17"/>
      <c r="C855" s="14"/>
      <c r="D855" s="14"/>
      <c r="E855" s="18"/>
      <c r="F855" s="61"/>
      <c r="G855" s="73"/>
      <c r="H855" s="79"/>
      <c r="I855" s="79"/>
      <c r="J855" s="14"/>
      <c r="K855" s="38"/>
      <c r="L855" s="38"/>
      <c r="M855" s="17"/>
    </row>
    <row r="856" spans="2:13" ht="14.45" customHeight="1" x14ac:dyDescent="0.25">
      <c r="B856" s="17"/>
      <c r="C856" s="14"/>
      <c r="D856" s="14"/>
      <c r="E856" s="18"/>
      <c r="F856" s="61"/>
      <c r="G856" s="73"/>
      <c r="H856" s="79"/>
      <c r="I856" s="79"/>
      <c r="J856" s="14"/>
      <c r="K856" s="38"/>
      <c r="L856" s="38"/>
      <c r="M856" s="17"/>
    </row>
    <row r="857" spans="2:13" ht="14.45" customHeight="1" x14ac:dyDescent="0.25">
      <c r="B857" s="17"/>
      <c r="C857" s="14"/>
      <c r="D857" s="14"/>
      <c r="E857" s="18"/>
      <c r="F857" s="61"/>
      <c r="G857" s="73"/>
      <c r="H857" s="79"/>
      <c r="I857" s="79"/>
      <c r="J857" s="14"/>
      <c r="K857" s="38"/>
      <c r="L857" s="38"/>
      <c r="M857" s="17"/>
    </row>
    <row r="858" spans="2:13" ht="14.45" customHeight="1" x14ac:dyDescent="0.25">
      <c r="B858" s="17"/>
      <c r="C858" s="14"/>
      <c r="D858" s="14"/>
      <c r="E858" s="18"/>
      <c r="F858" s="61"/>
      <c r="G858" s="73"/>
      <c r="H858" s="79"/>
      <c r="I858" s="79"/>
      <c r="J858" s="14"/>
      <c r="K858" s="38"/>
      <c r="L858" s="38"/>
      <c r="M858" s="17"/>
    </row>
    <row r="859" spans="2:13" ht="14.45" customHeight="1" x14ac:dyDescent="0.25">
      <c r="B859" s="17"/>
      <c r="C859" s="14"/>
      <c r="D859" s="14"/>
      <c r="E859" s="18"/>
      <c r="F859" s="61"/>
      <c r="G859" s="73"/>
      <c r="H859" s="79"/>
      <c r="I859" s="79"/>
      <c r="J859" s="14"/>
      <c r="K859" s="38"/>
      <c r="L859" s="38"/>
      <c r="M859" s="17"/>
    </row>
    <row r="860" spans="2:13" ht="14.45" customHeight="1" x14ac:dyDescent="0.25">
      <c r="B860" s="17"/>
      <c r="C860" s="14"/>
      <c r="D860" s="14"/>
      <c r="E860" s="18"/>
      <c r="F860" s="61"/>
      <c r="G860" s="73"/>
      <c r="H860" s="79"/>
      <c r="I860" s="79"/>
      <c r="J860" s="14"/>
      <c r="K860" s="38"/>
      <c r="L860" s="38"/>
      <c r="M860" s="17"/>
    </row>
    <row r="861" spans="2:13" ht="14.45" customHeight="1" x14ac:dyDescent="0.25">
      <c r="B861" s="17"/>
      <c r="C861" s="14"/>
      <c r="D861" s="14"/>
      <c r="E861" s="18"/>
      <c r="F861" s="61"/>
      <c r="G861" s="73"/>
      <c r="H861" s="79"/>
      <c r="I861" s="79"/>
      <c r="J861" s="14"/>
      <c r="K861" s="38"/>
      <c r="L861" s="38"/>
      <c r="M861" s="17"/>
    </row>
    <row r="862" spans="2:13" ht="14.45" customHeight="1" x14ac:dyDescent="0.25">
      <c r="B862" s="17"/>
      <c r="C862" s="14"/>
      <c r="D862" s="14"/>
      <c r="E862" s="18"/>
      <c r="F862" s="61"/>
      <c r="G862" s="73"/>
      <c r="H862" s="79"/>
      <c r="I862" s="79"/>
      <c r="J862" s="14"/>
      <c r="K862" s="38"/>
      <c r="L862" s="38"/>
      <c r="M862" s="17"/>
    </row>
    <row r="863" spans="2:13" ht="14.45" customHeight="1" x14ac:dyDescent="0.25">
      <c r="B863" s="17"/>
      <c r="C863" s="14"/>
      <c r="D863" s="14"/>
      <c r="E863" s="18"/>
      <c r="F863" s="61"/>
      <c r="G863" s="73"/>
      <c r="H863" s="79"/>
      <c r="I863" s="79"/>
      <c r="J863" s="14"/>
      <c r="K863" s="38"/>
      <c r="L863" s="38"/>
      <c r="M863" s="17"/>
    </row>
    <row r="864" spans="2:13" ht="14.45" customHeight="1" x14ac:dyDescent="0.25">
      <c r="B864" s="17"/>
      <c r="C864" s="14"/>
      <c r="D864" s="14"/>
      <c r="E864" s="18"/>
      <c r="F864" s="61"/>
      <c r="G864" s="73"/>
      <c r="H864" s="79"/>
      <c r="I864" s="79"/>
      <c r="J864" s="14"/>
      <c r="K864" s="38"/>
      <c r="L864" s="38"/>
      <c r="M864" s="17"/>
    </row>
    <row r="865" spans="2:13" ht="14.45" customHeight="1" x14ac:dyDescent="0.25">
      <c r="B865" s="17"/>
      <c r="C865" s="14"/>
      <c r="D865" s="14"/>
      <c r="E865" s="18"/>
      <c r="F865" s="61"/>
      <c r="G865" s="73"/>
      <c r="H865" s="79"/>
      <c r="I865" s="79"/>
      <c r="J865" s="14"/>
      <c r="K865" s="38"/>
      <c r="L865" s="38"/>
      <c r="M865" s="17"/>
    </row>
    <row r="866" spans="2:13" ht="14.45" customHeight="1" x14ac:dyDescent="0.25">
      <c r="B866" s="17"/>
      <c r="C866" s="14"/>
      <c r="D866" s="14"/>
      <c r="E866" s="18"/>
      <c r="F866" s="61"/>
      <c r="G866" s="73"/>
      <c r="H866" s="79"/>
      <c r="I866" s="79"/>
      <c r="J866" s="14"/>
      <c r="K866" s="38"/>
      <c r="L866" s="38"/>
      <c r="M866" s="17"/>
    </row>
    <row r="867" spans="2:13" ht="14.45" customHeight="1" x14ac:dyDescent="0.25">
      <c r="B867" s="17"/>
      <c r="C867" s="14"/>
      <c r="D867" s="14"/>
      <c r="E867" s="18"/>
      <c r="F867" s="61"/>
      <c r="G867" s="73"/>
      <c r="H867" s="79"/>
      <c r="I867" s="79"/>
      <c r="J867" s="14"/>
      <c r="K867" s="38"/>
      <c r="L867" s="38"/>
      <c r="M867" s="17"/>
    </row>
    <row r="868" spans="2:13" ht="14.45" customHeight="1" x14ac:dyDescent="0.25">
      <c r="B868" s="17"/>
      <c r="C868" s="14"/>
      <c r="D868" s="14"/>
      <c r="E868" s="18"/>
      <c r="F868" s="61"/>
      <c r="G868" s="73"/>
      <c r="H868" s="79"/>
      <c r="I868" s="79"/>
      <c r="J868" s="14"/>
      <c r="K868" s="38"/>
      <c r="L868" s="38"/>
      <c r="M868" s="17"/>
    </row>
    <row r="869" spans="2:13" ht="14.45" customHeight="1" x14ac:dyDescent="0.25">
      <c r="B869" s="17"/>
      <c r="C869" s="14"/>
      <c r="D869" s="14"/>
      <c r="E869" s="18"/>
      <c r="F869" s="61"/>
      <c r="G869" s="73"/>
      <c r="H869" s="79"/>
      <c r="I869" s="79"/>
      <c r="J869" s="14"/>
      <c r="K869" s="38"/>
      <c r="L869" s="38"/>
      <c r="M869" s="17"/>
    </row>
    <row r="870" spans="2:13" ht="14.45" customHeight="1" x14ac:dyDescent="0.25">
      <c r="B870" s="17"/>
      <c r="C870" s="14"/>
      <c r="D870" s="14"/>
      <c r="E870" s="18"/>
      <c r="F870" s="61"/>
      <c r="G870" s="73"/>
      <c r="H870" s="79"/>
      <c r="I870" s="79"/>
      <c r="J870" s="14"/>
      <c r="K870" s="38"/>
      <c r="L870" s="38"/>
      <c r="M870" s="17"/>
    </row>
    <row r="871" spans="2:13" ht="14.45" customHeight="1" x14ac:dyDescent="0.25">
      <c r="B871" s="17"/>
      <c r="C871" s="14"/>
      <c r="D871" s="14"/>
      <c r="E871" s="18"/>
      <c r="F871" s="61"/>
      <c r="G871" s="73"/>
      <c r="H871" s="79"/>
      <c r="I871" s="79"/>
      <c r="J871" s="14"/>
      <c r="K871" s="38"/>
      <c r="L871" s="38"/>
      <c r="M871" s="17"/>
    </row>
    <row r="872" spans="2:13" ht="14.45" customHeight="1" x14ac:dyDescent="0.25">
      <c r="B872" s="17"/>
      <c r="C872" s="14"/>
      <c r="D872" s="14"/>
      <c r="E872" s="18"/>
      <c r="F872" s="61"/>
      <c r="G872" s="73"/>
      <c r="H872" s="79"/>
      <c r="I872" s="79"/>
      <c r="J872" s="14"/>
      <c r="K872" s="38"/>
      <c r="L872" s="38"/>
      <c r="M872" s="17"/>
    </row>
    <row r="873" spans="2:13" ht="14.45" customHeight="1" x14ac:dyDescent="0.25">
      <c r="B873" s="17"/>
      <c r="C873" s="14"/>
      <c r="D873" s="14"/>
      <c r="E873" s="18"/>
      <c r="F873" s="61"/>
      <c r="G873" s="73"/>
      <c r="H873" s="79"/>
      <c r="I873" s="79"/>
      <c r="J873" s="14"/>
      <c r="K873" s="38"/>
      <c r="L873" s="38"/>
      <c r="M873" s="17"/>
    </row>
    <row r="874" spans="2:13" ht="14.45" customHeight="1" x14ac:dyDescent="0.25">
      <c r="B874" s="17"/>
      <c r="C874" s="14"/>
      <c r="D874" s="14"/>
      <c r="E874" s="18"/>
      <c r="F874" s="61"/>
      <c r="G874" s="73"/>
      <c r="H874" s="79"/>
      <c r="I874" s="79"/>
      <c r="J874" s="14"/>
      <c r="K874" s="38"/>
      <c r="L874" s="38"/>
      <c r="M874" s="17"/>
    </row>
    <row r="875" spans="2:13" ht="14.45" customHeight="1" x14ac:dyDescent="0.25">
      <c r="B875" s="17"/>
      <c r="C875" s="14"/>
      <c r="D875" s="14"/>
      <c r="E875" s="18"/>
      <c r="F875" s="61"/>
      <c r="G875" s="73"/>
      <c r="H875" s="79"/>
      <c r="I875" s="79"/>
      <c r="J875" s="14"/>
      <c r="K875" s="38"/>
      <c r="L875" s="38"/>
      <c r="M875" s="17"/>
    </row>
    <row r="876" spans="2:13" ht="14.45" customHeight="1" x14ac:dyDescent="0.25">
      <c r="B876" s="17"/>
      <c r="C876" s="14"/>
      <c r="D876" s="14"/>
      <c r="E876" s="18"/>
      <c r="F876" s="61"/>
      <c r="G876" s="73"/>
      <c r="H876" s="79"/>
      <c r="I876" s="79"/>
      <c r="J876" s="14"/>
      <c r="K876" s="38"/>
      <c r="L876" s="38"/>
      <c r="M876" s="17"/>
    </row>
    <row r="877" spans="2:13" ht="14.45" customHeight="1" x14ac:dyDescent="0.25">
      <c r="B877" s="17"/>
      <c r="C877" s="14"/>
      <c r="D877" s="14"/>
      <c r="E877" s="18"/>
      <c r="F877" s="61"/>
      <c r="G877" s="73"/>
      <c r="H877" s="79"/>
      <c r="I877" s="79"/>
      <c r="J877" s="14"/>
      <c r="K877" s="38"/>
      <c r="L877" s="38"/>
      <c r="M877" s="17"/>
    </row>
    <row r="878" spans="2:13" ht="14.45" customHeight="1" x14ac:dyDescent="0.25">
      <c r="B878" s="17"/>
      <c r="C878" s="14"/>
      <c r="D878" s="14"/>
      <c r="E878" s="18"/>
      <c r="F878" s="61"/>
      <c r="G878" s="73"/>
      <c r="H878" s="79"/>
      <c r="I878" s="79"/>
      <c r="J878" s="14"/>
      <c r="K878" s="38"/>
      <c r="L878" s="38"/>
      <c r="M878" s="17"/>
    </row>
    <row r="879" spans="2:13" ht="14.45" customHeight="1" x14ac:dyDescent="0.25">
      <c r="B879" s="17"/>
      <c r="C879" s="14"/>
      <c r="D879" s="14"/>
      <c r="E879" s="18"/>
      <c r="F879" s="61"/>
      <c r="G879" s="73"/>
      <c r="H879" s="79"/>
      <c r="I879" s="79"/>
      <c r="J879" s="14"/>
      <c r="K879" s="38"/>
      <c r="L879" s="38"/>
      <c r="M879" s="17"/>
    </row>
    <row r="880" spans="2:13" ht="14.45" customHeight="1" x14ac:dyDescent="0.25">
      <c r="B880" s="17"/>
      <c r="C880" s="14"/>
      <c r="D880" s="14"/>
      <c r="E880" s="18"/>
      <c r="F880" s="61"/>
      <c r="G880" s="73"/>
      <c r="H880" s="79"/>
      <c r="I880" s="79"/>
      <c r="J880" s="14"/>
      <c r="K880" s="38"/>
      <c r="L880" s="38"/>
      <c r="M880" s="17"/>
    </row>
    <row r="881" spans="2:13" ht="14.45" customHeight="1" x14ac:dyDescent="0.25">
      <c r="B881" s="17"/>
      <c r="C881" s="14"/>
      <c r="D881" s="14"/>
      <c r="E881" s="18"/>
      <c r="F881" s="61"/>
      <c r="G881" s="73"/>
      <c r="H881" s="79"/>
      <c r="I881" s="79"/>
      <c r="J881" s="14"/>
      <c r="K881" s="38"/>
      <c r="L881" s="38"/>
      <c r="M881" s="17"/>
    </row>
    <row r="882" spans="2:13" ht="14.45" customHeight="1" x14ac:dyDescent="0.25">
      <c r="B882" s="17"/>
      <c r="C882" s="14"/>
      <c r="D882" s="14"/>
      <c r="E882" s="18"/>
      <c r="F882" s="61"/>
      <c r="G882" s="73"/>
      <c r="H882" s="79"/>
      <c r="I882" s="79"/>
      <c r="J882" s="14"/>
      <c r="K882" s="38"/>
      <c r="L882" s="38"/>
      <c r="M882" s="17"/>
    </row>
    <row r="883" spans="2:13" ht="14.45" customHeight="1" x14ac:dyDescent="0.25">
      <c r="B883" s="17"/>
      <c r="C883" s="14"/>
      <c r="D883" s="14"/>
      <c r="E883" s="18"/>
      <c r="F883" s="61"/>
      <c r="G883" s="73"/>
      <c r="H883" s="79"/>
      <c r="I883" s="79"/>
      <c r="J883" s="14"/>
      <c r="K883" s="38"/>
      <c r="L883" s="38"/>
      <c r="M883" s="17"/>
    </row>
    <row r="884" spans="2:13" ht="14.45" customHeight="1" x14ac:dyDescent="0.25">
      <c r="B884" s="17"/>
      <c r="C884" s="14"/>
      <c r="D884" s="14"/>
      <c r="E884" s="18"/>
      <c r="F884" s="61"/>
      <c r="G884" s="73"/>
      <c r="H884" s="79"/>
      <c r="I884" s="79"/>
      <c r="J884" s="14"/>
      <c r="K884" s="38"/>
      <c r="L884" s="38"/>
      <c r="M884" s="17"/>
    </row>
    <row r="885" spans="2:13" ht="14.45" customHeight="1" x14ac:dyDescent="0.25">
      <c r="B885" s="17"/>
      <c r="C885" s="14"/>
      <c r="D885" s="14"/>
      <c r="E885" s="18"/>
      <c r="F885" s="61"/>
      <c r="G885" s="73"/>
      <c r="H885" s="79"/>
      <c r="I885" s="79"/>
      <c r="J885" s="14"/>
      <c r="K885" s="38"/>
      <c r="L885" s="38"/>
      <c r="M885" s="17"/>
    </row>
    <row r="886" spans="2:13" ht="14.45" customHeight="1" x14ac:dyDescent="0.25">
      <c r="B886" s="17"/>
      <c r="C886" s="14"/>
      <c r="D886" s="14"/>
      <c r="E886" s="18"/>
      <c r="F886" s="61"/>
      <c r="G886" s="73"/>
      <c r="H886" s="79"/>
      <c r="I886" s="79"/>
      <c r="J886" s="14"/>
      <c r="K886" s="38"/>
      <c r="L886" s="38"/>
      <c r="M886" s="17"/>
    </row>
    <row r="887" spans="2:13" ht="14.45" customHeight="1" x14ac:dyDescent="0.25">
      <c r="B887" s="17"/>
      <c r="C887" s="14"/>
      <c r="D887" s="14"/>
      <c r="E887" s="18"/>
      <c r="F887" s="61"/>
      <c r="G887" s="73"/>
      <c r="H887" s="79"/>
      <c r="I887" s="79"/>
      <c r="J887" s="14"/>
      <c r="K887" s="38"/>
      <c r="L887" s="38"/>
      <c r="M887" s="17"/>
    </row>
    <row r="888" spans="2:13" ht="14.45" customHeight="1" x14ac:dyDescent="0.25">
      <c r="B888" s="17"/>
      <c r="C888" s="14"/>
      <c r="D888" s="14"/>
      <c r="E888" s="18"/>
      <c r="F888" s="61"/>
      <c r="G888" s="73"/>
      <c r="H888" s="79"/>
      <c r="I888" s="79"/>
      <c r="J888" s="14"/>
      <c r="K888" s="38"/>
      <c r="L888" s="38"/>
      <c r="M888" s="17"/>
    </row>
    <row r="889" spans="2:13" ht="14.45" customHeight="1" x14ac:dyDescent="0.25">
      <c r="B889" s="17"/>
      <c r="C889" s="14"/>
      <c r="D889" s="14"/>
      <c r="E889" s="18"/>
      <c r="F889" s="61"/>
      <c r="G889" s="73"/>
      <c r="H889" s="79"/>
      <c r="I889" s="79"/>
      <c r="J889" s="14"/>
      <c r="K889" s="38"/>
      <c r="L889" s="38"/>
      <c r="M889" s="17"/>
    </row>
    <row r="890" spans="2:13" ht="14.45" customHeight="1" x14ac:dyDescent="0.25">
      <c r="B890" s="17"/>
      <c r="C890" s="14"/>
      <c r="D890" s="14"/>
      <c r="E890" s="18"/>
      <c r="F890" s="61"/>
      <c r="G890" s="73"/>
      <c r="H890" s="79"/>
      <c r="I890" s="79"/>
      <c r="J890" s="14"/>
      <c r="K890" s="38"/>
      <c r="L890" s="38"/>
      <c r="M890" s="17"/>
    </row>
    <row r="891" spans="2:13" ht="14.45" customHeight="1" x14ac:dyDescent="0.25">
      <c r="B891" s="17"/>
      <c r="C891" s="14"/>
      <c r="D891" s="14"/>
      <c r="E891" s="18"/>
      <c r="F891" s="61"/>
      <c r="G891" s="73"/>
      <c r="H891" s="79"/>
      <c r="I891" s="79"/>
      <c r="J891" s="14"/>
      <c r="K891" s="38"/>
      <c r="L891" s="38"/>
      <c r="M891" s="17"/>
    </row>
    <row r="892" spans="2:13" ht="14.45" customHeight="1" x14ac:dyDescent="0.25">
      <c r="B892" s="17"/>
      <c r="C892" s="14"/>
      <c r="D892" s="14"/>
      <c r="E892" s="18"/>
      <c r="F892" s="61"/>
      <c r="G892" s="73"/>
      <c r="H892" s="79"/>
      <c r="I892" s="79"/>
      <c r="J892" s="14"/>
      <c r="K892" s="38"/>
      <c r="L892" s="38"/>
      <c r="M892" s="17"/>
    </row>
    <row r="893" spans="2:13" ht="14.45" customHeight="1" x14ac:dyDescent="0.25">
      <c r="B893" s="17"/>
      <c r="C893" s="14"/>
      <c r="D893" s="14"/>
      <c r="E893" s="18"/>
      <c r="F893" s="61"/>
      <c r="G893" s="73"/>
      <c r="H893" s="79"/>
      <c r="I893" s="79"/>
      <c r="J893" s="14"/>
      <c r="K893" s="38"/>
      <c r="L893" s="38"/>
      <c r="M893" s="17"/>
    </row>
    <row r="894" spans="2:13" ht="14.45" customHeight="1" x14ac:dyDescent="0.25">
      <c r="B894" s="17"/>
      <c r="C894" s="14"/>
      <c r="D894" s="14"/>
      <c r="E894" s="18"/>
      <c r="F894" s="61"/>
      <c r="G894" s="73"/>
      <c r="H894" s="79"/>
      <c r="I894" s="79"/>
      <c r="J894" s="14"/>
      <c r="K894" s="38"/>
      <c r="L894" s="38"/>
      <c r="M894" s="17"/>
    </row>
    <row r="895" spans="2:13" ht="14.45" customHeight="1" x14ac:dyDescent="0.25">
      <c r="B895" s="17"/>
      <c r="C895" s="14"/>
      <c r="D895" s="14"/>
      <c r="E895" s="18"/>
      <c r="F895" s="61"/>
      <c r="G895" s="73"/>
      <c r="H895" s="79"/>
      <c r="I895" s="79"/>
      <c r="J895" s="14"/>
      <c r="K895" s="38"/>
      <c r="L895" s="38"/>
      <c r="M895" s="17"/>
    </row>
    <row r="896" spans="2:13" ht="14.45" customHeight="1" x14ac:dyDescent="0.25">
      <c r="B896" s="17"/>
      <c r="C896" s="14"/>
      <c r="D896" s="14"/>
      <c r="E896" s="18"/>
      <c r="F896" s="61"/>
      <c r="G896" s="73"/>
      <c r="H896" s="79"/>
      <c r="I896" s="79"/>
      <c r="J896" s="14"/>
      <c r="K896" s="38"/>
      <c r="L896" s="38"/>
      <c r="M896" s="17"/>
    </row>
    <row r="897" spans="2:13" ht="14.45" customHeight="1" x14ac:dyDescent="0.25">
      <c r="B897" s="17"/>
      <c r="C897" s="14"/>
      <c r="D897" s="14"/>
      <c r="E897" s="18"/>
      <c r="F897" s="61"/>
      <c r="G897" s="73"/>
      <c r="H897" s="79"/>
      <c r="I897" s="79"/>
      <c r="J897" s="14"/>
      <c r="K897" s="38"/>
      <c r="L897" s="38"/>
      <c r="M897" s="17"/>
    </row>
    <row r="898" spans="2:13" ht="14.45" customHeight="1" x14ac:dyDescent="0.25">
      <c r="B898" s="17"/>
      <c r="C898" s="14"/>
      <c r="D898" s="14"/>
      <c r="E898" s="18"/>
      <c r="F898" s="61"/>
      <c r="G898" s="73"/>
      <c r="H898" s="79"/>
      <c r="I898" s="79"/>
      <c r="J898" s="14"/>
      <c r="K898" s="38"/>
      <c r="L898" s="38"/>
      <c r="M898" s="17"/>
    </row>
    <row r="899" spans="2:13" ht="14.45" customHeight="1" x14ac:dyDescent="0.25">
      <c r="B899" s="17"/>
      <c r="C899" s="14"/>
      <c r="D899" s="14"/>
      <c r="E899" s="18"/>
      <c r="F899" s="61"/>
      <c r="G899" s="73"/>
      <c r="H899" s="79"/>
      <c r="I899" s="79"/>
      <c r="J899" s="14"/>
      <c r="K899" s="38"/>
      <c r="L899" s="38"/>
      <c r="M899" s="17"/>
    </row>
    <row r="900" spans="2:13" ht="14.45" customHeight="1" x14ac:dyDescent="0.25">
      <c r="B900" s="17"/>
      <c r="C900" s="14"/>
      <c r="D900" s="14"/>
      <c r="E900" s="18"/>
      <c r="F900" s="61"/>
      <c r="G900" s="73"/>
      <c r="H900" s="79"/>
      <c r="I900" s="79"/>
      <c r="J900" s="14"/>
      <c r="K900" s="38"/>
      <c r="L900" s="38"/>
      <c r="M900" s="17"/>
    </row>
    <row r="901" spans="2:13" ht="14.45" customHeight="1" x14ac:dyDescent="0.25">
      <c r="B901" s="17"/>
      <c r="C901" s="14"/>
      <c r="D901" s="14"/>
      <c r="E901" s="18"/>
      <c r="F901" s="61"/>
      <c r="G901" s="73"/>
      <c r="H901" s="79"/>
      <c r="I901" s="79"/>
      <c r="J901" s="14"/>
      <c r="K901" s="38"/>
      <c r="L901" s="38"/>
      <c r="M901" s="17"/>
    </row>
    <row r="902" spans="2:13" ht="14.45" customHeight="1" x14ac:dyDescent="0.25">
      <c r="B902" s="17"/>
      <c r="C902" s="14"/>
      <c r="D902" s="14"/>
      <c r="E902" s="18"/>
      <c r="F902" s="61"/>
      <c r="G902" s="73"/>
      <c r="H902" s="79"/>
      <c r="I902" s="79"/>
      <c r="J902" s="14"/>
      <c r="K902" s="38"/>
      <c r="L902" s="38"/>
      <c r="M902" s="17"/>
    </row>
    <row r="903" spans="2:13" ht="14.45" customHeight="1" x14ac:dyDescent="0.25">
      <c r="B903" s="17"/>
      <c r="C903" s="14"/>
      <c r="D903" s="14"/>
      <c r="E903" s="18"/>
      <c r="F903" s="61"/>
      <c r="G903" s="73"/>
      <c r="H903" s="79"/>
      <c r="I903" s="79"/>
      <c r="J903" s="14"/>
      <c r="K903" s="38"/>
      <c r="L903" s="38"/>
      <c r="M903" s="17"/>
    </row>
    <row r="904" spans="2:13" ht="14.45" customHeight="1" x14ac:dyDescent="0.25">
      <c r="B904" s="17"/>
      <c r="C904" s="14"/>
      <c r="D904" s="14"/>
      <c r="E904" s="18"/>
      <c r="F904" s="61"/>
      <c r="G904" s="73"/>
      <c r="H904" s="79"/>
      <c r="I904" s="79"/>
      <c r="J904" s="14"/>
      <c r="K904" s="38"/>
      <c r="L904" s="38"/>
      <c r="M904" s="17"/>
    </row>
    <row r="905" spans="2:13" ht="14.45" customHeight="1" x14ac:dyDescent="0.25">
      <c r="B905" s="17"/>
      <c r="C905" s="14"/>
      <c r="D905" s="14"/>
      <c r="E905" s="18"/>
      <c r="F905" s="61"/>
      <c r="G905" s="73"/>
      <c r="H905" s="79"/>
      <c r="I905" s="79"/>
      <c r="J905" s="14"/>
      <c r="K905" s="38"/>
      <c r="L905" s="38"/>
      <c r="M905" s="17"/>
    </row>
    <row r="906" spans="2:13" ht="14.45" customHeight="1" x14ac:dyDescent="0.25">
      <c r="B906" s="17"/>
      <c r="C906" s="14"/>
      <c r="D906" s="14"/>
      <c r="E906" s="18"/>
      <c r="F906" s="61"/>
      <c r="G906" s="73"/>
      <c r="H906" s="79"/>
      <c r="I906" s="79"/>
      <c r="J906" s="14"/>
      <c r="K906" s="38"/>
      <c r="L906" s="38"/>
      <c r="M906" s="17"/>
    </row>
    <row r="907" spans="2:13" ht="14.45" customHeight="1" x14ac:dyDescent="0.25">
      <c r="B907" s="17"/>
      <c r="C907" s="14"/>
      <c r="D907" s="14"/>
      <c r="E907" s="18"/>
      <c r="F907" s="61"/>
      <c r="G907" s="73"/>
      <c r="H907" s="79"/>
      <c r="I907" s="79"/>
      <c r="J907" s="14"/>
      <c r="K907" s="38"/>
      <c r="L907" s="38"/>
      <c r="M907" s="17"/>
    </row>
    <row r="908" spans="2:13" ht="14.45" customHeight="1" x14ac:dyDescent="0.25">
      <c r="B908" s="17"/>
      <c r="C908" s="14"/>
      <c r="D908" s="14"/>
      <c r="E908" s="18"/>
      <c r="F908" s="61"/>
      <c r="G908" s="73"/>
      <c r="H908" s="79"/>
      <c r="I908" s="79"/>
      <c r="J908" s="14"/>
      <c r="K908" s="38"/>
      <c r="L908" s="38"/>
      <c r="M908" s="17"/>
    </row>
    <row r="909" spans="2:13" ht="14.45" customHeight="1" x14ac:dyDescent="0.25">
      <c r="B909" s="17"/>
      <c r="C909" s="14"/>
      <c r="D909" s="14"/>
      <c r="E909" s="18"/>
      <c r="F909" s="61"/>
      <c r="G909" s="73"/>
      <c r="H909" s="79"/>
      <c r="I909" s="79"/>
      <c r="J909" s="14"/>
      <c r="K909" s="38"/>
      <c r="L909" s="38"/>
      <c r="M909" s="17"/>
    </row>
    <row r="910" spans="2:13" ht="14.45" customHeight="1" x14ac:dyDescent="0.25">
      <c r="B910" s="17"/>
      <c r="C910" s="14"/>
      <c r="D910" s="14"/>
      <c r="E910" s="18"/>
      <c r="F910" s="61"/>
      <c r="G910" s="73"/>
      <c r="H910" s="79"/>
      <c r="I910" s="79"/>
      <c r="J910" s="14"/>
      <c r="K910" s="38"/>
      <c r="L910" s="38"/>
      <c r="M910" s="17"/>
    </row>
    <row r="911" spans="2:13" ht="14.45" customHeight="1" x14ac:dyDescent="0.25">
      <c r="B911" s="17"/>
      <c r="C911" s="14"/>
      <c r="D911" s="14"/>
      <c r="E911" s="18"/>
      <c r="F911" s="61"/>
      <c r="G911" s="73"/>
      <c r="H911" s="79"/>
      <c r="I911" s="79"/>
      <c r="J911" s="14"/>
      <c r="K911" s="38"/>
      <c r="L911" s="38"/>
      <c r="M911" s="17"/>
    </row>
    <row r="912" spans="2:13" ht="14.45" customHeight="1" x14ac:dyDescent="0.25">
      <c r="B912" s="17"/>
      <c r="C912" s="14"/>
      <c r="D912" s="14"/>
      <c r="E912" s="18"/>
      <c r="F912" s="61"/>
      <c r="G912" s="73"/>
      <c r="H912" s="79"/>
      <c r="I912" s="79"/>
      <c r="J912" s="14"/>
      <c r="K912" s="38"/>
      <c r="L912" s="38"/>
      <c r="M912" s="17"/>
    </row>
    <row r="913" spans="2:13" ht="14.45" customHeight="1" x14ac:dyDescent="0.25">
      <c r="B913" s="17"/>
      <c r="C913" s="14"/>
      <c r="D913" s="14"/>
      <c r="E913" s="18"/>
      <c r="F913" s="61"/>
      <c r="G913" s="73"/>
      <c r="H913" s="79"/>
      <c r="I913" s="79"/>
      <c r="J913" s="14"/>
      <c r="K913" s="38"/>
      <c r="L913" s="38"/>
      <c r="M913" s="17"/>
    </row>
    <row r="914" spans="2:13" ht="14.45" customHeight="1" x14ac:dyDescent="0.25">
      <c r="B914" s="17"/>
      <c r="C914" s="14"/>
      <c r="D914" s="14"/>
      <c r="E914" s="18"/>
      <c r="F914" s="61"/>
      <c r="G914" s="73"/>
      <c r="H914" s="79"/>
      <c r="I914" s="79"/>
      <c r="J914" s="14"/>
      <c r="K914" s="38"/>
      <c r="L914" s="38"/>
      <c r="M914" s="17"/>
    </row>
    <row r="915" spans="2:13" ht="14.45" customHeight="1" x14ac:dyDescent="0.25">
      <c r="B915" s="17"/>
      <c r="C915" s="14"/>
      <c r="D915" s="14"/>
      <c r="E915" s="18"/>
      <c r="F915" s="61"/>
      <c r="G915" s="73"/>
      <c r="H915" s="79"/>
      <c r="I915" s="79"/>
      <c r="J915" s="14"/>
      <c r="K915" s="38"/>
      <c r="L915" s="38"/>
      <c r="M915" s="17"/>
    </row>
    <row r="916" spans="2:13" ht="14.45" customHeight="1" x14ac:dyDescent="0.25">
      <c r="B916" s="17"/>
      <c r="C916" s="14"/>
      <c r="D916" s="14"/>
      <c r="E916" s="18"/>
      <c r="F916" s="61"/>
      <c r="G916" s="73"/>
      <c r="H916" s="79"/>
      <c r="I916" s="79"/>
      <c r="J916" s="14"/>
      <c r="K916" s="38"/>
      <c r="L916" s="38"/>
      <c r="M916" s="17"/>
    </row>
    <row r="917" spans="2:13" ht="14.45" customHeight="1" x14ac:dyDescent="0.25">
      <c r="B917" s="17"/>
      <c r="C917" s="14"/>
      <c r="D917" s="14"/>
      <c r="E917" s="18"/>
      <c r="F917" s="61"/>
      <c r="G917" s="73"/>
      <c r="H917" s="79"/>
      <c r="I917" s="79"/>
      <c r="J917" s="14"/>
      <c r="K917" s="38"/>
      <c r="L917" s="38"/>
      <c r="M917" s="17"/>
    </row>
    <row r="918" spans="2:13" ht="14.45" customHeight="1" x14ac:dyDescent="0.25">
      <c r="B918" s="17"/>
      <c r="C918" s="14"/>
      <c r="D918" s="14"/>
      <c r="E918" s="18"/>
      <c r="F918" s="61"/>
      <c r="G918" s="73"/>
      <c r="H918" s="79"/>
      <c r="I918" s="79"/>
      <c r="J918" s="14"/>
      <c r="K918" s="38"/>
      <c r="L918" s="38"/>
      <c r="M918" s="17"/>
    </row>
    <row r="919" spans="2:13" ht="14.45" customHeight="1" x14ac:dyDescent="0.25">
      <c r="B919" s="17"/>
      <c r="C919" s="14"/>
      <c r="D919" s="14"/>
      <c r="E919" s="18"/>
      <c r="F919" s="61"/>
      <c r="G919" s="73"/>
      <c r="H919" s="79"/>
      <c r="I919" s="79"/>
      <c r="J919" s="14"/>
      <c r="K919" s="38"/>
      <c r="L919" s="38"/>
      <c r="M919" s="17"/>
    </row>
    <row r="920" spans="2:13" ht="14.45" customHeight="1" x14ac:dyDescent="0.25">
      <c r="B920" s="17"/>
      <c r="C920" s="14"/>
      <c r="D920" s="14"/>
      <c r="E920" s="18"/>
      <c r="F920" s="61"/>
      <c r="G920" s="73"/>
      <c r="H920" s="79"/>
      <c r="I920" s="79"/>
      <c r="J920" s="14"/>
      <c r="K920" s="38"/>
      <c r="L920" s="38"/>
      <c r="M920" s="17"/>
    </row>
    <row r="921" spans="2:13" ht="14.45" customHeight="1" x14ac:dyDescent="0.25">
      <c r="B921" s="17"/>
      <c r="C921" s="14"/>
      <c r="D921" s="14"/>
      <c r="E921" s="18"/>
      <c r="F921" s="61"/>
      <c r="G921" s="73"/>
      <c r="H921" s="79"/>
      <c r="I921" s="79"/>
      <c r="J921" s="14"/>
      <c r="K921" s="38"/>
      <c r="L921" s="38"/>
      <c r="M921" s="17"/>
    </row>
    <row r="922" spans="2:13" ht="14.45" customHeight="1" x14ac:dyDescent="0.25">
      <c r="B922" s="17"/>
      <c r="C922" s="14"/>
      <c r="D922" s="14"/>
      <c r="E922" s="18"/>
      <c r="F922" s="61"/>
      <c r="G922" s="73"/>
      <c r="H922" s="79"/>
      <c r="I922" s="79"/>
      <c r="J922" s="14"/>
      <c r="K922" s="38"/>
      <c r="L922" s="38"/>
      <c r="M922" s="17"/>
    </row>
    <row r="923" spans="2:13" ht="14.45" customHeight="1" x14ac:dyDescent="0.25">
      <c r="B923" s="17"/>
      <c r="C923" s="14"/>
      <c r="D923" s="14"/>
      <c r="E923" s="18"/>
      <c r="F923" s="61"/>
      <c r="G923" s="73"/>
      <c r="H923" s="79"/>
      <c r="I923" s="79"/>
      <c r="J923" s="14"/>
      <c r="K923" s="38"/>
      <c r="L923" s="38"/>
      <c r="M923" s="17"/>
    </row>
    <row r="924" spans="2:13" ht="14.45" customHeight="1" x14ac:dyDescent="0.25">
      <c r="B924" s="17"/>
      <c r="C924" s="14"/>
      <c r="D924" s="14"/>
      <c r="E924" s="18"/>
      <c r="F924" s="61"/>
      <c r="G924" s="73"/>
      <c r="H924" s="79"/>
      <c r="I924" s="79"/>
      <c r="J924" s="14"/>
      <c r="K924" s="38"/>
      <c r="L924" s="38"/>
      <c r="M924" s="17"/>
    </row>
    <row r="925" spans="2:13" ht="14.45" customHeight="1" x14ac:dyDescent="0.25">
      <c r="B925" s="17"/>
      <c r="C925" s="14"/>
      <c r="D925" s="14"/>
      <c r="E925" s="18"/>
      <c r="F925" s="61"/>
      <c r="G925" s="73"/>
      <c r="H925" s="79"/>
      <c r="I925" s="79"/>
      <c r="J925" s="14"/>
      <c r="K925" s="38"/>
      <c r="L925" s="38"/>
      <c r="M925" s="17"/>
    </row>
    <row r="926" spans="2:13" ht="14.45" customHeight="1" x14ac:dyDescent="0.25">
      <c r="B926" s="17"/>
      <c r="C926" s="14"/>
      <c r="D926" s="14"/>
      <c r="E926" s="18"/>
      <c r="F926" s="61"/>
      <c r="G926" s="73"/>
      <c r="H926" s="79"/>
      <c r="I926" s="79"/>
      <c r="J926" s="14"/>
      <c r="K926" s="38"/>
      <c r="L926" s="38"/>
      <c r="M926" s="17"/>
    </row>
    <row r="927" spans="2:13" ht="14.45" customHeight="1" x14ac:dyDescent="0.25">
      <c r="B927" s="17"/>
      <c r="C927" s="14"/>
      <c r="D927" s="14"/>
      <c r="E927" s="18"/>
      <c r="F927" s="61"/>
      <c r="G927" s="73"/>
      <c r="H927" s="79"/>
      <c r="I927" s="79"/>
      <c r="J927" s="14"/>
      <c r="K927" s="38"/>
      <c r="L927" s="38"/>
      <c r="M927" s="17"/>
    </row>
    <row r="928" spans="2:13" ht="14.45" customHeight="1" x14ac:dyDescent="0.25">
      <c r="B928" s="17"/>
      <c r="C928" s="14"/>
      <c r="D928" s="14"/>
      <c r="E928" s="18"/>
      <c r="F928" s="61"/>
      <c r="G928" s="73"/>
      <c r="H928" s="79"/>
      <c r="I928" s="79"/>
      <c r="J928" s="14"/>
      <c r="K928" s="38"/>
      <c r="L928" s="38"/>
      <c r="M928" s="17"/>
    </row>
    <row r="929" spans="2:13" ht="14.45" customHeight="1" x14ac:dyDescent="0.25">
      <c r="B929" s="17"/>
      <c r="C929" s="14"/>
      <c r="D929" s="14"/>
      <c r="E929" s="18"/>
      <c r="F929" s="61"/>
      <c r="G929" s="73"/>
      <c r="H929" s="79"/>
      <c r="I929" s="79"/>
      <c r="J929" s="14"/>
      <c r="K929" s="38"/>
      <c r="L929" s="38"/>
      <c r="M929" s="17"/>
    </row>
    <row r="930" spans="2:13" ht="14.45" customHeight="1" x14ac:dyDescent="0.25">
      <c r="B930" s="17"/>
      <c r="C930" s="14"/>
      <c r="D930" s="14"/>
      <c r="E930" s="18"/>
      <c r="F930" s="61"/>
      <c r="G930" s="73"/>
      <c r="H930" s="79"/>
      <c r="I930" s="79"/>
      <c r="J930" s="14"/>
      <c r="K930" s="38"/>
      <c r="L930" s="38"/>
      <c r="M930" s="17"/>
    </row>
    <row r="931" spans="2:13" ht="14.45" customHeight="1" x14ac:dyDescent="0.25">
      <c r="B931" s="17"/>
      <c r="C931" s="14"/>
      <c r="D931" s="14"/>
      <c r="E931" s="18"/>
      <c r="F931" s="61"/>
      <c r="G931" s="73"/>
      <c r="H931" s="79"/>
      <c r="I931" s="79"/>
      <c r="J931" s="14"/>
      <c r="K931" s="38"/>
      <c r="L931" s="38"/>
      <c r="M931" s="17"/>
    </row>
    <row r="932" spans="2:13" ht="14.45" customHeight="1" x14ac:dyDescent="0.25">
      <c r="B932" s="17"/>
      <c r="C932" s="14"/>
      <c r="D932" s="14"/>
      <c r="E932" s="18"/>
      <c r="F932" s="61"/>
      <c r="G932" s="73"/>
      <c r="H932" s="79"/>
      <c r="I932" s="79"/>
      <c r="J932" s="14"/>
      <c r="K932" s="38"/>
      <c r="L932" s="38"/>
      <c r="M932" s="17"/>
    </row>
    <row r="933" spans="2:13" ht="14.45" customHeight="1" x14ac:dyDescent="0.25">
      <c r="B933" s="17"/>
      <c r="C933" s="14"/>
      <c r="D933" s="14"/>
      <c r="E933" s="18"/>
      <c r="F933" s="61"/>
      <c r="G933" s="73"/>
      <c r="H933" s="79"/>
      <c r="I933" s="79"/>
      <c r="J933" s="14"/>
      <c r="K933" s="38"/>
      <c r="L933" s="38"/>
      <c r="M933" s="17"/>
    </row>
    <row r="934" spans="2:13" ht="14.45" customHeight="1" x14ac:dyDescent="0.25">
      <c r="B934" s="17"/>
      <c r="C934" s="14"/>
      <c r="D934" s="14"/>
      <c r="E934" s="18"/>
      <c r="F934" s="61"/>
      <c r="G934" s="73"/>
      <c r="H934" s="79"/>
      <c r="I934" s="79"/>
      <c r="J934" s="14"/>
      <c r="K934" s="38"/>
      <c r="L934" s="38"/>
      <c r="M934" s="17"/>
    </row>
    <row r="935" spans="2:13" ht="14.45" customHeight="1" x14ac:dyDescent="0.25">
      <c r="B935" s="17"/>
      <c r="C935" s="14"/>
      <c r="D935" s="14"/>
      <c r="E935" s="18"/>
      <c r="F935" s="61"/>
      <c r="G935" s="73"/>
      <c r="H935" s="79"/>
      <c r="I935" s="79"/>
      <c r="J935" s="14"/>
      <c r="K935" s="38"/>
      <c r="L935" s="38"/>
      <c r="M935" s="17"/>
    </row>
    <row r="936" spans="2:13" ht="14.45" customHeight="1" x14ac:dyDescent="0.25">
      <c r="B936" s="17"/>
      <c r="C936" s="14"/>
      <c r="D936" s="14"/>
      <c r="E936" s="18"/>
      <c r="F936" s="61"/>
      <c r="G936" s="73"/>
      <c r="H936" s="79"/>
      <c r="I936" s="79"/>
      <c r="J936" s="14"/>
      <c r="K936" s="38"/>
      <c r="L936" s="38"/>
      <c r="M936" s="17"/>
    </row>
    <row r="937" spans="2:13" ht="14.45" customHeight="1" x14ac:dyDescent="0.25">
      <c r="B937" s="17"/>
      <c r="C937" s="14"/>
      <c r="D937" s="14"/>
      <c r="E937" s="18"/>
      <c r="F937" s="61"/>
      <c r="G937" s="73"/>
      <c r="H937" s="79"/>
      <c r="I937" s="79"/>
      <c r="J937" s="14"/>
      <c r="K937" s="38"/>
      <c r="L937" s="38"/>
      <c r="M937" s="17"/>
    </row>
    <row r="938" spans="2:13" ht="14.45" customHeight="1" x14ac:dyDescent="0.25">
      <c r="B938" s="17"/>
      <c r="C938" s="14"/>
      <c r="D938" s="14"/>
      <c r="E938" s="18"/>
      <c r="F938" s="61"/>
      <c r="G938" s="73"/>
      <c r="H938" s="79"/>
      <c r="I938" s="79"/>
      <c r="J938" s="14"/>
      <c r="K938" s="38"/>
      <c r="L938" s="38"/>
      <c r="M938" s="17"/>
    </row>
    <row r="939" spans="2:13" ht="14.45" customHeight="1" x14ac:dyDescent="0.25">
      <c r="B939" s="17"/>
      <c r="C939" s="14"/>
      <c r="D939" s="14"/>
      <c r="E939" s="18"/>
      <c r="F939" s="61"/>
      <c r="G939" s="73"/>
      <c r="H939" s="79"/>
      <c r="I939" s="79"/>
      <c r="J939" s="14"/>
      <c r="K939" s="38"/>
      <c r="L939" s="38"/>
      <c r="M939" s="17"/>
    </row>
    <row r="940" spans="2:13" ht="14.45" customHeight="1" x14ac:dyDescent="0.25">
      <c r="B940" s="17"/>
      <c r="C940" s="14"/>
      <c r="D940" s="14"/>
      <c r="E940" s="18"/>
      <c r="F940" s="61"/>
      <c r="G940" s="73"/>
      <c r="H940" s="79"/>
      <c r="I940" s="79"/>
      <c r="J940" s="14"/>
      <c r="K940" s="38"/>
      <c r="L940" s="38"/>
      <c r="M940" s="17"/>
    </row>
    <row r="941" spans="2:13" ht="14.45" customHeight="1" x14ac:dyDescent="0.25">
      <c r="B941" s="17"/>
      <c r="C941" s="14"/>
      <c r="D941" s="14"/>
      <c r="E941" s="18"/>
      <c r="F941" s="61"/>
      <c r="G941" s="73"/>
      <c r="H941" s="79"/>
      <c r="I941" s="79"/>
      <c r="J941" s="14"/>
      <c r="K941" s="38"/>
      <c r="L941" s="38"/>
      <c r="M941" s="17"/>
    </row>
    <row r="942" spans="2:13" ht="14.45" customHeight="1" x14ac:dyDescent="0.25">
      <c r="B942" s="17"/>
      <c r="C942" s="14"/>
      <c r="D942" s="14"/>
      <c r="E942" s="18"/>
      <c r="F942" s="61"/>
      <c r="G942" s="73"/>
      <c r="H942" s="79"/>
      <c r="I942" s="79"/>
      <c r="J942" s="14"/>
      <c r="K942" s="38"/>
      <c r="L942" s="38"/>
      <c r="M942" s="17"/>
    </row>
    <row r="943" spans="2:13" ht="14.45" customHeight="1" x14ac:dyDescent="0.25">
      <c r="B943" s="17"/>
      <c r="C943" s="14"/>
      <c r="D943" s="14"/>
      <c r="E943" s="18"/>
      <c r="F943" s="61"/>
      <c r="G943" s="73"/>
      <c r="H943" s="79"/>
      <c r="I943" s="79"/>
      <c r="J943" s="14"/>
      <c r="K943" s="38"/>
      <c r="L943" s="38"/>
      <c r="M943" s="17"/>
    </row>
    <row r="944" spans="2:13" ht="14.45" customHeight="1" x14ac:dyDescent="0.25">
      <c r="B944" s="17"/>
      <c r="C944" s="14"/>
      <c r="D944" s="14"/>
      <c r="E944" s="18"/>
      <c r="F944" s="61"/>
      <c r="G944" s="73"/>
      <c r="H944" s="79"/>
      <c r="I944" s="79"/>
      <c r="J944" s="14"/>
      <c r="K944" s="38"/>
      <c r="L944" s="38"/>
      <c r="M944" s="17"/>
    </row>
    <row r="945" spans="2:13" ht="14.45" customHeight="1" x14ac:dyDescent="0.25">
      <c r="B945" s="17"/>
      <c r="C945" s="14"/>
      <c r="D945" s="14"/>
      <c r="E945" s="18"/>
      <c r="F945" s="61"/>
      <c r="G945" s="73"/>
      <c r="H945" s="79"/>
      <c r="I945" s="79"/>
      <c r="J945" s="14"/>
      <c r="K945" s="38"/>
      <c r="L945" s="38"/>
      <c r="M945" s="17"/>
    </row>
    <row r="946" spans="2:13" ht="14.45" customHeight="1" x14ac:dyDescent="0.25">
      <c r="B946" s="17"/>
      <c r="C946" s="14"/>
      <c r="D946" s="14"/>
      <c r="E946" s="18"/>
      <c r="F946" s="61"/>
      <c r="G946" s="73"/>
      <c r="H946" s="79"/>
      <c r="I946" s="79"/>
      <c r="J946" s="14"/>
      <c r="K946" s="38"/>
      <c r="L946" s="38"/>
      <c r="M946" s="17"/>
    </row>
    <row r="947" spans="2:13" ht="14.45" customHeight="1" x14ac:dyDescent="0.25">
      <c r="B947" s="17"/>
      <c r="C947" s="14"/>
      <c r="D947" s="14"/>
      <c r="E947" s="18"/>
      <c r="F947" s="61"/>
      <c r="G947" s="73"/>
      <c r="H947" s="79"/>
      <c r="I947" s="79"/>
      <c r="J947" s="14"/>
      <c r="K947" s="38"/>
      <c r="L947" s="38"/>
      <c r="M947" s="17"/>
    </row>
    <row r="948" spans="2:13" ht="14.45" customHeight="1" x14ac:dyDescent="0.25">
      <c r="B948" s="17"/>
      <c r="C948" s="14"/>
      <c r="D948" s="14"/>
      <c r="E948" s="18"/>
      <c r="F948" s="61"/>
      <c r="G948" s="73"/>
      <c r="H948" s="79"/>
      <c r="I948" s="79"/>
      <c r="J948" s="14"/>
      <c r="K948" s="38"/>
      <c r="L948" s="38"/>
      <c r="M948" s="17"/>
    </row>
    <row r="949" spans="2:13" ht="14.45" customHeight="1" x14ac:dyDescent="0.25">
      <c r="B949" s="17"/>
      <c r="C949" s="14"/>
      <c r="D949" s="14"/>
      <c r="E949" s="18"/>
      <c r="F949" s="61"/>
      <c r="G949" s="73"/>
      <c r="H949" s="79"/>
      <c r="I949" s="79"/>
      <c r="J949" s="14"/>
      <c r="K949" s="38"/>
      <c r="L949" s="38"/>
      <c r="M949" s="17"/>
    </row>
    <row r="950" spans="2:13" ht="14.45" customHeight="1" x14ac:dyDescent="0.25">
      <c r="B950" s="17"/>
      <c r="C950" s="14"/>
      <c r="D950" s="14"/>
      <c r="E950" s="18"/>
      <c r="F950" s="61"/>
      <c r="G950" s="73"/>
      <c r="H950" s="79"/>
      <c r="I950" s="79"/>
      <c r="J950" s="14"/>
      <c r="K950" s="38"/>
      <c r="L950" s="38"/>
      <c r="M950" s="17"/>
    </row>
    <row r="951" spans="2:13" ht="14.45" customHeight="1" x14ac:dyDescent="0.25">
      <c r="B951" s="17"/>
      <c r="C951" s="14"/>
      <c r="D951" s="14"/>
      <c r="E951" s="18"/>
      <c r="F951" s="61"/>
      <c r="G951" s="73"/>
      <c r="H951" s="79"/>
      <c r="I951" s="79"/>
      <c r="J951" s="14"/>
      <c r="K951" s="38"/>
      <c r="L951" s="38"/>
      <c r="M951" s="17"/>
    </row>
    <row r="952" spans="2:13" ht="14.45" customHeight="1" x14ac:dyDescent="0.25">
      <c r="B952" s="17"/>
      <c r="C952" s="14"/>
      <c r="D952" s="14"/>
      <c r="E952" s="18"/>
      <c r="F952" s="61"/>
      <c r="G952" s="73"/>
      <c r="H952" s="79"/>
      <c r="I952" s="79"/>
      <c r="J952" s="14"/>
      <c r="K952" s="38"/>
      <c r="L952" s="38"/>
      <c r="M952" s="17"/>
    </row>
    <row r="953" spans="2:13" ht="14.45" customHeight="1" x14ac:dyDescent="0.25">
      <c r="B953" s="17"/>
      <c r="C953" s="14"/>
      <c r="D953" s="14"/>
      <c r="E953" s="18"/>
      <c r="F953" s="61"/>
      <c r="G953" s="73"/>
      <c r="H953" s="79"/>
      <c r="I953" s="79"/>
      <c r="J953" s="14"/>
      <c r="K953" s="38"/>
      <c r="L953" s="38"/>
      <c r="M953" s="17"/>
    </row>
    <row r="954" spans="2:13" ht="14.45" customHeight="1" x14ac:dyDescent="0.25">
      <c r="B954" s="17"/>
      <c r="C954" s="14"/>
      <c r="D954" s="14"/>
      <c r="E954" s="18"/>
      <c r="F954" s="61"/>
      <c r="G954" s="73"/>
      <c r="H954" s="79"/>
      <c r="I954" s="79"/>
      <c r="J954" s="14"/>
      <c r="K954" s="38"/>
      <c r="L954" s="38"/>
      <c r="M954" s="17"/>
    </row>
    <row r="955" spans="2:13" ht="14.45" customHeight="1" x14ac:dyDescent="0.25">
      <c r="B955" s="17"/>
      <c r="C955" s="14"/>
      <c r="D955" s="14"/>
      <c r="E955" s="18"/>
      <c r="F955" s="61"/>
      <c r="G955" s="73"/>
      <c r="H955" s="79"/>
      <c r="I955" s="79"/>
      <c r="J955" s="14"/>
      <c r="K955" s="38"/>
      <c r="L955" s="38"/>
      <c r="M955" s="17"/>
    </row>
    <row r="956" spans="2:13" ht="14.45" customHeight="1" x14ac:dyDescent="0.25">
      <c r="B956" s="17"/>
      <c r="C956" s="14"/>
      <c r="D956" s="14"/>
      <c r="E956" s="18"/>
      <c r="F956" s="61"/>
      <c r="G956" s="73"/>
      <c r="H956" s="79"/>
      <c r="I956" s="79"/>
      <c r="J956" s="14"/>
      <c r="K956" s="38"/>
      <c r="L956" s="38"/>
      <c r="M956" s="17"/>
    </row>
    <row r="957" spans="2:13" ht="14.45" customHeight="1" x14ac:dyDescent="0.25">
      <c r="B957" s="17"/>
      <c r="C957" s="14"/>
      <c r="D957" s="14"/>
      <c r="E957" s="18"/>
      <c r="F957" s="61"/>
      <c r="G957" s="73"/>
      <c r="H957" s="79"/>
      <c r="I957" s="79"/>
      <c r="J957" s="14"/>
      <c r="K957" s="38"/>
      <c r="L957" s="38"/>
      <c r="M957" s="17"/>
    </row>
    <row r="958" spans="2:13" ht="14.45" customHeight="1" x14ac:dyDescent="0.25">
      <c r="B958" s="17"/>
      <c r="C958" s="14"/>
      <c r="D958" s="14"/>
      <c r="E958" s="18"/>
      <c r="F958" s="61"/>
      <c r="G958" s="73"/>
      <c r="H958" s="79"/>
      <c r="I958" s="79"/>
      <c r="J958" s="14"/>
      <c r="K958" s="38"/>
      <c r="L958" s="38"/>
      <c r="M958" s="17"/>
    </row>
    <row r="959" spans="2:13" ht="14.45" customHeight="1" x14ac:dyDescent="0.25">
      <c r="B959" s="17"/>
      <c r="C959" s="14"/>
      <c r="D959" s="14"/>
      <c r="E959" s="18"/>
      <c r="F959" s="61"/>
      <c r="G959" s="73"/>
      <c r="H959" s="79"/>
      <c r="I959" s="79"/>
      <c r="J959" s="14"/>
      <c r="K959" s="38"/>
      <c r="L959" s="38"/>
      <c r="M959" s="17"/>
    </row>
    <row r="960" spans="2:13" ht="14.45" customHeight="1" x14ac:dyDescent="0.25">
      <c r="B960" s="17"/>
      <c r="C960" s="14"/>
      <c r="D960" s="14"/>
      <c r="E960" s="18"/>
      <c r="F960" s="61"/>
      <c r="G960" s="73"/>
      <c r="H960" s="79"/>
      <c r="I960" s="79"/>
      <c r="J960" s="14"/>
      <c r="K960" s="38"/>
      <c r="L960" s="38"/>
      <c r="M960" s="17"/>
    </row>
    <row r="961" spans="2:13" ht="14.45" customHeight="1" x14ac:dyDescent="0.25">
      <c r="B961" s="17"/>
      <c r="C961" s="14"/>
      <c r="D961" s="14"/>
      <c r="E961" s="18"/>
      <c r="F961" s="61"/>
      <c r="G961" s="73"/>
      <c r="H961" s="79"/>
      <c r="I961" s="79"/>
      <c r="J961" s="14"/>
      <c r="K961" s="38"/>
      <c r="L961" s="38"/>
      <c r="M961" s="17"/>
    </row>
    <row r="962" spans="2:13" ht="14.45" customHeight="1" x14ac:dyDescent="0.25">
      <c r="B962" s="17"/>
      <c r="C962" s="14"/>
      <c r="D962" s="14"/>
      <c r="E962" s="18"/>
      <c r="F962" s="61"/>
      <c r="G962" s="73"/>
      <c r="H962" s="79"/>
      <c r="I962" s="79"/>
      <c r="J962" s="14"/>
      <c r="K962" s="38"/>
      <c r="L962" s="38"/>
      <c r="M962" s="17"/>
    </row>
    <row r="963" spans="2:13" ht="14.45" customHeight="1" x14ac:dyDescent="0.25">
      <c r="B963" s="17"/>
      <c r="C963" s="14"/>
      <c r="D963" s="14"/>
      <c r="E963" s="18"/>
      <c r="F963" s="61"/>
      <c r="G963" s="73"/>
      <c r="H963" s="79"/>
      <c r="I963" s="79"/>
      <c r="J963" s="14"/>
      <c r="K963" s="38"/>
      <c r="L963" s="38"/>
      <c r="M963" s="17"/>
    </row>
    <row r="964" spans="2:13" ht="14.45" customHeight="1" x14ac:dyDescent="0.25">
      <c r="B964" s="17"/>
      <c r="C964" s="14"/>
      <c r="D964" s="14"/>
      <c r="E964" s="18"/>
      <c r="F964" s="61"/>
      <c r="G964" s="73"/>
      <c r="H964" s="79"/>
      <c r="I964" s="79"/>
      <c r="J964" s="14"/>
      <c r="K964" s="38"/>
      <c r="L964" s="38"/>
      <c r="M964" s="17"/>
    </row>
    <row r="965" spans="2:13" ht="14.45" customHeight="1" x14ac:dyDescent="0.25">
      <c r="B965" s="17"/>
      <c r="C965" s="14"/>
      <c r="D965" s="14"/>
      <c r="E965" s="18"/>
      <c r="F965" s="61"/>
      <c r="G965" s="73"/>
      <c r="H965" s="79"/>
      <c r="I965" s="79"/>
      <c r="J965" s="14"/>
      <c r="K965" s="38"/>
      <c r="L965" s="38"/>
      <c r="M965" s="17"/>
    </row>
    <row r="966" spans="2:13" ht="14.45" customHeight="1" x14ac:dyDescent="0.25">
      <c r="B966" s="17"/>
      <c r="C966" s="14"/>
      <c r="D966" s="14"/>
      <c r="E966" s="18"/>
      <c r="F966" s="61"/>
      <c r="G966" s="73"/>
      <c r="H966" s="79"/>
      <c r="I966" s="79"/>
      <c r="J966" s="14"/>
      <c r="K966" s="38"/>
      <c r="L966" s="38"/>
      <c r="M966" s="17"/>
    </row>
    <row r="967" spans="2:13" ht="14.45" customHeight="1" x14ac:dyDescent="0.25">
      <c r="B967" s="17"/>
      <c r="C967" s="14"/>
      <c r="D967" s="14"/>
      <c r="E967" s="18"/>
      <c r="F967" s="61"/>
      <c r="G967" s="73"/>
      <c r="H967" s="79"/>
      <c r="I967" s="79"/>
      <c r="J967" s="14"/>
      <c r="K967" s="38"/>
      <c r="L967" s="38"/>
      <c r="M967" s="17"/>
    </row>
    <row r="968" spans="2:13" ht="14.45" customHeight="1" x14ac:dyDescent="0.25">
      <c r="B968" s="17"/>
      <c r="C968" s="14"/>
      <c r="D968" s="14"/>
      <c r="E968" s="18"/>
      <c r="F968" s="61"/>
      <c r="G968" s="73"/>
      <c r="H968" s="79"/>
      <c r="I968" s="79"/>
      <c r="J968" s="14"/>
      <c r="K968" s="38"/>
      <c r="L968" s="38"/>
      <c r="M968" s="17"/>
    </row>
    <row r="969" spans="2:13" ht="14.45" customHeight="1" x14ac:dyDescent="0.25">
      <c r="B969" s="17"/>
      <c r="C969" s="14"/>
      <c r="D969" s="14"/>
      <c r="E969" s="18"/>
      <c r="F969" s="61"/>
      <c r="G969" s="73"/>
      <c r="H969" s="79"/>
      <c r="I969" s="79"/>
      <c r="J969" s="14"/>
      <c r="K969" s="38"/>
      <c r="L969" s="38"/>
      <c r="M969" s="17"/>
    </row>
    <row r="970" spans="2:13" ht="14.45" customHeight="1" x14ac:dyDescent="0.25">
      <c r="B970" s="17"/>
      <c r="C970" s="14"/>
      <c r="D970" s="14"/>
      <c r="E970" s="18"/>
      <c r="F970" s="61"/>
      <c r="G970" s="73"/>
      <c r="H970" s="79"/>
      <c r="I970" s="79"/>
      <c r="J970" s="14"/>
      <c r="K970" s="38"/>
      <c r="L970" s="38"/>
      <c r="M970" s="17"/>
    </row>
    <row r="971" spans="2:13" ht="14.45" customHeight="1" x14ac:dyDescent="0.25">
      <c r="B971" s="17"/>
      <c r="C971" s="14"/>
      <c r="D971" s="14"/>
      <c r="E971" s="18"/>
      <c r="F971" s="61"/>
      <c r="G971" s="73"/>
      <c r="H971" s="79"/>
      <c r="I971" s="79"/>
      <c r="J971" s="14"/>
      <c r="K971" s="38"/>
      <c r="L971" s="38"/>
      <c r="M971" s="17"/>
    </row>
    <row r="972" spans="2:13" ht="14.45" customHeight="1" x14ac:dyDescent="0.25">
      <c r="B972" s="17"/>
      <c r="C972" s="14"/>
      <c r="D972" s="14"/>
      <c r="E972" s="18"/>
      <c r="F972" s="61"/>
      <c r="G972" s="73"/>
      <c r="H972" s="79"/>
      <c r="I972" s="79"/>
      <c r="J972" s="14"/>
      <c r="K972" s="38"/>
      <c r="L972" s="38"/>
      <c r="M972" s="17"/>
    </row>
    <row r="973" spans="2:13" ht="14.45" customHeight="1" x14ac:dyDescent="0.25">
      <c r="B973" s="17"/>
      <c r="C973" s="14"/>
      <c r="D973" s="14"/>
      <c r="E973" s="18"/>
      <c r="F973" s="61"/>
      <c r="G973" s="73"/>
      <c r="H973" s="79"/>
      <c r="I973" s="79"/>
      <c r="J973" s="14"/>
      <c r="K973" s="38"/>
      <c r="L973" s="38"/>
      <c r="M973" s="17"/>
    </row>
    <row r="974" spans="2:13" ht="14.45" customHeight="1" x14ac:dyDescent="0.25">
      <c r="B974" s="17"/>
      <c r="C974" s="14"/>
      <c r="D974" s="14"/>
      <c r="E974" s="18"/>
      <c r="F974" s="61"/>
      <c r="G974" s="73"/>
      <c r="H974" s="79"/>
      <c r="I974" s="79"/>
      <c r="J974" s="14"/>
      <c r="K974" s="38"/>
      <c r="L974" s="38"/>
      <c r="M974" s="17"/>
    </row>
    <row r="975" spans="2:13" ht="14.45" customHeight="1" x14ac:dyDescent="0.25">
      <c r="B975" s="17"/>
      <c r="C975" s="14"/>
      <c r="D975" s="14"/>
      <c r="E975" s="18"/>
      <c r="F975" s="61"/>
      <c r="G975" s="73"/>
      <c r="H975" s="79"/>
      <c r="I975" s="79"/>
      <c r="J975" s="14"/>
      <c r="K975" s="38"/>
      <c r="L975" s="38"/>
      <c r="M975" s="17"/>
    </row>
    <row r="976" spans="2:13" ht="14.45" customHeight="1" x14ac:dyDescent="0.25">
      <c r="B976" s="17"/>
      <c r="C976" s="14"/>
      <c r="D976" s="14"/>
      <c r="E976" s="18"/>
      <c r="F976" s="61"/>
      <c r="G976" s="73"/>
      <c r="H976" s="79"/>
      <c r="I976" s="79"/>
      <c r="J976" s="14"/>
      <c r="K976" s="38"/>
      <c r="L976" s="38"/>
      <c r="M976" s="17"/>
    </row>
    <row r="977" spans="2:13" ht="14.45" customHeight="1" x14ac:dyDescent="0.25">
      <c r="B977" s="17"/>
      <c r="C977" s="14"/>
      <c r="D977" s="14"/>
      <c r="E977" s="18"/>
      <c r="F977" s="61"/>
      <c r="G977" s="73"/>
      <c r="H977" s="79"/>
      <c r="I977" s="79"/>
      <c r="J977" s="14"/>
      <c r="K977" s="38"/>
      <c r="L977" s="38"/>
      <c r="M977" s="17"/>
    </row>
    <row r="978" spans="2:13" ht="14.45" customHeight="1" x14ac:dyDescent="0.25">
      <c r="B978" s="17"/>
      <c r="C978" s="14"/>
      <c r="D978" s="14"/>
      <c r="E978" s="18"/>
      <c r="F978" s="61"/>
      <c r="G978" s="73"/>
      <c r="H978" s="79"/>
      <c r="I978" s="79"/>
      <c r="J978" s="14"/>
      <c r="K978" s="38"/>
      <c r="L978" s="38"/>
      <c r="M978" s="17"/>
    </row>
    <row r="979" spans="2:13" ht="14.45" customHeight="1" x14ac:dyDescent="0.25">
      <c r="B979" s="17"/>
      <c r="C979" s="14"/>
      <c r="D979" s="14"/>
      <c r="E979" s="18"/>
      <c r="F979" s="61"/>
      <c r="G979" s="73"/>
      <c r="H979" s="79"/>
      <c r="I979" s="79"/>
      <c r="J979" s="14"/>
      <c r="K979" s="38"/>
      <c r="L979" s="38"/>
      <c r="M979" s="17"/>
    </row>
    <row r="980" spans="2:13" ht="14.45" customHeight="1" x14ac:dyDescent="0.25">
      <c r="B980" s="17"/>
      <c r="C980" s="14"/>
      <c r="D980" s="14"/>
      <c r="E980" s="18"/>
      <c r="F980" s="61"/>
      <c r="G980" s="73"/>
      <c r="H980" s="79"/>
      <c r="I980" s="79"/>
      <c r="J980" s="14"/>
      <c r="K980" s="38"/>
      <c r="L980" s="38"/>
      <c r="M980" s="17"/>
    </row>
    <row r="981" spans="2:13" ht="14.45" customHeight="1" x14ac:dyDescent="0.25">
      <c r="B981" s="17"/>
      <c r="C981" s="14"/>
      <c r="D981" s="14"/>
      <c r="E981" s="18"/>
      <c r="F981" s="61"/>
      <c r="G981" s="73"/>
      <c r="H981" s="79"/>
      <c r="I981" s="79"/>
      <c r="J981" s="14"/>
      <c r="K981" s="38"/>
      <c r="L981" s="38"/>
      <c r="M981" s="17"/>
    </row>
    <row r="982" spans="2:13" ht="14.45" customHeight="1" x14ac:dyDescent="0.25">
      <c r="B982" s="17"/>
      <c r="C982" s="14"/>
      <c r="D982" s="14"/>
      <c r="E982" s="18"/>
      <c r="F982" s="61"/>
      <c r="G982" s="73"/>
      <c r="H982" s="79"/>
      <c r="I982" s="79"/>
      <c r="J982" s="14"/>
      <c r="K982" s="38"/>
      <c r="L982" s="38"/>
      <c r="M982" s="17"/>
    </row>
    <row r="983" spans="2:13" ht="14.45" customHeight="1" x14ac:dyDescent="0.25">
      <c r="B983" s="17"/>
      <c r="C983" s="14"/>
      <c r="D983" s="14"/>
      <c r="E983" s="18"/>
      <c r="F983" s="61"/>
      <c r="G983" s="73"/>
      <c r="H983" s="79"/>
      <c r="I983" s="79"/>
      <c r="J983" s="14"/>
      <c r="K983" s="38"/>
      <c r="L983" s="38"/>
      <c r="M983" s="17"/>
    </row>
    <row r="984" spans="2:13" ht="14.45" customHeight="1" x14ac:dyDescent="0.25">
      <c r="B984" s="17"/>
      <c r="C984" s="14"/>
      <c r="D984" s="14"/>
      <c r="E984" s="18"/>
      <c r="F984" s="61"/>
      <c r="G984" s="73"/>
      <c r="H984" s="79"/>
      <c r="I984" s="79"/>
      <c r="J984" s="14"/>
      <c r="K984" s="38"/>
      <c r="L984" s="38"/>
      <c r="M984" s="17"/>
    </row>
    <row r="985" spans="2:13" ht="14.45" customHeight="1" x14ac:dyDescent="0.25">
      <c r="B985" s="17"/>
      <c r="C985" s="14"/>
      <c r="D985" s="14"/>
      <c r="E985" s="18"/>
      <c r="F985" s="61"/>
      <c r="G985" s="73"/>
      <c r="H985" s="79"/>
      <c r="I985" s="79"/>
      <c r="J985" s="14"/>
      <c r="K985" s="38"/>
      <c r="L985" s="38"/>
      <c r="M985" s="17"/>
    </row>
    <row r="986" spans="2:13" ht="14.45" customHeight="1" x14ac:dyDescent="0.25">
      <c r="B986" s="17"/>
      <c r="C986" s="14"/>
      <c r="D986" s="14"/>
      <c r="E986" s="18"/>
      <c r="F986" s="61"/>
      <c r="G986" s="73"/>
      <c r="H986" s="79"/>
      <c r="I986" s="79"/>
      <c r="J986" s="14"/>
      <c r="K986" s="38"/>
      <c r="L986" s="38"/>
      <c r="M986" s="17"/>
    </row>
    <row r="987" spans="2:13" ht="14.45" customHeight="1" x14ac:dyDescent="0.25">
      <c r="B987" s="17"/>
      <c r="C987" s="14"/>
      <c r="D987" s="14"/>
      <c r="E987" s="18"/>
      <c r="F987" s="61"/>
      <c r="G987" s="73"/>
      <c r="H987" s="79"/>
      <c r="I987" s="79"/>
      <c r="J987" s="14"/>
      <c r="K987" s="38"/>
      <c r="L987" s="38"/>
      <c r="M987" s="17"/>
    </row>
    <row r="988" spans="2:13" ht="14.45" customHeight="1" x14ac:dyDescent="0.25">
      <c r="B988" s="17"/>
      <c r="C988" s="14"/>
      <c r="D988" s="14"/>
      <c r="E988" s="18"/>
      <c r="F988" s="61"/>
      <c r="G988" s="73"/>
      <c r="H988" s="79"/>
      <c r="I988" s="79"/>
      <c r="J988" s="14"/>
      <c r="K988" s="38"/>
      <c r="L988" s="38"/>
      <c r="M988" s="17"/>
    </row>
    <row r="989" spans="2:13" ht="14.45" customHeight="1" x14ac:dyDescent="0.25">
      <c r="B989" s="17"/>
      <c r="C989" s="14"/>
      <c r="D989" s="14"/>
      <c r="E989" s="18"/>
      <c r="F989" s="61"/>
      <c r="G989" s="73"/>
      <c r="H989" s="79"/>
      <c r="I989" s="79"/>
      <c r="J989" s="14"/>
      <c r="K989" s="38"/>
      <c r="L989" s="38"/>
      <c r="M989" s="17"/>
    </row>
    <row r="990" spans="2:13" ht="14.45" customHeight="1" x14ac:dyDescent="0.25">
      <c r="B990" s="17"/>
      <c r="C990" s="14"/>
      <c r="D990" s="14"/>
      <c r="E990" s="18"/>
      <c r="F990" s="61"/>
      <c r="G990" s="73"/>
      <c r="H990" s="79"/>
      <c r="I990" s="79"/>
      <c r="J990" s="14"/>
      <c r="K990" s="38"/>
      <c r="L990" s="38"/>
      <c r="M990" s="17"/>
    </row>
    <row r="991" spans="2:13" ht="14.45" customHeight="1" x14ac:dyDescent="0.25">
      <c r="B991" s="17"/>
      <c r="C991" s="14"/>
      <c r="D991" s="14"/>
      <c r="E991" s="18"/>
      <c r="F991" s="61"/>
      <c r="G991" s="73"/>
      <c r="H991" s="79"/>
      <c r="I991" s="79"/>
      <c r="J991" s="14"/>
      <c r="K991" s="38"/>
      <c r="L991" s="38"/>
      <c r="M991" s="17"/>
    </row>
    <row r="992" spans="2:13" ht="14.45" customHeight="1" x14ac:dyDescent="0.25">
      <c r="B992" s="17"/>
      <c r="C992" s="14"/>
      <c r="D992" s="14"/>
      <c r="E992" s="18"/>
      <c r="F992" s="61"/>
      <c r="G992" s="73"/>
      <c r="H992" s="79"/>
      <c r="I992" s="79"/>
      <c r="J992" s="14"/>
      <c r="K992" s="38"/>
      <c r="L992" s="38"/>
      <c r="M992" s="17"/>
    </row>
    <row r="993" spans="2:13" ht="14.45" customHeight="1" x14ac:dyDescent="0.25">
      <c r="B993" s="17"/>
      <c r="C993" s="14"/>
      <c r="D993" s="14"/>
      <c r="E993" s="18"/>
      <c r="F993" s="61"/>
      <c r="G993" s="73"/>
      <c r="H993" s="79"/>
      <c r="I993" s="79"/>
      <c r="J993" s="14"/>
      <c r="K993" s="38"/>
      <c r="L993" s="38"/>
      <c r="M993" s="17"/>
    </row>
    <row r="994" spans="2:13" ht="14.45" customHeight="1" x14ac:dyDescent="0.25">
      <c r="B994" s="17"/>
      <c r="C994" s="14"/>
      <c r="D994" s="14"/>
      <c r="E994" s="18"/>
      <c r="F994" s="61"/>
      <c r="G994" s="73"/>
      <c r="H994" s="79"/>
      <c r="I994" s="79"/>
      <c r="J994" s="14"/>
      <c r="K994" s="38"/>
      <c r="L994" s="38"/>
      <c r="M994" s="17"/>
    </row>
    <row r="995" spans="2:13" ht="14.45" customHeight="1" x14ac:dyDescent="0.25">
      <c r="B995" s="17"/>
      <c r="C995" s="14"/>
      <c r="D995" s="14"/>
      <c r="E995" s="18"/>
      <c r="F995" s="61"/>
      <c r="G995" s="73"/>
      <c r="H995" s="79"/>
      <c r="I995" s="79"/>
      <c r="J995" s="14"/>
      <c r="K995" s="38"/>
      <c r="L995" s="38"/>
      <c r="M995" s="17"/>
    </row>
    <row r="996" spans="2:13" ht="14.45" customHeight="1" x14ac:dyDescent="0.25">
      <c r="B996" s="17"/>
      <c r="C996" s="14"/>
      <c r="D996" s="14"/>
      <c r="E996" s="18"/>
      <c r="F996" s="61"/>
      <c r="G996" s="73"/>
      <c r="H996" s="79"/>
      <c r="I996" s="79"/>
      <c r="J996" s="14"/>
      <c r="K996" s="38"/>
      <c r="L996" s="38"/>
      <c r="M996" s="17"/>
    </row>
    <row r="997" spans="2:13" ht="14.45" customHeight="1" x14ac:dyDescent="0.25">
      <c r="B997" s="17"/>
      <c r="C997" s="14"/>
      <c r="D997" s="14"/>
      <c r="E997" s="18"/>
      <c r="F997" s="61"/>
      <c r="G997" s="73"/>
      <c r="H997" s="79"/>
      <c r="I997" s="79"/>
      <c r="J997" s="14"/>
      <c r="K997" s="38"/>
      <c r="L997" s="38"/>
      <c r="M997" s="17"/>
    </row>
    <row r="998" spans="2:13" ht="14.45" customHeight="1" x14ac:dyDescent="0.25">
      <c r="B998" s="17"/>
      <c r="C998" s="14"/>
      <c r="D998" s="14"/>
      <c r="E998" s="18"/>
      <c r="F998" s="61"/>
      <c r="G998" s="73"/>
      <c r="H998" s="79"/>
      <c r="I998" s="79"/>
      <c r="J998" s="14"/>
      <c r="K998" s="38"/>
      <c r="L998" s="38"/>
      <c r="M998" s="17"/>
    </row>
    <row r="999" spans="2:13" ht="14.45" customHeight="1" x14ac:dyDescent="0.25">
      <c r="B999" s="17"/>
      <c r="C999" s="14"/>
      <c r="D999" s="14"/>
      <c r="E999" s="18"/>
      <c r="F999" s="61"/>
      <c r="G999" s="73"/>
      <c r="H999" s="79"/>
      <c r="I999" s="79"/>
      <c r="J999" s="14"/>
      <c r="K999" s="38"/>
      <c r="L999" s="38"/>
      <c r="M999" s="17"/>
    </row>
    <row r="1000" spans="2:13" ht="14.45" customHeight="1" x14ac:dyDescent="0.25">
      <c r="B1000" s="17"/>
      <c r="C1000" s="14"/>
      <c r="D1000" s="14"/>
      <c r="E1000" s="18"/>
      <c r="F1000" s="61"/>
      <c r="G1000" s="73"/>
      <c r="H1000" s="79"/>
      <c r="I1000" s="79"/>
      <c r="J1000" s="14"/>
      <c r="K1000" s="38"/>
      <c r="L1000" s="38"/>
      <c r="M1000" s="17"/>
    </row>
  </sheetData>
  <sheetProtection algorithmName="SHA-512" hashValue="rDV/zqqU1wlcGBUnESzOzzrV5mOK7bHASBnugup4jCh6cWcFpbjd/1YGM1cubsFou6AQgjMJd32U3LZia7s0pA==" saltValue="ZTBDA1Dz9VFGL+sG7tSxeg==" spinCount="100000" sheet="1" objects="1" scenarios="1"/>
  <mergeCells count="2">
    <mergeCell ref="C10:F10"/>
    <mergeCell ref="H10:I10"/>
  </mergeCells>
  <conditionalFormatting sqref="M10 H10">
    <cfRule type="cellIs" dxfId="58" priority="2" operator="greaterThanOrEqual">
      <formula>6750</formula>
    </cfRule>
  </conditionalFormatting>
  <conditionalFormatting sqref="K13:K1000">
    <cfRule type="cellIs" dxfId="57" priority="1" operator="lessThan">
      <formula>0</formula>
    </cfRule>
  </conditionalFormatting>
  <dataValidations count="1">
    <dataValidation type="list" allowBlank="1" showInputMessage="1" showErrorMessage="1" sqref="H13:H1000" xr:uid="{6C9944FD-0CDE-49CA-9C64-93EB61B30508}">
      <formula1>"Ativa,Cancelada"</formula1>
    </dataValidation>
  </dataValidations>
  <printOptions horizontalCentered="1"/>
  <pageMargins left="0.19685039370078741" right="0.19685039370078741" top="0.39370078740157483" bottom="0.78740157480314965" header="0.31496062992125984" footer="0.31496062992125984"/>
  <pageSetup paperSize="9" scale="54" fitToHeight="50" orientation="portrait" r:id="rId1"/>
  <headerFooter>
    <oddHeader>&amp;L&amp;"Calibri"&amp;12&amp;K008000 Documento Público&amp;1#_x000D_</oddHeader>
    <oddFooter>Página &amp;P de &amp;N</oddFooter>
  </headerFooter>
  <rowBreaks count="1" manualBreakCount="1">
    <brk id="63" min="1" max="5" man="1"/>
  </rowBreaks>
  <drawing r:id="rId2"/>
  <tableParts count="1"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82C7C8-D623-4DD6-AFAD-EB1BBCEFE507}">
  <sheetPr codeName="Planilha15">
    <tabColor theme="8" tint="-0.499984740745262"/>
    <pageSetUpPr fitToPage="1"/>
  </sheetPr>
  <dimension ref="A1:Q1000"/>
  <sheetViews>
    <sheetView showGridLines="0" showRowColHeaders="0" zoomScaleNormal="100" workbookViewId="0">
      <pane ySplit="12" topLeftCell="A13" activePane="bottomLeft" state="frozen"/>
      <selection activeCell="D23" sqref="D23"/>
      <selection pane="bottomLeft" activeCell="H10" sqref="H10:I10"/>
    </sheetView>
  </sheetViews>
  <sheetFormatPr defaultColWidth="0" defaultRowHeight="14.45" customHeight="1" x14ac:dyDescent="0.25"/>
  <cols>
    <col min="1" max="1" width="1.7109375" customWidth="1"/>
    <col min="2" max="2" width="15.28515625" customWidth="1"/>
    <col min="3" max="3" width="35.85546875" customWidth="1"/>
    <col min="4" max="4" width="20.7109375" customWidth="1"/>
    <col min="5" max="5" width="42.28515625" customWidth="1"/>
    <col min="6" max="6" width="25.7109375" customWidth="1"/>
    <col min="7" max="7" width="12.28515625" bestFit="1" customWidth="1"/>
    <col min="8" max="8" width="12.28515625" customWidth="1"/>
    <col min="9" max="9" width="21.42578125" bestFit="1" customWidth="1"/>
    <col min="10" max="10" width="16.140625" customWidth="1"/>
    <col min="11" max="11" width="13" customWidth="1"/>
    <col min="12" max="12" width="11.28515625" customWidth="1"/>
    <col min="13" max="13" width="18.28515625" customWidth="1"/>
    <col min="14" max="14" width="5.7109375" customWidth="1"/>
    <col min="15" max="15" width="25" hidden="1" customWidth="1"/>
    <col min="16" max="16" width="6.7109375" hidden="1" customWidth="1"/>
    <col min="17" max="17" width="3.85546875" hidden="1" customWidth="1"/>
    <col min="18" max="16384" width="8.85546875" hidden="1"/>
  </cols>
  <sheetData>
    <row r="1" spans="2:13" ht="15" x14ac:dyDescent="0.25"/>
    <row r="2" spans="2:13" ht="15" x14ac:dyDescent="0.25"/>
    <row r="3" spans="2:13" ht="15" x14ac:dyDescent="0.25">
      <c r="J3" s="9" t="str">
        <f>IF(H10&gt;=6750,"ATENÇÃO: Você atingiu o limite de faturamento mensal de R$ 6.750,00",IF(H10&gt;=6000,"O limite de faturamento mensal de R$ 6.750,00 está quase sendo atingido.",""))</f>
        <v/>
      </c>
    </row>
    <row r="4" spans="2:13" ht="1.9" customHeight="1" x14ac:dyDescent="0.25"/>
    <row r="5" spans="2:13" s="1" customFormat="1" ht="4.9000000000000004" customHeight="1" x14ac:dyDescent="0.25"/>
    <row r="6" spans="2:13" ht="3" customHeight="1" x14ac:dyDescent="0.25"/>
    <row r="7" spans="2:13" s="1" customFormat="1" ht="4.9000000000000004" customHeight="1" x14ac:dyDescent="0.25"/>
    <row r="8" spans="2:13" ht="1.9" customHeight="1" x14ac:dyDescent="0.25"/>
    <row r="9" spans="2:13" ht="30" customHeight="1" x14ac:dyDescent="0.25"/>
    <row r="10" spans="2:13" ht="34.9" customHeight="1" x14ac:dyDescent="0.25">
      <c r="B10" s="4" t="s">
        <v>0</v>
      </c>
      <c r="C10" s="94" t="str">
        <f>Menu!G26</f>
        <v>Empresa ABCDE</v>
      </c>
      <c r="D10" s="95"/>
      <c r="E10" s="95"/>
      <c r="F10" s="95"/>
      <c r="G10" s="87"/>
      <c r="H10" s="93">
        <f>SUMIF(NOV[Status Nota Fiscal],"Ativa",NOV[Valor da Parcela a Receber])</f>
        <v>0</v>
      </c>
      <c r="I10" s="93"/>
      <c r="J10" s="85"/>
      <c r="M10" s="86"/>
    </row>
    <row r="11" spans="2:13" ht="4.9000000000000004" customHeight="1" x14ac:dyDescent="0.25"/>
    <row r="12" spans="2:13" ht="30" customHeight="1" x14ac:dyDescent="0.25">
      <c r="B12" s="5" t="s">
        <v>2</v>
      </c>
      <c r="C12" s="6" t="s">
        <v>3</v>
      </c>
      <c r="D12" s="6" t="s">
        <v>4</v>
      </c>
      <c r="E12" s="6" t="s">
        <v>5</v>
      </c>
      <c r="F12" s="7" t="s">
        <v>6</v>
      </c>
      <c r="G12" s="7" t="s">
        <v>7</v>
      </c>
      <c r="H12" s="7" t="s">
        <v>8</v>
      </c>
      <c r="I12" s="7" t="s">
        <v>9</v>
      </c>
      <c r="J12" s="7" t="s">
        <v>10</v>
      </c>
      <c r="K12" s="7" t="s">
        <v>11</v>
      </c>
      <c r="L12" s="7" t="s">
        <v>12</v>
      </c>
      <c r="M12" s="8" t="s">
        <v>13</v>
      </c>
    </row>
    <row r="13" spans="2:13" ht="14.45" customHeight="1" x14ac:dyDescent="0.25">
      <c r="B13" s="24"/>
      <c r="C13" s="25"/>
      <c r="D13" s="25"/>
      <c r="E13" s="25"/>
      <c r="F13" s="26"/>
      <c r="G13" s="62"/>
      <c r="H13" s="62"/>
      <c r="I13" s="62"/>
      <c r="J13" s="27"/>
      <c r="K13" s="28"/>
      <c r="L13" s="28"/>
      <c r="M13" s="29"/>
    </row>
    <row r="14" spans="2:13" ht="14.45" customHeight="1" x14ac:dyDescent="0.25">
      <c r="B14" s="30"/>
      <c r="C14" s="31"/>
      <c r="D14" s="31"/>
      <c r="E14" s="31"/>
      <c r="F14" s="32"/>
      <c r="G14" s="63"/>
      <c r="H14" s="63"/>
      <c r="I14" s="63"/>
      <c r="J14" s="33"/>
      <c r="K14" s="34"/>
      <c r="L14" s="34"/>
      <c r="M14" s="35"/>
    </row>
    <row r="15" spans="2:13" ht="14.45" customHeight="1" x14ac:dyDescent="0.25">
      <c r="B15" s="36"/>
      <c r="C15" s="14"/>
      <c r="D15" s="14"/>
      <c r="E15" s="18"/>
      <c r="F15" s="20"/>
      <c r="G15" s="64"/>
      <c r="H15" s="68"/>
      <c r="I15" s="68"/>
      <c r="J15" s="37"/>
      <c r="K15" s="38"/>
      <c r="L15" s="38"/>
      <c r="M15" s="36"/>
    </row>
    <row r="16" spans="2:13" ht="14.45" customHeight="1" x14ac:dyDescent="0.25">
      <c r="B16" s="17"/>
      <c r="C16" s="14"/>
      <c r="D16" s="14"/>
      <c r="E16" s="18"/>
      <c r="F16" s="20"/>
      <c r="G16" s="64"/>
      <c r="H16" s="68"/>
      <c r="I16" s="68"/>
      <c r="J16" s="15"/>
      <c r="K16" s="38"/>
      <c r="L16" s="38"/>
      <c r="M16" s="17"/>
    </row>
    <row r="17" spans="2:13" ht="14.45" customHeight="1" x14ac:dyDescent="0.25">
      <c r="B17" s="17"/>
      <c r="C17" s="14"/>
      <c r="D17" s="14"/>
      <c r="E17" s="18"/>
      <c r="F17" s="20"/>
      <c r="G17" s="64"/>
      <c r="H17" s="68"/>
      <c r="I17" s="68"/>
      <c r="J17" s="15"/>
      <c r="K17" s="38"/>
      <c r="L17" s="38"/>
      <c r="M17" s="17"/>
    </row>
    <row r="18" spans="2:13" ht="14.45" customHeight="1" x14ac:dyDescent="0.25">
      <c r="B18" s="17"/>
      <c r="C18" s="14"/>
      <c r="D18" s="14"/>
      <c r="E18" s="18"/>
      <c r="F18" s="20"/>
      <c r="G18" s="64"/>
      <c r="H18" s="68"/>
      <c r="I18" s="68"/>
      <c r="J18" s="15"/>
      <c r="K18" s="38"/>
      <c r="L18" s="38"/>
      <c r="M18" s="17"/>
    </row>
    <row r="19" spans="2:13" ht="14.45" customHeight="1" x14ac:dyDescent="0.25">
      <c r="B19" s="17"/>
      <c r="C19" s="14"/>
      <c r="D19" s="14"/>
      <c r="E19" s="18"/>
      <c r="F19" s="20"/>
      <c r="G19" s="64"/>
      <c r="H19" s="68"/>
      <c r="I19" s="68"/>
      <c r="J19" s="15"/>
      <c r="K19" s="38"/>
      <c r="L19" s="38"/>
      <c r="M19" s="17"/>
    </row>
    <row r="20" spans="2:13" ht="14.45" customHeight="1" x14ac:dyDescent="0.25">
      <c r="B20" s="17"/>
      <c r="C20" s="14"/>
      <c r="D20" s="14"/>
      <c r="E20" s="18"/>
      <c r="F20" s="20"/>
      <c r="G20" s="64"/>
      <c r="H20" s="68"/>
      <c r="I20" s="68"/>
      <c r="J20" s="15"/>
      <c r="K20" s="38"/>
      <c r="L20" s="38"/>
      <c r="M20" s="17"/>
    </row>
    <row r="21" spans="2:13" ht="14.45" customHeight="1" x14ac:dyDescent="0.25">
      <c r="B21" s="17"/>
      <c r="C21" s="14"/>
      <c r="D21" s="14"/>
      <c r="E21" s="18"/>
      <c r="F21" s="20"/>
      <c r="G21" s="64"/>
      <c r="H21" s="68"/>
      <c r="I21" s="68"/>
      <c r="J21" s="15"/>
      <c r="K21" s="38"/>
      <c r="L21" s="38"/>
      <c r="M21" s="17"/>
    </row>
    <row r="22" spans="2:13" ht="14.45" customHeight="1" x14ac:dyDescent="0.25">
      <c r="B22" s="17"/>
      <c r="C22" s="14"/>
      <c r="D22" s="14"/>
      <c r="E22" s="18"/>
      <c r="F22" s="20"/>
      <c r="G22" s="64"/>
      <c r="H22" s="68"/>
      <c r="I22" s="68"/>
      <c r="J22" s="15"/>
      <c r="K22" s="38"/>
      <c r="L22" s="38"/>
      <c r="M22" s="17"/>
    </row>
    <row r="23" spans="2:13" ht="14.45" customHeight="1" x14ac:dyDescent="0.25">
      <c r="B23" s="17"/>
      <c r="C23" s="14"/>
      <c r="D23" s="14"/>
      <c r="E23" s="18"/>
      <c r="F23" s="20"/>
      <c r="G23" s="64"/>
      <c r="H23" s="68"/>
      <c r="I23" s="68"/>
      <c r="J23" s="15"/>
      <c r="K23" s="38"/>
      <c r="L23" s="38"/>
      <c r="M23" s="17"/>
    </row>
    <row r="24" spans="2:13" ht="14.45" customHeight="1" x14ac:dyDescent="0.25">
      <c r="B24" s="17"/>
      <c r="C24" s="14"/>
      <c r="D24" s="14"/>
      <c r="E24" s="18"/>
      <c r="F24" s="20"/>
      <c r="G24" s="64"/>
      <c r="H24" s="68"/>
      <c r="I24" s="68"/>
      <c r="J24" s="15"/>
      <c r="K24" s="38"/>
      <c r="L24" s="38"/>
      <c r="M24" s="17"/>
    </row>
    <row r="25" spans="2:13" ht="14.45" customHeight="1" x14ac:dyDescent="0.25">
      <c r="B25" s="17"/>
      <c r="C25" s="14"/>
      <c r="D25" s="14"/>
      <c r="E25" s="18"/>
      <c r="F25" s="20"/>
      <c r="G25" s="64"/>
      <c r="H25" s="68"/>
      <c r="I25" s="68"/>
      <c r="J25" s="15"/>
      <c r="K25" s="38"/>
      <c r="L25" s="38"/>
      <c r="M25" s="17"/>
    </row>
    <row r="26" spans="2:13" ht="14.45" customHeight="1" x14ac:dyDescent="0.25">
      <c r="B26" s="17"/>
      <c r="C26" s="14"/>
      <c r="D26" s="14"/>
      <c r="E26" s="18"/>
      <c r="F26" s="20"/>
      <c r="G26" s="64"/>
      <c r="H26" s="68"/>
      <c r="I26" s="68"/>
      <c r="J26" s="15"/>
      <c r="K26" s="38"/>
      <c r="L26" s="38"/>
      <c r="M26" s="17"/>
    </row>
    <row r="27" spans="2:13" ht="14.45" customHeight="1" x14ac:dyDescent="0.25">
      <c r="B27" s="17"/>
      <c r="C27" s="14"/>
      <c r="D27" s="14"/>
      <c r="E27" s="18"/>
      <c r="F27" s="20"/>
      <c r="G27" s="64"/>
      <c r="H27" s="68"/>
      <c r="I27" s="68"/>
      <c r="J27" s="15"/>
      <c r="K27" s="38"/>
      <c r="L27" s="38"/>
      <c r="M27" s="17"/>
    </row>
    <row r="28" spans="2:13" ht="14.45" customHeight="1" x14ac:dyDescent="0.25">
      <c r="B28" s="17"/>
      <c r="C28" s="14"/>
      <c r="D28" s="14"/>
      <c r="E28" s="18"/>
      <c r="F28" s="20"/>
      <c r="G28" s="64"/>
      <c r="H28" s="68"/>
      <c r="I28" s="68"/>
      <c r="J28" s="15"/>
      <c r="K28" s="38"/>
      <c r="L28" s="38"/>
      <c r="M28" s="17"/>
    </row>
    <row r="29" spans="2:13" ht="14.45" customHeight="1" x14ac:dyDescent="0.25">
      <c r="B29" s="17"/>
      <c r="C29" s="14"/>
      <c r="D29" s="14"/>
      <c r="E29" s="18"/>
      <c r="F29" s="20"/>
      <c r="G29" s="64"/>
      <c r="H29" s="68"/>
      <c r="I29" s="68"/>
      <c r="J29" s="15"/>
      <c r="K29" s="38"/>
      <c r="L29" s="38"/>
      <c r="M29" s="17"/>
    </row>
    <row r="30" spans="2:13" ht="14.45" customHeight="1" x14ac:dyDescent="0.25">
      <c r="B30" s="17"/>
      <c r="C30" s="14"/>
      <c r="D30" s="14"/>
      <c r="E30" s="18"/>
      <c r="F30" s="20"/>
      <c r="G30" s="64"/>
      <c r="H30" s="68"/>
      <c r="I30" s="68"/>
      <c r="J30" s="15"/>
      <c r="K30" s="38"/>
      <c r="L30" s="38"/>
      <c r="M30" s="17"/>
    </row>
    <row r="31" spans="2:13" ht="14.45" customHeight="1" x14ac:dyDescent="0.25">
      <c r="B31" s="17"/>
      <c r="C31" s="14"/>
      <c r="D31" s="14"/>
      <c r="E31" s="18"/>
      <c r="F31" s="20"/>
      <c r="G31" s="64"/>
      <c r="H31" s="68"/>
      <c r="I31" s="68"/>
      <c r="J31" s="15"/>
      <c r="K31" s="38"/>
      <c r="L31" s="38"/>
      <c r="M31" s="17"/>
    </row>
    <row r="32" spans="2:13" ht="14.45" customHeight="1" x14ac:dyDescent="0.25">
      <c r="B32" s="17"/>
      <c r="C32" s="14"/>
      <c r="D32" s="14"/>
      <c r="E32" s="18"/>
      <c r="F32" s="20"/>
      <c r="G32" s="64"/>
      <c r="H32" s="68"/>
      <c r="I32" s="68"/>
      <c r="J32" s="15"/>
      <c r="K32" s="38"/>
      <c r="L32" s="38"/>
      <c r="M32" s="17"/>
    </row>
    <row r="33" spans="2:13" ht="14.45" customHeight="1" x14ac:dyDescent="0.25">
      <c r="B33" s="17"/>
      <c r="C33" s="14"/>
      <c r="D33" s="14"/>
      <c r="E33" s="18"/>
      <c r="F33" s="20"/>
      <c r="G33" s="64"/>
      <c r="H33" s="68"/>
      <c r="I33" s="68"/>
      <c r="J33" s="15"/>
      <c r="K33" s="38"/>
      <c r="L33" s="38"/>
      <c r="M33" s="17"/>
    </row>
    <row r="34" spans="2:13" ht="14.45" customHeight="1" x14ac:dyDescent="0.25">
      <c r="B34" s="17"/>
      <c r="C34" s="14"/>
      <c r="D34" s="14"/>
      <c r="E34" s="18"/>
      <c r="F34" s="20"/>
      <c r="G34" s="64"/>
      <c r="H34" s="68"/>
      <c r="I34" s="68"/>
      <c r="J34" s="15"/>
      <c r="K34" s="38"/>
      <c r="L34" s="38"/>
      <c r="M34" s="17"/>
    </row>
    <row r="35" spans="2:13" ht="14.45" customHeight="1" x14ac:dyDescent="0.25">
      <c r="B35" s="39"/>
      <c r="C35" s="40"/>
      <c r="D35" s="40"/>
      <c r="E35" s="41"/>
      <c r="F35" s="42"/>
      <c r="G35" s="65"/>
      <c r="H35" s="70"/>
      <c r="I35" s="70"/>
      <c r="J35" s="43"/>
      <c r="K35" s="38"/>
      <c r="L35" s="38"/>
      <c r="M35" s="17"/>
    </row>
    <row r="36" spans="2:13" ht="14.45" customHeight="1" x14ac:dyDescent="0.25">
      <c r="B36" s="17"/>
      <c r="C36" s="14"/>
      <c r="D36" s="14"/>
      <c r="E36" s="18"/>
      <c r="F36" s="20"/>
      <c r="G36" s="64"/>
      <c r="H36" s="68"/>
      <c r="I36" s="68"/>
      <c r="J36" s="14"/>
      <c r="K36" s="38"/>
      <c r="L36" s="38"/>
      <c r="M36" s="17"/>
    </row>
    <row r="37" spans="2:13" ht="14.45" customHeight="1" x14ac:dyDescent="0.25">
      <c r="B37" s="39"/>
      <c r="C37" s="40"/>
      <c r="D37" s="40"/>
      <c r="E37" s="41"/>
      <c r="F37" s="42"/>
      <c r="G37" s="65"/>
      <c r="H37" s="70"/>
      <c r="I37" s="70"/>
      <c r="J37" s="40"/>
      <c r="K37" s="38"/>
      <c r="L37" s="38"/>
      <c r="M37" s="17"/>
    </row>
    <row r="38" spans="2:13" ht="14.45" customHeight="1" x14ac:dyDescent="0.25">
      <c r="B38" s="44"/>
      <c r="C38" s="45"/>
      <c r="D38" s="45"/>
      <c r="E38" s="46"/>
      <c r="F38" s="47"/>
      <c r="G38" s="66"/>
      <c r="H38" s="77"/>
      <c r="I38" s="77"/>
      <c r="J38" s="45"/>
      <c r="K38" s="38"/>
      <c r="L38" s="38"/>
      <c r="M38" s="17"/>
    </row>
    <row r="39" spans="2:13" ht="14.45" customHeight="1" x14ac:dyDescent="0.25">
      <c r="B39" s="39"/>
      <c r="C39" s="48"/>
      <c r="D39" s="48"/>
      <c r="E39" s="49"/>
      <c r="F39" s="50"/>
      <c r="G39" s="67"/>
      <c r="H39" s="67"/>
      <c r="I39" s="67"/>
      <c r="J39" s="51"/>
      <c r="K39" s="38"/>
      <c r="L39" s="38"/>
      <c r="M39" s="17"/>
    </row>
    <row r="40" spans="2:13" ht="14.45" customHeight="1" x14ac:dyDescent="0.25">
      <c r="B40" s="17"/>
      <c r="C40" s="14"/>
      <c r="D40" s="14"/>
      <c r="E40" s="19"/>
      <c r="F40" s="21"/>
      <c r="G40" s="68"/>
      <c r="H40" s="68"/>
      <c r="I40" s="68"/>
      <c r="J40" s="52"/>
      <c r="K40" s="38"/>
      <c r="L40" s="38"/>
      <c r="M40" s="17"/>
    </row>
    <row r="41" spans="2:13" ht="14.45" customHeight="1" x14ac:dyDescent="0.25">
      <c r="B41" s="17"/>
      <c r="C41" s="14"/>
      <c r="D41" s="14"/>
      <c r="E41" s="19"/>
      <c r="F41" s="21"/>
      <c r="G41" s="68"/>
      <c r="H41" s="68"/>
      <c r="I41" s="68"/>
      <c r="J41" s="52"/>
      <c r="K41" s="38"/>
      <c r="L41" s="38"/>
      <c r="M41" s="17"/>
    </row>
    <row r="42" spans="2:13" ht="14.45" customHeight="1" x14ac:dyDescent="0.25">
      <c r="B42" s="17"/>
      <c r="C42" s="14"/>
      <c r="D42" s="14"/>
      <c r="E42" s="19"/>
      <c r="F42" s="21"/>
      <c r="G42" s="68"/>
      <c r="H42" s="68"/>
      <c r="I42" s="68"/>
      <c r="J42" s="52"/>
      <c r="K42" s="38"/>
      <c r="L42" s="38"/>
      <c r="M42" s="17"/>
    </row>
    <row r="43" spans="2:13" ht="14.45" customHeight="1" x14ac:dyDescent="0.25">
      <c r="B43" s="17"/>
      <c r="C43" s="14"/>
      <c r="D43" s="14"/>
      <c r="E43" s="19"/>
      <c r="F43" s="21"/>
      <c r="G43" s="68"/>
      <c r="H43" s="68"/>
      <c r="I43" s="68"/>
      <c r="J43" s="52"/>
      <c r="K43" s="38"/>
      <c r="L43" s="38"/>
      <c r="M43" s="17"/>
    </row>
    <row r="44" spans="2:13" ht="14.45" customHeight="1" x14ac:dyDescent="0.25">
      <c r="B44" s="17"/>
      <c r="C44" s="14"/>
      <c r="D44" s="14"/>
      <c r="E44" s="19"/>
      <c r="F44" s="21"/>
      <c r="G44" s="68"/>
      <c r="H44" s="68"/>
      <c r="I44" s="68"/>
      <c r="J44" s="52"/>
      <c r="K44" s="38"/>
      <c r="L44" s="38"/>
      <c r="M44" s="17"/>
    </row>
    <row r="45" spans="2:13" ht="14.45" customHeight="1" x14ac:dyDescent="0.25">
      <c r="B45" s="17"/>
      <c r="C45" s="14"/>
      <c r="D45" s="14"/>
      <c r="E45" s="19"/>
      <c r="F45" s="21"/>
      <c r="G45" s="68"/>
      <c r="H45" s="68"/>
      <c r="I45" s="68"/>
      <c r="J45" s="52"/>
      <c r="K45" s="38"/>
      <c r="L45" s="38"/>
      <c r="M45" s="17"/>
    </row>
    <row r="46" spans="2:13" ht="14.45" customHeight="1" x14ac:dyDescent="0.25">
      <c r="B46" s="17"/>
      <c r="C46" s="14"/>
      <c r="D46" s="14"/>
      <c r="E46" s="19"/>
      <c r="F46" s="21"/>
      <c r="G46" s="68"/>
      <c r="H46" s="68"/>
      <c r="I46" s="68"/>
      <c r="J46" s="52"/>
      <c r="K46" s="38"/>
      <c r="L46" s="38"/>
      <c r="M46" s="17"/>
    </row>
    <row r="47" spans="2:13" ht="14.45" customHeight="1" x14ac:dyDescent="0.25">
      <c r="B47" s="17"/>
      <c r="C47" s="14"/>
      <c r="D47" s="14"/>
      <c r="E47" s="19"/>
      <c r="F47" s="21"/>
      <c r="G47" s="68"/>
      <c r="H47" s="68"/>
      <c r="I47" s="68"/>
      <c r="J47" s="52"/>
      <c r="K47" s="38"/>
      <c r="L47" s="38"/>
      <c r="M47" s="17"/>
    </row>
    <row r="48" spans="2:13" ht="14.45" customHeight="1" x14ac:dyDescent="0.25">
      <c r="B48" s="17"/>
      <c r="C48" s="14"/>
      <c r="D48" s="14"/>
      <c r="E48" s="19"/>
      <c r="F48" s="21"/>
      <c r="G48" s="68"/>
      <c r="H48" s="68"/>
      <c r="I48" s="68"/>
      <c r="J48" s="52"/>
      <c r="K48" s="38"/>
      <c r="L48" s="38"/>
      <c r="M48" s="17"/>
    </row>
    <row r="49" spans="2:13" ht="14.45" customHeight="1" x14ac:dyDescent="0.25">
      <c r="B49" s="17"/>
      <c r="C49" s="14"/>
      <c r="D49" s="14"/>
      <c r="E49" s="19"/>
      <c r="F49" s="21"/>
      <c r="G49" s="68"/>
      <c r="H49" s="68"/>
      <c r="I49" s="68"/>
      <c r="J49" s="52"/>
      <c r="K49" s="38"/>
      <c r="L49" s="38"/>
      <c r="M49" s="17"/>
    </row>
    <row r="50" spans="2:13" ht="14.45" customHeight="1" x14ac:dyDescent="0.25">
      <c r="B50" s="53"/>
      <c r="C50" s="40"/>
      <c r="D50" s="40"/>
      <c r="E50" s="54"/>
      <c r="F50" s="55"/>
      <c r="G50" s="69"/>
      <c r="H50" s="78"/>
      <c r="I50" s="78"/>
      <c r="J50" s="56"/>
      <c r="K50" s="38"/>
      <c r="L50" s="38"/>
      <c r="M50" s="17"/>
    </row>
    <row r="51" spans="2:13" ht="14.45" customHeight="1" x14ac:dyDescent="0.25">
      <c r="B51" s="44"/>
      <c r="C51" s="45"/>
      <c r="D51" s="45"/>
      <c r="E51" s="46"/>
      <c r="F51" s="47"/>
      <c r="G51" s="66"/>
      <c r="H51" s="77"/>
      <c r="I51" s="77"/>
      <c r="J51" s="45"/>
      <c r="K51" s="38"/>
      <c r="L51" s="38"/>
      <c r="M51" s="17"/>
    </row>
    <row r="52" spans="2:13" ht="14.45" customHeight="1" x14ac:dyDescent="0.25">
      <c r="B52" s="39"/>
      <c r="C52" s="48"/>
      <c r="D52" s="48"/>
      <c r="E52" s="49"/>
      <c r="F52" s="50"/>
      <c r="G52" s="67"/>
      <c r="H52" s="67"/>
      <c r="I52" s="67"/>
      <c r="J52" s="51"/>
      <c r="K52" s="38"/>
      <c r="L52" s="38"/>
      <c r="M52" s="17"/>
    </row>
    <row r="53" spans="2:13" ht="14.45" customHeight="1" x14ac:dyDescent="0.25">
      <c r="B53" s="17"/>
      <c r="C53" s="14"/>
      <c r="D53" s="14"/>
      <c r="E53" s="19"/>
      <c r="F53" s="21"/>
      <c r="G53" s="68"/>
      <c r="H53" s="68"/>
      <c r="I53" s="68"/>
      <c r="J53" s="52"/>
      <c r="K53" s="38"/>
      <c r="L53" s="38"/>
      <c r="M53" s="17"/>
    </row>
    <row r="54" spans="2:13" ht="14.45" customHeight="1" x14ac:dyDescent="0.25">
      <c r="B54" s="17"/>
      <c r="C54" s="14"/>
      <c r="D54" s="14"/>
      <c r="E54" s="19"/>
      <c r="F54" s="21"/>
      <c r="G54" s="68"/>
      <c r="H54" s="68"/>
      <c r="I54" s="68"/>
      <c r="J54" s="52"/>
      <c r="K54" s="38"/>
      <c r="L54" s="38"/>
      <c r="M54" s="17"/>
    </row>
    <row r="55" spans="2:13" ht="14.45" customHeight="1" x14ac:dyDescent="0.25">
      <c r="B55" s="17"/>
      <c r="C55" s="14"/>
      <c r="D55" s="14"/>
      <c r="E55" s="19"/>
      <c r="F55" s="21"/>
      <c r="G55" s="68"/>
      <c r="H55" s="68"/>
      <c r="I55" s="68"/>
      <c r="J55" s="52"/>
      <c r="K55" s="38"/>
      <c r="L55" s="38"/>
      <c r="M55" s="17"/>
    </row>
    <row r="56" spans="2:13" ht="14.45" customHeight="1" x14ac:dyDescent="0.25">
      <c r="B56" s="17"/>
      <c r="C56" s="14"/>
      <c r="D56" s="14"/>
      <c r="E56" s="19"/>
      <c r="F56" s="21"/>
      <c r="G56" s="68"/>
      <c r="H56" s="68"/>
      <c r="I56" s="68"/>
      <c r="J56" s="52"/>
      <c r="K56" s="38"/>
      <c r="L56" s="38"/>
      <c r="M56" s="17"/>
    </row>
    <row r="57" spans="2:13" ht="14.45" customHeight="1" x14ac:dyDescent="0.25">
      <c r="B57" s="17"/>
      <c r="C57" s="14"/>
      <c r="D57" s="14"/>
      <c r="E57" s="19"/>
      <c r="F57" s="21"/>
      <c r="G57" s="68"/>
      <c r="H57" s="68"/>
      <c r="I57" s="68"/>
      <c r="J57" s="52"/>
      <c r="K57" s="38"/>
      <c r="L57" s="38"/>
      <c r="M57" s="17"/>
    </row>
    <row r="58" spans="2:13" ht="14.45" customHeight="1" x14ac:dyDescent="0.25">
      <c r="B58" s="17"/>
      <c r="C58" s="14"/>
      <c r="D58" s="14"/>
      <c r="E58" s="19"/>
      <c r="F58" s="21"/>
      <c r="G58" s="68"/>
      <c r="H58" s="68"/>
      <c r="I58" s="68"/>
      <c r="J58" s="52"/>
      <c r="K58" s="38"/>
      <c r="L58" s="38"/>
      <c r="M58" s="17"/>
    </row>
    <row r="59" spans="2:13" ht="14.45" customHeight="1" x14ac:dyDescent="0.25">
      <c r="B59" s="17"/>
      <c r="C59" s="14"/>
      <c r="D59" s="14"/>
      <c r="E59" s="19"/>
      <c r="F59" s="21"/>
      <c r="G59" s="68"/>
      <c r="H59" s="68"/>
      <c r="I59" s="68"/>
      <c r="J59" s="52"/>
      <c r="K59" s="38"/>
      <c r="L59" s="38"/>
      <c r="M59" s="17"/>
    </row>
    <row r="60" spans="2:13" ht="14.45" customHeight="1" x14ac:dyDescent="0.25">
      <c r="B60" s="17"/>
      <c r="C60" s="14"/>
      <c r="D60" s="14"/>
      <c r="E60" s="19"/>
      <c r="F60" s="21"/>
      <c r="G60" s="68"/>
      <c r="H60" s="68"/>
      <c r="I60" s="68"/>
      <c r="J60" s="52"/>
      <c r="K60" s="38"/>
      <c r="L60" s="38"/>
      <c r="M60" s="17"/>
    </row>
    <row r="61" spans="2:13" ht="14.45" customHeight="1" x14ac:dyDescent="0.25">
      <c r="B61" s="17"/>
      <c r="C61" s="14"/>
      <c r="D61" s="14"/>
      <c r="E61" s="19"/>
      <c r="F61" s="21"/>
      <c r="G61" s="68"/>
      <c r="H61" s="68"/>
      <c r="I61" s="68"/>
      <c r="J61" s="52"/>
      <c r="K61" s="38"/>
      <c r="L61" s="38"/>
      <c r="M61" s="17"/>
    </row>
    <row r="62" spans="2:13" ht="14.45" customHeight="1" x14ac:dyDescent="0.25">
      <c r="B62" s="17"/>
      <c r="C62" s="14"/>
      <c r="D62" s="14"/>
      <c r="E62" s="19"/>
      <c r="F62" s="21"/>
      <c r="G62" s="68"/>
      <c r="H62" s="68"/>
      <c r="I62" s="68"/>
      <c r="J62" s="52"/>
      <c r="K62" s="38"/>
      <c r="L62" s="38"/>
      <c r="M62" s="17"/>
    </row>
    <row r="63" spans="2:13" ht="14.45" customHeight="1" x14ac:dyDescent="0.25">
      <c r="B63" s="53"/>
      <c r="C63" s="40"/>
      <c r="D63" s="40"/>
      <c r="E63" s="54"/>
      <c r="F63" s="55"/>
      <c r="G63" s="69"/>
      <c r="H63" s="78"/>
      <c r="I63" s="78"/>
      <c r="J63" s="56"/>
      <c r="K63" s="38"/>
      <c r="L63" s="38"/>
      <c r="M63" s="17"/>
    </row>
    <row r="64" spans="2:13" ht="14.45" customHeight="1" x14ac:dyDescent="0.25">
      <c r="B64" s="44"/>
      <c r="C64" s="45"/>
      <c r="D64" s="45"/>
      <c r="E64" s="46"/>
      <c r="F64" s="47"/>
      <c r="G64" s="66"/>
      <c r="H64" s="77"/>
      <c r="I64" s="77"/>
      <c r="J64" s="45"/>
      <c r="K64" s="38"/>
      <c r="L64" s="38"/>
      <c r="M64" s="17"/>
    </row>
    <row r="65" spans="2:13" ht="14.45" customHeight="1" x14ac:dyDescent="0.25">
      <c r="B65" s="53"/>
      <c r="C65" s="40"/>
      <c r="D65" s="40"/>
      <c r="E65" s="41"/>
      <c r="F65" s="57"/>
      <c r="G65" s="70"/>
      <c r="H65" s="70"/>
      <c r="I65" s="70"/>
      <c r="J65" s="16"/>
      <c r="K65" s="38"/>
      <c r="L65" s="38"/>
      <c r="M65" s="17"/>
    </row>
    <row r="66" spans="2:13" ht="14.45" customHeight="1" x14ac:dyDescent="0.25">
      <c r="B66" s="44"/>
      <c r="C66" s="45"/>
      <c r="D66" s="45"/>
      <c r="E66" s="46"/>
      <c r="F66" s="47"/>
      <c r="G66" s="66"/>
      <c r="H66" s="77"/>
      <c r="I66" s="77"/>
      <c r="J66" s="45"/>
      <c r="K66" s="38"/>
      <c r="L66" s="38"/>
      <c r="M66" s="17"/>
    </row>
    <row r="67" spans="2:13" ht="14.45" customHeight="1" x14ac:dyDescent="0.25">
      <c r="B67" s="39"/>
      <c r="C67" s="48"/>
      <c r="D67" s="48"/>
      <c r="E67" s="49"/>
      <c r="F67" s="57"/>
      <c r="G67" s="70"/>
      <c r="H67" s="70"/>
      <c r="I67" s="70"/>
      <c r="J67" s="58"/>
      <c r="K67" s="38"/>
      <c r="L67" s="38"/>
      <c r="M67" s="17"/>
    </row>
    <row r="68" spans="2:13" ht="14.45" customHeight="1" x14ac:dyDescent="0.25">
      <c r="B68" s="44"/>
      <c r="C68" s="45"/>
      <c r="D68" s="45"/>
      <c r="E68" s="46"/>
      <c r="F68" s="47"/>
      <c r="G68" s="66"/>
      <c r="H68" s="77"/>
      <c r="I68" s="77"/>
      <c r="J68" s="45"/>
      <c r="K68" s="38"/>
      <c r="L68" s="38"/>
      <c r="M68" s="17"/>
    </row>
    <row r="69" spans="2:13" ht="14.45" customHeight="1" x14ac:dyDescent="0.25">
      <c r="B69" s="53"/>
      <c r="C69" s="40"/>
      <c r="D69" s="40"/>
      <c r="E69" s="41"/>
      <c r="F69" s="42"/>
      <c r="G69" s="65"/>
      <c r="H69" s="70"/>
      <c r="I69" s="70"/>
      <c r="J69" s="40"/>
      <c r="K69" s="38"/>
      <c r="L69" s="38"/>
      <c r="M69" s="17"/>
    </row>
    <row r="70" spans="2:13" ht="14.45" customHeight="1" x14ac:dyDescent="0.25">
      <c r="B70" s="53"/>
      <c r="C70" s="40"/>
      <c r="D70" s="40"/>
      <c r="E70" s="41"/>
      <c r="F70" s="42"/>
      <c r="G70" s="65"/>
      <c r="H70" s="70"/>
      <c r="I70" s="70"/>
      <c r="J70" s="59"/>
      <c r="K70" s="38"/>
      <c r="L70" s="38"/>
      <c r="M70" s="17"/>
    </row>
    <row r="71" spans="2:13" ht="14.45" customHeight="1" x14ac:dyDescent="0.25">
      <c r="B71" s="17"/>
      <c r="C71" s="14"/>
      <c r="D71" s="14"/>
      <c r="E71" s="18"/>
      <c r="F71" s="22"/>
      <c r="G71" s="71"/>
      <c r="H71" s="68"/>
      <c r="I71" s="68"/>
      <c r="J71" s="15"/>
      <c r="K71" s="38"/>
      <c r="L71" s="38"/>
      <c r="M71" s="17"/>
    </row>
    <row r="72" spans="2:13" ht="14.45" customHeight="1" x14ac:dyDescent="0.25">
      <c r="B72" s="17"/>
      <c r="C72" s="14"/>
      <c r="D72" s="14"/>
      <c r="E72" s="18"/>
      <c r="F72" s="22"/>
      <c r="G72" s="71"/>
      <c r="H72" s="68"/>
      <c r="I72" s="68"/>
      <c r="J72" s="15"/>
      <c r="K72" s="38"/>
      <c r="L72" s="38"/>
      <c r="M72" s="17"/>
    </row>
    <row r="73" spans="2:13" ht="14.45" customHeight="1" x14ac:dyDescent="0.25">
      <c r="B73" s="17"/>
      <c r="C73" s="14"/>
      <c r="D73" s="14"/>
      <c r="E73" s="18"/>
      <c r="F73" s="22"/>
      <c r="G73" s="71"/>
      <c r="H73" s="68"/>
      <c r="I73" s="68"/>
      <c r="J73" s="15"/>
      <c r="K73" s="38"/>
      <c r="L73" s="38"/>
      <c r="M73" s="17"/>
    </row>
    <row r="74" spans="2:13" ht="14.45" customHeight="1" x14ac:dyDescent="0.25">
      <c r="B74" s="17"/>
      <c r="C74" s="14"/>
      <c r="D74" s="14"/>
      <c r="E74" s="18"/>
      <c r="F74" s="22"/>
      <c r="G74" s="71"/>
      <c r="H74" s="68"/>
      <c r="I74" s="68"/>
      <c r="J74" s="15"/>
      <c r="K74" s="38"/>
      <c r="L74" s="38"/>
      <c r="M74" s="17"/>
    </row>
    <row r="75" spans="2:13" ht="14.45" customHeight="1" x14ac:dyDescent="0.25">
      <c r="B75" s="17"/>
      <c r="C75" s="14"/>
      <c r="D75" s="14"/>
      <c r="E75" s="18"/>
      <c r="F75" s="22"/>
      <c r="G75" s="71"/>
      <c r="H75" s="68"/>
      <c r="I75" s="68"/>
      <c r="J75" s="15"/>
      <c r="K75" s="38"/>
      <c r="L75" s="38"/>
      <c r="M75" s="17"/>
    </row>
    <row r="76" spans="2:13" ht="14.45" customHeight="1" x14ac:dyDescent="0.25">
      <c r="B76" s="17"/>
      <c r="C76" s="14"/>
      <c r="D76" s="14"/>
      <c r="E76" s="18"/>
      <c r="F76" s="22"/>
      <c r="G76" s="71"/>
      <c r="H76" s="68"/>
      <c r="I76" s="68"/>
      <c r="J76" s="15"/>
      <c r="K76" s="38"/>
      <c r="L76" s="38"/>
      <c r="M76" s="17"/>
    </row>
    <row r="77" spans="2:13" ht="14.45" customHeight="1" x14ac:dyDescent="0.25">
      <c r="B77" s="17"/>
      <c r="C77" s="14"/>
      <c r="D77" s="14"/>
      <c r="E77" s="18"/>
      <c r="F77" s="22"/>
      <c r="G77" s="71"/>
      <c r="H77" s="68"/>
      <c r="I77" s="68"/>
      <c r="J77" s="15"/>
      <c r="K77" s="38"/>
      <c r="L77" s="38"/>
      <c r="M77" s="17"/>
    </row>
    <row r="78" spans="2:13" ht="14.45" customHeight="1" x14ac:dyDescent="0.25">
      <c r="B78" s="17"/>
      <c r="C78" s="14"/>
      <c r="D78" s="14"/>
      <c r="E78" s="18"/>
      <c r="F78" s="22"/>
      <c r="G78" s="71"/>
      <c r="H78" s="68"/>
      <c r="I78" s="68"/>
      <c r="J78" s="15"/>
      <c r="K78" s="38"/>
      <c r="L78" s="38"/>
      <c r="M78" s="17"/>
    </row>
    <row r="79" spans="2:13" ht="14.45" customHeight="1" x14ac:dyDescent="0.25">
      <c r="B79" s="17"/>
      <c r="C79" s="14"/>
      <c r="D79" s="14"/>
      <c r="E79" s="18"/>
      <c r="F79" s="22"/>
      <c r="G79" s="71"/>
      <c r="H79" s="68"/>
      <c r="I79" s="68"/>
      <c r="J79" s="15"/>
      <c r="K79" s="38"/>
      <c r="L79" s="38"/>
      <c r="M79" s="17"/>
    </row>
    <row r="80" spans="2:13" ht="14.45" customHeight="1" x14ac:dyDescent="0.25">
      <c r="B80" s="17"/>
      <c r="C80" s="14"/>
      <c r="D80" s="14"/>
      <c r="E80" s="18"/>
      <c r="F80" s="22"/>
      <c r="G80" s="71"/>
      <c r="H80" s="68"/>
      <c r="I80" s="68"/>
      <c r="J80" s="15"/>
      <c r="K80" s="38"/>
      <c r="L80" s="38"/>
      <c r="M80" s="17"/>
    </row>
    <row r="81" spans="2:13" ht="14.45" customHeight="1" x14ac:dyDescent="0.25">
      <c r="B81" s="53"/>
      <c r="C81" s="40"/>
      <c r="D81" s="40"/>
      <c r="E81" s="41"/>
      <c r="F81" s="42"/>
      <c r="G81" s="65"/>
      <c r="H81" s="70"/>
      <c r="I81" s="70"/>
      <c r="J81" s="43"/>
      <c r="K81" s="38"/>
      <c r="L81" s="38"/>
      <c r="M81" s="17"/>
    </row>
    <row r="82" spans="2:13" ht="14.45" customHeight="1" x14ac:dyDescent="0.25">
      <c r="B82" s="53"/>
      <c r="C82" s="40"/>
      <c r="D82" s="40"/>
      <c r="E82" s="41"/>
      <c r="F82" s="42"/>
      <c r="G82" s="65"/>
      <c r="H82" s="70"/>
      <c r="I82" s="70"/>
      <c r="J82" s="43"/>
      <c r="K82" s="38"/>
      <c r="L82" s="38"/>
      <c r="M82" s="17"/>
    </row>
    <row r="83" spans="2:13" ht="14.45" customHeight="1" x14ac:dyDescent="0.25">
      <c r="B83" s="44"/>
      <c r="C83" s="45"/>
      <c r="D83" s="45"/>
      <c r="E83" s="46"/>
      <c r="F83" s="47"/>
      <c r="G83" s="66"/>
      <c r="H83" s="77"/>
      <c r="I83" s="77"/>
      <c r="J83" s="45"/>
      <c r="K83" s="38"/>
      <c r="L83" s="38"/>
      <c r="M83" s="17"/>
    </row>
    <row r="84" spans="2:13" ht="14.45" customHeight="1" x14ac:dyDescent="0.25">
      <c r="B84" s="39"/>
      <c r="C84" s="48"/>
      <c r="D84" s="48"/>
      <c r="E84" s="49"/>
      <c r="F84" s="60"/>
      <c r="G84" s="72"/>
      <c r="H84" s="67"/>
      <c r="I84" s="67"/>
      <c r="J84" s="43"/>
      <c r="K84" s="38"/>
      <c r="L84" s="38"/>
      <c r="M84" s="17"/>
    </row>
    <row r="85" spans="2:13" ht="14.45" customHeight="1" x14ac:dyDescent="0.25">
      <c r="B85" s="17"/>
      <c r="C85" s="14"/>
      <c r="D85" s="14"/>
      <c r="E85" s="18"/>
      <c r="F85" s="20"/>
      <c r="G85" s="64"/>
      <c r="H85" s="68"/>
      <c r="I85" s="68"/>
      <c r="J85" s="14"/>
      <c r="K85" s="38"/>
      <c r="L85" s="38"/>
      <c r="M85" s="17"/>
    </row>
    <row r="86" spans="2:13" ht="14.45" customHeight="1" x14ac:dyDescent="0.25">
      <c r="B86" s="39"/>
      <c r="C86" s="40"/>
      <c r="D86" s="40"/>
      <c r="E86" s="41"/>
      <c r="F86" s="42"/>
      <c r="G86" s="65"/>
      <c r="H86" s="70"/>
      <c r="I86" s="70"/>
      <c r="J86" s="40"/>
      <c r="K86" s="38"/>
      <c r="L86" s="38"/>
      <c r="M86" s="17"/>
    </row>
    <row r="87" spans="2:13" ht="14.45" customHeight="1" x14ac:dyDescent="0.25">
      <c r="B87" s="53"/>
      <c r="C87" s="40"/>
      <c r="D87" s="40"/>
      <c r="E87" s="41"/>
      <c r="F87" s="42"/>
      <c r="G87" s="65"/>
      <c r="H87" s="70"/>
      <c r="I87" s="70"/>
      <c r="J87" s="43"/>
      <c r="K87" s="38"/>
      <c r="L87" s="38"/>
      <c r="M87" s="17"/>
    </row>
    <row r="88" spans="2:13" ht="14.45" customHeight="1" x14ac:dyDescent="0.25">
      <c r="B88" s="17"/>
      <c r="C88" s="14"/>
      <c r="D88" s="14"/>
      <c r="E88" s="18"/>
      <c r="F88" s="61"/>
      <c r="G88" s="73"/>
      <c r="H88" s="79"/>
      <c r="I88" s="79"/>
      <c r="J88" s="14"/>
      <c r="K88" s="38"/>
      <c r="L88" s="38"/>
      <c r="M88" s="17"/>
    </row>
    <row r="89" spans="2:13" ht="14.45" customHeight="1" x14ac:dyDescent="0.25">
      <c r="B89" s="17"/>
      <c r="C89" s="14"/>
      <c r="D89" s="14"/>
      <c r="E89" s="18"/>
      <c r="F89" s="61"/>
      <c r="G89" s="73"/>
      <c r="H89" s="79"/>
      <c r="I89" s="79"/>
      <c r="J89" s="14"/>
      <c r="K89" s="38"/>
      <c r="L89" s="38"/>
      <c r="M89" s="17"/>
    </row>
    <row r="90" spans="2:13" ht="14.45" customHeight="1" x14ac:dyDescent="0.25">
      <c r="B90" s="17"/>
      <c r="C90" s="14"/>
      <c r="D90" s="14"/>
      <c r="E90" s="18"/>
      <c r="F90" s="61"/>
      <c r="G90" s="73"/>
      <c r="H90" s="79"/>
      <c r="I90" s="79"/>
      <c r="J90" s="14"/>
      <c r="K90" s="38"/>
      <c r="L90" s="38"/>
      <c r="M90" s="17"/>
    </row>
    <row r="91" spans="2:13" ht="14.45" customHeight="1" x14ac:dyDescent="0.25">
      <c r="B91" s="17"/>
      <c r="C91" s="14"/>
      <c r="D91" s="14"/>
      <c r="E91" s="18"/>
      <c r="F91" s="61"/>
      <c r="G91" s="73"/>
      <c r="H91" s="79"/>
      <c r="I91" s="79"/>
      <c r="J91" s="14"/>
      <c r="K91" s="38"/>
      <c r="L91" s="38"/>
      <c r="M91" s="17"/>
    </row>
    <row r="92" spans="2:13" ht="14.45" customHeight="1" x14ac:dyDescent="0.25">
      <c r="B92" s="17"/>
      <c r="C92" s="14"/>
      <c r="D92" s="14"/>
      <c r="E92" s="18"/>
      <c r="F92" s="61"/>
      <c r="G92" s="73"/>
      <c r="H92" s="79"/>
      <c r="I92" s="79"/>
      <c r="J92" s="14"/>
      <c r="K92" s="38"/>
      <c r="L92" s="38"/>
      <c r="M92" s="17"/>
    </row>
    <row r="93" spans="2:13" ht="14.45" customHeight="1" x14ac:dyDescent="0.25">
      <c r="B93" s="17"/>
      <c r="C93" s="14"/>
      <c r="D93" s="14"/>
      <c r="E93" s="18"/>
      <c r="F93" s="61"/>
      <c r="G93" s="73"/>
      <c r="H93" s="79"/>
      <c r="I93" s="79"/>
      <c r="J93" s="14"/>
      <c r="K93" s="38"/>
      <c r="L93" s="38"/>
      <c r="M93" s="17"/>
    </row>
    <row r="94" spans="2:13" ht="14.45" customHeight="1" x14ac:dyDescent="0.25">
      <c r="B94" s="17"/>
      <c r="C94" s="14"/>
      <c r="D94" s="14"/>
      <c r="E94" s="18"/>
      <c r="F94" s="61"/>
      <c r="G94" s="73"/>
      <c r="H94" s="79"/>
      <c r="I94" s="79"/>
      <c r="J94" s="14"/>
      <c r="K94" s="38"/>
      <c r="L94" s="38"/>
      <c r="M94" s="17"/>
    </row>
    <row r="95" spans="2:13" ht="14.45" customHeight="1" x14ac:dyDescent="0.25">
      <c r="B95" s="17"/>
      <c r="C95" s="14"/>
      <c r="D95" s="14"/>
      <c r="E95" s="18"/>
      <c r="F95" s="61"/>
      <c r="G95" s="73"/>
      <c r="H95" s="79"/>
      <c r="I95" s="79"/>
      <c r="J95" s="14"/>
      <c r="K95" s="38"/>
      <c r="L95" s="38"/>
      <c r="M95" s="17"/>
    </row>
    <row r="96" spans="2:13" ht="14.45" customHeight="1" x14ac:dyDescent="0.25">
      <c r="B96" s="17"/>
      <c r="C96" s="14"/>
      <c r="D96" s="14"/>
      <c r="E96" s="18"/>
      <c r="F96" s="61"/>
      <c r="G96" s="73"/>
      <c r="H96" s="79"/>
      <c r="I96" s="79"/>
      <c r="J96" s="14"/>
      <c r="K96" s="38"/>
      <c r="L96" s="38"/>
      <c r="M96" s="17"/>
    </row>
    <row r="97" spans="2:13" ht="14.45" customHeight="1" x14ac:dyDescent="0.25">
      <c r="B97" s="17"/>
      <c r="C97" s="14"/>
      <c r="D97" s="14"/>
      <c r="E97" s="18"/>
      <c r="F97" s="61"/>
      <c r="G97" s="73"/>
      <c r="H97" s="79"/>
      <c r="I97" s="79"/>
      <c r="J97" s="14"/>
      <c r="K97" s="38"/>
      <c r="L97" s="38"/>
      <c r="M97" s="17"/>
    </row>
    <row r="98" spans="2:13" ht="14.45" customHeight="1" x14ac:dyDescent="0.25">
      <c r="B98" s="17"/>
      <c r="C98" s="14"/>
      <c r="D98" s="14"/>
      <c r="E98" s="18"/>
      <c r="F98" s="61"/>
      <c r="G98" s="73"/>
      <c r="H98" s="79"/>
      <c r="I98" s="79"/>
      <c r="J98" s="14"/>
      <c r="K98" s="38"/>
      <c r="L98" s="38"/>
      <c r="M98" s="17"/>
    </row>
    <row r="99" spans="2:13" ht="14.45" customHeight="1" x14ac:dyDescent="0.25">
      <c r="B99" s="17"/>
      <c r="C99" s="14"/>
      <c r="D99" s="14"/>
      <c r="E99" s="18"/>
      <c r="F99" s="61"/>
      <c r="G99" s="73"/>
      <c r="H99" s="79"/>
      <c r="I99" s="79"/>
      <c r="J99" s="14"/>
      <c r="K99" s="38"/>
      <c r="L99" s="38"/>
      <c r="M99" s="17"/>
    </row>
    <row r="100" spans="2:13" ht="14.45" customHeight="1" x14ac:dyDescent="0.25">
      <c r="B100" s="17"/>
      <c r="C100" s="14"/>
      <c r="D100" s="14"/>
      <c r="E100" s="18"/>
      <c r="F100" s="61"/>
      <c r="G100" s="73"/>
      <c r="H100" s="79"/>
      <c r="I100" s="79"/>
      <c r="J100" s="14"/>
      <c r="K100" s="38"/>
      <c r="L100" s="38"/>
      <c r="M100" s="17"/>
    </row>
    <row r="101" spans="2:13" ht="14.45" customHeight="1" x14ac:dyDescent="0.25">
      <c r="B101" s="17"/>
      <c r="C101" s="14"/>
      <c r="D101" s="14"/>
      <c r="E101" s="18"/>
      <c r="F101" s="61"/>
      <c r="G101" s="73"/>
      <c r="H101" s="79"/>
      <c r="I101" s="79"/>
      <c r="J101" s="14"/>
      <c r="K101" s="38"/>
      <c r="L101" s="38"/>
      <c r="M101" s="17"/>
    </row>
    <row r="102" spans="2:13" ht="14.45" customHeight="1" x14ac:dyDescent="0.25">
      <c r="B102" s="17"/>
      <c r="C102" s="14"/>
      <c r="D102" s="14"/>
      <c r="E102" s="18"/>
      <c r="F102" s="61"/>
      <c r="G102" s="73"/>
      <c r="H102" s="79"/>
      <c r="I102" s="79"/>
      <c r="J102" s="14"/>
      <c r="K102" s="38"/>
      <c r="L102" s="38"/>
      <c r="M102" s="17"/>
    </row>
    <row r="103" spans="2:13" ht="14.45" customHeight="1" x14ac:dyDescent="0.25">
      <c r="B103" s="17"/>
      <c r="C103" s="14"/>
      <c r="D103" s="14"/>
      <c r="E103" s="18"/>
      <c r="F103" s="61"/>
      <c r="G103" s="73"/>
      <c r="H103" s="79"/>
      <c r="I103" s="79"/>
      <c r="J103" s="14"/>
      <c r="K103" s="38"/>
      <c r="L103" s="38"/>
      <c r="M103" s="17"/>
    </row>
    <row r="104" spans="2:13" ht="14.45" customHeight="1" x14ac:dyDescent="0.25">
      <c r="B104" s="17"/>
      <c r="C104" s="14"/>
      <c r="D104" s="14"/>
      <c r="E104" s="18"/>
      <c r="F104" s="61"/>
      <c r="G104" s="73"/>
      <c r="H104" s="79"/>
      <c r="I104" s="79"/>
      <c r="J104" s="14"/>
      <c r="K104" s="38"/>
      <c r="L104" s="38"/>
      <c r="M104" s="17"/>
    </row>
    <row r="105" spans="2:13" ht="14.45" customHeight="1" x14ac:dyDescent="0.25">
      <c r="B105" s="17"/>
      <c r="C105" s="14"/>
      <c r="D105" s="14"/>
      <c r="E105" s="18"/>
      <c r="F105" s="61"/>
      <c r="G105" s="73"/>
      <c r="H105" s="79"/>
      <c r="I105" s="79"/>
      <c r="J105" s="14"/>
      <c r="K105" s="38"/>
      <c r="L105" s="38"/>
      <c r="M105" s="17"/>
    </row>
    <row r="106" spans="2:13" ht="14.45" customHeight="1" x14ac:dyDescent="0.25">
      <c r="B106" s="17"/>
      <c r="C106" s="14"/>
      <c r="D106" s="14"/>
      <c r="E106" s="18"/>
      <c r="F106" s="61"/>
      <c r="G106" s="73"/>
      <c r="H106" s="79"/>
      <c r="I106" s="79"/>
      <c r="J106" s="14"/>
      <c r="K106" s="38"/>
      <c r="L106" s="38"/>
      <c r="M106" s="17"/>
    </row>
    <row r="107" spans="2:13" ht="14.45" customHeight="1" x14ac:dyDescent="0.25">
      <c r="B107" s="17"/>
      <c r="C107" s="14"/>
      <c r="D107" s="14"/>
      <c r="E107" s="18"/>
      <c r="F107" s="61"/>
      <c r="G107" s="73"/>
      <c r="H107" s="79"/>
      <c r="I107" s="79"/>
      <c r="J107" s="14"/>
      <c r="K107" s="38"/>
      <c r="L107" s="38"/>
      <c r="M107" s="17"/>
    </row>
    <row r="108" spans="2:13" ht="14.45" customHeight="1" x14ac:dyDescent="0.25">
      <c r="B108" s="17"/>
      <c r="C108" s="14"/>
      <c r="D108" s="14"/>
      <c r="E108" s="18"/>
      <c r="F108" s="61"/>
      <c r="G108" s="73"/>
      <c r="H108" s="79"/>
      <c r="I108" s="79"/>
      <c r="J108" s="14"/>
      <c r="K108" s="38"/>
      <c r="L108" s="38"/>
      <c r="M108" s="17"/>
    </row>
    <row r="109" spans="2:13" ht="14.45" customHeight="1" x14ac:dyDescent="0.25">
      <c r="B109" s="17"/>
      <c r="C109" s="14"/>
      <c r="D109" s="14"/>
      <c r="E109" s="18"/>
      <c r="F109" s="61"/>
      <c r="G109" s="73"/>
      <c r="H109" s="79"/>
      <c r="I109" s="79"/>
      <c r="J109" s="14"/>
      <c r="K109" s="38"/>
      <c r="L109" s="38"/>
      <c r="M109" s="17"/>
    </row>
    <row r="110" spans="2:13" ht="14.45" customHeight="1" x14ac:dyDescent="0.25">
      <c r="B110" s="17"/>
      <c r="C110" s="14"/>
      <c r="D110" s="14"/>
      <c r="E110" s="18"/>
      <c r="F110" s="61"/>
      <c r="G110" s="73"/>
      <c r="H110" s="79"/>
      <c r="I110" s="79"/>
      <c r="J110" s="14"/>
      <c r="K110" s="38"/>
      <c r="L110" s="38"/>
      <c r="M110" s="17"/>
    </row>
    <row r="111" spans="2:13" ht="14.45" customHeight="1" x14ac:dyDescent="0.25">
      <c r="B111" s="17"/>
      <c r="C111" s="14"/>
      <c r="D111" s="14"/>
      <c r="E111" s="18"/>
      <c r="F111" s="61"/>
      <c r="G111" s="73"/>
      <c r="H111" s="79"/>
      <c r="I111" s="79"/>
      <c r="J111" s="14"/>
      <c r="K111" s="38"/>
      <c r="L111" s="38"/>
      <c r="M111" s="17"/>
    </row>
    <row r="112" spans="2:13" ht="14.45" customHeight="1" x14ac:dyDescent="0.25">
      <c r="B112" s="17"/>
      <c r="C112" s="14"/>
      <c r="D112" s="14"/>
      <c r="E112" s="18"/>
      <c r="F112" s="61"/>
      <c r="G112" s="73"/>
      <c r="H112" s="79"/>
      <c r="I112" s="79"/>
      <c r="J112" s="14"/>
      <c r="K112" s="38"/>
      <c r="L112" s="38"/>
      <c r="M112" s="17"/>
    </row>
    <row r="113" spans="2:13" ht="14.45" customHeight="1" x14ac:dyDescent="0.25">
      <c r="B113" s="17"/>
      <c r="C113" s="14"/>
      <c r="D113" s="14"/>
      <c r="E113" s="18"/>
      <c r="F113" s="61"/>
      <c r="G113" s="73"/>
      <c r="H113" s="79"/>
      <c r="I113" s="79"/>
      <c r="J113" s="14"/>
      <c r="K113" s="38"/>
      <c r="L113" s="38"/>
      <c r="M113" s="17"/>
    </row>
    <row r="114" spans="2:13" ht="14.45" customHeight="1" x14ac:dyDescent="0.25">
      <c r="B114" s="17"/>
      <c r="C114" s="14"/>
      <c r="D114" s="14"/>
      <c r="E114" s="18"/>
      <c r="F114" s="61"/>
      <c r="G114" s="73"/>
      <c r="H114" s="79"/>
      <c r="I114" s="79"/>
      <c r="J114" s="14"/>
      <c r="K114" s="38"/>
      <c r="L114" s="38"/>
      <c r="M114" s="17"/>
    </row>
    <row r="115" spans="2:13" ht="14.45" customHeight="1" x14ac:dyDescent="0.25">
      <c r="B115" s="17"/>
      <c r="C115" s="14"/>
      <c r="D115" s="14"/>
      <c r="E115" s="18"/>
      <c r="F115" s="61"/>
      <c r="G115" s="73"/>
      <c r="H115" s="79"/>
      <c r="I115" s="79"/>
      <c r="J115" s="14"/>
      <c r="K115" s="38"/>
      <c r="L115" s="38"/>
      <c r="M115" s="17"/>
    </row>
    <row r="116" spans="2:13" ht="14.45" customHeight="1" x14ac:dyDescent="0.25">
      <c r="B116" s="17"/>
      <c r="C116" s="14"/>
      <c r="D116" s="14"/>
      <c r="E116" s="18"/>
      <c r="F116" s="61"/>
      <c r="G116" s="73"/>
      <c r="H116" s="79"/>
      <c r="I116" s="79"/>
      <c r="J116" s="14"/>
      <c r="K116" s="38"/>
      <c r="L116" s="38"/>
      <c r="M116" s="17"/>
    </row>
    <row r="117" spans="2:13" ht="14.45" customHeight="1" x14ac:dyDescent="0.25">
      <c r="B117" s="17"/>
      <c r="C117" s="14"/>
      <c r="D117" s="14"/>
      <c r="E117" s="18"/>
      <c r="F117" s="61"/>
      <c r="G117" s="73"/>
      <c r="H117" s="79"/>
      <c r="I117" s="79"/>
      <c r="J117" s="14"/>
      <c r="K117" s="38"/>
      <c r="L117" s="38"/>
      <c r="M117" s="17"/>
    </row>
    <row r="118" spans="2:13" ht="14.45" customHeight="1" x14ac:dyDescent="0.25">
      <c r="B118" s="17"/>
      <c r="C118" s="14"/>
      <c r="D118" s="14"/>
      <c r="E118" s="18"/>
      <c r="F118" s="61"/>
      <c r="G118" s="73"/>
      <c r="H118" s="79"/>
      <c r="I118" s="79"/>
      <c r="J118" s="14"/>
      <c r="K118" s="38"/>
      <c r="L118" s="38"/>
      <c r="M118" s="17"/>
    </row>
    <row r="119" spans="2:13" ht="14.45" customHeight="1" x14ac:dyDescent="0.25">
      <c r="B119" s="17"/>
      <c r="C119" s="14"/>
      <c r="D119" s="14"/>
      <c r="E119" s="18"/>
      <c r="F119" s="61"/>
      <c r="G119" s="73"/>
      <c r="H119" s="79"/>
      <c r="I119" s="79"/>
      <c r="J119" s="14"/>
      <c r="K119" s="38"/>
      <c r="L119" s="38"/>
      <c r="M119" s="17"/>
    </row>
    <row r="120" spans="2:13" ht="14.45" customHeight="1" x14ac:dyDescent="0.25">
      <c r="B120" s="17"/>
      <c r="C120" s="14"/>
      <c r="D120" s="14"/>
      <c r="E120" s="18"/>
      <c r="F120" s="61"/>
      <c r="G120" s="73"/>
      <c r="H120" s="79"/>
      <c r="I120" s="79"/>
      <c r="J120" s="14"/>
      <c r="K120" s="38"/>
      <c r="L120" s="38"/>
      <c r="M120" s="17"/>
    </row>
    <row r="121" spans="2:13" ht="14.45" customHeight="1" x14ac:dyDescent="0.25">
      <c r="B121" s="17"/>
      <c r="C121" s="14"/>
      <c r="D121" s="14"/>
      <c r="E121" s="18"/>
      <c r="F121" s="61"/>
      <c r="G121" s="73"/>
      <c r="H121" s="79"/>
      <c r="I121" s="79"/>
      <c r="J121" s="14"/>
      <c r="K121" s="38"/>
      <c r="L121" s="38"/>
      <c r="M121" s="17"/>
    </row>
    <row r="122" spans="2:13" ht="14.45" customHeight="1" x14ac:dyDescent="0.25">
      <c r="B122" s="17"/>
      <c r="C122" s="14"/>
      <c r="D122" s="14"/>
      <c r="E122" s="18"/>
      <c r="F122" s="61"/>
      <c r="G122" s="73"/>
      <c r="H122" s="79"/>
      <c r="I122" s="79"/>
      <c r="J122" s="14"/>
      <c r="K122" s="38"/>
      <c r="L122" s="38"/>
      <c r="M122" s="17"/>
    </row>
    <row r="123" spans="2:13" ht="14.45" customHeight="1" x14ac:dyDescent="0.25">
      <c r="B123" s="17"/>
      <c r="C123" s="14"/>
      <c r="D123" s="14"/>
      <c r="E123" s="18"/>
      <c r="F123" s="61"/>
      <c r="G123" s="73"/>
      <c r="H123" s="79"/>
      <c r="I123" s="79"/>
      <c r="J123" s="14"/>
      <c r="K123" s="38"/>
      <c r="L123" s="38"/>
      <c r="M123" s="17"/>
    </row>
    <row r="124" spans="2:13" ht="14.45" customHeight="1" x14ac:dyDescent="0.25">
      <c r="B124" s="17"/>
      <c r="C124" s="14"/>
      <c r="D124" s="14"/>
      <c r="E124" s="18"/>
      <c r="F124" s="61"/>
      <c r="G124" s="73"/>
      <c r="H124" s="79"/>
      <c r="I124" s="79"/>
      <c r="J124" s="14"/>
      <c r="K124" s="38"/>
      <c r="L124" s="38"/>
      <c r="M124" s="17"/>
    </row>
    <row r="125" spans="2:13" ht="14.45" customHeight="1" x14ac:dyDescent="0.25">
      <c r="B125" s="17"/>
      <c r="C125" s="14"/>
      <c r="D125" s="14"/>
      <c r="E125" s="18"/>
      <c r="F125" s="61"/>
      <c r="G125" s="73"/>
      <c r="H125" s="79"/>
      <c r="I125" s="79"/>
      <c r="J125" s="14"/>
      <c r="K125" s="38"/>
      <c r="L125" s="38"/>
      <c r="M125" s="17"/>
    </row>
    <row r="126" spans="2:13" ht="14.45" customHeight="1" x14ac:dyDescent="0.25">
      <c r="B126" s="17"/>
      <c r="C126" s="14"/>
      <c r="D126" s="14"/>
      <c r="E126" s="18"/>
      <c r="F126" s="61"/>
      <c r="G126" s="73"/>
      <c r="H126" s="79"/>
      <c r="I126" s="79"/>
      <c r="J126" s="14"/>
      <c r="K126" s="38"/>
      <c r="L126" s="38"/>
      <c r="M126" s="17"/>
    </row>
    <row r="127" spans="2:13" ht="14.45" customHeight="1" x14ac:dyDescent="0.25">
      <c r="B127" s="17"/>
      <c r="C127" s="14"/>
      <c r="D127" s="14"/>
      <c r="E127" s="18"/>
      <c r="F127" s="61"/>
      <c r="G127" s="73"/>
      <c r="H127" s="79"/>
      <c r="I127" s="79"/>
      <c r="J127" s="14"/>
      <c r="K127" s="38"/>
      <c r="L127" s="38"/>
      <c r="M127" s="17"/>
    </row>
    <row r="128" spans="2:13" ht="14.45" customHeight="1" x14ac:dyDescent="0.25">
      <c r="B128" s="17"/>
      <c r="C128" s="14"/>
      <c r="D128" s="14"/>
      <c r="E128" s="18"/>
      <c r="F128" s="61"/>
      <c r="G128" s="73"/>
      <c r="H128" s="79"/>
      <c r="I128" s="79"/>
      <c r="J128" s="14"/>
      <c r="K128" s="38"/>
      <c r="L128" s="38"/>
      <c r="M128" s="17"/>
    </row>
    <row r="129" spans="2:13" ht="14.45" customHeight="1" x14ac:dyDescent="0.25">
      <c r="B129" s="17"/>
      <c r="C129" s="14"/>
      <c r="D129" s="14"/>
      <c r="E129" s="18"/>
      <c r="F129" s="61"/>
      <c r="G129" s="73"/>
      <c r="H129" s="79"/>
      <c r="I129" s="79"/>
      <c r="J129" s="14"/>
      <c r="K129" s="38"/>
      <c r="L129" s="38"/>
      <c r="M129" s="17"/>
    </row>
    <row r="130" spans="2:13" ht="14.45" customHeight="1" x14ac:dyDescent="0.25">
      <c r="B130" s="17"/>
      <c r="C130" s="14"/>
      <c r="D130" s="14"/>
      <c r="E130" s="18"/>
      <c r="F130" s="61"/>
      <c r="G130" s="73"/>
      <c r="H130" s="79"/>
      <c r="I130" s="79"/>
      <c r="J130" s="14"/>
      <c r="K130" s="38"/>
      <c r="L130" s="38"/>
      <c r="M130" s="17"/>
    </row>
    <row r="131" spans="2:13" ht="14.45" customHeight="1" x14ac:dyDescent="0.25">
      <c r="B131" s="17"/>
      <c r="C131" s="14"/>
      <c r="D131" s="14"/>
      <c r="E131" s="18"/>
      <c r="F131" s="61"/>
      <c r="G131" s="73"/>
      <c r="H131" s="79"/>
      <c r="I131" s="79"/>
      <c r="J131" s="14"/>
      <c r="K131" s="38"/>
      <c r="L131" s="38"/>
      <c r="M131" s="17"/>
    </row>
    <row r="132" spans="2:13" ht="14.45" customHeight="1" x14ac:dyDescent="0.25">
      <c r="B132" s="17"/>
      <c r="C132" s="14"/>
      <c r="D132" s="14"/>
      <c r="E132" s="18"/>
      <c r="F132" s="61"/>
      <c r="G132" s="73"/>
      <c r="H132" s="79"/>
      <c r="I132" s="79"/>
      <c r="J132" s="14"/>
      <c r="K132" s="38"/>
      <c r="L132" s="38"/>
      <c r="M132" s="17"/>
    </row>
    <row r="133" spans="2:13" ht="14.45" customHeight="1" x14ac:dyDescent="0.25">
      <c r="B133" s="17"/>
      <c r="C133" s="14"/>
      <c r="D133" s="14"/>
      <c r="E133" s="18"/>
      <c r="F133" s="61"/>
      <c r="G133" s="73"/>
      <c r="H133" s="79"/>
      <c r="I133" s="79"/>
      <c r="J133" s="14"/>
      <c r="K133" s="38"/>
      <c r="L133" s="38"/>
      <c r="M133" s="17"/>
    </row>
    <row r="134" spans="2:13" ht="14.45" customHeight="1" x14ac:dyDescent="0.25">
      <c r="B134" s="17"/>
      <c r="C134" s="14"/>
      <c r="D134" s="14"/>
      <c r="E134" s="18"/>
      <c r="F134" s="61"/>
      <c r="G134" s="73"/>
      <c r="H134" s="79"/>
      <c r="I134" s="79"/>
      <c r="J134" s="14"/>
      <c r="K134" s="38"/>
      <c r="L134" s="38"/>
      <c r="M134" s="17"/>
    </row>
    <row r="135" spans="2:13" ht="14.45" customHeight="1" x14ac:dyDescent="0.25">
      <c r="B135" s="17"/>
      <c r="C135" s="14"/>
      <c r="D135" s="14"/>
      <c r="E135" s="18"/>
      <c r="F135" s="61"/>
      <c r="G135" s="73"/>
      <c r="H135" s="79"/>
      <c r="I135" s="79"/>
      <c r="J135" s="14"/>
      <c r="K135" s="38"/>
      <c r="L135" s="38"/>
      <c r="M135" s="17"/>
    </row>
    <row r="136" spans="2:13" ht="14.45" customHeight="1" x14ac:dyDescent="0.25">
      <c r="B136" s="17"/>
      <c r="C136" s="14"/>
      <c r="D136" s="14"/>
      <c r="E136" s="18"/>
      <c r="F136" s="61"/>
      <c r="G136" s="73"/>
      <c r="H136" s="79"/>
      <c r="I136" s="79"/>
      <c r="J136" s="14"/>
      <c r="K136" s="38"/>
      <c r="L136" s="38"/>
      <c r="M136" s="17"/>
    </row>
    <row r="137" spans="2:13" ht="14.45" customHeight="1" x14ac:dyDescent="0.25">
      <c r="B137" s="17"/>
      <c r="C137" s="14"/>
      <c r="D137" s="14"/>
      <c r="E137" s="18"/>
      <c r="F137" s="61"/>
      <c r="G137" s="73"/>
      <c r="H137" s="79"/>
      <c r="I137" s="79"/>
      <c r="J137" s="14"/>
      <c r="K137" s="38"/>
      <c r="L137" s="38"/>
      <c r="M137" s="17"/>
    </row>
    <row r="138" spans="2:13" ht="14.45" customHeight="1" x14ac:dyDescent="0.25">
      <c r="B138" s="17"/>
      <c r="C138" s="14"/>
      <c r="D138" s="14"/>
      <c r="E138" s="18"/>
      <c r="F138" s="61"/>
      <c r="G138" s="73"/>
      <c r="H138" s="79"/>
      <c r="I138" s="79"/>
      <c r="J138" s="14"/>
      <c r="K138" s="38"/>
      <c r="L138" s="38"/>
      <c r="M138" s="17"/>
    </row>
    <row r="139" spans="2:13" ht="14.45" customHeight="1" x14ac:dyDescent="0.25">
      <c r="B139" s="17"/>
      <c r="C139" s="14"/>
      <c r="D139" s="14"/>
      <c r="E139" s="18"/>
      <c r="F139" s="61"/>
      <c r="G139" s="73"/>
      <c r="H139" s="79"/>
      <c r="I139" s="79"/>
      <c r="J139" s="14"/>
      <c r="K139" s="38"/>
      <c r="L139" s="38"/>
      <c r="M139" s="17"/>
    </row>
    <row r="140" spans="2:13" ht="14.45" customHeight="1" x14ac:dyDescent="0.25">
      <c r="B140" s="17"/>
      <c r="C140" s="14"/>
      <c r="D140" s="14"/>
      <c r="E140" s="18"/>
      <c r="F140" s="61"/>
      <c r="G140" s="73"/>
      <c r="H140" s="79"/>
      <c r="I140" s="79"/>
      <c r="J140" s="14"/>
      <c r="K140" s="38"/>
      <c r="L140" s="38"/>
      <c r="M140" s="17"/>
    </row>
    <row r="141" spans="2:13" ht="14.45" customHeight="1" x14ac:dyDescent="0.25">
      <c r="B141" s="17"/>
      <c r="C141" s="14"/>
      <c r="D141" s="14"/>
      <c r="E141" s="18"/>
      <c r="F141" s="61"/>
      <c r="G141" s="73"/>
      <c r="H141" s="79"/>
      <c r="I141" s="79"/>
      <c r="J141" s="14"/>
      <c r="K141" s="38"/>
      <c r="L141" s="38"/>
      <c r="M141" s="17"/>
    </row>
    <row r="142" spans="2:13" ht="14.45" customHeight="1" x14ac:dyDescent="0.25">
      <c r="B142" s="17"/>
      <c r="C142" s="14"/>
      <c r="D142" s="14"/>
      <c r="E142" s="18"/>
      <c r="F142" s="61"/>
      <c r="G142" s="73"/>
      <c r="H142" s="79"/>
      <c r="I142" s="79"/>
      <c r="J142" s="14"/>
      <c r="K142" s="38"/>
      <c r="L142" s="38"/>
      <c r="M142" s="17"/>
    </row>
    <row r="143" spans="2:13" ht="14.45" customHeight="1" x14ac:dyDescent="0.25">
      <c r="B143" s="17"/>
      <c r="C143" s="14"/>
      <c r="D143" s="14"/>
      <c r="E143" s="18"/>
      <c r="F143" s="61"/>
      <c r="G143" s="73"/>
      <c r="H143" s="79"/>
      <c r="I143" s="79"/>
      <c r="J143" s="14"/>
      <c r="K143" s="38"/>
      <c r="L143" s="38"/>
      <c r="M143" s="17"/>
    </row>
    <row r="144" spans="2:13" ht="14.45" customHeight="1" x14ac:dyDescent="0.25">
      <c r="B144" s="17"/>
      <c r="C144" s="14"/>
      <c r="D144" s="14"/>
      <c r="E144" s="18"/>
      <c r="F144" s="61"/>
      <c r="G144" s="73"/>
      <c r="H144" s="79"/>
      <c r="I144" s="79"/>
      <c r="J144" s="14"/>
      <c r="K144" s="38"/>
      <c r="L144" s="38"/>
      <c r="M144" s="17"/>
    </row>
    <row r="145" spans="2:13" ht="14.45" customHeight="1" x14ac:dyDescent="0.25">
      <c r="B145" s="17"/>
      <c r="C145" s="14"/>
      <c r="D145" s="14"/>
      <c r="E145" s="18"/>
      <c r="F145" s="61"/>
      <c r="G145" s="73"/>
      <c r="H145" s="79"/>
      <c r="I145" s="79"/>
      <c r="J145" s="14"/>
      <c r="K145" s="38"/>
      <c r="L145" s="38"/>
      <c r="M145" s="17"/>
    </row>
    <row r="146" spans="2:13" ht="14.45" customHeight="1" x14ac:dyDescent="0.25">
      <c r="B146" s="17"/>
      <c r="C146" s="14"/>
      <c r="D146" s="14"/>
      <c r="E146" s="18"/>
      <c r="F146" s="61"/>
      <c r="G146" s="73"/>
      <c r="H146" s="79"/>
      <c r="I146" s="79"/>
      <c r="J146" s="14"/>
      <c r="K146" s="38"/>
      <c r="L146" s="38"/>
      <c r="M146" s="17"/>
    </row>
    <row r="147" spans="2:13" ht="14.45" customHeight="1" x14ac:dyDescent="0.25">
      <c r="B147" s="17"/>
      <c r="C147" s="14"/>
      <c r="D147" s="14"/>
      <c r="E147" s="18"/>
      <c r="F147" s="61"/>
      <c r="G147" s="73"/>
      <c r="H147" s="79"/>
      <c r="I147" s="79"/>
      <c r="J147" s="14"/>
      <c r="K147" s="38"/>
      <c r="L147" s="38"/>
      <c r="M147" s="17"/>
    </row>
    <row r="148" spans="2:13" ht="14.45" customHeight="1" x14ac:dyDescent="0.25">
      <c r="B148" s="17"/>
      <c r="C148" s="14"/>
      <c r="D148" s="14"/>
      <c r="E148" s="18"/>
      <c r="F148" s="61"/>
      <c r="G148" s="73"/>
      <c r="H148" s="79"/>
      <c r="I148" s="79"/>
      <c r="J148" s="14"/>
      <c r="K148" s="38"/>
      <c r="L148" s="38"/>
      <c r="M148" s="17"/>
    </row>
    <row r="149" spans="2:13" ht="14.45" customHeight="1" x14ac:dyDescent="0.25">
      <c r="B149" s="17"/>
      <c r="C149" s="14"/>
      <c r="D149" s="14"/>
      <c r="E149" s="18"/>
      <c r="F149" s="61"/>
      <c r="G149" s="73"/>
      <c r="H149" s="79"/>
      <c r="I149" s="79"/>
      <c r="J149" s="14"/>
      <c r="K149" s="38"/>
      <c r="L149" s="38"/>
      <c r="M149" s="17"/>
    </row>
    <row r="150" spans="2:13" ht="14.45" customHeight="1" x14ac:dyDescent="0.25">
      <c r="B150" s="17"/>
      <c r="C150" s="14"/>
      <c r="D150" s="14"/>
      <c r="E150" s="18"/>
      <c r="F150" s="61"/>
      <c r="G150" s="73"/>
      <c r="H150" s="79"/>
      <c r="I150" s="79"/>
      <c r="J150" s="14"/>
      <c r="K150" s="38"/>
      <c r="L150" s="38"/>
      <c r="M150" s="17"/>
    </row>
    <row r="151" spans="2:13" ht="14.45" customHeight="1" x14ac:dyDescent="0.25">
      <c r="B151" s="17"/>
      <c r="C151" s="14"/>
      <c r="D151" s="14"/>
      <c r="E151" s="18"/>
      <c r="F151" s="61"/>
      <c r="G151" s="73"/>
      <c r="H151" s="79"/>
      <c r="I151" s="79"/>
      <c r="J151" s="14"/>
      <c r="K151" s="38"/>
      <c r="L151" s="38"/>
      <c r="M151" s="17"/>
    </row>
    <row r="152" spans="2:13" ht="14.45" customHeight="1" x14ac:dyDescent="0.25">
      <c r="B152" s="17"/>
      <c r="C152" s="14"/>
      <c r="D152" s="14"/>
      <c r="E152" s="18"/>
      <c r="F152" s="61"/>
      <c r="G152" s="73"/>
      <c r="H152" s="79"/>
      <c r="I152" s="79"/>
      <c r="J152" s="14"/>
      <c r="K152" s="38"/>
      <c r="L152" s="38"/>
      <c r="M152" s="17"/>
    </row>
    <row r="153" spans="2:13" ht="14.45" customHeight="1" x14ac:dyDescent="0.25">
      <c r="B153" s="17"/>
      <c r="C153" s="14"/>
      <c r="D153" s="14"/>
      <c r="E153" s="18"/>
      <c r="F153" s="61"/>
      <c r="G153" s="73"/>
      <c r="H153" s="79"/>
      <c r="I153" s="79"/>
      <c r="J153" s="14"/>
      <c r="K153" s="38"/>
      <c r="L153" s="38"/>
      <c r="M153" s="17"/>
    </row>
    <row r="154" spans="2:13" ht="14.45" customHeight="1" x14ac:dyDescent="0.25">
      <c r="B154" s="17"/>
      <c r="C154" s="14"/>
      <c r="D154" s="14"/>
      <c r="E154" s="18"/>
      <c r="F154" s="61"/>
      <c r="G154" s="73"/>
      <c r="H154" s="79"/>
      <c r="I154" s="79"/>
      <c r="J154" s="14"/>
      <c r="K154" s="38"/>
      <c r="L154" s="38"/>
      <c r="M154" s="17"/>
    </row>
    <row r="155" spans="2:13" ht="14.45" customHeight="1" x14ac:dyDescent="0.25">
      <c r="B155" s="17"/>
      <c r="C155" s="14"/>
      <c r="D155" s="14"/>
      <c r="E155" s="18"/>
      <c r="F155" s="61"/>
      <c r="G155" s="73"/>
      <c r="H155" s="79"/>
      <c r="I155" s="79"/>
      <c r="J155" s="14"/>
      <c r="K155" s="38"/>
      <c r="L155" s="38"/>
      <c r="M155" s="17"/>
    </row>
    <row r="156" spans="2:13" ht="14.45" customHeight="1" x14ac:dyDescent="0.25">
      <c r="B156" s="17"/>
      <c r="C156" s="14"/>
      <c r="D156" s="14"/>
      <c r="E156" s="18"/>
      <c r="F156" s="61"/>
      <c r="G156" s="73"/>
      <c r="H156" s="79"/>
      <c r="I156" s="79"/>
      <c r="J156" s="14"/>
      <c r="K156" s="38"/>
      <c r="L156" s="38"/>
      <c r="M156" s="17"/>
    </row>
    <row r="157" spans="2:13" ht="14.45" customHeight="1" x14ac:dyDescent="0.25">
      <c r="B157" s="17"/>
      <c r="C157" s="14"/>
      <c r="D157" s="14"/>
      <c r="E157" s="18"/>
      <c r="F157" s="61"/>
      <c r="G157" s="73"/>
      <c r="H157" s="79"/>
      <c r="I157" s="79"/>
      <c r="J157" s="14"/>
      <c r="K157" s="38"/>
      <c r="L157" s="38"/>
      <c r="M157" s="17"/>
    </row>
    <row r="158" spans="2:13" ht="14.45" customHeight="1" x14ac:dyDescent="0.25">
      <c r="B158" s="17"/>
      <c r="C158" s="14"/>
      <c r="D158" s="14"/>
      <c r="E158" s="18"/>
      <c r="F158" s="61"/>
      <c r="G158" s="73"/>
      <c r="H158" s="79"/>
      <c r="I158" s="79"/>
      <c r="J158" s="14"/>
      <c r="K158" s="38"/>
      <c r="L158" s="38"/>
      <c r="M158" s="17"/>
    </row>
    <row r="159" spans="2:13" ht="14.45" customHeight="1" x14ac:dyDescent="0.25">
      <c r="B159" s="17"/>
      <c r="C159" s="14"/>
      <c r="D159" s="14"/>
      <c r="E159" s="18"/>
      <c r="F159" s="61"/>
      <c r="G159" s="73"/>
      <c r="H159" s="79"/>
      <c r="I159" s="79"/>
      <c r="J159" s="14"/>
      <c r="K159" s="38"/>
      <c r="L159" s="38"/>
      <c r="M159" s="17"/>
    </row>
    <row r="160" spans="2:13" ht="14.45" customHeight="1" x14ac:dyDescent="0.25">
      <c r="B160" s="17"/>
      <c r="C160" s="14"/>
      <c r="D160" s="14"/>
      <c r="E160" s="18"/>
      <c r="F160" s="61"/>
      <c r="G160" s="73"/>
      <c r="H160" s="79"/>
      <c r="I160" s="79"/>
      <c r="J160" s="14"/>
      <c r="K160" s="38"/>
      <c r="L160" s="38"/>
      <c r="M160" s="17"/>
    </row>
    <row r="161" spans="2:13" ht="14.45" customHeight="1" x14ac:dyDescent="0.25">
      <c r="B161" s="17"/>
      <c r="C161" s="14"/>
      <c r="D161" s="14"/>
      <c r="E161" s="18"/>
      <c r="F161" s="61"/>
      <c r="G161" s="73"/>
      <c r="H161" s="79"/>
      <c r="I161" s="79"/>
      <c r="J161" s="14"/>
      <c r="K161" s="38"/>
      <c r="L161" s="38"/>
      <c r="M161" s="17"/>
    </row>
    <row r="162" spans="2:13" ht="14.45" customHeight="1" x14ac:dyDescent="0.25">
      <c r="B162" s="17"/>
      <c r="C162" s="14"/>
      <c r="D162" s="14"/>
      <c r="E162" s="18"/>
      <c r="F162" s="61"/>
      <c r="G162" s="73"/>
      <c r="H162" s="79"/>
      <c r="I162" s="79"/>
      <c r="J162" s="14"/>
      <c r="K162" s="38"/>
      <c r="L162" s="38"/>
      <c r="M162" s="17"/>
    </row>
    <row r="163" spans="2:13" ht="14.45" customHeight="1" x14ac:dyDescent="0.25">
      <c r="B163" s="17"/>
      <c r="C163" s="14"/>
      <c r="D163" s="14"/>
      <c r="E163" s="18"/>
      <c r="F163" s="61"/>
      <c r="G163" s="73"/>
      <c r="H163" s="79"/>
      <c r="I163" s="79"/>
      <c r="J163" s="14"/>
      <c r="K163" s="38"/>
      <c r="L163" s="38"/>
      <c r="M163" s="17"/>
    </row>
    <row r="164" spans="2:13" ht="14.45" customHeight="1" x14ac:dyDescent="0.25">
      <c r="B164" s="17"/>
      <c r="C164" s="14"/>
      <c r="D164" s="14"/>
      <c r="E164" s="18"/>
      <c r="F164" s="61"/>
      <c r="G164" s="73"/>
      <c r="H164" s="79"/>
      <c r="I164" s="79"/>
      <c r="J164" s="14"/>
      <c r="K164" s="38"/>
      <c r="L164" s="38"/>
      <c r="M164" s="17"/>
    </row>
    <row r="165" spans="2:13" ht="14.45" customHeight="1" x14ac:dyDescent="0.25">
      <c r="B165" s="17"/>
      <c r="C165" s="14"/>
      <c r="D165" s="14"/>
      <c r="E165" s="18"/>
      <c r="F165" s="61"/>
      <c r="G165" s="73"/>
      <c r="H165" s="79"/>
      <c r="I165" s="79"/>
      <c r="J165" s="14"/>
      <c r="K165" s="38"/>
      <c r="L165" s="38"/>
      <c r="M165" s="17"/>
    </row>
    <row r="166" spans="2:13" ht="14.45" customHeight="1" x14ac:dyDescent="0.25">
      <c r="B166" s="17"/>
      <c r="C166" s="14"/>
      <c r="D166" s="14"/>
      <c r="E166" s="18"/>
      <c r="F166" s="61"/>
      <c r="G166" s="73"/>
      <c r="H166" s="79"/>
      <c r="I166" s="79"/>
      <c r="J166" s="14"/>
      <c r="K166" s="38"/>
      <c r="L166" s="38"/>
      <c r="M166" s="17"/>
    </row>
    <row r="167" spans="2:13" ht="14.45" customHeight="1" x14ac:dyDescent="0.25">
      <c r="B167" s="17"/>
      <c r="C167" s="14"/>
      <c r="D167" s="14"/>
      <c r="E167" s="18"/>
      <c r="F167" s="61"/>
      <c r="G167" s="73"/>
      <c r="H167" s="79"/>
      <c r="I167" s="79"/>
      <c r="J167" s="14"/>
      <c r="K167" s="38"/>
      <c r="L167" s="38"/>
      <c r="M167" s="17"/>
    </row>
    <row r="168" spans="2:13" ht="14.45" customHeight="1" x14ac:dyDescent="0.25">
      <c r="B168" s="17"/>
      <c r="C168" s="14"/>
      <c r="D168" s="14"/>
      <c r="E168" s="18"/>
      <c r="F168" s="61"/>
      <c r="G168" s="73"/>
      <c r="H168" s="79"/>
      <c r="I168" s="79"/>
      <c r="J168" s="14"/>
      <c r="K168" s="38"/>
      <c r="L168" s="38"/>
      <c r="M168" s="17"/>
    </row>
    <row r="169" spans="2:13" ht="14.45" customHeight="1" x14ac:dyDescent="0.25">
      <c r="B169" s="17"/>
      <c r="C169" s="14"/>
      <c r="D169" s="14"/>
      <c r="E169" s="18"/>
      <c r="F169" s="61"/>
      <c r="G169" s="73"/>
      <c r="H169" s="79"/>
      <c r="I169" s="79"/>
      <c r="J169" s="14"/>
      <c r="K169" s="38"/>
      <c r="L169" s="38"/>
      <c r="M169" s="17"/>
    </row>
    <row r="170" spans="2:13" ht="14.45" customHeight="1" x14ac:dyDescent="0.25">
      <c r="B170" s="17"/>
      <c r="C170" s="14"/>
      <c r="D170" s="14"/>
      <c r="E170" s="18"/>
      <c r="F170" s="61"/>
      <c r="G170" s="73"/>
      <c r="H170" s="79"/>
      <c r="I170" s="79"/>
      <c r="J170" s="14"/>
      <c r="K170" s="38"/>
      <c r="L170" s="38"/>
      <c r="M170" s="17"/>
    </row>
    <row r="171" spans="2:13" ht="14.45" customHeight="1" x14ac:dyDescent="0.25">
      <c r="B171" s="17"/>
      <c r="C171" s="14"/>
      <c r="D171" s="14"/>
      <c r="E171" s="18"/>
      <c r="F171" s="61"/>
      <c r="G171" s="73"/>
      <c r="H171" s="79"/>
      <c r="I171" s="79"/>
      <c r="J171" s="14"/>
      <c r="K171" s="38"/>
      <c r="L171" s="38"/>
      <c r="M171" s="17"/>
    </row>
    <row r="172" spans="2:13" ht="14.45" customHeight="1" x14ac:dyDescent="0.25">
      <c r="B172" s="17"/>
      <c r="C172" s="14"/>
      <c r="D172" s="14"/>
      <c r="E172" s="18"/>
      <c r="F172" s="61"/>
      <c r="G172" s="73"/>
      <c r="H172" s="79"/>
      <c r="I172" s="79"/>
      <c r="J172" s="14"/>
      <c r="K172" s="38"/>
      <c r="L172" s="38"/>
      <c r="M172" s="17"/>
    </row>
    <row r="173" spans="2:13" ht="14.45" customHeight="1" x14ac:dyDescent="0.25">
      <c r="B173" s="17"/>
      <c r="C173" s="14"/>
      <c r="D173" s="14"/>
      <c r="E173" s="18"/>
      <c r="F173" s="61"/>
      <c r="G173" s="73"/>
      <c r="H173" s="79"/>
      <c r="I173" s="79"/>
      <c r="J173" s="14"/>
      <c r="K173" s="38"/>
      <c r="L173" s="38"/>
      <c r="M173" s="17"/>
    </row>
    <row r="174" spans="2:13" ht="14.45" customHeight="1" x14ac:dyDescent="0.25">
      <c r="B174" s="17"/>
      <c r="C174" s="14"/>
      <c r="D174" s="14"/>
      <c r="E174" s="18"/>
      <c r="F174" s="61"/>
      <c r="G174" s="73"/>
      <c r="H174" s="79"/>
      <c r="I174" s="79"/>
      <c r="J174" s="14"/>
      <c r="K174" s="38"/>
      <c r="L174" s="38"/>
      <c r="M174" s="17"/>
    </row>
    <row r="175" spans="2:13" ht="14.45" customHeight="1" x14ac:dyDescent="0.25">
      <c r="B175" s="17"/>
      <c r="C175" s="14"/>
      <c r="D175" s="14"/>
      <c r="E175" s="18"/>
      <c r="F175" s="61"/>
      <c r="G175" s="73"/>
      <c r="H175" s="79"/>
      <c r="I175" s="79"/>
      <c r="J175" s="14"/>
      <c r="K175" s="38"/>
      <c r="L175" s="38"/>
      <c r="M175" s="17"/>
    </row>
    <row r="176" spans="2:13" ht="14.45" customHeight="1" x14ac:dyDescent="0.25">
      <c r="B176" s="17"/>
      <c r="C176" s="14"/>
      <c r="D176" s="14"/>
      <c r="E176" s="18"/>
      <c r="F176" s="61"/>
      <c r="G176" s="73"/>
      <c r="H176" s="79"/>
      <c r="I176" s="79"/>
      <c r="J176" s="14"/>
      <c r="K176" s="38"/>
      <c r="L176" s="38"/>
      <c r="M176" s="17"/>
    </row>
    <row r="177" spans="2:13" ht="14.45" customHeight="1" x14ac:dyDescent="0.25">
      <c r="B177" s="17"/>
      <c r="C177" s="14"/>
      <c r="D177" s="14"/>
      <c r="E177" s="18"/>
      <c r="F177" s="61"/>
      <c r="G177" s="73"/>
      <c r="H177" s="79"/>
      <c r="I177" s="79"/>
      <c r="J177" s="14"/>
      <c r="K177" s="38"/>
      <c r="L177" s="38"/>
      <c r="M177" s="17"/>
    </row>
    <row r="178" spans="2:13" ht="14.45" customHeight="1" x14ac:dyDescent="0.25">
      <c r="B178" s="17"/>
      <c r="C178" s="14"/>
      <c r="D178" s="14"/>
      <c r="E178" s="18"/>
      <c r="F178" s="61"/>
      <c r="G178" s="73"/>
      <c r="H178" s="79"/>
      <c r="I178" s="79"/>
      <c r="J178" s="14"/>
      <c r="K178" s="38"/>
      <c r="L178" s="38"/>
      <c r="M178" s="17"/>
    </row>
    <row r="179" spans="2:13" ht="14.45" customHeight="1" x14ac:dyDescent="0.25">
      <c r="B179" s="17"/>
      <c r="C179" s="14"/>
      <c r="D179" s="14"/>
      <c r="E179" s="18"/>
      <c r="F179" s="61"/>
      <c r="G179" s="73"/>
      <c r="H179" s="79"/>
      <c r="I179" s="79"/>
      <c r="J179" s="14"/>
      <c r="K179" s="38"/>
      <c r="L179" s="38"/>
      <c r="M179" s="17"/>
    </row>
    <row r="180" spans="2:13" ht="14.45" customHeight="1" x14ac:dyDescent="0.25">
      <c r="B180" s="17"/>
      <c r="C180" s="14"/>
      <c r="D180" s="14"/>
      <c r="E180" s="18"/>
      <c r="F180" s="61"/>
      <c r="G180" s="73"/>
      <c r="H180" s="79"/>
      <c r="I180" s="79"/>
      <c r="J180" s="14"/>
      <c r="K180" s="38"/>
      <c r="L180" s="38"/>
      <c r="M180" s="17"/>
    </row>
    <row r="181" spans="2:13" ht="14.45" customHeight="1" x14ac:dyDescent="0.25">
      <c r="B181" s="17"/>
      <c r="C181" s="14"/>
      <c r="D181" s="14"/>
      <c r="E181" s="18"/>
      <c r="F181" s="61"/>
      <c r="G181" s="73"/>
      <c r="H181" s="79"/>
      <c r="I181" s="79"/>
      <c r="J181" s="14"/>
      <c r="K181" s="38"/>
      <c r="L181" s="38"/>
      <c r="M181" s="17"/>
    </row>
    <row r="182" spans="2:13" ht="14.45" customHeight="1" x14ac:dyDescent="0.25">
      <c r="B182" s="17"/>
      <c r="C182" s="14"/>
      <c r="D182" s="14"/>
      <c r="E182" s="18"/>
      <c r="F182" s="61"/>
      <c r="G182" s="73"/>
      <c r="H182" s="79"/>
      <c r="I182" s="79"/>
      <c r="J182" s="14"/>
      <c r="K182" s="38"/>
      <c r="L182" s="38"/>
      <c r="M182" s="17"/>
    </row>
    <row r="183" spans="2:13" ht="14.45" customHeight="1" x14ac:dyDescent="0.25">
      <c r="B183" s="17"/>
      <c r="C183" s="14"/>
      <c r="D183" s="14"/>
      <c r="E183" s="18"/>
      <c r="F183" s="61"/>
      <c r="G183" s="73"/>
      <c r="H183" s="79"/>
      <c r="I183" s="79"/>
      <c r="J183" s="14"/>
      <c r="K183" s="38"/>
      <c r="L183" s="38"/>
      <c r="M183" s="17"/>
    </row>
    <row r="184" spans="2:13" ht="14.45" customHeight="1" x14ac:dyDescent="0.25">
      <c r="B184" s="17"/>
      <c r="C184" s="14"/>
      <c r="D184" s="14"/>
      <c r="E184" s="18"/>
      <c r="F184" s="61"/>
      <c r="G184" s="73"/>
      <c r="H184" s="79"/>
      <c r="I184" s="79"/>
      <c r="J184" s="14"/>
      <c r="K184" s="38"/>
      <c r="L184" s="38"/>
      <c r="M184" s="17"/>
    </row>
    <row r="185" spans="2:13" ht="14.45" customHeight="1" x14ac:dyDescent="0.25">
      <c r="B185" s="17"/>
      <c r="C185" s="14"/>
      <c r="D185" s="14"/>
      <c r="E185" s="18"/>
      <c r="F185" s="61"/>
      <c r="G185" s="73"/>
      <c r="H185" s="79"/>
      <c r="I185" s="79"/>
      <c r="J185" s="14"/>
      <c r="K185" s="38"/>
      <c r="L185" s="38"/>
      <c r="M185" s="17"/>
    </row>
    <row r="186" spans="2:13" ht="14.45" customHeight="1" x14ac:dyDescent="0.25">
      <c r="B186" s="17"/>
      <c r="C186" s="14"/>
      <c r="D186" s="14"/>
      <c r="E186" s="18"/>
      <c r="F186" s="61"/>
      <c r="G186" s="73"/>
      <c r="H186" s="79"/>
      <c r="I186" s="79"/>
      <c r="J186" s="14"/>
      <c r="K186" s="38"/>
      <c r="L186" s="38"/>
      <c r="M186" s="17"/>
    </row>
    <row r="187" spans="2:13" ht="14.45" customHeight="1" x14ac:dyDescent="0.25">
      <c r="B187" s="17"/>
      <c r="C187" s="14"/>
      <c r="D187" s="14"/>
      <c r="E187" s="18"/>
      <c r="F187" s="61"/>
      <c r="G187" s="73"/>
      <c r="H187" s="79"/>
      <c r="I187" s="79"/>
      <c r="J187" s="14"/>
      <c r="K187" s="38"/>
      <c r="L187" s="38"/>
      <c r="M187" s="17"/>
    </row>
    <row r="188" spans="2:13" ht="14.45" customHeight="1" x14ac:dyDescent="0.25">
      <c r="B188" s="17"/>
      <c r="C188" s="14"/>
      <c r="D188" s="14"/>
      <c r="E188" s="18"/>
      <c r="F188" s="61"/>
      <c r="G188" s="73"/>
      <c r="H188" s="79"/>
      <c r="I188" s="79"/>
      <c r="J188" s="14"/>
      <c r="K188" s="38"/>
      <c r="L188" s="38"/>
      <c r="M188" s="17"/>
    </row>
    <row r="189" spans="2:13" ht="14.45" customHeight="1" x14ac:dyDescent="0.25">
      <c r="B189" s="17"/>
      <c r="C189" s="14"/>
      <c r="D189" s="14"/>
      <c r="E189" s="18"/>
      <c r="F189" s="61"/>
      <c r="G189" s="73"/>
      <c r="H189" s="79"/>
      <c r="I189" s="79"/>
      <c r="J189" s="14"/>
      <c r="K189" s="38"/>
      <c r="L189" s="38"/>
      <c r="M189" s="17"/>
    </row>
    <row r="190" spans="2:13" ht="14.45" customHeight="1" x14ac:dyDescent="0.25">
      <c r="B190" s="17"/>
      <c r="C190" s="14"/>
      <c r="D190" s="14"/>
      <c r="E190" s="18"/>
      <c r="F190" s="61"/>
      <c r="G190" s="73"/>
      <c r="H190" s="79"/>
      <c r="I190" s="79"/>
      <c r="J190" s="14"/>
      <c r="K190" s="38"/>
      <c r="L190" s="38"/>
      <c r="M190" s="17"/>
    </row>
    <row r="191" spans="2:13" ht="14.45" customHeight="1" x14ac:dyDescent="0.25">
      <c r="B191" s="17"/>
      <c r="C191" s="14"/>
      <c r="D191" s="14"/>
      <c r="E191" s="18"/>
      <c r="F191" s="61"/>
      <c r="G191" s="73"/>
      <c r="H191" s="79"/>
      <c r="I191" s="79"/>
      <c r="J191" s="14"/>
      <c r="K191" s="38"/>
      <c r="L191" s="38"/>
      <c r="M191" s="17"/>
    </row>
    <row r="192" spans="2:13" ht="14.45" customHeight="1" x14ac:dyDescent="0.25">
      <c r="B192" s="17"/>
      <c r="C192" s="14"/>
      <c r="D192" s="14"/>
      <c r="E192" s="18"/>
      <c r="F192" s="61"/>
      <c r="G192" s="73"/>
      <c r="H192" s="79"/>
      <c r="I192" s="79"/>
      <c r="J192" s="14"/>
      <c r="K192" s="38"/>
      <c r="L192" s="38"/>
      <c r="M192" s="17"/>
    </row>
    <row r="193" spans="2:13" ht="14.45" customHeight="1" x14ac:dyDescent="0.25">
      <c r="B193" s="17"/>
      <c r="C193" s="14"/>
      <c r="D193" s="14"/>
      <c r="E193" s="18"/>
      <c r="F193" s="61"/>
      <c r="G193" s="73"/>
      <c r="H193" s="79"/>
      <c r="I193" s="79"/>
      <c r="J193" s="14"/>
      <c r="K193" s="38"/>
      <c r="L193" s="38"/>
      <c r="M193" s="17"/>
    </row>
    <row r="194" spans="2:13" ht="14.45" customHeight="1" x14ac:dyDescent="0.25">
      <c r="B194" s="17"/>
      <c r="C194" s="14"/>
      <c r="D194" s="14"/>
      <c r="E194" s="18"/>
      <c r="F194" s="61"/>
      <c r="G194" s="73"/>
      <c r="H194" s="79"/>
      <c r="I194" s="79"/>
      <c r="J194" s="14"/>
      <c r="K194" s="38"/>
      <c r="L194" s="38"/>
      <c r="M194" s="17"/>
    </row>
    <row r="195" spans="2:13" ht="14.45" customHeight="1" x14ac:dyDescent="0.25">
      <c r="B195" s="17"/>
      <c r="C195" s="14"/>
      <c r="D195" s="14"/>
      <c r="E195" s="18"/>
      <c r="F195" s="61"/>
      <c r="G195" s="73"/>
      <c r="H195" s="79"/>
      <c r="I195" s="79"/>
      <c r="J195" s="14"/>
      <c r="K195" s="38"/>
      <c r="L195" s="38"/>
      <c r="M195" s="17"/>
    </row>
    <row r="196" spans="2:13" ht="14.45" customHeight="1" x14ac:dyDescent="0.25">
      <c r="B196" s="17"/>
      <c r="C196" s="14"/>
      <c r="D196" s="14"/>
      <c r="E196" s="18"/>
      <c r="F196" s="61"/>
      <c r="G196" s="73"/>
      <c r="H196" s="79"/>
      <c r="I196" s="79"/>
      <c r="J196" s="14"/>
      <c r="K196" s="38"/>
      <c r="L196" s="38"/>
      <c r="M196" s="17"/>
    </row>
    <row r="197" spans="2:13" ht="14.45" customHeight="1" x14ac:dyDescent="0.25">
      <c r="B197" s="17"/>
      <c r="C197" s="14"/>
      <c r="D197" s="14"/>
      <c r="E197" s="18"/>
      <c r="F197" s="61"/>
      <c r="G197" s="73"/>
      <c r="H197" s="79"/>
      <c r="I197" s="79"/>
      <c r="J197" s="14"/>
      <c r="K197" s="38"/>
      <c r="L197" s="38"/>
      <c r="M197" s="17"/>
    </row>
    <row r="198" spans="2:13" ht="14.45" customHeight="1" x14ac:dyDescent="0.25">
      <c r="B198" s="17"/>
      <c r="C198" s="14"/>
      <c r="D198" s="14"/>
      <c r="E198" s="18"/>
      <c r="F198" s="61"/>
      <c r="G198" s="73"/>
      <c r="H198" s="79"/>
      <c r="I198" s="79"/>
      <c r="J198" s="14"/>
      <c r="K198" s="38"/>
      <c r="L198" s="38"/>
      <c r="M198" s="17"/>
    </row>
    <row r="199" spans="2:13" ht="14.45" customHeight="1" x14ac:dyDescent="0.25">
      <c r="B199" s="17"/>
      <c r="C199" s="14"/>
      <c r="D199" s="14"/>
      <c r="E199" s="18"/>
      <c r="F199" s="61"/>
      <c r="G199" s="73"/>
      <c r="H199" s="79"/>
      <c r="I199" s="79"/>
      <c r="J199" s="14"/>
      <c r="K199" s="38"/>
      <c r="L199" s="38"/>
      <c r="M199" s="17"/>
    </row>
    <row r="200" spans="2:13" ht="14.45" customHeight="1" x14ac:dyDescent="0.25">
      <c r="B200" s="17"/>
      <c r="C200" s="14"/>
      <c r="D200" s="14"/>
      <c r="E200" s="18"/>
      <c r="F200" s="61"/>
      <c r="G200" s="73"/>
      <c r="H200" s="79"/>
      <c r="I200" s="79"/>
      <c r="J200" s="14"/>
      <c r="K200" s="38"/>
      <c r="L200" s="38"/>
      <c r="M200" s="17"/>
    </row>
    <row r="201" spans="2:13" ht="14.45" customHeight="1" x14ac:dyDescent="0.25">
      <c r="B201" s="17"/>
      <c r="C201" s="14"/>
      <c r="D201" s="14"/>
      <c r="E201" s="18"/>
      <c r="F201" s="61"/>
      <c r="G201" s="73"/>
      <c r="H201" s="79"/>
      <c r="I201" s="79"/>
      <c r="J201" s="14"/>
      <c r="K201" s="38"/>
      <c r="L201" s="38"/>
      <c r="M201" s="17"/>
    </row>
    <row r="202" spans="2:13" ht="14.45" customHeight="1" x14ac:dyDescent="0.25">
      <c r="B202" s="17"/>
      <c r="C202" s="14"/>
      <c r="D202" s="14"/>
      <c r="E202" s="18"/>
      <c r="F202" s="61"/>
      <c r="G202" s="73"/>
      <c r="H202" s="79"/>
      <c r="I202" s="79"/>
      <c r="J202" s="14"/>
      <c r="K202" s="38"/>
      <c r="L202" s="38"/>
      <c r="M202" s="17"/>
    </row>
    <row r="203" spans="2:13" ht="14.45" customHeight="1" x14ac:dyDescent="0.25">
      <c r="B203" s="17"/>
      <c r="C203" s="14"/>
      <c r="D203" s="14"/>
      <c r="E203" s="18"/>
      <c r="F203" s="61"/>
      <c r="G203" s="73"/>
      <c r="H203" s="79"/>
      <c r="I203" s="79"/>
      <c r="J203" s="14"/>
      <c r="K203" s="38"/>
      <c r="L203" s="38"/>
      <c r="M203" s="17"/>
    </row>
    <row r="204" spans="2:13" ht="14.45" customHeight="1" x14ac:dyDescent="0.25">
      <c r="B204" s="17"/>
      <c r="C204" s="14"/>
      <c r="D204" s="14"/>
      <c r="E204" s="18"/>
      <c r="F204" s="61"/>
      <c r="G204" s="73"/>
      <c r="H204" s="79"/>
      <c r="I204" s="79"/>
      <c r="J204" s="14"/>
      <c r="K204" s="38"/>
      <c r="L204" s="38"/>
      <c r="M204" s="17"/>
    </row>
    <row r="205" spans="2:13" ht="14.45" customHeight="1" x14ac:dyDescent="0.25">
      <c r="B205" s="17"/>
      <c r="C205" s="14"/>
      <c r="D205" s="14"/>
      <c r="E205" s="18"/>
      <c r="F205" s="61"/>
      <c r="G205" s="73"/>
      <c r="H205" s="79"/>
      <c r="I205" s="79"/>
      <c r="J205" s="14"/>
      <c r="K205" s="38"/>
      <c r="L205" s="38"/>
      <c r="M205" s="17"/>
    </row>
    <row r="206" spans="2:13" ht="14.45" customHeight="1" x14ac:dyDescent="0.25">
      <c r="B206" s="17"/>
      <c r="C206" s="14"/>
      <c r="D206" s="14"/>
      <c r="E206" s="18"/>
      <c r="F206" s="61"/>
      <c r="G206" s="73"/>
      <c r="H206" s="79"/>
      <c r="I206" s="79"/>
      <c r="J206" s="14"/>
      <c r="K206" s="38"/>
      <c r="L206" s="38"/>
      <c r="M206" s="17"/>
    </row>
    <row r="207" spans="2:13" ht="14.45" customHeight="1" x14ac:dyDescent="0.25">
      <c r="B207" s="17"/>
      <c r="C207" s="14"/>
      <c r="D207" s="14"/>
      <c r="E207" s="18"/>
      <c r="F207" s="61"/>
      <c r="G207" s="73"/>
      <c r="H207" s="79"/>
      <c r="I207" s="79"/>
      <c r="J207" s="14"/>
      <c r="K207" s="38"/>
      <c r="L207" s="38"/>
      <c r="M207" s="17"/>
    </row>
    <row r="208" spans="2:13" ht="14.45" customHeight="1" x14ac:dyDescent="0.25">
      <c r="B208" s="17"/>
      <c r="C208" s="14"/>
      <c r="D208" s="14"/>
      <c r="E208" s="18"/>
      <c r="F208" s="61"/>
      <c r="G208" s="73"/>
      <c r="H208" s="79"/>
      <c r="I208" s="79"/>
      <c r="J208" s="14"/>
      <c r="K208" s="38"/>
      <c r="L208" s="38"/>
      <c r="M208" s="17"/>
    </row>
    <row r="209" spans="2:13" ht="14.45" customHeight="1" x14ac:dyDescent="0.25">
      <c r="B209" s="17"/>
      <c r="C209" s="14"/>
      <c r="D209" s="14"/>
      <c r="E209" s="18"/>
      <c r="F209" s="61"/>
      <c r="G209" s="73"/>
      <c r="H209" s="79"/>
      <c r="I209" s="79"/>
      <c r="J209" s="14"/>
      <c r="K209" s="38"/>
      <c r="L209" s="38"/>
      <c r="M209" s="17"/>
    </row>
    <row r="210" spans="2:13" ht="14.45" customHeight="1" x14ac:dyDescent="0.25">
      <c r="B210" s="17"/>
      <c r="C210" s="14"/>
      <c r="D210" s="14"/>
      <c r="E210" s="18"/>
      <c r="F210" s="61"/>
      <c r="G210" s="73"/>
      <c r="H210" s="79"/>
      <c r="I210" s="79"/>
      <c r="J210" s="14"/>
      <c r="K210" s="38"/>
      <c r="L210" s="38"/>
      <c r="M210" s="17"/>
    </row>
    <row r="211" spans="2:13" ht="14.45" customHeight="1" x14ac:dyDescent="0.25">
      <c r="B211" s="17"/>
      <c r="C211" s="14"/>
      <c r="D211" s="14"/>
      <c r="E211" s="18"/>
      <c r="F211" s="61"/>
      <c r="G211" s="73"/>
      <c r="H211" s="79"/>
      <c r="I211" s="79"/>
      <c r="J211" s="14"/>
      <c r="K211" s="38"/>
      <c r="L211" s="38"/>
      <c r="M211" s="17"/>
    </row>
    <row r="212" spans="2:13" ht="14.45" customHeight="1" x14ac:dyDescent="0.25">
      <c r="B212" s="17"/>
      <c r="C212" s="14"/>
      <c r="D212" s="14"/>
      <c r="E212" s="18"/>
      <c r="F212" s="61"/>
      <c r="G212" s="73"/>
      <c r="H212" s="79"/>
      <c r="I212" s="79"/>
      <c r="J212" s="14"/>
      <c r="K212" s="38"/>
      <c r="L212" s="38"/>
      <c r="M212" s="17"/>
    </row>
    <row r="213" spans="2:13" ht="14.45" customHeight="1" x14ac:dyDescent="0.25">
      <c r="B213" s="17"/>
      <c r="C213" s="14"/>
      <c r="D213" s="14"/>
      <c r="E213" s="18"/>
      <c r="F213" s="61"/>
      <c r="G213" s="73"/>
      <c r="H213" s="79"/>
      <c r="I213" s="79"/>
      <c r="J213" s="14"/>
      <c r="K213" s="38"/>
      <c r="L213" s="38"/>
      <c r="M213" s="17"/>
    </row>
    <row r="214" spans="2:13" ht="14.45" customHeight="1" x14ac:dyDescent="0.25">
      <c r="B214" s="17"/>
      <c r="C214" s="14"/>
      <c r="D214" s="14"/>
      <c r="E214" s="18"/>
      <c r="F214" s="61"/>
      <c r="G214" s="73"/>
      <c r="H214" s="79"/>
      <c r="I214" s="79"/>
      <c r="J214" s="14"/>
      <c r="K214" s="38"/>
      <c r="L214" s="38"/>
      <c r="M214" s="17"/>
    </row>
    <row r="215" spans="2:13" ht="14.45" customHeight="1" x14ac:dyDescent="0.25">
      <c r="B215" s="17"/>
      <c r="C215" s="14"/>
      <c r="D215" s="14"/>
      <c r="E215" s="18"/>
      <c r="F215" s="61"/>
      <c r="G215" s="73"/>
      <c r="H215" s="79"/>
      <c r="I215" s="79"/>
      <c r="J215" s="14"/>
      <c r="K215" s="38"/>
      <c r="L215" s="38"/>
      <c r="M215" s="17"/>
    </row>
    <row r="216" spans="2:13" ht="14.45" customHeight="1" x14ac:dyDescent="0.25">
      <c r="B216" s="17"/>
      <c r="C216" s="14"/>
      <c r="D216" s="14"/>
      <c r="E216" s="18"/>
      <c r="F216" s="61"/>
      <c r="G216" s="73"/>
      <c r="H216" s="79"/>
      <c r="I216" s="79"/>
      <c r="J216" s="14"/>
      <c r="K216" s="38"/>
      <c r="L216" s="38"/>
      <c r="M216" s="17"/>
    </row>
    <row r="217" spans="2:13" ht="14.45" customHeight="1" x14ac:dyDescent="0.25">
      <c r="B217" s="17"/>
      <c r="C217" s="14"/>
      <c r="D217" s="14"/>
      <c r="E217" s="18"/>
      <c r="F217" s="61"/>
      <c r="G217" s="73"/>
      <c r="H217" s="79"/>
      <c r="I217" s="79"/>
      <c r="J217" s="14"/>
      <c r="K217" s="38"/>
      <c r="L217" s="38"/>
      <c r="M217" s="17"/>
    </row>
    <row r="218" spans="2:13" ht="14.45" customHeight="1" x14ac:dyDescent="0.25">
      <c r="B218" s="17"/>
      <c r="C218" s="14"/>
      <c r="D218" s="14"/>
      <c r="E218" s="18"/>
      <c r="F218" s="61"/>
      <c r="G218" s="73"/>
      <c r="H218" s="79"/>
      <c r="I218" s="79"/>
      <c r="J218" s="14"/>
      <c r="K218" s="38"/>
      <c r="L218" s="38"/>
      <c r="M218" s="17"/>
    </row>
    <row r="219" spans="2:13" ht="14.45" customHeight="1" x14ac:dyDescent="0.25">
      <c r="B219" s="17"/>
      <c r="C219" s="14"/>
      <c r="D219" s="14"/>
      <c r="E219" s="18"/>
      <c r="F219" s="61"/>
      <c r="G219" s="73"/>
      <c r="H219" s="79"/>
      <c r="I219" s="79"/>
      <c r="J219" s="14"/>
      <c r="K219" s="38"/>
      <c r="L219" s="38"/>
      <c r="M219" s="17"/>
    </row>
    <row r="220" spans="2:13" ht="14.45" customHeight="1" x14ac:dyDescent="0.25">
      <c r="B220" s="17"/>
      <c r="C220" s="14"/>
      <c r="D220" s="14"/>
      <c r="E220" s="18"/>
      <c r="F220" s="61"/>
      <c r="G220" s="73"/>
      <c r="H220" s="79"/>
      <c r="I220" s="79"/>
      <c r="J220" s="14"/>
      <c r="K220" s="38"/>
      <c r="L220" s="38"/>
      <c r="M220" s="17"/>
    </row>
    <row r="221" spans="2:13" ht="14.45" customHeight="1" x14ac:dyDescent="0.25">
      <c r="B221" s="17"/>
      <c r="C221" s="14"/>
      <c r="D221" s="14"/>
      <c r="E221" s="18"/>
      <c r="F221" s="61"/>
      <c r="G221" s="73"/>
      <c r="H221" s="79"/>
      <c r="I221" s="79"/>
      <c r="J221" s="14"/>
      <c r="K221" s="38"/>
      <c r="L221" s="38"/>
      <c r="M221" s="17"/>
    </row>
    <row r="222" spans="2:13" ht="14.45" customHeight="1" x14ac:dyDescent="0.25">
      <c r="B222" s="17"/>
      <c r="C222" s="14"/>
      <c r="D222" s="14"/>
      <c r="E222" s="18"/>
      <c r="F222" s="61"/>
      <c r="G222" s="73"/>
      <c r="H222" s="79"/>
      <c r="I222" s="79"/>
      <c r="J222" s="14"/>
      <c r="K222" s="38"/>
      <c r="L222" s="38"/>
      <c r="M222" s="17"/>
    </row>
    <row r="223" spans="2:13" ht="14.45" customHeight="1" x14ac:dyDescent="0.25">
      <c r="B223" s="17"/>
      <c r="C223" s="14"/>
      <c r="D223" s="14"/>
      <c r="E223" s="18"/>
      <c r="F223" s="61"/>
      <c r="G223" s="73"/>
      <c r="H223" s="79"/>
      <c r="I223" s="79"/>
      <c r="J223" s="14"/>
      <c r="K223" s="38"/>
      <c r="L223" s="38"/>
      <c r="M223" s="17"/>
    </row>
    <row r="224" spans="2:13" ht="14.45" customHeight="1" x14ac:dyDescent="0.25">
      <c r="B224" s="17"/>
      <c r="C224" s="14"/>
      <c r="D224" s="14"/>
      <c r="E224" s="18"/>
      <c r="F224" s="61"/>
      <c r="G224" s="73"/>
      <c r="H224" s="79"/>
      <c r="I224" s="79"/>
      <c r="J224" s="14"/>
      <c r="K224" s="38"/>
      <c r="L224" s="38"/>
      <c r="M224" s="17"/>
    </row>
    <row r="225" spans="2:13" ht="14.45" customHeight="1" x14ac:dyDescent="0.25">
      <c r="B225" s="17"/>
      <c r="C225" s="14"/>
      <c r="D225" s="14"/>
      <c r="E225" s="18"/>
      <c r="F225" s="61"/>
      <c r="G225" s="73"/>
      <c r="H225" s="79"/>
      <c r="I225" s="79"/>
      <c r="J225" s="14"/>
      <c r="K225" s="38"/>
      <c r="L225" s="38"/>
      <c r="M225" s="17"/>
    </row>
    <row r="226" spans="2:13" ht="14.45" customHeight="1" x14ac:dyDescent="0.25">
      <c r="B226" s="17"/>
      <c r="C226" s="14"/>
      <c r="D226" s="14"/>
      <c r="E226" s="18"/>
      <c r="F226" s="61"/>
      <c r="G226" s="73"/>
      <c r="H226" s="79"/>
      <c r="I226" s="79"/>
      <c r="J226" s="14"/>
      <c r="K226" s="38"/>
      <c r="L226" s="38"/>
      <c r="M226" s="17"/>
    </row>
    <row r="227" spans="2:13" ht="14.45" customHeight="1" x14ac:dyDescent="0.25">
      <c r="B227" s="17"/>
      <c r="C227" s="14"/>
      <c r="D227" s="14"/>
      <c r="E227" s="18"/>
      <c r="F227" s="61"/>
      <c r="G227" s="73"/>
      <c r="H227" s="79"/>
      <c r="I227" s="79"/>
      <c r="J227" s="14"/>
      <c r="K227" s="38"/>
      <c r="L227" s="38"/>
      <c r="M227" s="17"/>
    </row>
    <row r="228" spans="2:13" ht="14.45" customHeight="1" x14ac:dyDescent="0.25">
      <c r="B228" s="17"/>
      <c r="C228" s="14"/>
      <c r="D228" s="14"/>
      <c r="E228" s="18"/>
      <c r="F228" s="61"/>
      <c r="G228" s="73"/>
      <c r="H228" s="79"/>
      <c r="I228" s="79"/>
      <c r="J228" s="14"/>
      <c r="K228" s="38"/>
      <c r="L228" s="38"/>
      <c r="M228" s="17"/>
    </row>
    <row r="229" spans="2:13" ht="14.45" customHeight="1" x14ac:dyDescent="0.25">
      <c r="B229" s="17"/>
      <c r="C229" s="14"/>
      <c r="D229" s="14"/>
      <c r="E229" s="18"/>
      <c r="F229" s="61"/>
      <c r="G229" s="73"/>
      <c r="H229" s="79"/>
      <c r="I229" s="79"/>
      <c r="J229" s="14"/>
      <c r="K229" s="38"/>
      <c r="L229" s="38"/>
      <c r="M229" s="17"/>
    </row>
    <row r="230" spans="2:13" ht="14.45" customHeight="1" x14ac:dyDescent="0.25">
      <c r="B230" s="17"/>
      <c r="C230" s="14"/>
      <c r="D230" s="14"/>
      <c r="E230" s="18"/>
      <c r="F230" s="61"/>
      <c r="G230" s="73"/>
      <c r="H230" s="79"/>
      <c r="I230" s="79"/>
      <c r="J230" s="14"/>
      <c r="K230" s="38"/>
      <c r="L230" s="38"/>
      <c r="M230" s="17"/>
    </row>
    <row r="231" spans="2:13" ht="14.45" customHeight="1" x14ac:dyDescent="0.25">
      <c r="B231" s="17"/>
      <c r="C231" s="14"/>
      <c r="D231" s="14"/>
      <c r="E231" s="18"/>
      <c r="F231" s="61"/>
      <c r="G231" s="73"/>
      <c r="H231" s="79"/>
      <c r="I231" s="79"/>
      <c r="J231" s="14"/>
      <c r="K231" s="38"/>
      <c r="L231" s="38"/>
      <c r="M231" s="17"/>
    </row>
    <row r="232" spans="2:13" ht="14.45" customHeight="1" x14ac:dyDescent="0.25">
      <c r="B232" s="17"/>
      <c r="C232" s="14"/>
      <c r="D232" s="14"/>
      <c r="E232" s="18"/>
      <c r="F232" s="61"/>
      <c r="G232" s="73"/>
      <c r="H232" s="79"/>
      <c r="I232" s="79"/>
      <c r="J232" s="14"/>
      <c r="K232" s="38"/>
      <c r="L232" s="38"/>
      <c r="M232" s="17"/>
    </row>
    <row r="233" spans="2:13" ht="14.45" customHeight="1" x14ac:dyDescent="0.25">
      <c r="B233" s="17"/>
      <c r="C233" s="14"/>
      <c r="D233" s="14"/>
      <c r="E233" s="18"/>
      <c r="F233" s="61"/>
      <c r="G233" s="73"/>
      <c r="H233" s="79"/>
      <c r="I233" s="79"/>
      <c r="J233" s="14"/>
      <c r="K233" s="38"/>
      <c r="L233" s="38"/>
      <c r="M233" s="17"/>
    </row>
    <row r="234" spans="2:13" ht="14.45" customHeight="1" x14ac:dyDescent="0.25">
      <c r="B234" s="17"/>
      <c r="C234" s="14"/>
      <c r="D234" s="14"/>
      <c r="E234" s="18"/>
      <c r="F234" s="61"/>
      <c r="G234" s="73"/>
      <c r="H234" s="79"/>
      <c r="I234" s="79"/>
      <c r="J234" s="14"/>
      <c r="K234" s="38"/>
      <c r="L234" s="38"/>
      <c r="M234" s="17"/>
    </row>
    <row r="235" spans="2:13" ht="14.45" customHeight="1" x14ac:dyDescent="0.25">
      <c r="B235" s="17"/>
      <c r="C235" s="14"/>
      <c r="D235" s="14"/>
      <c r="E235" s="18"/>
      <c r="F235" s="61"/>
      <c r="G235" s="73"/>
      <c r="H235" s="79"/>
      <c r="I235" s="79"/>
      <c r="J235" s="14"/>
      <c r="K235" s="38"/>
      <c r="L235" s="38"/>
      <c r="M235" s="17"/>
    </row>
    <row r="236" spans="2:13" ht="14.45" customHeight="1" x14ac:dyDescent="0.25">
      <c r="B236" s="17"/>
      <c r="C236" s="14"/>
      <c r="D236" s="14"/>
      <c r="E236" s="18"/>
      <c r="F236" s="61"/>
      <c r="G236" s="73"/>
      <c r="H236" s="79"/>
      <c r="I236" s="79"/>
      <c r="J236" s="14"/>
      <c r="K236" s="38"/>
      <c r="L236" s="38"/>
      <c r="M236" s="17"/>
    </row>
    <row r="237" spans="2:13" ht="14.45" customHeight="1" x14ac:dyDescent="0.25">
      <c r="B237" s="17"/>
      <c r="C237" s="14"/>
      <c r="D237" s="14"/>
      <c r="E237" s="18"/>
      <c r="F237" s="61"/>
      <c r="G237" s="73"/>
      <c r="H237" s="79"/>
      <c r="I237" s="79"/>
      <c r="J237" s="14"/>
      <c r="K237" s="38"/>
      <c r="L237" s="38"/>
      <c r="M237" s="17"/>
    </row>
    <row r="238" spans="2:13" ht="14.45" customHeight="1" x14ac:dyDescent="0.25">
      <c r="B238" s="17"/>
      <c r="C238" s="14"/>
      <c r="D238" s="14"/>
      <c r="E238" s="18"/>
      <c r="F238" s="61"/>
      <c r="G238" s="73"/>
      <c r="H238" s="79"/>
      <c r="I238" s="79"/>
      <c r="J238" s="14"/>
      <c r="K238" s="38"/>
      <c r="L238" s="38"/>
      <c r="M238" s="17"/>
    </row>
    <row r="239" spans="2:13" ht="14.45" customHeight="1" x14ac:dyDescent="0.25">
      <c r="B239" s="17"/>
      <c r="C239" s="14"/>
      <c r="D239" s="14"/>
      <c r="E239" s="18"/>
      <c r="F239" s="61"/>
      <c r="G239" s="73"/>
      <c r="H239" s="79"/>
      <c r="I239" s="79"/>
      <c r="J239" s="14"/>
      <c r="K239" s="38"/>
      <c r="L239" s="38"/>
      <c r="M239" s="17"/>
    </row>
    <row r="240" spans="2:13" ht="14.45" customHeight="1" x14ac:dyDescent="0.25">
      <c r="B240" s="17"/>
      <c r="C240" s="14"/>
      <c r="D240" s="14"/>
      <c r="E240" s="18"/>
      <c r="F240" s="61"/>
      <c r="G240" s="73"/>
      <c r="H240" s="79"/>
      <c r="I240" s="79"/>
      <c r="J240" s="14"/>
      <c r="K240" s="38"/>
      <c r="L240" s="38"/>
      <c r="M240" s="17"/>
    </row>
    <row r="241" spans="2:13" ht="14.45" customHeight="1" x14ac:dyDescent="0.25">
      <c r="B241" s="17"/>
      <c r="C241" s="14"/>
      <c r="D241" s="14"/>
      <c r="E241" s="18"/>
      <c r="F241" s="61"/>
      <c r="G241" s="73"/>
      <c r="H241" s="79"/>
      <c r="I241" s="79"/>
      <c r="J241" s="14"/>
      <c r="K241" s="38"/>
      <c r="L241" s="38"/>
      <c r="M241" s="17"/>
    </row>
    <row r="242" spans="2:13" ht="14.45" customHeight="1" x14ac:dyDescent="0.25">
      <c r="B242" s="17"/>
      <c r="C242" s="14"/>
      <c r="D242" s="14"/>
      <c r="E242" s="18"/>
      <c r="F242" s="61"/>
      <c r="G242" s="73"/>
      <c r="H242" s="79"/>
      <c r="I242" s="79"/>
      <c r="J242" s="14"/>
      <c r="K242" s="38"/>
      <c r="L242" s="38"/>
      <c r="M242" s="17"/>
    </row>
    <row r="243" spans="2:13" ht="14.45" customHeight="1" x14ac:dyDescent="0.25">
      <c r="B243" s="17"/>
      <c r="C243" s="14"/>
      <c r="D243" s="14"/>
      <c r="E243" s="18"/>
      <c r="F243" s="61"/>
      <c r="G243" s="73"/>
      <c r="H243" s="79"/>
      <c r="I243" s="79"/>
      <c r="J243" s="14"/>
      <c r="K243" s="38"/>
      <c r="L243" s="38"/>
      <c r="M243" s="17"/>
    </row>
    <row r="244" spans="2:13" ht="14.45" customHeight="1" x14ac:dyDescent="0.25">
      <c r="B244" s="17"/>
      <c r="C244" s="14"/>
      <c r="D244" s="14"/>
      <c r="E244" s="18"/>
      <c r="F244" s="61"/>
      <c r="G244" s="73"/>
      <c r="H244" s="79"/>
      <c r="I244" s="79"/>
      <c r="J244" s="14"/>
      <c r="K244" s="38"/>
      <c r="L244" s="38"/>
      <c r="M244" s="17"/>
    </row>
    <row r="245" spans="2:13" ht="14.45" customHeight="1" x14ac:dyDescent="0.25">
      <c r="B245" s="17"/>
      <c r="C245" s="14"/>
      <c r="D245" s="14"/>
      <c r="E245" s="18"/>
      <c r="F245" s="61"/>
      <c r="G245" s="73"/>
      <c r="H245" s="79"/>
      <c r="I245" s="79"/>
      <c r="J245" s="14"/>
      <c r="K245" s="38"/>
      <c r="L245" s="38"/>
      <c r="M245" s="17"/>
    </row>
    <row r="246" spans="2:13" ht="14.45" customHeight="1" x14ac:dyDescent="0.25">
      <c r="B246" s="17"/>
      <c r="C246" s="14"/>
      <c r="D246" s="14"/>
      <c r="E246" s="18"/>
      <c r="F246" s="61"/>
      <c r="G246" s="73"/>
      <c r="H246" s="79"/>
      <c r="I246" s="79"/>
      <c r="J246" s="14"/>
      <c r="K246" s="38"/>
      <c r="L246" s="38"/>
      <c r="M246" s="17"/>
    </row>
    <row r="247" spans="2:13" ht="14.45" customHeight="1" x14ac:dyDescent="0.25">
      <c r="B247" s="17"/>
      <c r="C247" s="14"/>
      <c r="D247" s="14"/>
      <c r="E247" s="18"/>
      <c r="F247" s="61"/>
      <c r="G247" s="73"/>
      <c r="H247" s="79"/>
      <c r="I247" s="79"/>
      <c r="J247" s="14"/>
      <c r="K247" s="38"/>
      <c r="L247" s="38"/>
      <c r="M247" s="17"/>
    </row>
    <row r="248" spans="2:13" ht="14.45" customHeight="1" x14ac:dyDescent="0.25">
      <c r="B248" s="17"/>
      <c r="C248" s="14"/>
      <c r="D248" s="14"/>
      <c r="E248" s="18"/>
      <c r="F248" s="61"/>
      <c r="G248" s="73"/>
      <c r="H248" s="79"/>
      <c r="I248" s="79"/>
      <c r="J248" s="14"/>
      <c r="K248" s="38"/>
      <c r="L248" s="38"/>
      <c r="M248" s="17"/>
    </row>
    <row r="249" spans="2:13" ht="14.45" customHeight="1" x14ac:dyDescent="0.25">
      <c r="B249" s="17"/>
      <c r="C249" s="14"/>
      <c r="D249" s="14"/>
      <c r="E249" s="18"/>
      <c r="F249" s="61"/>
      <c r="G249" s="73"/>
      <c r="H249" s="79"/>
      <c r="I249" s="79"/>
      <c r="J249" s="14"/>
      <c r="K249" s="38"/>
      <c r="L249" s="38"/>
      <c r="M249" s="17"/>
    </row>
    <row r="250" spans="2:13" ht="14.45" customHeight="1" x14ac:dyDescent="0.25">
      <c r="B250" s="17"/>
      <c r="C250" s="14"/>
      <c r="D250" s="14"/>
      <c r="E250" s="18"/>
      <c r="F250" s="61"/>
      <c r="G250" s="73"/>
      <c r="H250" s="79"/>
      <c r="I250" s="79"/>
      <c r="J250" s="14"/>
      <c r="K250" s="38"/>
      <c r="L250" s="38"/>
      <c r="M250" s="17"/>
    </row>
    <row r="251" spans="2:13" ht="14.45" customHeight="1" x14ac:dyDescent="0.25">
      <c r="B251" s="17"/>
      <c r="C251" s="14"/>
      <c r="D251" s="14"/>
      <c r="E251" s="18"/>
      <c r="F251" s="61"/>
      <c r="G251" s="73"/>
      <c r="H251" s="79"/>
      <c r="I251" s="79"/>
      <c r="J251" s="14"/>
      <c r="K251" s="38"/>
      <c r="L251" s="38"/>
      <c r="M251" s="17"/>
    </row>
    <row r="252" spans="2:13" ht="14.45" customHeight="1" x14ac:dyDescent="0.25">
      <c r="B252" s="17"/>
      <c r="C252" s="14"/>
      <c r="D252" s="14"/>
      <c r="E252" s="18"/>
      <c r="F252" s="61"/>
      <c r="G252" s="73"/>
      <c r="H252" s="79"/>
      <c r="I252" s="79"/>
      <c r="J252" s="14"/>
      <c r="K252" s="38"/>
      <c r="L252" s="38"/>
      <c r="M252" s="17"/>
    </row>
    <row r="253" spans="2:13" ht="14.45" customHeight="1" x14ac:dyDescent="0.25">
      <c r="B253" s="17"/>
      <c r="C253" s="14"/>
      <c r="D253" s="14"/>
      <c r="E253" s="18"/>
      <c r="F253" s="61"/>
      <c r="G253" s="73"/>
      <c r="H253" s="79"/>
      <c r="I253" s="79"/>
      <c r="J253" s="14"/>
      <c r="K253" s="38"/>
      <c r="L253" s="38"/>
      <c r="M253" s="17"/>
    </row>
    <row r="254" spans="2:13" ht="14.45" customHeight="1" x14ac:dyDescent="0.25">
      <c r="B254" s="17"/>
      <c r="C254" s="14"/>
      <c r="D254" s="14"/>
      <c r="E254" s="18"/>
      <c r="F254" s="61"/>
      <c r="G254" s="73"/>
      <c r="H254" s="79"/>
      <c r="I254" s="79"/>
      <c r="J254" s="14"/>
      <c r="K254" s="38"/>
      <c r="L254" s="38"/>
      <c r="M254" s="17"/>
    </row>
    <row r="255" spans="2:13" ht="14.45" customHeight="1" x14ac:dyDescent="0.25">
      <c r="B255" s="17"/>
      <c r="C255" s="14"/>
      <c r="D255" s="14"/>
      <c r="E255" s="18"/>
      <c r="F255" s="61"/>
      <c r="G255" s="73"/>
      <c r="H255" s="79"/>
      <c r="I255" s="79"/>
      <c r="J255" s="14"/>
      <c r="K255" s="38"/>
      <c r="L255" s="38"/>
      <c r="M255" s="17"/>
    </row>
    <row r="256" spans="2:13" ht="14.45" customHeight="1" x14ac:dyDescent="0.25">
      <c r="B256" s="17"/>
      <c r="C256" s="14"/>
      <c r="D256" s="14"/>
      <c r="E256" s="18"/>
      <c r="F256" s="61"/>
      <c r="G256" s="73"/>
      <c r="H256" s="79"/>
      <c r="I256" s="79"/>
      <c r="J256" s="14"/>
      <c r="K256" s="38"/>
      <c r="L256" s="38"/>
      <c r="M256" s="17"/>
    </row>
    <row r="257" spans="2:13" ht="14.45" customHeight="1" x14ac:dyDescent="0.25">
      <c r="B257" s="17"/>
      <c r="C257" s="14"/>
      <c r="D257" s="14"/>
      <c r="E257" s="18"/>
      <c r="F257" s="61"/>
      <c r="G257" s="73"/>
      <c r="H257" s="79"/>
      <c r="I257" s="79"/>
      <c r="J257" s="14"/>
      <c r="K257" s="38"/>
      <c r="L257" s="38"/>
      <c r="M257" s="17"/>
    </row>
    <row r="258" spans="2:13" ht="14.45" customHeight="1" x14ac:dyDescent="0.25">
      <c r="B258" s="17"/>
      <c r="C258" s="14"/>
      <c r="D258" s="14"/>
      <c r="E258" s="18"/>
      <c r="F258" s="61"/>
      <c r="G258" s="73"/>
      <c r="H258" s="79"/>
      <c r="I258" s="79"/>
      <c r="J258" s="14"/>
      <c r="K258" s="38"/>
      <c r="L258" s="38"/>
      <c r="M258" s="17"/>
    </row>
    <row r="259" spans="2:13" ht="14.45" customHeight="1" x14ac:dyDescent="0.25">
      <c r="B259" s="17"/>
      <c r="C259" s="14"/>
      <c r="D259" s="14"/>
      <c r="E259" s="18"/>
      <c r="F259" s="61"/>
      <c r="G259" s="73"/>
      <c r="H259" s="79"/>
      <c r="I259" s="79"/>
      <c r="J259" s="14"/>
      <c r="K259" s="38"/>
      <c r="L259" s="38"/>
      <c r="M259" s="17"/>
    </row>
    <row r="260" spans="2:13" ht="14.45" customHeight="1" x14ac:dyDescent="0.25">
      <c r="B260" s="17"/>
      <c r="C260" s="14"/>
      <c r="D260" s="14"/>
      <c r="E260" s="18"/>
      <c r="F260" s="61"/>
      <c r="G260" s="73"/>
      <c r="H260" s="79"/>
      <c r="I260" s="79"/>
      <c r="J260" s="14"/>
      <c r="K260" s="38"/>
      <c r="L260" s="38"/>
      <c r="M260" s="17"/>
    </row>
    <row r="261" spans="2:13" ht="14.45" customHeight="1" x14ac:dyDescent="0.25">
      <c r="B261" s="17"/>
      <c r="C261" s="14"/>
      <c r="D261" s="14"/>
      <c r="E261" s="18"/>
      <c r="F261" s="61"/>
      <c r="G261" s="73"/>
      <c r="H261" s="79"/>
      <c r="I261" s="79"/>
      <c r="J261" s="14"/>
      <c r="K261" s="38"/>
      <c r="L261" s="38"/>
      <c r="M261" s="17"/>
    </row>
    <row r="262" spans="2:13" ht="14.45" customHeight="1" x14ac:dyDescent="0.25">
      <c r="B262" s="17"/>
      <c r="C262" s="14"/>
      <c r="D262" s="14"/>
      <c r="E262" s="18"/>
      <c r="F262" s="61"/>
      <c r="G262" s="73"/>
      <c r="H262" s="79"/>
      <c r="I262" s="79"/>
      <c r="J262" s="14"/>
      <c r="K262" s="38"/>
      <c r="L262" s="38"/>
      <c r="M262" s="17"/>
    </row>
    <row r="263" spans="2:13" ht="14.45" customHeight="1" x14ac:dyDescent="0.25">
      <c r="B263" s="17"/>
      <c r="C263" s="14"/>
      <c r="D263" s="14"/>
      <c r="E263" s="18"/>
      <c r="F263" s="61"/>
      <c r="G263" s="73"/>
      <c r="H263" s="79"/>
      <c r="I263" s="79"/>
      <c r="J263" s="14"/>
      <c r="K263" s="38"/>
      <c r="L263" s="38"/>
      <c r="M263" s="17"/>
    </row>
    <row r="264" spans="2:13" ht="14.45" customHeight="1" x14ac:dyDescent="0.25">
      <c r="B264" s="17"/>
      <c r="C264" s="14"/>
      <c r="D264" s="14"/>
      <c r="E264" s="18"/>
      <c r="F264" s="61"/>
      <c r="G264" s="73"/>
      <c r="H264" s="79"/>
      <c r="I264" s="79"/>
      <c r="J264" s="14"/>
      <c r="K264" s="38"/>
      <c r="L264" s="38"/>
      <c r="M264" s="17"/>
    </row>
    <row r="265" spans="2:13" ht="14.45" customHeight="1" x14ac:dyDescent="0.25">
      <c r="B265" s="17"/>
      <c r="C265" s="14"/>
      <c r="D265" s="14"/>
      <c r="E265" s="18"/>
      <c r="F265" s="61"/>
      <c r="G265" s="73"/>
      <c r="H265" s="79"/>
      <c r="I265" s="79"/>
      <c r="J265" s="14"/>
      <c r="K265" s="38"/>
      <c r="L265" s="38"/>
      <c r="M265" s="17"/>
    </row>
    <row r="266" spans="2:13" ht="14.45" customHeight="1" x14ac:dyDescent="0.25">
      <c r="B266" s="17"/>
      <c r="C266" s="14"/>
      <c r="D266" s="14"/>
      <c r="E266" s="18"/>
      <c r="F266" s="61"/>
      <c r="G266" s="73"/>
      <c r="H266" s="79"/>
      <c r="I266" s="79"/>
      <c r="J266" s="14"/>
      <c r="K266" s="38"/>
      <c r="L266" s="38"/>
      <c r="M266" s="17"/>
    </row>
    <row r="267" spans="2:13" ht="14.45" customHeight="1" x14ac:dyDescent="0.25">
      <c r="B267" s="17"/>
      <c r="C267" s="14"/>
      <c r="D267" s="14"/>
      <c r="E267" s="18"/>
      <c r="F267" s="61"/>
      <c r="G267" s="73"/>
      <c r="H267" s="79"/>
      <c r="I267" s="79"/>
      <c r="J267" s="14"/>
      <c r="K267" s="38"/>
      <c r="L267" s="38"/>
      <c r="M267" s="17"/>
    </row>
    <row r="268" spans="2:13" ht="14.45" customHeight="1" x14ac:dyDescent="0.25">
      <c r="B268" s="17"/>
      <c r="C268" s="14"/>
      <c r="D268" s="14"/>
      <c r="E268" s="18"/>
      <c r="F268" s="61"/>
      <c r="G268" s="73"/>
      <c r="H268" s="79"/>
      <c r="I268" s="79"/>
      <c r="J268" s="14"/>
      <c r="K268" s="38"/>
      <c r="L268" s="38"/>
      <c r="M268" s="17"/>
    </row>
    <row r="269" spans="2:13" ht="14.45" customHeight="1" x14ac:dyDescent="0.25">
      <c r="B269" s="17"/>
      <c r="C269" s="14"/>
      <c r="D269" s="14"/>
      <c r="E269" s="18"/>
      <c r="F269" s="61"/>
      <c r="G269" s="73"/>
      <c r="H269" s="79"/>
      <c r="I269" s="79"/>
      <c r="J269" s="14"/>
      <c r="K269" s="38"/>
      <c r="L269" s="38"/>
      <c r="M269" s="17"/>
    </row>
    <row r="270" spans="2:13" ht="14.45" customHeight="1" x14ac:dyDescent="0.25">
      <c r="B270" s="17"/>
      <c r="C270" s="14"/>
      <c r="D270" s="14"/>
      <c r="E270" s="18"/>
      <c r="F270" s="61"/>
      <c r="G270" s="73"/>
      <c r="H270" s="79"/>
      <c r="I270" s="79"/>
      <c r="J270" s="14"/>
      <c r="K270" s="38"/>
      <c r="L270" s="38"/>
      <c r="M270" s="17"/>
    </row>
    <row r="271" spans="2:13" ht="14.45" customHeight="1" x14ac:dyDescent="0.25">
      <c r="B271" s="17"/>
      <c r="C271" s="14"/>
      <c r="D271" s="14"/>
      <c r="E271" s="18"/>
      <c r="F271" s="61"/>
      <c r="G271" s="73"/>
      <c r="H271" s="79"/>
      <c r="I271" s="79"/>
      <c r="J271" s="14"/>
      <c r="K271" s="38"/>
      <c r="L271" s="38"/>
      <c r="M271" s="17"/>
    </row>
    <row r="272" spans="2:13" ht="14.45" customHeight="1" x14ac:dyDescent="0.25">
      <c r="B272" s="17"/>
      <c r="C272" s="14"/>
      <c r="D272" s="14"/>
      <c r="E272" s="18"/>
      <c r="F272" s="61"/>
      <c r="G272" s="73"/>
      <c r="H272" s="79"/>
      <c r="I272" s="79"/>
      <c r="J272" s="14"/>
      <c r="K272" s="38"/>
      <c r="L272" s="38"/>
      <c r="M272" s="17"/>
    </row>
    <row r="273" spans="2:13" ht="14.45" customHeight="1" x14ac:dyDescent="0.25">
      <c r="B273" s="17"/>
      <c r="C273" s="14"/>
      <c r="D273" s="14"/>
      <c r="E273" s="18"/>
      <c r="F273" s="61"/>
      <c r="G273" s="73"/>
      <c r="H273" s="79"/>
      <c r="I273" s="79"/>
      <c r="J273" s="14"/>
      <c r="K273" s="38"/>
      <c r="L273" s="38"/>
      <c r="M273" s="17"/>
    </row>
    <row r="274" spans="2:13" ht="14.45" customHeight="1" x14ac:dyDescent="0.25">
      <c r="B274" s="17"/>
      <c r="C274" s="14"/>
      <c r="D274" s="14"/>
      <c r="E274" s="18"/>
      <c r="F274" s="61"/>
      <c r="G274" s="73"/>
      <c r="H274" s="79"/>
      <c r="I274" s="79"/>
      <c r="J274" s="14"/>
      <c r="K274" s="38"/>
      <c r="L274" s="38"/>
      <c r="M274" s="17"/>
    </row>
    <row r="275" spans="2:13" ht="14.45" customHeight="1" x14ac:dyDescent="0.25">
      <c r="B275" s="17"/>
      <c r="C275" s="14"/>
      <c r="D275" s="14"/>
      <c r="E275" s="18"/>
      <c r="F275" s="61"/>
      <c r="G275" s="73"/>
      <c r="H275" s="79"/>
      <c r="I275" s="79"/>
      <c r="J275" s="14"/>
      <c r="K275" s="38"/>
      <c r="L275" s="38"/>
      <c r="M275" s="17"/>
    </row>
    <row r="276" spans="2:13" ht="14.45" customHeight="1" x14ac:dyDescent="0.25">
      <c r="B276" s="17"/>
      <c r="C276" s="14"/>
      <c r="D276" s="14"/>
      <c r="E276" s="18"/>
      <c r="F276" s="61"/>
      <c r="G276" s="73"/>
      <c r="H276" s="79"/>
      <c r="I276" s="79"/>
      <c r="J276" s="14"/>
      <c r="K276" s="38"/>
      <c r="L276" s="38"/>
      <c r="M276" s="17"/>
    </row>
    <row r="277" spans="2:13" ht="14.45" customHeight="1" x14ac:dyDescent="0.25">
      <c r="B277" s="17"/>
      <c r="C277" s="14"/>
      <c r="D277" s="14"/>
      <c r="E277" s="18"/>
      <c r="F277" s="61"/>
      <c r="G277" s="73"/>
      <c r="H277" s="79"/>
      <c r="I277" s="79"/>
      <c r="J277" s="14"/>
      <c r="K277" s="38"/>
      <c r="L277" s="38"/>
      <c r="M277" s="17"/>
    </row>
    <row r="278" spans="2:13" ht="14.45" customHeight="1" x14ac:dyDescent="0.25">
      <c r="B278" s="17"/>
      <c r="C278" s="14"/>
      <c r="D278" s="14"/>
      <c r="E278" s="18"/>
      <c r="F278" s="61"/>
      <c r="G278" s="73"/>
      <c r="H278" s="79"/>
      <c r="I278" s="79"/>
      <c r="J278" s="14"/>
      <c r="K278" s="38"/>
      <c r="L278" s="38"/>
      <c r="M278" s="17"/>
    </row>
    <row r="279" spans="2:13" ht="14.45" customHeight="1" x14ac:dyDescent="0.25">
      <c r="B279" s="17"/>
      <c r="C279" s="14"/>
      <c r="D279" s="14"/>
      <c r="E279" s="18"/>
      <c r="F279" s="61"/>
      <c r="G279" s="73"/>
      <c r="H279" s="79"/>
      <c r="I279" s="79"/>
      <c r="J279" s="14"/>
      <c r="K279" s="38"/>
      <c r="L279" s="38"/>
      <c r="M279" s="17"/>
    </row>
    <row r="280" spans="2:13" ht="14.45" customHeight="1" x14ac:dyDescent="0.25">
      <c r="B280" s="17"/>
      <c r="C280" s="14"/>
      <c r="D280" s="14"/>
      <c r="E280" s="18"/>
      <c r="F280" s="61"/>
      <c r="G280" s="73"/>
      <c r="H280" s="79"/>
      <c r="I280" s="79"/>
      <c r="J280" s="14"/>
      <c r="K280" s="38"/>
      <c r="L280" s="38"/>
      <c r="M280" s="17"/>
    </row>
    <row r="281" spans="2:13" ht="14.45" customHeight="1" x14ac:dyDescent="0.25">
      <c r="B281" s="17"/>
      <c r="C281" s="14"/>
      <c r="D281" s="14"/>
      <c r="E281" s="18"/>
      <c r="F281" s="61"/>
      <c r="G281" s="73"/>
      <c r="H281" s="79"/>
      <c r="I281" s="79"/>
      <c r="J281" s="14"/>
      <c r="K281" s="38"/>
      <c r="L281" s="38"/>
      <c r="M281" s="17"/>
    </row>
    <row r="282" spans="2:13" ht="14.45" customHeight="1" x14ac:dyDescent="0.25">
      <c r="B282" s="17"/>
      <c r="C282" s="14"/>
      <c r="D282" s="14"/>
      <c r="E282" s="18"/>
      <c r="F282" s="61"/>
      <c r="G282" s="73"/>
      <c r="H282" s="79"/>
      <c r="I282" s="79"/>
      <c r="J282" s="14"/>
      <c r="K282" s="38"/>
      <c r="L282" s="38"/>
      <c r="M282" s="17"/>
    </row>
    <row r="283" spans="2:13" ht="14.45" customHeight="1" x14ac:dyDescent="0.25">
      <c r="B283" s="17"/>
      <c r="C283" s="14"/>
      <c r="D283" s="14"/>
      <c r="E283" s="18"/>
      <c r="F283" s="61"/>
      <c r="G283" s="73"/>
      <c r="H283" s="79"/>
      <c r="I283" s="79"/>
      <c r="J283" s="14"/>
      <c r="K283" s="38"/>
      <c r="L283" s="38"/>
      <c r="M283" s="17"/>
    </row>
    <row r="284" spans="2:13" ht="14.45" customHeight="1" x14ac:dyDescent="0.25">
      <c r="B284" s="17"/>
      <c r="C284" s="14"/>
      <c r="D284" s="14"/>
      <c r="E284" s="18"/>
      <c r="F284" s="61"/>
      <c r="G284" s="73"/>
      <c r="H284" s="79"/>
      <c r="I284" s="79"/>
      <c r="J284" s="14"/>
      <c r="K284" s="38"/>
      <c r="L284" s="38"/>
      <c r="M284" s="17"/>
    </row>
    <row r="285" spans="2:13" ht="14.45" customHeight="1" x14ac:dyDescent="0.25">
      <c r="B285" s="17"/>
      <c r="C285" s="14"/>
      <c r="D285" s="14"/>
      <c r="E285" s="18"/>
      <c r="F285" s="61"/>
      <c r="G285" s="73"/>
      <c r="H285" s="79"/>
      <c r="I285" s="79"/>
      <c r="J285" s="14"/>
      <c r="K285" s="38"/>
      <c r="L285" s="38"/>
      <c r="M285" s="17"/>
    </row>
    <row r="286" spans="2:13" ht="14.45" customHeight="1" x14ac:dyDescent="0.25">
      <c r="B286" s="17"/>
      <c r="C286" s="14"/>
      <c r="D286" s="14"/>
      <c r="E286" s="18"/>
      <c r="F286" s="61"/>
      <c r="G286" s="73"/>
      <c r="H286" s="79"/>
      <c r="I286" s="79"/>
      <c r="J286" s="14"/>
      <c r="K286" s="38"/>
      <c r="L286" s="38"/>
      <c r="M286" s="17"/>
    </row>
    <row r="287" spans="2:13" ht="14.45" customHeight="1" x14ac:dyDescent="0.25">
      <c r="B287" s="17"/>
      <c r="C287" s="14"/>
      <c r="D287" s="14"/>
      <c r="E287" s="18"/>
      <c r="F287" s="61"/>
      <c r="G287" s="73"/>
      <c r="H287" s="79"/>
      <c r="I287" s="79"/>
      <c r="J287" s="14"/>
      <c r="K287" s="38"/>
      <c r="L287" s="38"/>
      <c r="M287" s="17"/>
    </row>
    <row r="288" spans="2:13" ht="14.45" customHeight="1" x14ac:dyDescent="0.25">
      <c r="B288" s="17"/>
      <c r="C288" s="14"/>
      <c r="D288" s="14"/>
      <c r="E288" s="18"/>
      <c r="F288" s="61"/>
      <c r="G288" s="73"/>
      <c r="H288" s="79"/>
      <c r="I288" s="79"/>
      <c r="J288" s="14"/>
      <c r="K288" s="38"/>
      <c r="L288" s="38"/>
      <c r="M288" s="17"/>
    </row>
    <row r="289" spans="2:13" ht="14.45" customHeight="1" x14ac:dyDescent="0.25">
      <c r="B289" s="17"/>
      <c r="C289" s="14"/>
      <c r="D289" s="14"/>
      <c r="E289" s="18"/>
      <c r="F289" s="61"/>
      <c r="G289" s="73"/>
      <c r="H289" s="79"/>
      <c r="I289" s="79"/>
      <c r="J289" s="14"/>
      <c r="K289" s="38"/>
      <c r="L289" s="38"/>
      <c r="M289" s="17"/>
    </row>
    <row r="290" spans="2:13" ht="14.45" customHeight="1" x14ac:dyDescent="0.25">
      <c r="B290" s="17"/>
      <c r="C290" s="14"/>
      <c r="D290" s="14"/>
      <c r="E290" s="18"/>
      <c r="F290" s="61"/>
      <c r="G290" s="73"/>
      <c r="H290" s="79"/>
      <c r="I290" s="79"/>
      <c r="J290" s="14"/>
      <c r="K290" s="38"/>
      <c r="L290" s="38"/>
      <c r="M290" s="17"/>
    </row>
    <row r="291" spans="2:13" ht="14.45" customHeight="1" x14ac:dyDescent="0.25">
      <c r="B291" s="17"/>
      <c r="C291" s="14"/>
      <c r="D291" s="14"/>
      <c r="E291" s="18"/>
      <c r="F291" s="61"/>
      <c r="G291" s="73"/>
      <c r="H291" s="79"/>
      <c r="I291" s="79"/>
      <c r="J291" s="14"/>
      <c r="K291" s="38"/>
      <c r="L291" s="38"/>
      <c r="M291" s="17"/>
    </row>
    <row r="292" spans="2:13" ht="14.45" customHeight="1" x14ac:dyDescent="0.25">
      <c r="B292" s="17"/>
      <c r="C292" s="14"/>
      <c r="D292" s="14"/>
      <c r="E292" s="18"/>
      <c r="F292" s="61"/>
      <c r="G292" s="73"/>
      <c r="H292" s="79"/>
      <c r="I292" s="79"/>
      <c r="J292" s="14"/>
      <c r="K292" s="38"/>
      <c r="L292" s="38"/>
      <c r="M292" s="17"/>
    </row>
    <row r="293" spans="2:13" ht="14.45" customHeight="1" x14ac:dyDescent="0.25">
      <c r="B293" s="17"/>
      <c r="C293" s="14"/>
      <c r="D293" s="14"/>
      <c r="E293" s="18"/>
      <c r="F293" s="61"/>
      <c r="G293" s="73"/>
      <c r="H293" s="79"/>
      <c r="I293" s="79"/>
      <c r="J293" s="14"/>
      <c r="K293" s="38"/>
      <c r="L293" s="38"/>
      <c r="M293" s="17"/>
    </row>
    <row r="294" spans="2:13" ht="14.45" customHeight="1" x14ac:dyDescent="0.25">
      <c r="B294" s="17"/>
      <c r="C294" s="14"/>
      <c r="D294" s="14"/>
      <c r="E294" s="18"/>
      <c r="F294" s="61"/>
      <c r="G294" s="73"/>
      <c r="H294" s="79"/>
      <c r="I294" s="79"/>
      <c r="J294" s="14"/>
      <c r="K294" s="38"/>
      <c r="L294" s="38"/>
      <c r="M294" s="17"/>
    </row>
    <row r="295" spans="2:13" ht="14.45" customHeight="1" x14ac:dyDescent="0.25">
      <c r="B295" s="17"/>
      <c r="C295" s="14"/>
      <c r="D295" s="14"/>
      <c r="E295" s="18"/>
      <c r="F295" s="61"/>
      <c r="G295" s="73"/>
      <c r="H295" s="79"/>
      <c r="I295" s="79"/>
      <c r="J295" s="14"/>
      <c r="K295" s="38"/>
      <c r="L295" s="38"/>
      <c r="M295" s="17"/>
    </row>
    <row r="296" spans="2:13" ht="14.45" customHeight="1" x14ac:dyDescent="0.25">
      <c r="B296" s="17"/>
      <c r="C296" s="14"/>
      <c r="D296" s="14"/>
      <c r="E296" s="18"/>
      <c r="F296" s="61"/>
      <c r="G296" s="73"/>
      <c r="H296" s="79"/>
      <c r="I296" s="79"/>
      <c r="J296" s="14"/>
      <c r="K296" s="38"/>
      <c r="L296" s="38"/>
      <c r="M296" s="17"/>
    </row>
    <row r="297" spans="2:13" ht="14.45" customHeight="1" x14ac:dyDescent="0.25">
      <c r="B297" s="17"/>
      <c r="C297" s="14"/>
      <c r="D297" s="14"/>
      <c r="E297" s="18"/>
      <c r="F297" s="61"/>
      <c r="G297" s="73"/>
      <c r="H297" s="79"/>
      <c r="I297" s="79"/>
      <c r="J297" s="14"/>
      <c r="K297" s="38"/>
      <c r="L297" s="38"/>
      <c r="M297" s="17"/>
    </row>
    <row r="298" spans="2:13" ht="14.45" customHeight="1" x14ac:dyDescent="0.25">
      <c r="B298" s="17"/>
      <c r="C298" s="14"/>
      <c r="D298" s="14"/>
      <c r="E298" s="18"/>
      <c r="F298" s="61"/>
      <c r="G298" s="73"/>
      <c r="H298" s="79"/>
      <c r="I298" s="79"/>
      <c r="J298" s="14"/>
      <c r="K298" s="38"/>
      <c r="L298" s="38"/>
      <c r="M298" s="17"/>
    </row>
    <row r="299" spans="2:13" ht="14.45" customHeight="1" x14ac:dyDescent="0.25">
      <c r="B299" s="17"/>
      <c r="C299" s="14"/>
      <c r="D299" s="14"/>
      <c r="E299" s="18"/>
      <c r="F299" s="61"/>
      <c r="G299" s="73"/>
      <c r="H299" s="79"/>
      <c r="I299" s="79"/>
      <c r="J299" s="14"/>
      <c r="K299" s="38"/>
      <c r="L299" s="38"/>
      <c r="M299" s="17"/>
    </row>
    <row r="300" spans="2:13" ht="14.45" customHeight="1" x14ac:dyDescent="0.25">
      <c r="B300" s="17"/>
      <c r="C300" s="14"/>
      <c r="D300" s="14"/>
      <c r="E300" s="18"/>
      <c r="F300" s="61"/>
      <c r="G300" s="73"/>
      <c r="H300" s="79"/>
      <c r="I300" s="79"/>
      <c r="J300" s="14"/>
      <c r="K300" s="38"/>
      <c r="L300" s="38"/>
      <c r="M300" s="17"/>
    </row>
    <row r="301" spans="2:13" ht="14.45" customHeight="1" x14ac:dyDescent="0.25">
      <c r="B301" s="17"/>
      <c r="C301" s="14"/>
      <c r="D301" s="14"/>
      <c r="E301" s="18"/>
      <c r="F301" s="61"/>
      <c r="G301" s="73"/>
      <c r="H301" s="79"/>
      <c r="I301" s="79"/>
      <c r="J301" s="14"/>
      <c r="K301" s="38"/>
      <c r="L301" s="38"/>
      <c r="M301" s="17"/>
    </row>
    <row r="302" spans="2:13" ht="14.45" customHeight="1" x14ac:dyDescent="0.25">
      <c r="B302" s="17"/>
      <c r="C302" s="14"/>
      <c r="D302" s="14"/>
      <c r="E302" s="18"/>
      <c r="F302" s="61"/>
      <c r="G302" s="73"/>
      <c r="H302" s="79"/>
      <c r="I302" s="79"/>
      <c r="J302" s="14"/>
      <c r="K302" s="38"/>
      <c r="L302" s="38"/>
      <c r="M302" s="17"/>
    </row>
    <row r="303" spans="2:13" ht="14.45" customHeight="1" x14ac:dyDescent="0.25">
      <c r="B303" s="17"/>
      <c r="C303" s="14"/>
      <c r="D303" s="14"/>
      <c r="E303" s="18"/>
      <c r="F303" s="61"/>
      <c r="G303" s="73"/>
      <c r="H303" s="79"/>
      <c r="I303" s="79"/>
      <c r="J303" s="14"/>
      <c r="K303" s="38"/>
      <c r="L303" s="38"/>
      <c r="M303" s="17"/>
    </row>
    <row r="304" spans="2:13" ht="14.45" customHeight="1" x14ac:dyDescent="0.25">
      <c r="B304" s="17"/>
      <c r="C304" s="14"/>
      <c r="D304" s="14"/>
      <c r="E304" s="18"/>
      <c r="F304" s="61"/>
      <c r="G304" s="73"/>
      <c r="H304" s="79"/>
      <c r="I304" s="79"/>
      <c r="J304" s="14"/>
      <c r="K304" s="38"/>
      <c r="L304" s="38"/>
      <c r="M304" s="17"/>
    </row>
    <row r="305" spans="2:13" ht="14.45" customHeight="1" x14ac:dyDescent="0.25">
      <c r="B305" s="17"/>
      <c r="C305" s="14"/>
      <c r="D305" s="14"/>
      <c r="E305" s="18"/>
      <c r="F305" s="61"/>
      <c r="G305" s="73"/>
      <c r="H305" s="79"/>
      <c r="I305" s="79"/>
      <c r="J305" s="14"/>
      <c r="K305" s="38"/>
      <c r="L305" s="38"/>
      <c r="M305" s="17"/>
    </row>
    <row r="306" spans="2:13" ht="14.45" customHeight="1" x14ac:dyDescent="0.25">
      <c r="B306" s="17"/>
      <c r="C306" s="14"/>
      <c r="D306" s="14"/>
      <c r="E306" s="18"/>
      <c r="F306" s="61"/>
      <c r="G306" s="73"/>
      <c r="H306" s="79"/>
      <c r="I306" s="79"/>
      <c r="J306" s="14"/>
      <c r="K306" s="38"/>
      <c r="L306" s="38"/>
      <c r="M306" s="17"/>
    </row>
    <row r="307" spans="2:13" ht="14.45" customHeight="1" x14ac:dyDescent="0.25">
      <c r="B307" s="17"/>
      <c r="C307" s="14"/>
      <c r="D307" s="14"/>
      <c r="E307" s="18"/>
      <c r="F307" s="61"/>
      <c r="G307" s="73"/>
      <c r="H307" s="79"/>
      <c r="I307" s="79"/>
      <c r="J307" s="14"/>
      <c r="K307" s="38"/>
      <c r="L307" s="38"/>
      <c r="M307" s="17"/>
    </row>
    <row r="308" spans="2:13" ht="14.45" customHeight="1" x14ac:dyDescent="0.25">
      <c r="B308" s="17"/>
      <c r="C308" s="14"/>
      <c r="D308" s="14"/>
      <c r="E308" s="18"/>
      <c r="F308" s="61"/>
      <c r="G308" s="73"/>
      <c r="H308" s="79"/>
      <c r="I308" s="79"/>
      <c r="J308" s="14"/>
      <c r="K308" s="38"/>
      <c r="L308" s="38"/>
      <c r="M308" s="17"/>
    </row>
    <row r="309" spans="2:13" ht="14.45" customHeight="1" x14ac:dyDescent="0.25">
      <c r="B309" s="17"/>
      <c r="C309" s="14"/>
      <c r="D309" s="14"/>
      <c r="E309" s="18"/>
      <c r="F309" s="61"/>
      <c r="G309" s="73"/>
      <c r="H309" s="79"/>
      <c r="I309" s="79"/>
      <c r="J309" s="14"/>
      <c r="K309" s="38"/>
      <c r="L309" s="38"/>
      <c r="M309" s="17"/>
    </row>
    <row r="310" spans="2:13" ht="14.45" customHeight="1" x14ac:dyDescent="0.25">
      <c r="B310" s="17"/>
      <c r="C310" s="14"/>
      <c r="D310" s="14"/>
      <c r="E310" s="18"/>
      <c r="F310" s="61"/>
      <c r="G310" s="73"/>
      <c r="H310" s="79"/>
      <c r="I310" s="79"/>
      <c r="J310" s="14"/>
      <c r="K310" s="38"/>
      <c r="L310" s="38"/>
      <c r="M310" s="17"/>
    </row>
    <row r="311" spans="2:13" ht="14.45" customHeight="1" x14ac:dyDescent="0.25">
      <c r="B311" s="17"/>
      <c r="C311" s="14"/>
      <c r="D311" s="14"/>
      <c r="E311" s="18"/>
      <c r="F311" s="61"/>
      <c r="G311" s="73"/>
      <c r="H311" s="79"/>
      <c r="I311" s="79"/>
      <c r="J311" s="14"/>
      <c r="K311" s="38"/>
      <c r="L311" s="38"/>
      <c r="M311" s="17"/>
    </row>
    <row r="312" spans="2:13" ht="14.45" customHeight="1" x14ac:dyDescent="0.25">
      <c r="B312" s="17"/>
      <c r="C312" s="14"/>
      <c r="D312" s="14"/>
      <c r="E312" s="18"/>
      <c r="F312" s="61"/>
      <c r="G312" s="73"/>
      <c r="H312" s="79"/>
      <c r="I312" s="79"/>
      <c r="J312" s="14"/>
      <c r="K312" s="38"/>
      <c r="L312" s="38"/>
      <c r="M312" s="17"/>
    </row>
    <row r="313" spans="2:13" ht="14.45" customHeight="1" x14ac:dyDescent="0.25">
      <c r="B313" s="17"/>
      <c r="C313" s="14"/>
      <c r="D313" s="14"/>
      <c r="E313" s="18"/>
      <c r="F313" s="61"/>
      <c r="G313" s="73"/>
      <c r="H313" s="79"/>
      <c r="I313" s="79"/>
      <c r="J313" s="14"/>
      <c r="K313" s="38"/>
      <c r="L313" s="38"/>
      <c r="M313" s="17"/>
    </row>
    <row r="314" spans="2:13" ht="14.45" customHeight="1" x14ac:dyDescent="0.25">
      <c r="B314" s="17"/>
      <c r="C314" s="14"/>
      <c r="D314" s="14"/>
      <c r="E314" s="18"/>
      <c r="F314" s="61"/>
      <c r="G314" s="73"/>
      <c r="H314" s="79"/>
      <c r="I314" s="79"/>
      <c r="J314" s="14"/>
      <c r="K314" s="38"/>
      <c r="L314" s="38"/>
      <c r="M314" s="17"/>
    </row>
    <row r="315" spans="2:13" ht="14.45" customHeight="1" x14ac:dyDescent="0.25">
      <c r="B315" s="17"/>
      <c r="C315" s="14"/>
      <c r="D315" s="14"/>
      <c r="E315" s="18"/>
      <c r="F315" s="61"/>
      <c r="G315" s="73"/>
      <c r="H315" s="79"/>
      <c r="I315" s="79"/>
      <c r="J315" s="14"/>
      <c r="K315" s="38"/>
      <c r="L315" s="38"/>
      <c r="M315" s="17"/>
    </row>
    <row r="316" spans="2:13" ht="14.45" customHeight="1" x14ac:dyDescent="0.25">
      <c r="B316" s="17"/>
      <c r="C316" s="14"/>
      <c r="D316" s="14"/>
      <c r="E316" s="18"/>
      <c r="F316" s="61"/>
      <c r="G316" s="73"/>
      <c r="H316" s="79"/>
      <c r="I316" s="79"/>
      <c r="J316" s="14"/>
      <c r="K316" s="38"/>
      <c r="L316" s="38"/>
      <c r="M316" s="17"/>
    </row>
    <row r="317" spans="2:13" ht="14.45" customHeight="1" x14ac:dyDescent="0.25">
      <c r="B317" s="17"/>
      <c r="C317" s="14"/>
      <c r="D317" s="14"/>
      <c r="E317" s="18"/>
      <c r="F317" s="61"/>
      <c r="G317" s="73"/>
      <c r="H317" s="79"/>
      <c r="I317" s="79"/>
      <c r="J317" s="14"/>
      <c r="K317" s="38"/>
      <c r="L317" s="38"/>
      <c r="M317" s="17"/>
    </row>
    <row r="318" spans="2:13" ht="14.45" customHeight="1" x14ac:dyDescent="0.25">
      <c r="B318" s="17"/>
      <c r="C318" s="14"/>
      <c r="D318" s="14"/>
      <c r="E318" s="18"/>
      <c r="F318" s="61"/>
      <c r="G318" s="73"/>
      <c r="H318" s="79"/>
      <c r="I318" s="79"/>
      <c r="J318" s="14"/>
      <c r="K318" s="38"/>
      <c r="L318" s="38"/>
      <c r="M318" s="17"/>
    </row>
    <row r="319" spans="2:13" ht="14.45" customHeight="1" x14ac:dyDescent="0.25">
      <c r="B319" s="17"/>
      <c r="C319" s="14"/>
      <c r="D319" s="14"/>
      <c r="E319" s="18"/>
      <c r="F319" s="61"/>
      <c r="G319" s="73"/>
      <c r="H319" s="79"/>
      <c r="I319" s="79"/>
      <c r="J319" s="14"/>
      <c r="K319" s="38"/>
      <c r="L319" s="38"/>
      <c r="M319" s="17"/>
    </row>
    <row r="320" spans="2:13" ht="14.45" customHeight="1" x14ac:dyDescent="0.25">
      <c r="B320" s="17"/>
      <c r="C320" s="14"/>
      <c r="D320" s="14"/>
      <c r="E320" s="18"/>
      <c r="F320" s="61"/>
      <c r="G320" s="73"/>
      <c r="H320" s="79"/>
      <c r="I320" s="79"/>
      <c r="J320" s="14"/>
      <c r="K320" s="38"/>
      <c r="L320" s="38"/>
      <c r="M320" s="17"/>
    </row>
    <row r="321" spans="2:13" ht="14.45" customHeight="1" x14ac:dyDescent="0.25">
      <c r="B321" s="17"/>
      <c r="C321" s="14"/>
      <c r="D321" s="14"/>
      <c r="E321" s="18"/>
      <c r="F321" s="61"/>
      <c r="G321" s="73"/>
      <c r="H321" s="79"/>
      <c r="I321" s="79"/>
      <c r="J321" s="14"/>
      <c r="K321" s="38"/>
      <c r="L321" s="38"/>
      <c r="M321" s="17"/>
    </row>
    <row r="322" spans="2:13" ht="14.45" customHeight="1" x14ac:dyDescent="0.25">
      <c r="B322" s="17"/>
      <c r="C322" s="14"/>
      <c r="D322" s="14"/>
      <c r="E322" s="18"/>
      <c r="F322" s="61"/>
      <c r="G322" s="73"/>
      <c r="H322" s="79"/>
      <c r="I322" s="79"/>
      <c r="J322" s="14"/>
      <c r="K322" s="38"/>
      <c r="L322" s="38"/>
      <c r="M322" s="17"/>
    </row>
    <row r="323" spans="2:13" ht="14.45" customHeight="1" x14ac:dyDescent="0.25">
      <c r="B323" s="17"/>
      <c r="C323" s="14"/>
      <c r="D323" s="14"/>
      <c r="E323" s="18"/>
      <c r="F323" s="61"/>
      <c r="G323" s="73"/>
      <c r="H323" s="79"/>
      <c r="I323" s="79"/>
      <c r="J323" s="14"/>
      <c r="K323" s="38"/>
      <c r="L323" s="38"/>
      <c r="M323" s="17"/>
    </row>
    <row r="324" spans="2:13" ht="14.45" customHeight="1" x14ac:dyDescent="0.25">
      <c r="B324" s="17"/>
      <c r="C324" s="14"/>
      <c r="D324" s="14"/>
      <c r="E324" s="18"/>
      <c r="F324" s="61"/>
      <c r="G324" s="73"/>
      <c r="H324" s="79"/>
      <c r="I324" s="79"/>
      <c r="J324" s="14"/>
      <c r="K324" s="38"/>
      <c r="L324" s="38"/>
      <c r="M324" s="17"/>
    </row>
    <row r="325" spans="2:13" ht="14.45" customHeight="1" x14ac:dyDescent="0.25">
      <c r="B325" s="17"/>
      <c r="C325" s="14"/>
      <c r="D325" s="14"/>
      <c r="E325" s="18"/>
      <c r="F325" s="61"/>
      <c r="G325" s="73"/>
      <c r="H325" s="79"/>
      <c r="I325" s="79"/>
      <c r="J325" s="14"/>
      <c r="K325" s="38"/>
      <c r="L325" s="38"/>
      <c r="M325" s="17"/>
    </row>
    <row r="326" spans="2:13" ht="14.45" customHeight="1" x14ac:dyDescent="0.25">
      <c r="B326" s="17"/>
      <c r="C326" s="14"/>
      <c r="D326" s="14"/>
      <c r="E326" s="18"/>
      <c r="F326" s="61"/>
      <c r="G326" s="73"/>
      <c r="H326" s="79"/>
      <c r="I326" s="79"/>
      <c r="J326" s="14"/>
      <c r="K326" s="38"/>
      <c r="L326" s="38"/>
      <c r="M326" s="17"/>
    </row>
    <row r="327" spans="2:13" ht="14.45" customHeight="1" x14ac:dyDescent="0.25">
      <c r="B327" s="17"/>
      <c r="C327" s="14"/>
      <c r="D327" s="14"/>
      <c r="E327" s="18"/>
      <c r="F327" s="61"/>
      <c r="G327" s="73"/>
      <c r="H327" s="79"/>
      <c r="I327" s="79"/>
      <c r="J327" s="14"/>
      <c r="K327" s="38"/>
      <c r="L327" s="38"/>
      <c r="M327" s="17"/>
    </row>
    <row r="328" spans="2:13" ht="14.45" customHeight="1" x14ac:dyDescent="0.25">
      <c r="B328" s="17"/>
      <c r="C328" s="14"/>
      <c r="D328" s="14"/>
      <c r="E328" s="18"/>
      <c r="F328" s="61"/>
      <c r="G328" s="73"/>
      <c r="H328" s="79"/>
      <c r="I328" s="79"/>
      <c r="J328" s="14"/>
      <c r="K328" s="38"/>
      <c r="L328" s="38"/>
      <c r="M328" s="17"/>
    </row>
    <row r="329" spans="2:13" ht="14.45" customHeight="1" x14ac:dyDescent="0.25">
      <c r="B329" s="17"/>
      <c r="C329" s="14"/>
      <c r="D329" s="14"/>
      <c r="E329" s="18"/>
      <c r="F329" s="61"/>
      <c r="G329" s="73"/>
      <c r="H329" s="79"/>
      <c r="I329" s="79"/>
      <c r="J329" s="14"/>
      <c r="K329" s="38"/>
      <c r="L329" s="38"/>
      <c r="M329" s="17"/>
    </row>
    <row r="330" spans="2:13" ht="14.45" customHeight="1" x14ac:dyDescent="0.25">
      <c r="B330" s="17"/>
      <c r="C330" s="14"/>
      <c r="D330" s="14"/>
      <c r="E330" s="18"/>
      <c r="F330" s="61"/>
      <c r="G330" s="73"/>
      <c r="H330" s="79"/>
      <c r="I330" s="79"/>
      <c r="J330" s="14"/>
      <c r="K330" s="38"/>
      <c r="L330" s="38"/>
      <c r="M330" s="17"/>
    </row>
    <row r="331" spans="2:13" ht="14.45" customHeight="1" x14ac:dyDescent="0.25">
      <c r="B331" s="17"/>
      <c r="C331" s="14"/>
      <c r="D331" s="14"/>
      <c r="E331" s="18"/>
      <c r="F331" s="61"/>
      <c r="G331" s="73"/>
      <c r="H331" s="79"/>
      <c r="I331" s="79"/>
      <c r="J331" s="14"/>
      <c r="K331" s="38"/>
      <c r="L331" s="38"/>
      <c r="M331" s="17"/>
    </row>
    <row r="332" spans="2:13" ht="14.45" customHeight="1" x14ac:dyDescent="0.25">
      <c r="B332" s="17"/>
      <c r="C332" s="14"/>
      <c r="D332" s="14"/>
      <c r="E332" s="18"/>
      <c r="F332" s="61"/>
      <c r="G332" s="73"/>
      <c r="H332" s="79"/>
      <c r="I332" s="79"/>
      <c r="J332" s="14"/>
      <c r="K332" s="38"/>
      <c r="L332" s="38"/>
      <c r="M332" s="17"/>
    </row>
    <row r="333" spans="2:13" ht="14.45" customHeight="1" x14ac:dyDescent="0.25">
      <c r="B333" s="17"/>
      <c r="C333" s="14"/>
      <c r="D333" s="14"/>
      <c r="E333" s="18"/>
      <c r="F333" s="61"/>
      <c r="G333" s="73"/>
      <c r="H333" s="79"/>
      <c r="I333" s="79"/>
      <c r="J333" s="14"/>
      <c r="K333" s="38"/>
      <c r="L333" s="38"/>
      <c r="M333" s="17"/>
    </row>
    <row r="334" spans="2:13" ht="14.45" customHeight="1" x14ac:dyDescent="0.25">
      <c r="B334" s="17"/>
      <c r="C334" s="14"/>
      <c r="D334" s="14"/>
      <c r="E334" s="18"/>
      <c r="F334" s="61"/>
      <c r="G334" s="73"/>
      <c r="H334" s="79"/>
      <c r="I334" s="79"/>
      <c r="J334" s="14"/>
      <c r="K334" s="38"/>
      <c r="L334" s="38"/>
      <c r="M334" s="17"/>
    </row>
    <row r="335" spans="2:13" ht="14.45" customHeight="1" x14ac:dyDescent="0.25">
      <c r="B335" s="17"/>
      <c r="C335" s="14"/>
      <c r="D335" s="14"/>
      <c r="E335" s="18"/>
      <c r="F335" s="61"/>
      <c r="G335" s="73"/>
      <c r="H335" s="79"/>
      <c r="I335" s="79"/>
      <c r="J335" s="14"/>
      <c r="K335" s="38"/>
      <c r="L335" s="38"/>
      <c r="M335" s="17"/>
    </row>
    <row r="336" spans="2:13" ht="14.45" customHeight="1" x14ac:dyDescent="0.25">
      <c r="B336" s="17"/>
      <c r="C336" s="14"/>
      <c r="D336" s="14"/>
      <c r="E336" s="18"/>
      <c r="F336" s="61"/>
      <c r="G336" s="73"/>
      <c r="H336" s="79"/>
      <c r="I336" s="79"/>
      <c r="J336" s="14"/>
      <c r="K336" s="38"/>
      <c r="L336" s="38"/>
      <c r="M336" s="17"/>
    </row>
    <row r="337" spans="2:13" ht="14.45" customHeight="1" x14ac:dyDescent="0.25">
      <c r="B337" s="17"/>
      <c r="C337" s="14"/>
      <c r="D337" s="14"/>
      <c r="E337" s="18"/>
      <c r="F337" s="61"/>
      <c r="G337" s="73"/>
      <c r="H337" s="79"/>
      <c r="I337" s="79"/>
      <c r="J337" s="14"/>
      <c r="K337" s="38"/>
      <c r="L337" s="38"/>
      <c r="M337" s="17"/>
    </row>
    <row r="338" spans="2:13" ht="14.45" customHeight="1" x14ac:dyDescent="0.25">
      <c r="B338" s="17"/>
      <c r="C338" s="14"/>
      <c r="D338" s="14"/>
      <c r="E338" s="18"/>
      <c r="F338" s="61"/>
      <c r="G338" s="73"/>
      <c r="H338" s="79"/>
      <c r="I338" s="79"/>
      <c r="J338" s="14"/>
      <c r="K338" s="38"/>
      <c r="L338" s="38"/>
      <c r="M338" s="17"/>
    </row>
    <row r="339" spans="2:13" ht="14.45" customHeight="1" x14ac:dyDescent="0.25">
      <c r="B339" s="17"/>
      <c r="C339" s="14"/>
      <c r="D339" s="14"/>
      <c r="E339" s="18"/>
      <c r="F339" s="61"/>
      <c r="G339" s="73"/>
      <c r="H339" s="79"/>
      <c r="I339" s="79"/>
      <c r="J339" s="14"/>
      <c r="K339" s="38"/>
      <c r="L339" s="38"/>
      <c r="M339" s="17"/>
    </row>
    <row r="340" spans="2:13" ht="14.45" customHeight="1" x14ac:dyDescent="0.25">
      <c r="B340" s="17"/>
      <c r="C340" s="14"/>
      <c r="D340" s="14"/>
      <c r="E340" s="18"/>
      <c r="F340" s="61"/>
      <c r="G340" s="73"/>
      <c r="H340" s="79"/>
      <c r="I340" s="79"/>
      <c r="J340" s="14"/>
      <c r="K340" s="38"/>
      <c r="L340" s="38"/>
      <c r="M340" s="17"/>
    </row>
    <row r="341" spans="2:13" ht="14.45" customHeight="1" x14ac:dyDescent="0.25">
      <c r="B341" s="17"/>
      <c r="C341" s="14"/>
      <c r="D341" s="14"/>
      <c r="E341" s="18"/>
      <c r="F341" s="61"/>
      <c r="G341" s="73"/>
      <c r="H341" s="79"/>
      <c r="I341" s="79"/>
      <c r="J341" s="14"/>
      <c r="K341" s="38"/>
      <c r="L341" s="38"/>
      <c r="M341" s="17"/>
    </row>
    <row r="342" spans="2:13" ht="14.45" customHeight="1" x14ac:dyDescent="0.25">
      <c r="B342" s="17"/>
      <c r="C342" s="14"/>
      <c r="D342" s="14"/>
      <c r="E342" s="18"/>
      <c r="F342" s="61"/>
      <c r="G342" s="73"/>
      <c r="H342" s="79"/>
      <c r="I342" s="79"/>
      <c r="J342" s="14"/>
      <c r="K342" s="38"/>
      <c r="L342" s="38"/>
      <c r="M342" s="17"/>
    </row>
    <row r="343" spans="2:13" ht="14.45" customHeight="1" x14ac:dyDescent="0.25">
      <c r="B343" s="17"/>
      <c r="C343" s="14"/>
      <c r="D343" s="14"/>
      <c r="E343" s="18"/>
      <c r="F343" s="61"/>
      <c r="G343" s="73"/>
      <c r="H343" s="79"/>
      <c r="I343" s="79"/>
      <c r="J343" s="14"/>
      <c r="K343" s="38"/>
      <c r="L343" s="38"/>
      <c r="M343" s="17"/>
    </row>
    <row r="344" spans="2:13" ht="14.45" customHeight="1" x14ac:dyDescent="0.25">
      <c r="B344" s="17"/>
      <c r="C344" s="14"/>
      <c r="D344" s="14"/>
      <c r="E344" s="18"/>
      <c r="F344" s="61"/>
      <c r="G344" s="73"/>
      <c r="H344" s="79"/>
      <c r="I344" s="79"/>
      <c r="J344" s="14"/>
      <c r="K344" s="38"/>
      <c r="L344" s="38"/>
      <c r="M344" s="17"/>
    </row>
    <row r="345" spans="2:13" ht="14.45" customHeight="1" x14ac:dyDescent="0.25">
      <c r="B345" s="17"/>
      <c r="C345" s="14"/>
      <c r="D345" s="14"/>
      <c r="E345" s="18"/>
      <c r="F345" s="61"/>
      <c r="G345" s="73"/>
      <c r="H345" s="79"/>
      <c r="I345" s="79"/>
      <c r="J345" s="14"/>
      <c r="K345" s="38"/>
      <c r="L345" s="38"/>
      <c r="M345" s="17"/>
    </row>
    <row r="346" spans="2:13" ht="14.45" customHeight="1" x14ac:dyDescent="0.25">
      <c r="B346" s="17"/>
      <c r="C346" s="14"/>
      <c r="D346" s="14"/>
      <c r="E346" s="18"/>
      <c r="F346" s="61"/>
      <c r="G346" s="73"/>
      <c r="H346" s="79"/>
      <c r="I346" s="79"/>
      <c r="J346" s="14"/>
      <c r="K346" s="38"/>
      <c r="L346" s="38"/>
      <c r="M346" s="17"/>
    </row>
    <row r="347" spans="2:13" ht="14.45" customHeight="1" x14ac:dyDescent="0.25">
      <c r="B347" s="17"/>
      <c r="C347" s="14"/>
      <c r="D347" s="14"/>
      <c r="E347" s="18"/>
      <c r="F347" s="61"/>
      <c r="G347" s="73"/>
      <c r="H347" s="79"/>
      <c r="I347" s="79"/>
      <c r="J347" s="14"/>
      <c r="K347" s="38"/>
      <c r="L347" s="38"/>
      <c r="M347" s="17"/>
    </row>
    <row r="348" spans="2:13" ht="14.45" customHeight="1" x14ac:dyDescent="0.25">
      <c r="B348" s="17"/>
      <c r="C348" s="14"/>
      <c r="D348" s="14"/>
      <c r="E348" s="18"/>
      <c r="F348" s="61"/>
      <c r="G348" s="73"/>
      <c r="H348" s="79"/>
      <c r="I348" s="79"/>
      <c r="J348" s="14"/>
      <c r="K348" s="38"/>
      <c r="L348" s="38"/>
      <c r="M348" s="17"/>
    </row>
    <row r="349" spans="2:13" ht="14.45" customHeight="1" x14ac:dyDescent="0.25">
      <c r="B349" s="17"/>
      <c r="C349" s="14"/>
      <c r="D349" s="14"/>
      <c r="E349" s="18"/>
      <c r="F349" s="61"/>
      <c r="G349" s="73"/>
      <c r="H349" s="79"/>
      <c r="I349" s="79"/>
      <c r="J349" s="14"/>
      <c r="K349" s="38"/>
      <c r="L349" s="38"/>
      <c r="M349" s="17"/>
    </row>
    <row r="350" spans="2:13" ht="14.45" customHeight="1" x14ac:dyDescent="0.25">
      <c r="B350" s="17"/>
      <c r="C350" s="14"/>
      <c r="D350" s="14"/>
      <c r="E350" s="18"/>
      <c r="F350" s="61"/>
      <c r="G350" s="73"/>
      <c r="H350" s="79"/>
      <c r="I350" s="79"/>
      <c r="J350" s="14"/>
      <c r="K350" s="38"/>
      <c r="L350" s="38"/>
      <c r="M350" s="17"/>
    </row>
    <row r="351" spans="2:13" ht="14.45" customHeight="1" x14ac:dyDescent="0.25">
      <c r="B351" s="17"/>
      <c r="C351" s="14"/>
      <c r="D351" s="14"/>
      <c r="E351" s="18"/>
      <c r="F351" s="61"/>
      <c r="G351" s="73"/>
      <c r="H351" s="79"/>
      <c r="I351" s="79"/>
      <c r="J351" s="14"/>
      <c r="K351" s="38"/>
      <c r="L351" s="38"/>
      <c r="M351" s="17"/>
    </row>
    <row r="352" spans="2:13" ht="14.45" customHeight="1" x14ac:dyDescent="0.25">
      <c r="B352" s="17"/>
      <c r="C352" s="14"/>
      <c r="D352" s="14"/>
      <c r="E352" s="18"/>
      <c r="F352" s="61"/>
      <c r="G352" s="73"/>
      <c r="H352" s="79"/>
      <c r="I352" s="79"/>
      <c r="J352" s="14"/>
      <c r="K352" s="38"/>
      <c r="L352" s="38"/>
      <c r="M352" s="17"/>
    </row>
    <row r="353" spans="2:13" ht="14.45" customHeight="1" x14ac:dyDescent="0.25">
      <c r="B353" s="17"/>
      <c r="C353" s="14"/>
      <c r="D353" s="14"/>
      <c r="E353" s="18"/>
      <c r="F353" s="61"/>
      <c r="G353" s="73"/>
      <c r="H353" s="79"/>
      <c r="I353" s="79"/>
      <c r="J353" s="14"/>
      <c r="K353" s="38"/>
      <c r="L353" s="38"/>
      <c r="M353" s="17"/>
    </row>
    <row r="354" spans="2:13" ht="14.45" customHeight="1" x14ac:dyDescent="0.25">
      <c r="B354" s="17"/>
      <c r="C354" s="14"/>
      <c r="D354" s="14"/>
      <c r="E354" s="18"/>
      <c r="F354" s="61"/>
      <c r="G354" s="73"/>
      <c r="H354" s="79"/>
      <c r="I354" s="79"/>
      <c r="J354" s="14"/>
      <c r="K354" s="38"/>
      <c r="L354" s="38"/>
      <c r="M354" s="17"/>
    </row>
    <row r="355" spans="2:13" ht="14.45" customHeight="1" x14ac:dyDescent="0.25">
      <c r="B355" s="17"/>
      <c r="C355" s="14"/>
      <c r="D355" s="14"/>
      <c r="E355" s="18"/>
      <c r="F355" s="61"/>
      <c r="G355" s="73"/>
      <c r="H355" s="79"/>
      <c r="I355" s="79"/>
      <c r="J355" s="14"/>
      <c r="K355" s="38"/>
      <c r="L355" s="38"/>
      <c r="M355" s="17"/>
    </row>
    <row r="356" spans="2:13" ht="14.45" customHeight="1" x14ac:dyDescent="0.25">
      <c r="B356" s="17"/>
      <c r="C356" s="14"/>
      <c r="D356" s="14"/>
      <c r="E356" s="18"/>
      <c r="F356" s="61"/>
      <c r="G356" s="73"/>
      <c r="H356" s="79"/>
      <c r="I356" s="79"/>
      <c r="J356" s="14"/>
      <c r="K356" s="38"/>
      <c r="L356" s="38"/>
      <c r="M356" s="17"/>
    </row>
    <row r="357" spans="2:13" ht="14.45" customHeight="1" x14ac:dyDescent="0.25">
      <c r="B357" s="17"/>
      <c r="C357" s="14"/>
      <c r="D357" s="14"/>
      <c r="E357" s="18"/>
      <c r="F357" s="61"/>
      <c r="G357" s="73"/>
      <c r="H357" s="79"/>
      <c r="I357" s="79"/>
      <c r="J357" s="14"/>
      <c r="K357" s="38"/>
      <c r="L357" s="38"/>
      <c r="M357" s="17"/>
    </row>
    <row r="358" spans="2:13" ht="14.45" customHeight="1" x14ac:dyDescent="0.25">
      <c r="B358" s="17"/>
      <c r="C358" s="14"/>
      <c r="D358" s="14"/>
      <c r="E358" s="18"/>
      <c r="F358" s="61"/>
      <c r="G358" s="73"/>
      <c r="H358" s="79"/>
      <c r="I358" s="79"/>
      <c r="J358" s="14"/>
      <c r="K358" s="38"/>
      <c r="L358" s="38"/>
      <c r="M358" s="17"/>
    </row>
    <row r="359" spans="2:13" ht="14.45" customHeight="1" x14ac:dyDescent="0.25">
      <c r="B359" s="17"/>
      <c r="C359" s="14"/>
      <c r="D359" s="14"/>
      <c r="E359" s="18"/>
      <c r="F359" s="61"/>
      <c r="G359" s="73"/>
      <c r="H359" s="79"/>
      <c r="I359" s="79"/>
      <c r="J359" s="14"/>
      <c r="K359" s="38"/>
      <c r="L359" s="38"/>
      <c r="M359" s="17"/>
    </row>
    <row r="360" spans="2:13" ht="14.45" customHeight="1" x14ac:dyDescent="0.25">
      <c r="B360" s="17"/>
      <c r="C360" s="14"/>
      <c r="D360" s="14"/>
      <c r="E360" s="18"/>
      <c r="F360" s="61"/>
      <c r="G360" s="73"/>
      <c r="H360" s="79"/>
      <c r="I360" s="79"/>
      <c r="J360" s="14"/>
      <c r="K360" s="38"/>
      <c r="L360" s="38"/>
      <c r="M360" s="17"/>
    </row>
    <row r="361" spans="2:13" ht="14.45" customHeight="1" x14ac:dyDescent="0.25">
      <c r="B361" s="17"/>
      <c r="C361" s="14"/>
      <c r="D361" s="14"/>
      <c r="E361" s="18"/>
      <c r="F361" s="61"/>
      <c r="G361" s="73"/>
      <c r="H361" s="79"/>
      <c r="I361" s="79"/>
      <c r="J361" s="14"/>
      <c r="K361" s="38"/>
      <c r="L361" s="38"/>
      <c r="M361" s="17"/>
    </row>
    <row r="362" spans="2:13" ht="14.45" customHeight="1" x14ac:dyDescent="0.25">
      <c r="B362" s="17"/>
      <c r="C362" s="14"/>
      <c r="D362" s="14"/>
      <c r="E362" s="18"/>
      <c r="F362" s="61"/>
      <c r="G362" s="73"/>
      <c r="H362" s="79"/>
      <c r="I362" s="79"/>
      <c r="J362" s="14"/>
      <c r="K362" s="38"/>
      <c r="L362" s="38"/>
      <c r="M362" s="17"/>
    </row>
    <row r="363" spans="2:13" ht="14.45" customHeight="1" x14ac:dyDescent="0.25">
      <c r="B363" s="17"/>
      <c r="C363" s="14"/>
      <c r="D363" s="14"/>
      <c r="E363" s="18"/>
      <c r="F363" s="61"/>
      <c r="G363" s="73"/>
      <c r="H363" s="79"/>
      <c r="I363" s="79"/>
      <c r="J363" s="14"/>
      <c r="K363" s="38"/>
      <c r="L363" s="38"/>
      <c r="M363" s="17"/>
    </row>
    <row r="364" spans="2:13" ht="14.45" customHeight="1" x14ac:dyDescent="0.25">
      <c r="B364" s="17"/>
      <c r="C364" s="14"/>
      <c r="D364" s="14"/>
      <c r="E364" s="18"/>
      <c r="F364" s="61"/>
      <c r="G364" s="73"/>
      <c r="H364" s="79"/>
      <c r="I364" s="79"/>
      <c r="J364" s="14"/>
      <c r="K364" s="38"/>
      <c r="L364" s="38"/>
      <c r="M364" s="17"/>
    </row>
    <row r="365" spans="2:13" ht="14.45" customHeight="1" x14ac:dyDescent="0.25">
      <c r="B365" s="17"/>
      <c r="C365" s="14"/>
      <c r="D365" s="14"/>
      <c r="E365" s="18"/>
      <c r="F365" s="61"/>
      <c r="G365" s="73"/>
      <c r="H365" s="79"/>
      <c r="I365" s="79"/>
      <c r="J365" s="14"/>
      <c r="K365" s="38"/>
      <c r="L365" s="38"/>
      <c r="M365" s="17"/>
    </row>
    <row r="366" spans="2:13" ht="14.45" customHeight="1" x14ac:dyDescent="0.25">
      <c r="B366" s="17"/>
      <c r="C366" s="14"/>
      <c r="D366" s="14"/>
      <c r="E366" s="18"/>
      <c r="F366" s="61"/>
      <c r="G366" s="73"/>
      <c r="H366" s="79"/>
      <c r="I366" s="79"/>
      <c r="J366" s="14"/>
      <c r="K366" s="38"/>
      <c r="L366" s="38"/>
      <c r="M366" s="17"/>
    </row>
    <row r="367" spans="2:13" ht="14.45" customHeight="1" x14ac:dyDescent="0.25">
      <c r="B367" s="17"/>
      <c r="C367" s="14"/>
      <c r="D367" s="14"/>
      <c r="E367" s="18"/>
      <c r="F367" s="61"/>
      <c r="G367" s="73"/>
      <c r="H367" s="79"/>
      <c r="I367" s="79"/>
      <c r="J367" s="14"/>
      <c r="K367" s="38"/>
      <c r="L367" s="38"/>
      <c r="M367" s="17"/>
    </row>
    <row r="368" spans="2:13" ht="14.45" customHeight="1" x14ac:dyDescent="0.25">
      <c r="B368" s="17"/>
      <c r="C368" s="14"/>
      <c r="D368" s="14"/>
      <c r="E368" s="18"/>
      <c r="F368" s="61"/>
      <c r="G368" s="73"/>
      <c r="H368" s="79"/>
      <c r="I368" s="79"/>
      <c r="J368" s="14"/>
      <c r="K368" s="38"/>
      <c r="L368" s="38"/>
      <c r="M368" s="17"/>
    </row>
    <row r="369" spans="2:13" ht="14.45" customHeight="1" x14ac:dyDescent="0.25">
      <c r="B369" s="17"/>
      <c r="C369" s="14"/>
      <c r="D369" s="14"/>
      <c r="E369" s="18"/>
      <c r="F369" s="61"/>
      <c r="G369" s="73"/>
      <c r="H369" s="79"/>
      <c r="I369" s="79"/>
      <c r="J369" s="14"/>
      <c r="K369" s="38"/>
      <c r="L369" s="38"/>
      <c r="M369" s="17"/>
    </row>
    <row r="370" spans="2:13" ht="14.45" customHeight="1" x14ac:dyDescent="0.25">
      <c r="B370" s="17"/>
      <c r="C370" s="14"/>
      <c r="D370" s="14"/>
      <c r="E370" s="18"/>
      <c r="F370" s="61"/>
      <c r="G370" s="73"/>
      <c r="H370" s="79"/>
      <c r="I370" s="79"/>
      <c r="J370" s="14"/>
      <c r="K370" s="38"/>
      <c r="L370" s="38"/>
      <c r="M370" s="17"/>
    </row>
    <row r="371" spans="2:13" ht="14.45" customHeight="1" x14ac:dyDescent="0.25">
      <c r="B371" s="17"/>
      <c r="C371" s="14"/>
      <c r="D371" s="14"/>
      <c r="E371" s="18"/>
      <c r="F371" s="61"/>
      <c r="G371" s="73"/>
      <c r="H371" s="79"/>
      <c r="I371" s="79"/>
      <c r="J371" s="14"/>
      <c r="K371" s="38"/>
      <c r="L371" s="38"/>
      <c r="M371" s="17"/>
    </row>
    <row r="372" spans="2:13" ht="14.45" customHeight="1" x14ac:dyDescent="0.25">
      <c r="B372" s="17"/>
      <c r="C372" s="14"/>
      <c r="D372" s="14"/>
      <c r="E372" s="18"/>
      <c r="F372" s="61"/>
      <c r="G372" s="73"/>
      <c r="H372" s="79"/>
      <c r="I372" s="79"/>
      <c r="J372" s="14"/>
      <c r="K372" s="38"/>
      <c r="L372" s="38"/>
      <c r="M372" s="17"/>
    </row>
    <row r="373" spans="2:13" ht="14.45" customHeight="1" x14ac:dyDescent="0.25">
      <c r="B373" s="17"/>
      <c r="C373" s="14"/>
      <c r="D373" s="14"/>
      <c r="E373" s="18"/>
      <c r="F373" s="61"/>
      <c r="G373" s="73"/>
      <c r="H373" s="79"/>
      <c r="I373" s="79"/>
      <c r="J373" s="14"/>
      <c r="K373" s="38"/>
      <c r="L373" s="38"/>
      <c r="M373" s="17"/>
    </row>
    <row r="374" spans="2:13" ht="14.45" customHeight="1" x14ac:dyDescent="0.25">
      <c r="B374" s="17"/>
      <c r="C374" s="14"/>
      <c r="D374" s="14"/>
      <c r="E374" s="18"/>
      <c r="F374" s="61"/>
      <c r="G374" s="73"/>
      <c r="H374" s="79"/>
      <c r="I374" s="79"/>
      <c r="J374" s="14"/>
      <c r="K374" s="38"/>
      <c r="L374" s="38"/>
      <c r="M374" s="17"/>
    </row>
    <row r="375" spans="2:13" ht="14.45" customHeight="1" x14ac:dyDescent="0.25">
      <c r="B375" s="17"/>
      <c r="C375" s="14"/>
      <c r="D375" s="14"/>
      <c r="E375" s="18"/>
      <c r="F375" s="61"/>
      <c r="G375" s="73"/>
      <c r="H375" s="79"/>
      <c r="I375" s="79"/>
      <c r="J375" s="14"/>
      <c r="K375" s="38"/>
      <c r="L375" s="38"/>
      <c r="M375" s="17"/>
    </row>
    <row r="376" spans="2:13" ht="14.45" customHeight="1" x14ac:dyDescent="0.25">
      <c r="B376" s="17"/>
      <c r="C376" s="14"/>
      <c r="D376" s="14"/>
      <c r="E376" s="18"/>
      <c r="F376" s="61"/>
      <c r="G376" s="73"/>
      <c r="H376" s="79"/>
      <c r="I376" s="79"/>
      <c r="J376" s="14"/>
      <c r="K376" s="38"/>
      <c r="L376" s="38"/>
      <c r="M376" s="17"/>
    </row>
    <row r="377" spans="2:13" ht="14.45" customHeight="1" x14ac:dyDescent="0.25">
      <c r="B377" s="17"/>
      <c r="C377" s="14"/>
      <c r="D377" s="14"/>
      <c r="E377" s="18"/>
      <c r="F377" s="61"/>
      <c r="G377" s="73"/>
      <c r="H377" s="79"/>
      <c r="I377" s="79"/>
      <c r="J377" s="14"/>
      <c r="K377" s="38"/>
      <c r="L377" s="38"/>
      <c r="M377" s="17"/>
    </row>
    <row r="378" spans="2:13" ht="14.45" customHeight="1" x14ac:dyDescent="0.25">
      <c r="B378" s="17"/>
      <c r="C378" s="14"/>
      <c r="D378" s="14"/>
      <c r="E378" s="18"/>
      <c r="F378" s="61"/>
      <c r="G378" s="73"/>
      <c r="H378" s="79"/>
      <c r="I378" s="79"/>
      <c r="J378" s="14"/>
      <c r="K378" s="38"/>
      <c r="L378" s="38"/>
      <c r="M378" s="17"/>
    </row>
    <row r="379" spans="2:13" ht="14.45" customHeight="1" x14ac:dyDescent="0.25">
      <c r="B379" s="17"/>
      <c r="C379" s="14"/>
      <c r="D379" s="14"/>
      <c r="E379" s="18"/>
      <c r="F379" s="61"/>
      <c r="G379" s="73"/>
      <c r="H379" s="79"/>
      <c r="I379" s="79"/>
      <c r="J379" s="14"/>
      <c r="K379" s="38"/>
      <c r="L379" s="38"/>
      <c r="M379" s="17"/>
    </row>
    <row r="380" spans="2:13" ht="14.45" customHeight="1" x14ac:dyDescent="0.25">
      <c r="B380" s="17"/>
      <c r="C380" s="14"/>
      <c r="D380" s="14"/>
      <c r="E380" s="18"/>
      <c r="F380" s="61"/>
      <c r="G380" s="73"/>
      <c r="H380" s="79"/>
      <c r="I380" s="79"/>
      <c r="J380" s="14"/>
      <c r="K380" s="38"/>
      <c r="L380" s="38"/>
      <c r="M380" s="17"/>
    </row>
    <row r="381" spans="2:13" ht="14.45" customHeight="1" x14ac:dyDescent="0.25">
      <c r="B381" s="17"/>
      <c r="C381" s="14"/>
      <c r="D381" s="14"/>
      <c r="E381" s="18"/>
      <c r="F381" s="61"/>
      <c r="G381" s="73"/>
      <c r="H381" s="79"/>
      <c r="I381" s="79"/>
      <c r="J381" s="14"/>
      <c r="K381" s="38"/>
      <c r="L381" s="38"/>
      <c r="M381" s="17"/>
    </row>
    <row r="382" spans="2:13" ht="14.45" customHeight="1" x14ac:dyDescent="0.25">
      <c r="B382" s="17"/>
      <c r="C382" s="14"/>
      <c r="D382" s="14"/>
      <c r="E382" s="18"/>
      <c r="F382" s="61"/>
      <c r="G382" s="73"/>
      <c r="H382" s="79"/>
      <c r="I382" s="79"/>
      <c r="J382" s="14"/>
      <c r="K382" s="38"/>
      <c r="L382" s="38"/>
      <c r="M382" s="17"/>
    </row>
    <row r="383" spans="2:13" ht="14.45" customHeight="1" x14ac:dyDescent="0.25">
      <c r="B383" s="17"/>
      <c r="C383" s="14"/>
      <c r="D383" s="14"/>
      <c r="E383" s="18"/>
      <c r="F383" s="61"/>
      <c r="G383" s="73"/>
      <c r="H383" s="79"/>
      <c r="I383" s="79"/>
      <c r="J383" s="14"/>
      <c r="K383" s="38"/>
      <c r="L383" s="38"/>
      <c r="M383" s="17"/>
    </row>
    <row r="384" spans="2:13" ht="14.45" customHeight="1" x14ac:dyDescent="0.25">
      <c r="B384" s="17"/>
      <c r="C384" s="14"/>
      <c r="D384" s="14"/>
      <c r="E384" s="18"/>
      <c r="F384" s="61"/>
      <c r="G384" s="73"/>
      <c r="H384" s="79"/>
      <c r="I384" s="79"/>
      <c r="J384" s="14"/>
      <c r="K384" s="38"/>
      <c r="L384" s="38"/>
      <c r="M384" s="17"/>
    </row>
    <row r="385" spans="2:13" ht="14.45" customHeight="1" x14ac:dyDescent="0.25">
      <c r="B385" s="17"/>
      <c r="C385" s="14"/>
      <c r="D385" s="14"/>
      <c r="E385" s="18"/>
      <c r="F385" s="61"/>
      <c r="G385" s="73"/>
      <c r="H385" s="79"/>
      <c r="I385" s="79"/>
      <c r="J385" s="14"/>
      <c r="K385" s="38"/>
      <c r="L385" s="38"/>
      <c r="M385" s="17"/>
    </row>
    <row r="386" spans="2:13" ht="14.45" customHeight="1" x14ac:dyDescent="0.25">
      <c r="B386" s="17"/>
      <c r="C386" s="14"/>
      <c r="D386" s="14"/>
      <c r="E386" s="18"/>
      <c r="F386" s="61"/>
      <c r="G386" s="73"/>
      <c r="H386" s="79"/>
      <c r="I386" s="79"/>
      <c r="J386" s="14"/>
      <c r="K386" s="38"/>
      <c r="L386" s="38"/>
      <c r="M386" s="17"/>
    </row>
    <row r="387" spans="2:13" ht="14.45" customHeight="1" x14ac:dyDescent="0.25">
      <c r="B387" s="17"/>
      <c r="C387" s="14"/>
      <c r="D387" s="14"/>
      <c r="E387" s="18"/>
      <c r="F387" s="61"/>
      <c r="G387" s="73"/>
      <c r="H387" s="79"/>
      <c r="I387" s="79"/>
      <c r="J387" s="14"/>
      <c r="K387" s="38"/>
      <c r="L387" s="38"/>
      <c r="M387" s="17"/>
    </row>
    <row r="388" spans="2:13" ht="14.45" customHeight="1" x14ac:dyDescent="0.25">
      <c r="B388" s="17"/>
      <c r="C388" s="14"/>
      <c r="D388" s="14"/>
      <c r="E388" s="18"/>
      <c r="F388" s="61"/>
      <c r="G388" s="73"/>
      <c r="H388" s="79"/>
      <c r="I388" s="79"/>
      <c r="J388" s="14"/>
      <c r="K388" s="38"/>
      <c r="L388" s="38"/>
      <c r="M388" s="17"/>
    </row>
    <row r="389" spans="2:13" ht="14.45" customHeight="1" x14ac:dyDescent="0.25">
      <c r="B389" s="17"/>
      <c r="C389" s="14"/>
      <c r="D389" s="14"/>
      <c r="E389" s="18"/>
      <c r="F389" s="61"/>
      <c r="G389" s="73"/>
      <c r="H389" s="79"/>
      <c r="I389" s="79"/>
      <c r="J389" s="14"/>
      <c r="K389" s="38"/>
      <c r="L389" s="38"/>
      <c r="M389" s="17"/>
    </row>
    <row r="390" spans="2:13" ht="14.45" customHeight="1" x14ac:dyDescent="0.25">
      <c r="B390" s="17"/>
      <c r="C390" s="14"/>
      <c r="D390" s="14"/>
      <c r="E390" s="18"/>
      <c r="F390" s="61"/>
      <c r="G390" s="73"/>
      <c r="H390" s="79"/>
      <c r="I390" s="79"/>
      <c r="J390" s="14"/>
      <c r="K390" s="38"/>
      <c r="L390" s="38"/>
      <c r="M390" s="17"/>
    </row>
    <row r="391" spans="2:13" ht="14.45" customHeight="1" x14ac:dyDescent="0.25">
      <c r="B391" s="17"/>
      <c r="C391" s="14"/>
      <c r="D391" s="14"/>
      <c r="E391" s="18"/>
      <c r="F391" s="61"/>
      <c r="G391" s="73"/>
      <c r="H391" s="79"/>
      <c r="I391" s="79"/>
      <c r="J391" s="14"/>
      <c r="K391" s="38"/>
      <c r="L391" s="38"/>
      <c r="M391" s="17"/>
    </row>
    <row r="392" spans="2:13" ht="14.45" customHeight="1" x14ac:dyDescent="0.25">
      <c r="B392" s="17"/>
      <c r="C392" s="14"/>
      <c r="D392" s="14"/>
      <c r="E392" s="18"/>
      <c r="F392" s="61"/>
      <c r="G392" s="73"/>
      <c r="H392" s="79"/>
      <c r="I392" s="79"/>
      <c r="J392" s="14"/>
      <c r="K392" s="38"/>
      <c r="L392" s="38"/>
      <c r="M392" s="17"/>
    </row>
    <row r="393" spans="2:13" ht="14.45" customHeight="1" x14ac:dyDescent="0.25">
      <c r="B393" s="17"/>
      <c r="C393" s="14"/>
      <c r="D393" s="14"/>
      <c r="E393" s="18"/>
      <c r="F393" s="61"/>
      <c r="G393" s="73"/>
      <c r="H393" s="79"/>
      <c r="I393" s="79"/>
      <c r="J393" s="14"/>
      <c r="K393" s="38"/>
      <c r="L393" s="38"/>
      <c r="M393" s="17"/>
    </row>
    <row r="394" spans="2:13" ht="14.45" customHeight="1" x14ac:dyDescent="0.25">
      <c r="B394" s="17"/>
      <c r="C394" s="14"/>
      <c r="D394" s="14"/>
      <c r="E394" s="18"/>
      <c r="F394" s="61"/>
      <c r="G394" s="73"/>
      <c r="H394" s="79"/>
      <c r="I394" s="79"/>
      <c r="J394" s="14"/>
      <c r="K394" s="38"/>
      <c r="L394" s="38"/>
      <c r="M394" s="17"/>
    </row>
    <row r="395" spans="2:13" ht="14.45" customHeight="1" x14ac:dyDescent="0.25">
      <c r="B395" s="17"/>
      <c r="C395" s="14"/>
      <c r="D395" s="14"/>
      <c r="E395" s="18"/>
      <c r="F395" s="61"/>
      <c r="G395" s="73"/>
      <c r="H395" s="79"/>
      <c r="I395" s="79"/>
      <c r="J395" s="14"/>
      <c r="K395" s="38"/>
      <c r="L395" s="38"/>
      <c r="M395" s="17"/>
    </row>
    <row r="396" spans="2:13" ht="14.45" customHeight="1" x14ac:dyDescent="0.25">
      <c r="B396" s="17"/>
      <c r="C396" s="14"/>
      <c r="D396" s="14"/>
      <c r="E396" s="18"/>
      <c r="F396" s="61"/>
      <c r="G396" s="73"/>
      <c r="H396" s="79"/>
      <c r="I396" s="79"/>
      <c r="J396" s="14"/>
      <c r="K396" s="38"/>
      <c r="L396" s="38"/>
      <c r="M396" s="17"/>
    </row>
    <row r="397" spans="2:13" ht="14.45" customHeight="1" x14ac:dyDescent="0.25">
      <c r="B397" s="17"/>
      <c r="C397" s="14"/>
      <c r="D397" s="14"/>
      <c r="E397" s="18"/>
      <c r="F397" s="61"/>
      <c r="G397" s="73"/>
      <c r="H397" s="79"/>
      <c r="I397" s="79"/>
      <c r="J397" s="14"/>
      <c r="K397" s="38"/>
      <c r="L397" s="38"/>
      <c r="M397" s="17"/>
    </row>
    <row r="398" spans="2:13" ht="14.45" customHeight="1" x14ac:dyDescent="0.25">
      <c r="B398" s="17"/>
      <c r="C398" s="14"/>
      <c r="D398" s="14"/>
      <c r="E398" s="18"/>
      <c r="F398" s="61"/>
      <c r="G398" s="73"/>
      <c r="H398" s="79"/>
      <c r="I398" s="79"/>
      <c r="J398" s="14"/>
      <c r="K398" s="38"/>
      <c r="L398" s="38"/>
      <c r="M398" s="17"/>
    </row>
    <row r="399" spans="2:13" ht="14.45" customHeight="1" x14ac:dyDescent="0.25">
      <c r="B399" s="17"/>
      <c r="C399" s="14"/>
      <c r="D399" s="14"/>
      <c r="E399" s="18"/>
      <c r="F399" s="61"/>
      <c r="G399" s="73"/>
      <c r="H399" s="79"/>
      <c r="I399" s="79"/>
      <c r="J399" s="14"/>
      <c r="K399" s="38"/>
      <c r="L399" s="38"/>
      <c r="M399" s="17"/>
    </row>
    <row r="400" spans="2:13" ht="14.45" customHeight="1" x14ac:dyDescent="0.25">
      <c r="B400" s="17"/>
      <c r="C400" s="14"/>
      <c r="D400" s="14"/>
      <c r="E400" s="18"/>
      <c r="F400" s="61"/>
      <c r="G400" s="73"/>
      <c r="H400" s="79"/>
      <c r="I400" s="79"/>
      <c r="J400" s="14"/>
      <c r="K400" s="38"/>
      <c r="L400" s="38"/>
      <c r="M400" s="17"/>
    </row>
    <row r="401" spans="2:13" ht="14.45" customHeight="1" x14ac:dyDescent="0.25">
      <c r="B401" s="17"/>
      <c r="C401" s="14"/>
      <c r="D401" s="14"/>
      <c r="E401" s="18"/>
      <c r="F401" s="61"/>
      <c r="G401" s="73"/>
      <c r="H401" s="79"/>
      <c r="I401" s="79"/>
      <c r="J401" s="14"/>
      <c r="K401" s="38"/>
      <c r="L401" s="38"/>
      <c r="M401" s="17"/>
    </row>
    <row r="402" spans="2:13" ht="14.45" customHeight="1" x14ac:dyDescent="0.25">
      <c r="B402" s="17"/>
      <c r="C402" s="14"/>
      <c r="D402" s="14"/>
      <c r="E402" s="18"/>
      <c r="F402" s="61"/>
      <c r="G402" s="73"/>
      <c r="H402" s="79"/>
      <c r="I402" s="79"/>
      <c r="J402" s="14"/>
      <c r="K402" s="38"/>
      <c r="L402" s="38"/>
      <c r="M402" s="17"/>
    </row>
    <row r="403" spans="2:13" ht="14.45" customHeight="1" x14ac:dyDescent="0.25">
      <c r="B403" s="17"/>
      <c r="C403" s="14"/>
      <c r="D403" s="14"/>
      <c r="E403" s="18"/>
      <c r="F403" s="61"/>
      <c r="G403" s="73"/>
      <c r="H403" s="79"/>
      <c r="I403" s="79"/>
      <c r="J403" s="14"/>
      <c r="K403" s="38"/>
      <c r="L403" s="38"/>
      <c r="M403" s="17"/>
    </row>
    <row r="404" spans="2:13" ht="14.45" customHeight="1" x14ac:dyDescent="0.25">
      <c r="B404" s="17"/>
      <c r="C404" s="14"/>
      <c r="D404" s="14"/>
      <c r="E404" s="18"/>
      <c r="F404" s="61"/>
      <c r="G404" s="73"/>
      <c r="H404" s="79"/>
      <c r="I404" s="79"/>
      <c r="J404" s="14"/>
      <c r="K404" s="38"/>
      <c r="L404" s="38"/>
      <c r="M404" s="17"/>
    </row>
    <row r="405" spans="2:13" ht="14.45" customHeight="1" x14ac:dyDescent="0.25">
      <c r="B405" s="17"/>
      <c r="C405" s="14"/>
      <c r="D405" s="14"/>
      <c r="E405" s="18"/>
      <c r="F405" s="61"/>
      <c r="G405" s="73"/>
      <c r="H405" s="79"/>
      <c r="I405" s="79"/>
      <c r="J405" s="14"/>
      <c r="K405" s="38"/>
      <c r="L405" s="38"/>
      <c r="M405" s="17"/>
    </row>
    <row r="406" spans="2:13" ht="14.45" customHeight="1" x14ac:dyDescent="0.25">
      <c r="B406" s="17"/>
      <c r="C406" s="14"/>
      <c r="D406" s="14"/>
      <c r="E406" s="18"/>
      <c r="F406" s="61"/>
      <c r="G406" s="73"/>
      <c r="H406" s="79"/>
      <c r="I406" s="79"/>
      <c r="J406" s="14"/>
      <c r="K406" s="38"/>
      <c r="L406" s="38"/>
      <c r="M406" s="17"/>
    </row>
    <row r="407" spans="2:13" ht="14.45" customHeight="1" x14ac:dyDescent="0.25">
      <c r="B407" s="17"/>
      <c r="C407" s="14"/>
      <c r="D407" s="14"/>
      <c r="E407" s="18"/>
      <c r="F407" s="61"/>
      <c r="G407" s="73"/>
      <c r="H407" s="79"/>
      <c r="I407" s="79"/>
      <c r="J407" s="14"/>
      <c r="K407" s="38"/>
      <c r="L407" s="38"/>
      <c r="M407" s="17"/>
    </row>
    <row r="408" spans="2:13" ht="14.45" customHeight="1" x14ac:dyDescent="0.25">
      <c r="B408" s="17"/>
      <c r="C408" s="14"/>
      <c r="D408" s="14"/>
      <c r="E408" s="18"/>
      <c r="F408" s="61"/>
      <c r="G408" s="73"/>
      <c r="H408" s="79"/>
      <c r="I408" s="79"/>
      <c r="J408" s="14"/>
      <c r="K408" s="38"/>
      <c r="L408" s="38"/>
      <c r="M408" s="17"/>
    </row>
    <row r="409" spans="2:13" ht="14.45" customHeight="1" x14ac:dyDescent="0.25">
      <c r="B409" s="17"/>
      <c r="C409" s="14"/>
      <c r="D409" s="14"/>
      <c r="E409" s="18"/>
      <c r="F409" s="61"/>
      <c r="G409" s="73"/>
      <c r="H409" s="79"/>
      <c r="I409" s="79"/>
      <c r="J409" s="14"/>
      <c r="K409" s="38"/>
      <c r="L409" s="38"/>
      <c r="M409" s="17"/>
    </row>
    <row r="410" spans="2:13" ht="14.45" customHeight="1" x14ac:dyDescent="0.25">
      <c r="B410" s="17"/>
      <c r="C410" s="14"/>
      <c r="D410" s="14"/>
      <c r="E410" s="18"/>
      <c r="F410" s="61"/>
      <c r="G410" s="73"/>
      <c r="H410" s="79"/>
      <c r="I410" s="79"/>
      <c r="J410" s="14"/>
      <c r="K410" s="38"/>
      <c r="L410" s="38"/>
      <c r="M410" s="17"/>
    </row>
    <row r="411" spans="2:13" ht="14.45" customHeight="1" x14ac:dyDescent="0.25">
      <c r="B411" s="17"/>
      <c r="C411" s="14"/>
      <c r="D411" s="14"/>
      <c r="E411" s="18"/>
      <c r="F411" s="61"/>
      <c r="G411" s="73"/>
      <c r="H411" s="79"/>
      <c r="I411" s="79"/>
      <c r="J411" s="14"/>
      <c r="K411" s="38"/>
      <c r="L411" s="38"/>
      <c r="M411" s="17"/>
    </row>
    <row r="412" spans="2:13" ht="14.45" customHeight="1" x14ac:dyDescent="0.25">
      <c r="B412" s="17"/>
      <c r="C412" s="14"/>
      <c r="D412" s="14"/>
      <c r="E412" s="18"/>
      <c r="F412" s="61"/>
      <c r="G412" s="73"/>
      <c r="H412" s="79"/>
      <c r="I412" s="79"/>
      <c r="J412" s="14"/>
      <c r="K412" s="38"/>
      <c r="L412" s="38"/>
      <c r="M412" s="17"/>
    </row>
    <row r="413" spans="2:13" ht="14.45" customHeight="1" x14ac:dyDescent="0.25">
      <c r="B413" s="17"/>
      <c r="C413" s="14"/>
      <c r="D413" s="14"/>
      <c r="E413" s="18"/>
      <c r="F413" s="61"/>
      <c r="G413" s="73"/>
      <c r="H413" s="79"/>
      <c r="I413" s="79"/>
      <c r="J413" s="14"/>
      <c r="K413" s="38"/>
      <c r="L413" s="38"/>
      <c r="M413" s="17"/>
    </row>
    <row r="414" spans="2:13" ht="14.45" customHeight="1" x14ac:dyDescent="0.25">
      <c r="B414" s="17"/>
      <c r="C414" s="14"/>
      <c r="D414" s="14"/>
      <c r="E414" s="18"/>
      <c r="F414" s="61"/>
      <c r="G414" s="73"/>
      <c r="H414" s="79"/>
      <c r="I414" s="79"/>
      <c r="J414" s="14"/>
      <c r="K414" s="38"/>
      <c r="L414" s="38"/>
      <c r="M414" s="17"/>
    </row>
    <row r="415" spans="2:13" ht="14.45" customHeight="1" x14ac:dyDescent="0.25">
      <c r="B415" s="17"/>
      <c r="C415" s="14"/>
      <c r="D415" s="14"/>
      <c r="E415" s="18"/>
      <c r="F415" s="61"/>
      <c r="G415" s="73"/>
      <c r="H415" s="79"/>
      <c r="I415" s="79"/>
      <c r="J415" s="14"/>
      <c r="K415" s="38"/>
      <c r="L415" s="38"/>
      <c r="M415" s="17"/>
    </row>
    <row r="416" spans="2:13" ht="14.45" customHeight="1" x14ac:dyDescent="0.25">
      <c r="B416" s="17"/>
      <c r="C416" s="14"/>
      <c r="D416" s="14"/>
      <c r="E416" s="18"/>
      <c r="F416" s="61"/>
      <c r="G416" s="73"/>
      <c r="H416" s="79"/>
      <c r="I416" s="79"/>
      <c r="J416" s="14"/>
      <c r="K416" s="38"/>
      <c r="L416" s="38"/>
      <c r="M416" s="17"/>
    </row>
    <row r="417" spans="2:13" ht="14.45" customHeight="1" x14ac:dyDescent="0.25">
      <c r="B417" s="17"/>
      <c r="C417" s="14"/>
      <c r="D417" s="14"/>
      <c r="E417" s="18"/>
      <c r="F417" s="61"/>
      <c r="G417" s="73"/>
      <c r="H417" s="79"/>
      <c r="I417" s="79"/>
      <c r="J417" s="14"/>
      <c r="K417" s="38"/>
      <c r="L417" s="38"/>
      <c r="M417" s="17"/>
    </row>
    <row r="418" spans="2:13" ht="14.45" customHeight="1" x14ac:dyDescent="0.25">
      <c r="B418" s="17"/>
      <c r="C418" s="14"/>
      <c r="D418" s="14"/>
      <c r="E418" s="18"/>
      <c r="F418" s="61"/>
      <c r="G418" s="73"/>
      <c r="H418" s="79"/>
      <c r="I418" s="79"/>
      <c r="J418" s="14"/>
      <c r="K418" s="38"/>
      <c r="L418" s="38"/>
      <c r="M418" s="17"/>
    </row>
    <row r="419" spans="2:13" ht="14.45" customHeight="1" x14ac:dyDescent="0.25">
      <c r="B419" s="17"/>
      <c r="C419" s="14"/>
      <c r="D419" s="14"/>
      <c r="E419" s="18"/>
      <c r="F419" s="61"/>
      <c r="G419" s="73"/>
      <c r="H419" s="79"/>
      <c r="I419" s="79"/>
      <c r="J419" s="14"/>
      <c r="K419" s="38"/>
      <c r="L419" s="38"/>
      <c r="M419" s="17"/>
    </row>
    <row r="420" spans="2:13" ht="14.45" customHeight="1" x14ac:dyDescent="0.25">
      <c r="B420" s="17"/>
      <c r="C420" s="14"/>
      <c r="D420" s="14"/>
      <c r="E420" s="18"/>
      <c r="F420" s="61"/>
      <c r="G420" s="73"/>
      <c r="H420" s="79"/>
      <c r="I420" s="79"/>
      <c r="J420" s="14"/>
      <c r="K420" s="38"/>
      <c r="L420" s="38"/>
      <c r="M420" s="17"/>
    </row>
    <row r="421" spans="2:13" ht="14.45" customHeight="1" x14ac:dyDescent="0.25">
      <c r="B421" s="17"/>
      <c r="C421" s="14"/>
      <c r="D421" s="14"/>
      <c r="E421" s="18"/>
      <c r="F421" s="61"/>
      <c r="G421" s="73"/>
      <c r="H421" s="79"/>
      <c r="I421" s="79"/>
      <c r="J421" s="14"/>
      <c r="K421" s="38"/>
      <c r="L421" s="38"/>
      <c r="M421" s="17"/>
    </row>
    <row r="422" spans="2:13" ht="14.45" customHeight="1" x14ac:dyDescent="0.25">
      <c r="B422" s="17"/>
      <c r="C422" s="14"/>
      <c r="D422" s="14"/>
      <c r="E422" s="18"/>
      <c r="F422" s="61"/>
      <c r="G422" s="73"/>
      <c r="H422" s="79"/>
      <c r="I422" s="79"/>
      <c r="J422" s="14"/>
      <c r="K422" s="38"/>
      <c r="L422" s="38"/>
      <c r="M422" s="17"/>
    </row>
    <row r="423" spans="2:13" ht="14.45" customHeight="1" x14ac:dyDescent="0.25">
      <c r="B423" s="17"/>
      <c r="C423" s="14"/>
      <c r="D423" s="14"/>
      <c r="E423" s="18"/>
      <c r="F423" s="61"/>
      <c r="G423" s="73"/>
      <c r="H423" s="79"/>
      <c r="I423" s="79"/>
      <c r="J423" s="14"/>
      <c r="K423" s="38"/>
      <c r="L423" s="38"/>
      <c r="M423" s="17"/>
    </row>
    <row r="424" spans="2:13" ht="14.45" customHeight="1" x14ac:dyDescent="0.25">
      <c r="B424" s="17"/>
      <c r="C424" s="14"/>
      <c r="D424" s="14"/>
      <c r="E424" s="18"/>
      <c r="F424" s="61"/>
      <c r="G424" s="73"/>
      <c r="H424" s="79"/>
      <c r="I424" s="79"/>
      <c r="J424" s="14"/>
      <c r="K424" s="38"/>
      <c r="L424" s="38"/>
      <c r="M424" s="17"/>
    </row>
    <row r="425" spans="2:13" ht="14.45" customHeight="1" x14ac:dyDescent="0.25">
      <c r="B425" s="17"/>
      <c r="C425" s="14"/>
      <c r="D425" s="14"/>
      <c r="E425" s="18"/>
      <c r="F425" s="61"/>
      <c r="G425" s="73"/>
      <c r="H425" s="79"/>
      <c r="I425" s="79"/>
      <c r="J425" s="14"/>
      <c r="K425" s="38"/>
      <c r="L425" s="38"/>
      <c r="M425" s="17"/>
    </row>
    <row r="426" spans="2:13" ht="14.45" customHeight="1" x14ac:dyDescent="0.25">
      <c r="B426" s="17"/>
      <c r="C426" s="14"/>
      <c r="D426" s="14"/>
      <c r="E426" s="18"/>
      <c r="F426" s="61"/>
      <c r="G426" s="73"/>
      <c r="H426" s="79"/>
      <c r="I426" s="79"/>
      <c r="J426" s="14"/>
      <c r="K426" s="38"/>
      <c r="L426" s="38"/>
      <c r="M426" s="17"/>
    </row>
    <row r="427" spans="2:13" ht="14.45" customHeight="1" x14ac:dyDescent="0.25">
      <c r="B427" s="17"/>
      <c r="C427" s="14"/>
      <c r="D427" s="14"/>
      <c r="E427" s="18"/>
      <c r="F427" s="61"/>
      <c r="G427" s="73"/>
      <c r="H427" s="79"/>
      <c r="I427" s="79"/>
      <c r="J427" s="14"/>
      <c r="K427" s="38"/>
      <c r="L427" s="38"/>
      <c r="M427" s="17"/>
    </row>
    <row r="428" spans="2:13" ht="14.45" customHeight="1" x14ac:dyDescent="0.25">
      <c r="B428" s="17"/>
      <c r="C428" s="14"/>
      <c r="D428" s="14"/>
      <c r="E428" s="18"/>
      <c r="F428" s="61"/>
      <c r="G428" s="73"/>
      <c r="H428" s="79"/>
      <c r="I428" s="79"/>
      <c r="J428" s="14"/>
      <c r="K428" s="38"/>
      <c r="L428" s="38"/>
      <c r="M428" s="17"/>
    </row>
    <row r="429" spans="2:13" ht="14.45" customHeight="1" x14ac:dyDescent="0.25">
      <c r="B429" s="17"/>
      <c r="C429" s="14"/>
      <c r="D429" s="14"/>
      <c r="E429" s="18"/>
      <c r="F429" s="61"/>
      <c r="G429" s="73"/>
      <c r="H429" s="79"/>
      <c r="I429" s="79"/>
      <c r="J429" s="14"/>
      <c r="K429" s="38"/>
      <c r="L429" s="38"/>
      <c r="M429" s="17"/>
    </row>
    <row r="430" spans="2:13" ht="14.45" customHeight="1" x14ac:dyDescent="0.25">
      <c r="B430" s="17"/>
      <c r="C430" s="14"/>
      <c r="D430" s="14"/>
      <c r="E430" s="18"/>
      <c r="F430" s="61"/>
      <c r="G430" s="73"/>
      <c r="H430" s="79"/>
      <c r="I430" s="79"/>
      <c r="J430" s="14"/>
      <c r="K430" s="38"/>
      <c r="L430" s="38"/>
      <c r="M430" s="17"/>
    </row>
    <row r="431" spans="2:13" ht="14.45" customHeight="1" x14ac:dyDescent="0.25">
      <c r="B431" s="17"/>
      <c r="C431" s="14"/>
      <c r="D431" s="14"/>
      <c r="E431" s="18"/>
      <c r="F431" s="61"/>
      <c r="G431" s="73"/>
      <c r="H431" s="79"/>
      <c r="I431" s="79"/>
      <c r="J431" s="14"/>
      <c r="K431" s="38"/>
      <c r="L431" s="38"/>
      <c r="M431" s="17"/>
    </row>
    <row r="432" spans="2:13" ht="14.45" customHeight="1" x14ac:dyDescent="0.25">
      <c r="B432" s="17"/>
      <c r="C432" s="14"/>
      <c r="D432" s="14"/>
      <c r="E432" s="18"/>
      <c r="F432" s="61"/>
      <c r="G432" s="73"/>
      <c r="H432" s="79"/>
      <c r="I432" s="79"/>
      <c r="J432" s="14"/>
      <c r="K432" s="38"/>
      <c r="L432" s="38"/>
      <c r="M432" s="17"/>
    </row>
    <row r="433" spans="2:13" ht="14.45" customHeight="1" x14ac:dyDescent="0.25">
      <c r="B433" s="17"/>
      <c r="C433" s="14"/>
      <c r="D433" s="14"/>
      <c r="E433" s="18"/>
      <c r="F433" s="61"/>
      <c r="G433" s="73"/>
      <c r="H433" s="79"/>
      <c r="I433" s="79"/>
      <c r="J433" s="14"/>
      <c r="K433" s="38"/>
      <c r="L433" s="38"/>
      <c r="M433" s="17"/>
    </row>
    <row r="434" spans="2:13" ht="14.45" customHeight="1" x14ac:dyDescent="0.25">
      <c r="B434" s="17"/>
      <c r="C434" s="14"/>
      <c r="D434" s="14"/>
      <c r="E434" s="18"/>
      <c r="F434" s="61"/>
      <c r="G434" s="73"/>
      <c r="H434" s="79"/>
      <c r="I434" s="79"/>
      <c r="J434" s="14"/>
      <c r="K434" s="38"/>
      <c r="L434" s="38"/>
      <c r="M434" s="17"/>
    </row>
    <row r="435" spans="2:13" ht="14.45" customHeight="1" x14ac:dyDescent="0.25">
      <c r="B435" s="17"/>
      <c r="C435" s="14"/>
      <c r="D435" s="14"/>
      <c r="E435" s="18"/>
      <c r="F435" s="61"/>
      <c r="G435" s="73"/>
      <c r="H435" s="79"/>
      <c r="I435" s="79"/>
      <c r="J435" s="14"/>
      <c r="K435" s="38"/>
      <c r="L435" s="38"/>
      <c r="M435" s="17"/>
    </row>
    <row r="436" spans="2:13" ht="14.45" customHeight="1" x14ac:dyDescent="0.25">
      <c r="B436" s="17"/>
      <c r="C436" s="14"/>
      <c r="D436" s="14"/>
      <c r="E436" s="18"/>
      <c r="F436" s="61"/>
      <c r="G436" s="73"/>
      <c r="H436" s="79"/>
      <c r="I436" s="79"/>
      <c r="J436" s="14"/>
      <c r="K436" s="38"/>
      <c r="L436" s="38"/>
      <c r="M436" s="17"/>
    </row>
    <row r="437" spans="2:13" ht="14.45" customHeight="1" x14ac:dyDescent="0.25">
      <c r="B437" s="17"/>
      <c r="C437" s="14"/>
      <c r="D437" s="14"/>
      <c r="E437" s="18"/>
      <c r="F437" s="61"/>
      <c r="G437" s="73"/>
      <c r="H437" s="79"/>
      <c r="I437" s="79"/>
      <c r="J437" s="14"/>
      <c r="K437" s="38"/>
      <c r="L437" s="38"/>
      <c r="M437" s="17"/>
    </row>
    <row r="438" spans="2:13" ht="14.45" customHeight="1" x14ac:dyDescent="0.25">
      <c r="B438" s="17"/>
      <c r="C438" s="14"/>
      <c r="D438" s="14"/>
      <c r="E438" s="18"/>
      <c r="F438" s="61"/>
      <c r="G438" s="73"/>
      <c r="H438" s="79"/>
      <c r="I438" s="79"/>
      <c r="J438" s="14"/>
      <c r="K438" s="38"/>
      <c r="L438" s="38"/>
      <c r="M438" s="17"/>
    </row>
    <row r="439" spans="2:13" ht="14.45" customHeight="1" x14ac:dyDescent="0.25">
      <c r="B439" s="17"/>
      <c r="C439" s="14"/>
      <c r="D439" s="14"/>
      <c r="E439" s="18"/>
      <c r="F439" s="61"/>
      <c r="G439" s="73"/>
      <c r="H439" s="79"/>
      <c r="I439" s="79"/>
      <c r="J439" s="14"/>
      <c r="K439" s="38"/>
      <c r="L439" s="38"/>
      <c r="M439" s="17"/>
    </row>
    <row r="440" spans="2:13" ht="14.45" customHeight="1" x14ac:dyDescent="0.25">
      <c r="B440" s="17"/>
      <c r="C440" s="14"/>
      <c r="D440" s="14"/>
      <c r="E440" s="18"/>
      <c r="F440" s="61"/>
      <c r="G440" s="73"/>
      <c r="H440" s="79"/>
      <c r="I440" s="79"/>
      <c r="J440" s="14"/>
      <c r="K440" s="38"/>
      <c r="L440" s="38"/>
      <c r="M440" s="17"/>
    </row>
    <row r="441" spans="2:13" ht="14.45" customHeight="1" x14ac:dyDescent="0.25">
      <c r="B441" s="17"/>
      <c r="C441" s="14"/>
      <c r="D441" s="14"/>
      <c r="E441" s="18"/>
      <c r="F441" s="61"/>
      <c r="G441" s="73"/>
      <c r="H441" s="79"/>
      <c r="I441" s="79"/>
      <c r="J441" s="14"/>
      <c r="K441" s="38"/>
      <c r="L441" s="38"/>
      <c r="M441" s="17"/>
    </row>
    <row r="442" spans="2:13" ht="14.45" customHeight="1" x14ac:dyDescent="0.25">
      <c r="B442" s="17"/>
      <c r="C442" s="14"/>
      <c r="D442" s="14"/>
      <c r="E442" s="18"/>
      <c r="F442" s="61"/>
      <c r="G442" s="73"/>
      <c r="H442" s="79"/>
      <c r="I442" s="79"/>
      <c r="J442" s="14"/>
      <c r="K442" s="38"/>
      <c r="L442" s="38"/>
      <c r="M442" s="17"/>
    </row>
    <row r="443" spans="2:13" ht="14.45" customHeight="1" x14ac:dyDescent="0.25">
      <c r="B443" s="17"/>
      <c r="C443" s="14"/>
      <c r="D443" s="14"/>
      <c r="E443" s="18"/>
      <c r="F443" s="61"/>
      <c r="G443" s="73"/>
      <c r="H443" s="79"/>
      <c r="I443" s="79"/>
      <c r="J443" s="14"/>
      <c r="K443" s="38"/>
      <c r="L443" s="38"/>
      <c r="M443" s="17"/>
    </row>
    <row r="444" spans="2:13" ht="14.45" customHeight="1" x14ac:dyDescent="0.25">
      <c r="B444" s="17"/>
      <c r="C444" s="14"/>
      <c r="D444" s="14"/>
      <c r="E444" s="18"/>
      <c r="F444" s="61"/>
      <c r="G444" s="73"/>
      <c r="H444" s="79"/>
      <c r="I444" s="79"/>
      <c r="J444" s="14"/>
      <c r="K444" s="38"/>
      <c r="L444" s="38"/>
      <c r="M444" s="17"/>
    </row>
    <row r="445" spans="2:13" ht="14.45" customHeight="1" x14ac:dyDescent="0.25">
      <c r="B445" s="17"/>
      <c r="C445" s="14"/>
      <c r="D445" s="14"/>
      <c r="E445" s="18"/>
      <c r="F445" s="61"/>
      <c r="G445" s="73"/>
      <c r="H445" s="79"/>
      <c r="I445" s="79"/>
      <c r="J445" s="14"/>
      <c r="K445" s="38"/>
      <c r="L445" s="38"/>
      <c r="M445" s="17"/>
    </row>
    <row r="446" spans="2:13" ht="14.45" customHeight="1" x14ac:dyDescent="0.25">
      <c r="B446" s="17"/>
      <c r="C446" s="14"/>
      <c r="D446" s="14"/>
      <c r="E446" s="18"/>
      <c r="F446" s="61"/>
      <c r="G446" s="73"/>
      <c r="H446" s="79"/>
      <c r="I446" s="79"/>
      <c r="J446" s="14"/>
      <c r="K446" s="38"/>
      <c r="L446" s="38"/>
      <c r="M446" s="17"/>
    </row>
    <row r="447" spans="2:13" ht="14.45" customHeight="1" x14ac:dyDescent="0.25">
      <c r="B447" s="17"/>
      <c r="C447" s="14"/>
      <c r="D447" s="14"/>
      <c r="E447" s="18"/>
      <c r="F447" s="61"/>
      <c r="G447" s="73"/>
      <c r="H447" s="79"/>
      <c r="I447" s="79"/>
      <c r="J447" s="14"/>
      <c r="K447" s="38"/>
      <c r="L447" s="38"/>
      <c r="M447" s="17"/>
    </row>
    <row r="448" spans="2:13" ht="14.45" customHeight="1" x14ac:dyDescent="0.25">
      <c r="B448" s="17"/>
      <c r="C448" s="14"/>
      <c r="D448" s="14"/>
      <c r="E448" s="18"/>
      <c r="F448" s="61"/>
      <c r="G448" s="73"/>
      <c r="H448" s="79"/>
      <c r="I448" s="79"/>
      <c r="J448" s="14"/>
      <c r="K448" s="38"/>
      <c r="L448" s="38"/>
      <c r="M448" s="17"/>
    </row>
    <row r="449" spans="2:13" ht="14.45" customHeight="1" x14ac:dyDescent="0.25">
      <c r="B449" s="17"/>
      <c r="C449" s="14"/>
      <c r="D449" s="14"/>
      <c r="E449" s="18"/>
      <c r="F449" s="61"/>
      <c r="G449" s="73"/>
      <c r="H449" s="79"/>
      <c r="I449" s="79"/>
      <c r="J449" s="14"/>
      <c r="K449" s="38"/>
      <c r="L449" s="38"/>
      <c r="M449" s="17"/>
    </row>
    <row r="450" spans="2:13" ht="14.45" customHeight="1" x14ac:dyDescent="0.25">
      <c r="B450" s="17"/>
      <c r="C450" s="14"/>
      <c r="D450" s="14"/>
      <c r="E450" s="18"/>
      <c r="F450" s="61"/>
      <c r="G450" s="73"/>
      <c r="H450" s="79"/>
      <c r="I450" s="79"/>
      <c r="J450" s="14"/>
      <c r="K450" s="38"/>
      <c r="L450" s="38"/>
      <c r="M450" s="17"/>
    </row>
    <row r="451" spans="2:13" ht="14.45" customHeight="1" x14ac:dyDescent="0.25">
      <c r="B451" s="17"/>
      <c r="C451" s="14"/>
      <c r="D451" s="14"/>
      <c r="E451" s="18"/>
      <c r="F451" s="61"/>
      <c r="G451" s="73"/>
      <c r="H451" s="79"/>
      <c r="I451" s="79"/>
      <c r="J451" s="14"/>
      <c r="K451" s="38"/>
      <c r="L451" s="38"/>
      <c r="M451" s="17"/>
    </row>
    <row r="452" spans="2:13" ht="14.45" customHeight="1" x14ac:dyDescent="0.25">
      <c r="B452" s="17"/>
      <c r="C452" s="14"/>
      <c r="D452" s="14"/>
      <c r="E452" s="18"/>
      <c r="F452" s="61"/>
      <c r="G452" s="73"/>
      <c r="H452" s="79"/>
      <c r="I452" s="79"/>
      <c r="J452" s="14"/>
      <c r="K452" s="38"/>
      <c r="L452" s="38"/>
      <c r="M452" s="17"/>
    </row>
    <row r="453" spans="2:13" ht="14.45" customHeight="1" x14ac:dyDescent="0.25">
      <c r="B453" s="17"/>
      <c r="C453" s="14"/>
      <c r="D453" s="14"/>
      <c r="E453" s="18"/>
      <c r="F453" s="61"/>
      <c r="G453" s="73"/>
      <c r="H453" s="79"/>
      <c r="I453" s="79"/>
      <c r="J453" s="14"/>
      <c r="K453" s="38"/>
      <c r="L453" s="38"/>
      <c r="M453" s="17"/>
    </row>
    <row r="454" spans="2:13" ht="14.45" customHeight="1" x14ac:dyDescent="0.25">
      <c r="B454" s="17"/>
      <c r="C454" s="14"/>
      <c r="D454" s="14"/>
      <c r="E454" s="18"/>
      <c r="F454" s="61"/>
      <c r="G454" s="73"/>
      <c r="H454" s="79"/>
      <c r="I454" s="79"/>
      <c r="J454" s="14"/>
      <c r="K454" s="38"/>
      <c r="L454" s="38"/>
      <c r="M454" s="17"/>
    </row>
    <row r="455" spans="2:13" ht="14.45" customHeight="1" x14ac:dyDescent="0.25">
      <c r="B455" s="17"/>
      <c r="C455" s="14"/>
      <c r="D455" s="14"/>
      <c r="E455" s="18"/>
      <c r="F455" s="61"/>
      <c r="G455" s="73"/>
      <c r="H455" s="79"/>
      <c r="I455" s="79"/>
      <c r="J455" s="14"/>
      <c r="K455" s="38"/>
      <c r="L455" s="38"/>
      <c r="M455" s="17"/>
    </row>
    <row r="456" spans="2:13" ht="14.45" customHeight="1" x14ac:dyDescent="0.25">
      <c r="B456" s="17"/>
      <c r="C456" s="14"/>
      <c r="D456" s="14"/>
      <c r="E456" s="18"/>
      <c r="F456" s="61"/>
      <c r="G456" s="73"/>
      <c r="H456" s="79"/>
      <c r="I456" s="79"/>
      <c r="J456" s="14"/>
      <c r="K456" s="38"/>
      <c r="L456" s="38"/>
      <c r="M456" s="17"/>
    </row>
    <row r="457" spans="2:13" ht="14.45" customHeight="1" x14ac:dyDescent="0.25">
      <c r="B457" s="17"/>
      <c r="C457" s="14"/>
      <c r="D457" s="14"/>
      <c r="E457" s="18"/>
      <c r="F457" s="61"/>
      <c r="G457" s="73"/>
      <c r="H457" s="79"/>
      <c r="I457" s="79"/>
      <c r="J457" s="14"/>
      <c r="K457" s="38"/>
      <c r="L457" s="38"/>
      <c r="M457" s="17"/>
    </row>
    <row r="458" spans="2:13" ht="14.45" customHeight="1" x14ac:dyDescent="0.25">
      <c r="B458" s="17"/>
      <c r="C458" s="14"/>
      <c r="D458" s="14"/>
      <c r="E458" s="18"/>
      <c r="F458" s="61"/>
      <c r="G458" s="73"/>
      <c r="H458" s="79"/>
      <c r="I458" s="79"/>
      <c r="J458" s="14"/>
      <c r="K458" s="38"/>
      <c r="L458" s="38"/>
      <c r="M458" s="17"/>
    </row>
    <row r="459" spans="2:13" ht="14.45" customHeight="1" x14ac:dyDescent="0.25">
      <c r="B459" s="17"/>
      <c r="C459" s="14"/>
      <c r="D459" s="14"/>
      <c r="E459" s="18"/>
      <c r="F459" s="61"/>
      <c r="G459" s="73"/>
      <c r="H459" s="79"/>
      <c r="I459" s="79"/>
      <c r="J459" s="14"/>
      <c r="K459" s="38"/>
      <c r="L459" s="38"/>
      <c r="M459" s="17"/>
    </row>
    <row r="460" spans="2:13" ht="14.45" customHeight="1" x14ac:dyDescent="0.25">
      <c r="B460" s="17"/>
      <c r="C460" s="14"/>
      <c r="D460" s="14"/>
      <c r="E460" s="18"/>
      <c r="F460" s="61"/>
      <c r="G460" s="73"/>
      <c r="H460" s="79"/>
      <c r="I460" s="79"/>
      <c r="J460" s="14"/>
      <c r="K460" s="38"/>
      <c r="L460" s="38"/>
      <c r="M460" s="17"/>
    </row>
    <row r="461" spans="2:13" ht="14.45" customHeight="1" x14ac:dyDescent="0.25">
      <c r="B461" s="17"/>
      <c r="C461" s="14"/>
      <c r="D461" s="14"/>
      <c r="E461" s="18"/>
      <c r="F461" s="61"/>
      <c r="G461" s="73"/>
      <c r="H461" s="79"/>
      <c r="I461" s="79"/>
      <c r="J461" s="14"/>
      <c r="K461" s="38"/>
      <c r="L461" s="38"/>
      <c r="M461" s="17"/>
    </row>
    <row r="462" spans="2:13" ht="14.45" customHeight="1" x14ac:dyDescent="0.25">
      <c r="B462" s="17"/>
      <c r="C462" s="14"/>
      <c r="D462" s="14"/>
      <c r="E462" s="18"/>
      <c r="F462" s="61"/>
      <c r="G462" s="73"/>
      <c r="H462" s="79"/>
      <c r="I462" s="79"/>
      <c r="J462" s="14"/>
      <c r="K462" s="38"/>
      <c r="L462" s="38"/>
      <c r="M462" s="17"/>
    </row>
    <row r="463" spans="2:13" ht="14.45" customHeight="1" x14ac:dyDescent="0.25">
      <c r="B463" s="17"/>
      <c r="C463" s="14"/>
      <c r="D463" s="14"/>
      <c r="E463" s="18"/>
      <c r="F463" s="61"/>
      <c r="G463" s="73"/>
      <c r="H463" s="79"/>
      <c r="I463" s="79"/>
      <c r="J463" s="14"/>
      <c r="K463" s="38"/>
      <c r="L463" s="38"/>
      <c r="M463" s="17"/>
    </row>
    <row r="464" spans="2:13" ht="14.45" customHeight="1" x14ac:dyDescent="0.25">
      <c r="B464" s="17"/>
      <c r="C464" s="14"/>
      <c r="D464" s="14"/>
      <c r="E464" s="18"/>
      <c r="F464" s="61"/>
      <c r="G464" s="73"/>
      <c r="H464" s="79"/>
      <c r="I464" s="79"/>
      <c r="J464" s="14"/>
      <c r="K464" s="38"/>
      <c r="L464" s="38"/>
      <c r="M464" s="17"/>
    </row>
    <row r="465" spans="2:13" ht="14.45" customHeight="1" x14ac:dyDescent="0.25">
      <c r="B465" s="17"/>
      <c r="C465" s="14"/>
      <c r="D465" s="14"/>
      <c r="E465" s="18"/>
      <c r="F465" s="61"/>
      <c r="G465" s="73"/>
      <c r="H465" s="79"/>
      <c r="I465" s="79"/>
      <c r="J465" s="14"/>
      <c r="K465" s="38"/>
      <c r="L465" s="38"/>
      <c r="M465" s="17"/>
    </row>
    <row r="466" spans="2:13" ht="14.45" customHeight="1" x14ac:dyDescent="0.25">
      <c r="B466" s="17"/>
      <c r="C466" s="14"/>
      <c r="D466" s="14"/>
      <c r="E466" s="18"/>
      <c r="F466" s="61"/>
      <c r="G466" s="73"/>
      <c r="H466" s="79"/>
      <c r="I466" s="79"/>
      <c r="J466" s="14"/>
      <c r="K466" s="38"/>
      <c r="L466" s="38"/>
      <c r="M466" s="17"/>
    </row>
    <row r="467" spans="2:13" ht="14.45" customHeight="1" x14ac:dyDescent="0.25">
      <c r="B467" s="17"/>
      <c r="C467" s="14"/>
      <c r="D467" s="14"/>
      <c r="E467" s="18"/>
      <c r="F467" s="61"/>
      <c r="G467" s="73"/>
      <c r="H467" s="79"/>
      <c r="I467" s="79"/>
      <c r="J467" s="14"/>
      <c r="K467" s="38"/>
      <c r="L467" s="38"/>
      <c r="M467" s="17"/>
    </row>
    <row r="468" spans="2:13" ht="14.45" customHeight="1" x14ac:dyDescent="0.25">
      <c r="B468" s="17"/>
      <c r="C468" s="14"/>
      <c r="D468" s="14"/>
      <c r="E468" s="18"/>
      <c r="F468" s="61"/>
      <c r="G468" s="73"/>
      <c r="H468" s="79"/>
      <c r="I468" s="79"/>
      <c r="J468" s="14"/>
      <c r="K468" s="38"/>
      <c r="L468" s="38"/>
      <c r="M468" s="17"/>
    </row>
    <row r="469" spans="2:13" ht="14.45" customHeight="1" x14ac:dyDescent="0.25">
      <c r="B469" s="17"/>
      <c r="C469" s="14"/>
      <c r="D469" s="14"/>
      <c r="E469" s="18"/>
      <c r="F469" s="61"/>
      <c r="G469" s="73"/>
      <c r="H469" s="79"/>
      <c r="I469" s="79"/>
      <c r="J469" s="14"/>
      <c r="K469" s="38"/>
      <c r="L469" s="38"/>
      <c r="M469" s="17"/>
    </row>
    <row r="470" spans="2:13" ht="14.45" customHeight="1" x14ac:dyDescent="0.25">
      <c r="B470" s="17"/>
      <c r="C470" s="14"/>
      <c r="D470" s="14"/>
      <c r="E470" s="18"/>
      <c r="F470" s="61"/>
      <c r="G470" s="73"/>
      <c r="H470" s="79"/>
      <c r="I470" s="79"/>
      <c r="J470" s="14"/>
      <c r="K470" s="38"/>
      <c r="L470" s="38"/>
      <c r="M470" s="17"/>
    </row>
    <row r="471" spans="2:13" ht="14.45" customHeight="1" x14ac:dyDescent="0.25">
      <c r="B471" s="17"/>
      <c r="C471" s="14"/>
      <c r="D471" s="14"/>
      <c r="E471" s="18"/>
      <c r="F471" s="61"/>
      <c r="G471" s="73"/>
      <c r="H471" s="79"/>
      <c r="I471" s="79"/>
      <c r="J471" s="14"/>
      <c r="K471" s="38"/>
      <c r="L471" s="38"/>
      <c r="M471" s="17"/>
    </row>
    <row r="472" spans="2:13" ht="14.45" customHeight="1" x14ac:dyDescent="0.25">
      <c r="B472" s="17"/>
      <c r="C472" s="14"/>
      <c r="D472" s="14"/>
      <c r="E472" s="18"/>
      <c r="F472" s="61"/>
      <c r="G472" s="73"/>
      <c r="H472" s="79"/>
      <c r="I472" s="79"/>
      <c r="J472" s="14"/>
      <c r="K472" s="38"/>
      <c r="L472" s="38"/>
      <c r="M472" s="17"/>
    </row>
    <row r="473" spans="2:13" ht="14.45" customHeight="1" x14ac:dyDescent="0.25">
      <c r="B473" s="17"/>
      <c r="C473" s="14"/>
      <c r="D473" s="14"/>
      <c r="E473" s="18"/>
      <c r="F473" s="61"/>
      <c r="G473" s="73"/>
      <c r="H473" s="79"/>
      <c r="I473" s="79"/>
      <c r="J473" s="14"/>
      <c r="K473" s="38"/>
      <c r="L473" s="38"/>
      <c r="M473" s="17"/>
    </row>
    <row r="474" spans="2:13" ht="14.45" customHeight="1" x14ac:dyDescent="0.25">
      <c r="B474" s="17"/>
      <c r="C474" s="14"/>
      <c r="D474" s="14"/>
      <c r="E474" s="18"/>
      <c r="F474" s="61"/>
      <c r="G474" s="73"/>
      <c r="H474" s="79"/>
      <c r="I474" s="79"/>
      <c r="J474" s="14"/>
      <c r="K474" s="38"/>
      <c r="L474" s="38"/>
      <c r="M474" s="17"/>
    </row>
    <row r="475" spans="2:13" ht="14.45" customHeight="1" x14ac:dyDescent="0.25">
      <c r="B475" s="17"/>
      <c r="C475" s="14"/>
      <c r="D475" s="14"/>
      <c r="E475" s="18"/>
      <c r="F475" s="61"/>
      <c r="G475" s="73"/>
      <c r="H475" s="79"/>
      <c r="I475" s="79"/>
      <c r="J475" s="14"/>
      <c r="K475" s="38"/>
      <c r="L475" s="38"/>
      <c r="M475" s="17"/>
    </row>
    <row r="476" spans="2:13" ht="14.45" customHeight="1" x14ac:dyDescent="0.25">
      <c r="B476" s="17"/>
      <c r="C476" s="14"/>
      <c r="D476" s="14"/>
      <c r="E476" s="18"/>
      <c r="F476" s="61"/>
      <c r="G476" s="73"/>
      <c r="H476" s="79"/>
      <c r="I476" s="79"/>
      <c r="J476" s="14"/>
      <c r="K476" s="38"/>
      <c r="L476" s="38"/>
      <c r="M476" s="17"/>
    </row>
    <row r="477" spans="2:13" ht="14.45" customHeight="1" x14ac:dyDescent="0.25">
      <c r="B477" s="17"/>
      <c r="C477" s="14"/>
      <c r="D477" s="14"/>
      <c r="E477" s="18"/>
      <c r="F477" s="61"/>
      <c r="G477" s="73"/>
      <c r="H477" s="79"/>
      <c r="I477" s="79"/>
      <c r="J477" s="14"/>
      <c r="K477" s="38"/>
      <c r="L477" s="38"/>
      <c r="M477" s="17"/>
    </row>
    <row r="478" spans="2:13" ht="14.45" customHeight="1" x14ac:dyDescent="0.25">
      <c r="B478" s="17"/>
      <c r="C478" s="14"/>
      <c r="D478" s="14"/>
      <c r="E478" s="18"/>
      <c r="F478" s="61"/>
      <c r="G478" s="73"/>
      <c r="H478" s="79"/>
      <c r="I478" s="79"/>
      <c r="J478" s="14"/>
      <c r="K478" s="38"/>
      <c r="L478" s="38"/>
      <c r="M478" s="17"/>
    </row>
    <row r="479" spans="2:13" ht="14.45" customHeight="1" x14ac:dyDescent="0.25">
      <c r="B479" s="17"/>
      <c r="C479" s="14"/>
      <c r="D479" s="14"/>
      <c r="E479" s="18"/>
      <c r="F479" s="61"/>
      <c r="G479" s="73"/>
      <c r="H479" s="79"/>
      <c r="I479" s="79"/>
      <c r="J479" s="14"/>
      <c r="K479" s="38"/>
      <c r="L479" s="38"/>
      <c r="M479" s="17"/>
    </row>
    <row r="480" spans="2:13" ht="14.45" customHeight="1" x14ac:dyDescent="0.25">
      <c r="B480" s="17"/>
      <c r="C480" s="14"/>
      <c r="D480" s="14"/>
      <c r="E480" s="18"/>
      <c r="F480" s="61"/>
      <c r="G480" s="73"/>
      <c r="H480" s="79"/>
      <c r="I480" s="79"/>
      <c r="J480" s="14"/>
      <c r="K480" s="38"/>
      <c r="L480" s="38"/>
      <c r="M480" s="17"/>
    </row>
    <row r="481" spans="2:13" ht="14.45" customHeight="1" x14ac:dyDescent="0.25">
      <c r="B481" s="17"/>
      <c r="C481" s="14"/>
      <c r="D481" s="14"/>
      <c r="E481" s="18"/>
      <c r="F481" s="61"/>
      <c r="G481" s="73"/>
      <c r="H481" s="79"/>
      <c r="I481" s="79"/>
      <c r="J481" s="14"/>
      <c r="K481" s="38"/>
      <c r="L481" s="38"/>
      <c r="M481" s="17"/>
    </row>
    <row r="482" spans="2:13" ht="14.45" customHeight="1" x14ac:dyDescent="0.25">
      <c r="B482" s="17"/>
      <c r="C482" s="14"/>
      <c r="D482" s="14"/>
      <c r="E482" s="18"/>
      <c r="F482" s="61"/>
      <c r="G482" s="73"/>
      <c r="H482" s="79"/>
      <c r="I482" s="79"/>
      <c r="J482" s="14"/>
      <c r="K482" s="38"/>
      <c r="L482" s="38"/>
      <c r="M482" s="17"/>
    </row>
    <row r="483" spans="2:13" ht="14.45" customHeight="1" x14ac:dyDescent="0.25">
      <c r="B483" s="17"/>
      <c r="C483" s="14"/>
      <c r="D483" s="14"/>
      <c r="E483" s="18"/>
      <c r="F483" s="61"/>
      <c r="G483" s="73"/>
      <c r="H483" s="79"/>
      <c r="I483" s="79"/>
      <c r="J483" s="14"/>
      <c r="K483" s="38"/>
      <c r="L483" s="38"/>
      <c r="M483" s="17"/>
    </row>
    <row r="484" spans="2:13" ht="14.45" customHeight="1" x14ac:dyDescent="0.25">
      <c r="B484" s="17"/>
      <c r="C484" s="14"/>
      <c r="D484" s="14"/>
      <c r="E484" s="18"/>
      <c r="F484" s="61"/>
      <c r="G484" s="73"/>
      <c r="H484" s="79"/>
      <c r="I484" s="79"/>
      <c r="J484" s="14"/>
      <c r="K484" s="38"/>
      <c r="L484" s="38"/>
      <c r="M484" s="17"/>
    </row>
    <row r="485" spans="2:13" ht="14.45" customHeight="1" x14ac:dyDescent="0.25">
      <c r="B485" s="17"/>
      <c r="C485" s="14"/>
      <c r="D485" s="14"/>
      <c r="E485" s="18"/>
      <c r="F485" s="61"/>
      <c r="G485" s="73"/>
      <c r="H485" s="79"/>
      <c r="I485" s="79"/>
      <c r="J485" s="14"/>
      <c r="K485" s="38"/>
      <c r="L485" s="38"/>
      <c r="M485" s="17"/>
    </row>
    <row r="486" spans="2:13" ht="14.45" customHeight="1" x14ac:dyDescent="0.25">
      <c r="B486" s="17"/>
      <c r="C486" s="14"/>
      <c r="D486" s="14"/>
      <c r="E486" s="18"/>
      <c r="F486" s="61"/>
      <c r="G486" s="73"/>
      <c r="H486" s="79"/>
      <c r="I486" s="79"/>
      <c r="J486" s="14"/>
      <c r="K486" s="38"/>
      <c r="L486" s="38"/>
      <c r="M486" s="17"/>
    </row>
    <row r="487" spans="2:13" ht="14.45" customHeight="1" x14ac:dyDescent="0.25">
      <c r="B487" s="17"/>
      <c r="C487" s="14"/>
      <c r="D487" s="14"/>
      <c r="E487" s="18"/>
      <c r="F487" s="61"/>
      <c r="G487" s="73"/>
      <c r="H487" s="79"/>
      <c r="I487" s="79"/>
      <c r="J487" s="14"/>
      <c r="K487" s="38"/>
      <c r="L487" s="38"/>
      <c r="M487" s="17"/>
    </row>
    <row r="488" spans="2:13" ht="14.45" customHeight="1" x14ac:dyDescent="0.25">
      <c r="B488" s="17"/>
      <c r="C488" s="14"/>
      <c r="D488" s="14"/>
      <c r="E488" s="18"/>
      <c r="F488" s="61"/>
      <c r="G488" s="73"/>
      <c r="H488" s="79"/>
      <c r="I488" s="79"/>
      <c r="J488" s="14"/>
      <c r="K488" s="38"/>
      <c r="L488" s="38"/>
      <c r="M488" s="17"/>
    </row>
    <row r="489" spans="2:13" ht="14.45" customHeight="1" x14ac:dyDescent="0.25">
      <c r="B489" s="17"/>
      <c r="C489" s="14"/>
      <c r="D489" s="14"/>
      <c r="E489" s="18"/>
      <c r="F489" s="61"/>
      <c r="G489" s="73"/>
      <c r="H489" s="79"/>
      <c r="I489" s="79"/>
      <c r="J489" s="14"/>
      <c r="K489" s="38"/>
      <c r="L489" s="38"/>
      <c r="M489" s="17"/>
    </row>
    <row r="490" spans="2:13" ht="14.45" customHeight="1" x14ac:dyDescent="0.25">
      <c r="B490" s="17"/>
      <c r="C490" s="14"/>
      <c r="D490" s="14"/>
      <c r="E490" s="18"/>
      <c r="F490" s="61"/>
      <c r="G490" s="73"/>
      <c r="H490" s="79"/>
      <c r="I490" s="79"/>
      <c r="J490" s="14"/>
      <c r="K490" s="38"/>
      <c r="L490" s="38"/>
      <c r="M490" s="17"/>
    </row>
    <row r="491" spans="2:13" ht="14.45" customHeight="1" x14ac:dyDescent="0.25">
      <c r="B491" s="17"/>
      <c r="C491" s="14"/>
      <c r="D491" s="14"/>
      <c r="E491" s="18"/>
      <c r="F491" s="61"/>
      <c r="G491" s="73"/>
      <c r="H491" s="79"/>
      <c r="I491" s="79"/>
      <c r="J491" s="14"/>
      <c r="K491" s="38"/>
      <c r="L491" s="38"/>
      <c r="M491" s="17"/>
    </row>
    <row r="492" spans="2:13" ht="14.45" customHeight="1" x14ac:dyDescent="0.25">
      <c r="B492" s="17"/>
      <c r="C492" s="14"/>
      <c r="D492" s="14"/>
      <c r="E492" s="18"/>
      <c r="F492" s="61"/>
      <c r="G492" s="73"/>
      <c r="H492" s="79"/>
      <c r="I492" s="79"/>
      <c r="J492" s="14"/>
      <c r="K492" s="38"/>
      <c r="L492" s="38"/>
      <c r="M492" s="17"/>
    </row>
    <row r="493" spans="2:13" ht="14.45" customHeight="1" x14ac:dyDescent="0.25">
      <c r="B493" s="17"/>
      <c r="C493" s="14"/>
      <c r="D493" s="14"/>
      <c r="E493" s="18"/>
      <c r="F493" s="61"/>
      <c r="G493" s="73"/>
      <c r="H493" s="79"/>
      <c r="I493" s="79"/>
      <c r="J493" s="14"/>
      <c r="K493" s="38"/>
      <c r="L493" s="38"/>
      <c r="M493" s="17"/>
    </row>
    <row r="494" spans="2:13" ht="14.45" customHeight="1" x14ac:dyDescent="0.25">
      <c r="B494" s="17"/>
      <c r="C494" s="14"/>
      <c r="D494" s="14"/>
      <c r="E494" s="18"/>
      <c r="F494" s="61"/>
      <c r="G494" s="73"/>
      <c r="H494" s="79"/>
      <c r="I494" s="79"/>
      <c r="J494" s="14"/>
      <c r="K494" s="38"/>
      <c r="L494" s="38"/>
      <c r="M494" s="17"/>
    </row>
    <row r="495" spans="2:13" ht="14.45" customHeight="1" x14ac:dyDescent="0.25">
      <c r="B495" s="17"/>
      <c r="C495" s="14"/>
      <c r="D495" s="14"/>
      <c r="E495" s="18"/>
      <c r="F495" s="61"/>
      <c r="G495" s="73"/>
      <c r="H495" s="79"/>
      <c r="I495" s="79"/>
      <c r="J495" s="14"/>
      <c r="K495" s="38"/>
      <c r="L495" s="38"/>
      <c r="M495" s="17"/>
    </row>
    <row r="496" spans="2:13" ht="14.45" customHeight="1" x14ac:dyDescent="0.25">
      <c r="B496" s="17"/>
      <c r="C496" s="14"/>
      <c r="D496" s="14"/>
      <c r="E496" s="18"/>
      <c r="F496" s="61"/>
      <c r="G496" s="73"/>
      <c r="H496" s="79"/>
      <c r="I496" s="79"/>
      <c r="J496" s="14"/>
      <c r="K496" s="38"/>
      <c r="L496" s="38"/>
      <c r="M496" s="17"/>
    </row>
    <row r="497" spans="2:13" ht="14.45" customHeight="1" x14ac:dyDescent="0.25">
      <c r="B497" s="17"/>
      <c r="C497" s="14"/>
      <c r="D497" s="14"/>
      <c r="E497" s="18"/>
      <c r="F497" s="61"/>
      <c r="G497" s="73"/>
      <c r="H497" s="79"/>
      <c r="I497" s="79"/>
      <c r="J497" s="14"/>
      <c r="K497" s="38"/>
      <c r="L497" s="38"/>
      <c r="M497" s="17"/>
    </row>
    <row r="498" spans="2:13" ht="14.45" customHeight="1" x14ac:dyDescent="0.25">
      <c r="B498" s="17"/>
      <c r="C498" s="14"/>
      <c r="D498" s="14"/>
      <c r="E498" s="18"/>
      <c r="F498" s="61"/>
      <c r="G498" s="73"/>
      <c r="H498" s="79"/>
      <c r="I498" s="79"/>
      <c r="J498" s="14"/>
      <c r="K498" s="38"/>
      <c r="L498" s="38"/>
      <c r="M498" s="17"/>
    </row>
    <row r="499" spans="2:13" ht="14.45" customHeight="1" x14ac:dyDescent="0.25">
      <c r="B499" s="17"/>
      <c r="C499" s="14"/>
      <c r="D499" s="14"/>
      <c r="E499" s="18"/>
      <c r="F499" s="61"/>
      <c r="G499" s="73"/>
      <c r="H499" s="79"/>
      <c r="I499" s="79"/>
      <c r="J499" s="14"/>
      <c r="K499" s="38"/>
      <c r="L499" s="38"/>
      <c r="M499" s="17"/>
    </row>
    <row r="500" spans="2:13" ht="14.45" customHeight="1" x14ac:dyDescent="0.25">
      <c r="B500" s="17"/>
      <c r="C500" s="14"/>
      <c r="D500" s="14"/>
      <c r="E500" s="18"/>
      <c r="F500" s="61"/>
      <c r="G500" s="73"/>
      <c r="H500" s="79"/>
      <c r="I500" s="79"/>
      <c r="J500" s="14"/>
      <c r="K500" s="38"/>
      <c r="L500" s="38"/>
      <c r="M500" s="17"/>
    </row>
    <row r="501" spans="2:13" ht="14.45" customHeight="1" x14ac:dyDescent="0.25">
      <c r="B501" s="17"/>
      <c r="C501" s="14"/>
      <c r="D501" s="14"/>
      <c r="E501" s="18"/>
      <c r="F501" s="61"/>
      <c r="G501" s="73"/>
      <c r="H501" s="79"/>
      <c r="I501" s="79"/>
      <c r="J501" s="14"/>
      <c r="K501" s="38"/>
      <c r="L501" s="38"/>
      <c r="M501" s="17"/>
    </row>
    <row r="502" spans="2:13" ht="14.45" customHeight="1" x14ac:dyDescent="0.25">
      <c r="B502" s="17"/>
      <c r="C502" s="14"/>
      <c r="D502" s="14"/>
      <c r="E502" s="18"/>
      <c r="F502" s="61"/>
      <c r="G502" s="73"/>
      <c r="H502" s="79"/>
      <c r="I502" s="79"/>
      <c r="J502" s="14"/>
      <c r="K502" s="38"/>
      <c r="L502" s="38"/>
      <c r="M502" s="17"/>
    </row>
    <row r="503" spans="2:13" ht="14.45" customHeight="1" x14ac:dyDescent="0.25">
      <c r="B503" s="17"/>
      <c r="C503" s="14"/>
      <c r="D503" s="14"/>
      <c r="E503" s="18"/>
      <c r="F503" s="61"/>
      <c r="G503" s="73"/>
      <c r="H503" s="79"/>
      <c r="I503" s="79"/>
      <c r="J503" s="14"/>
      <c r="K503" s="38"/>
      <c r="L503" s="38"/>
      <c r="M503" s="17"/>
    </row>
    <row r="504" spans="2:13" ht="14.45" customHeight="1" x14ac:dyDescent="0.25">
      <c r="B504" s="17"/>
      <c r="C504" s="14"/>
      <c r="D504" s="14"/>
      <c r="E504" s="18"/>
      <c r="F504" s="61"/>
      <c r="G504" s="73"/>
      <c r="H504" s="79"/>
      <c r="I504" s="79"/>
      <c r="J504" s="14"/>
      <c r="K504" s="38"/>
      <c r="L504" s="38"/>
      <c r="M504" s="17"/>
    </row>
    <row r="505" spans="2:13" ht="14.45" customHeight="1" x14ac:dyDescent="0.25">
      <c r="B505" s="17"/>
      <c r="C505" s="14"/>
      <c r="D505" s="14"/>
      <c r="E505" s="18"/>
      <c r="F505" s="61"/>
      <c r="G505" s="73"/>
      <c r="H505" s="79"/>
      <c r="I505" s="79"/>
      <c r="J505" s="14"/>
      <c r="K505" s="38"/>
      <c r="L505" s="38"/>
      <c r="M505" s="17"/>
    </row>
    <row r="506" spans="2:13" ht="14.45" customHeight="1" x14ac:dyDescent="0.25">
      <c r="B506" s="17"/>
      <c r="C506" s="14"/>
      <c r="D506" s="14"/>
      <c r="E506" s="18"/>
      <c r="F506" s="61"/>
      <c r="G506" s="73"/>
      <c r="H506" s="79"/>
      <c r="I506" s="79"/>
      <c r="J506" s="14"/>
      <c r="K506" s="38"/>
      <c r="L506" s="38"/>
      <c r="M506" s="17"/>
    </row>
    <row r="507" spans="2:13" ht="14.45" customHeight="1" x14ac:dyDescent="0.25">
      <c r="B507" s="17"/>
      <c r="C507" s="14"/>
      <c r="D507" s="14"/>
      <c r="E507" s="18"/>
      <c r="F507" s="61"/>
      <c r="G507" s="73"/>
      <c r="H507" s="79"/>
      <c r="I507" s="79"/>
      <c r="J507" s="14"/>
      <c r="K507" s="38"/>
      <c r="L507" s="38"/>
      <c r="M507" s="17"/>
    </row>
    <row r="508" spans="2:13" ht="14.45" customHeight="1" x14ac:dyDescent="0.25">
      <c r="B508" s="17"/>
      <c r="C508" s="14"/>
      <c r="D508" s="14"/>
      <c r="E508" s="18"/>
      <c r="F508" s="61"/>
      <c r="G508" s="73"/>
      <c r="H508" s="79"/>
      <c r="I508" s="79"/>
      <c r="J508" s="14"/>
      <c r="K508" s="38"/>
      <c r="L508" s="38"/>
      <c r="M508" s="17"/>
    </row>
    <row r="509" spans="2:13" ht="14.45" customHeight="1" x14ac:dyDescent="0.25">
      <c r="B509" s="17"/>
      <c r="C509" s="14"/>
      <c r="D509" s="14"/>
      <c r="E509" s="18"/>
      <c r="F509" s="61"/>
      <c r="G509" s="73"/>
      <c r="H509" s="79"/>
      <c r="I509" s="79"/>
      <c r="J509" s="14"/>
      <c r="K509" s="38"/>
      <c r="L509" s="38"/>
      <c r="M509" s="17"/>
    </row>
    <row r="510" spans="2:13" ht="14.45" customHeight="1" x14ac:dyDescent="0.25">
      <c r="B510" s="17"/>
      <c r="C510" s="14"/>
      <c r="D510" s="14"/>
      <c r="E510" s="18"/>
      <c r="F510" s="61"/>
      <c r="G510" s="73"/>
      <c r="H510" s="79"/>
      <c r="I510" s="79"/>
      <c r="J510" s="14"/>
      <c r="K510" s="38"/>
      <c r="L510" s="38"/>
      <c r="M510" s="17"/>
    </row>
    <row r="511" spans="2:13" ht="14.45" customHeight="1" x14ac:dyDescent="0.25">
      <c r="B511" s="17"/>
      <c r="C511" s="14"/>
      <c r="D511" s="14"/>
      <c r="E511" s="18"/>
      <c r="F511" s="61"/>
      <c r="G511" s="73"/>
      <c r="H511" s="79"/>
      <c r="I511" s="79"/>
      <c r="J511" s="14"/>
      <c r="K511" s="38"/>
      <c r="L511" s="38"/>
      <c r="M511" s="17"/>
    </row>
    <row r="512" spans="2:13" ht="14.45" customHeight="1" x14ac:dyDescent="0.25">
      <c r="B512" s="17"/>
      <c r="C512" s="14"/>
      <c r="D512" s="14"/>
      <c r="E512" s="18"/>
      <c r="F512" s="61"/>
      <c r="G512" s="73"/>
      <c r="H512" s="79"/>
      <c r="I512" s="79"/>
      <c r="J512" s="14"/>
      <c r="K512" s="38"/>
      <c r="L512" s="38"/>
      <c r="M512" s="17"/>
    </row>
    <row r="513" spans="2:13" ht="14.45" customHeight="1" x14ac:dyDescent="0.25">
      <c r="B513" s="17"/>
      <c r="C513" s="14"/>
      <c r="D513" s="14"/>
      <c r="E513" s="18"/>
      <c r="F513" s="61"/>
      <c r="G513" s="73"/>
      <c r="H513" s="79"/>
      <c r="I513" s="79"/>
      <c r="J513" s="14"/>
      <c r="K513" s="38"/>
      <c r="L513" s="38"/>
      <c r="M513" s="17"/>
    </row>
    <row r="514" spans="2:13" ht="14.45" customHeight="1" x14ac:dyDescent="0.25">
      <c r="B514" s="17"/>
      <c r="C514" s="14"/>
      <c r="D514" s="14"/>
      <c r="E514" s="18"/>
      <c r="F514" s="61"/>
      <c r="G514" s="73"/>
      <c r="H514" s="79"/>
      <c r="I514" s="79"/>
      <c r="J514" s="14"/>
      <c r="K514" s="38"/>
      <c r="L514" s="38"/>
      <c r="M514" s="17"/>
    </row>
    <row r="515" spans="2:13" ht="14.45" customHeight="1" x14ac:dyDescent="0.25">
      <c r="B515" s="17"/>
      <c r="C515" s="14"/>
      <c r="D515" s="14"/>
      <c r="E515" s="18"/>
      <c r="F515" s="61"/>
      <c r="G515" s="73"/>
      <c r="H515" s="79"/>
      <c r="I515" s="79"/>
      <c r="J515" s="14"/>
      <c r="K515" s="38"/>
      <c r="L515" s="38"/>
      <c r="M515" s="17"/>
    </row>
    <row r="516" spans="2:13" ht="14.45" customHeight="1" x14ac:dyDescent="0.25">
      <c r="B516" s="17"/>
      <c r="C516" s="14"/>
      <c r="D516" s="14"/>
      <c r="E516" s="18"/>
      <c r="F516" s="61"/>
      <c r="G516" s="73"/>
      <c r="H516" s="79"/>
      <c r="I516" s="79"/>
      <c r="J516" s="14"/>
      <c r="K516" s="38"/>
      <c r="L516" s="38"/>
      <c r="M516" s="17"/>
    </row>
    <row r="517" spans="2:13" ht="14.45" customHeight="1" x14ac:dyDescent="0.25">
      <c r="B517" s="17"/>
      <c r="C517" s="14"/>
      <c r="D517" s="14"/>
      <c r="E517" s="18"/>
      <c r="F517" s="61"/>
      <c r="G517" s="73"/>
      <c r="H517" s="79"/>
      <c r="I517" s="79"/>
      <c r="J517" s="14"/>
      <c r="K517" s="38"/>
      <c r="L517" s="38"/>
      <c r="M517" s="17"/>
    </row>
    <row r="518" spans="2:13" ht="14.45" customHeight="1" x14ac:dyDescent="0.25">
      <c r="B518" s="17"/>
      <c r="C518" s="14"/>
      <c r="D518" s="14"/>
      <c r="E518" s="18"/>
      <c r="F518" s="61"/>
      <c r="G518" s="73"/>
      <c r="H518" s="79"/>
      <c r="I518" s="79"/>
      <c r="J518" s="14"/>
      <c r="K518" s="38"/>
      <c r="L518" s="38"/>
      <c r="M518" s="17"/>
    </row>
    <row r="519" spans="2:13" ht="14.45" customHeight="1" x14ac:dyDescent="0.25">
      <c r="B519" s="17"/>
      <c r="C519" s="14"/>
      <c r="D519" s="14"/>
      <c r="E519" s="18"/>
      <c r="F519" s="61"/>
      <c r="G519" s="73"/>
      <c r="H519" s="79"/>
      <c r="I519" s="79"/>
      <c r="J519" s="14"/>
      <c r="K519" s="38"/>
      <c r="L519" s="38"/>
      <c r="M519" s="17"/>
    </row>
    <row r="520" spans="2:13" ht="14.45" customHeight="1" x14ac:dyDescent="0.25">
      <c r="B520" s="17"/>
      <c r="C520" s="14"/>
      <c r="D520" s="14"/>
      <c r="E520" s="18"/>
      <c r="F520" s="61"/>
      <c r="G520" s="73"/>
      <c r="H520" s="79"/>
      <c r="I520" s="79"/>
      <c r="J520" s="14"/>
      <c r="K520" s="38"/>
      <c r="L520" s="38"/>
      <c r="M520" s="17"/>
    </row>
    <row r="521" spans="2:13" ht="14.45" customHeight="1" x14ac:dyDescent="0.25">
      <c r="B521" s="17"/>
      <c r="C521" s="14"/>
      <c r="D521" s="14"/>
      <c r="E521" s="18"/>
      <c r="F521" s="61"/>
      <c r="G521" s="73"/>
      <c r="H521" s="79"/>
      <c r="I521" s="79"/>
      <c r="J521" s="14"/>
      <c r="K521" s="38"/>
      <c r="L521" s="38"/>
      <c r="M521" s="17"/>
    </row>
    <row r="522" spans="2:13" ht="14.45" customHeight="1" x14ac:dyDescent="0.25">
      <c r="B522" s="17"/>
      <c r="C522" s="14"/>
      <c r="D522" s="14"/>
      <c r="E522" s="18"/>
      <c r="F522" s="61"/>
      <c r="G522" s="73"/>
      <c r="H522" s="79"/>
      <c r="I522" s="79"/>
      <c r="J522" s="14"/>
      <c r="K522" s="38"/>
      <c r="L522" s="38"/>
      <c r="M522" s="17"/>
    </row>
    <row r="523" spans="2:13" ht="14.45" customHeight="1" x14ac:dyDescent="0.25">
      <c r="B523" s="17"/>
      <c r="C523" s="14"/>
      <c r="D523" s="14"/>
      <c r="E523" s="18"/>
      <c r="F523" s="61"/>
      <c r="G523" s="73"/>
      <c r="H523" s="79"/>
      <c r="I523" s="79"/>
      <c r="J523" s="14"/>
      <c r="K523" s="38"/>
      <c r="L523" s="38"/>
      <c r="M523" s="17"/>
    </row>
    <row r="524" spans="2:13" ht="14.45" customHeight="1" x14ac:dyDescent="0.25">
      <c r="B524" s="17"/>
      <c r="C524" s="14"/>
      <c r="D524" s="14"/>
      <c r="E524" s="18"/>
      <c r="F524" s="61"/>
      <c r="G524" s="73"/>
      <c r="H524" s="79"/>
      <c r="I524" s="79"/>
      <c r="J524" s="14"/>
      <c r="K524" s="38"/>
      <c r="L524" s="38"/>
      <c r="M524" s="17"/>
    </row>
    <row r="525" spans="2:13" ht="14.45" customHeight="1" x14ac:dyDescent="0.25">
      <c r="B525" s="17"/>
      <c r="C525" s="14"/>
      <c r="D525" s="14"/>
      <c r="E525" s="18"/>
      <c r="F525" s="61"/>
      <c r="G525" s="73"/>
      <c r="H525" s="79"/>
      <c r="I525" s="79"/>
      <c r="J525" s="14"/>
      <c r="K525" s="38"/>
      <c r="L525" s="38"/>
      <c r="M525" s="17"/>
    </row>
    <row r="526" spans="2:13" ht="14.45" customHeight="1" x14ac:dyDescent="0.25">
      <c r="B526" s="17"/>
      <c r="C526" s="14"/>
      <c r="D526" s="14"/>
      <c r="E526" s="18"/>
      <c r="F526" s="61"/>
      <c r="G526" s="73"/>
      <c r="H526" s="79"/>
      <c r="I526" s="79"/>
      <c r="J526" s="14"/>
      <c r="K526" s="38"/>
      <c r="L526" s="38"/>
      <c r="M526" s="17"/>
    </row>
    <row r="527" spans="2:13" ht="14.45" customHeight="1" x14ac:dyDescent="0.25">
      <c r="B527" s="17"/>
      <c r="C527" s="14"/>
      <c r="D527" s="14"/>
      <c r="E527" s="18"/>
      <c r="F527" s="61"/>
      <c r="G527" s="73"/>
      <c r="H527" s="79"/>
      <c r="I527" s="79"/>
      <c r="J527" s="14"/>
      <c r="K527" s="38"/>
      <c r="L527" s="38"/>
      <c r="M527" s="17"/>
    </row>
    <row r="528" spans="2:13" ht="14.45" customHeight="1" x14ac:dyDescent="0.25">
      <c r="B528" s="17"/>
      <c r="C528" s="14"/>
      <c r="D528" s="14"/>
      <c r="E528" s="18"/>
      <c r="F528" s="61"/>
      <c r="G528" s="73"/>
      <c r="H528" s="79"/>
      <c r="I528" s="79"/>
      <c r="J528" s="14"/>
      <c r="K528" s="38"/>
      <c r="L528" s="38"/>
      <c r="M528" s="17"/>
    </row>
    <row r="529" spans="2:13" ht="14.45" customHeight="1" x14ac:dyDescent="0.25">
      <c r="B529" s="17"/>
      <c r="C529" s="14"/>
      <c r="D529" s="14"/>
      <c r="E529" s="18"/>
      <c r="F529" s="61"/>
      <c r="G529" s="73"/>
      <c r="H529" s="79"/>
      <c r="I529" s="79"/>
      <c r="J529" s="14"/>
      <c r="K529" s="38"/>
      <c r="L529" s="38"/>
      <c r="M529" s="17"/>
    </row>
    <row r="530" spans="2:13" ht="14.45" customHeight="1" x14ac:dyDescent="0.25">
      <c r="B530" s="17"/>
      <c r="C530" s="14"/>
      <c r="D530" s="14"/>
      <c r="E530" s="18"/>
      <c r="F530" s="61"/>
      <c r="G530" s="73"/>
      <c r="H530" s="79"/>
      <c r="I530" s="79"/>
      <c r="J530" s="14"/>
      <c r="K530" s="38"/>
      <c r="L530" s="38"/>
      <c r="M530" s="17"/>
    </row>
    <row r="531" spans="2:13" ht="14.45" customHeight="1" x14ac:dyDescent="0.25">
      <c r="B531" s="17"/>
      <c r="C531" s="14"/>
      <c r="D531" s="14"/>
      <c r="E531" s="18"/>
      <c r="F531" s="61"/>
      <c r="G531" s="73"/>
      <c r="H531" s="79"/>
      <c r="I531" s="79"/>
      <c r="J531" s="14"/>
      <c r="K531" s="38"/>
      <c r="L531" s="38"/>
      <c r="M531" s="17"/>
    </row>
    <row r="532" spans="2:13" ht="14.45" customHeight="1" x14ac:dyDescent="0.25">
      <c r="B532" s="17"/>
      <c r="C532" s="14"/>
      <c r="D532" s="14"/>
      <c r="E532" s="18"/>
      <c r="F532" s="61"/>
      <c r="G532" s="73"/>
      <c r="H532" s="79"/>
      <c r="I532" s="79"/>
      <c r="J532" s="14"/>
      <c r="K532" s="38"/>
      <c r="L532" s="38"/>
      <c r="M532" s="17"/>
    </row>
    <row r="533" spans="2:13" ht="14.45" customHeight="1" x14ac:dyDescent="0.25">
      <c r="B533" s="17"/>
      <c r="C533" s="14"/>
      <c r="D533" s="14"/>
      <c r="E533" s="18"/>
      <c r="F533" s="61"/>
      <c r="G533" s="73"/>
      <c r="H533" s="79"/>
      <c r="I533" s="79"/>
      <c r="J533" s="14"/>
      <c r="K533" s="38"/>
      <c r="L533" s="38"/>
      <c r="M533" s="17"/>
    </row>
    <row r="534" spans="2:13" ht="14.45" customHeight="1" x14ac:dyDescent="0.25">
      <c r="B534" s="17"/>
      <c r="C534" s="14"/>
      <c r="D534" s="14"/>
      <c r="E534" s="18"/>
      <c r="F534" s="61"/>
      <c r="G534" s="73"/>
      <c r="H534" s="79"/>
      <c r="I534" s="79"/>
      <c r="J534" s="14"/>
      <c r="K534" s="38"/>
      <c r="L534" s="38"/>
      <c r="M534" s="17"/>
    </row>
    <row r="535" spans="2:13" ht="14.45" customHeight="1" x14ac:dyDescent="0.25">
      <c r="B535" s="17"/>
      <c r="C535" s="14"/>
      <c r="D535" s="14"/>
      <c r="E535" s="18"/>
      <c r="F535" s="61"/>
      <c r="G535" s="73"/>
      <c r="H535" s="79"/>
      <c r="I535" s="79"/>
      <c r="J535" s="14"/>
      <c r="K535" s="38"/>
      <c r="L535" s="38"/>
      <c r="M535" s="17"/>
    </row>
    <row r="536" spans="2:13" ht="14.45" customHeight="1" x14ac:dyDescent="0.25">
      <c r="B536" s="17"/>
      <c r="C536" s="14"/>
      <c r="D536" s="14"/>
      <c r="E536" s="18"/>
      <c r="F536" s="61"/>
      <c r="G536" s="73"/>
      <c r="H536" s="79"/>
      <c r="I536" s="79"/>
      <c r="J536" s="14"/>
      <c r="K536" s="38"/>
      <c r="L536" s="38"/>
      <c r="M536" s="17"/>
    </row>
    <row r="537" spans="2:13" ht="14.45" customHeight="1" x14ac:dyDescent="0.25">
      <c r="B537" s="17"/>
      <c r="C537" s="14"/>
      <c r="D537" s="14"/>
      <c r="E537" s="18"/>
      <c r="F537" s="61"/>
      <c r="G537" s="73"/>
      <c r="H537" s="79"/>
      <c r="I537" s="79"/>
      <c r="J537" s="14"/>
      <c r="K537" s="38"/>
      <c r="L537" s="38"/>
      <c r="M537" s="17"/>
    </row>
    <row r="538" spans="2:13" ht="14.45" customHeight="1" x14ac:dyDescent="0.25">
      <c r="B538" s="17"/>
      <c r="C538" s="14"/>
      <c r="D538" s="14"/>
      <c r="E538" s="18"/>
      <c r="F538" s="61"/>
      <c r="G538" s="73"/>
      <c r="H538" s="79"/>
      <c r="I538" s="79"/>
      <c r="J538" s="14"/>
      <c r="K538" s="38"/>
      <c r="L538" s="38"/>
      <c r="M538" s="17"/>
    </row>
    <row r="539" spans="2:13" ht="14.45" customHeight="1" x14ac:dyDescent="0.25">
      <c r="B539" s="17"/>
      <c r="C539" s="14"/>
      <c r="D539" s="14"/>
      <c r="E539" s="18"/>
      <c r="F539" s="61"/>
      <c r="G539" s="73"/>
      <c r="H539" s="79"/>
      <c r="I539" s="79"/>
      <c r="J539" s="14"/>
      <c r="K539" s="38"/>
      <c r="L539" s="38"/>
      <c r="M539" s="17"/>
    </row>
    <row r="540" spans="2:13" ht="14.45" customHeight="1" x14ac:dyDescent="0.25">
      <c r="B540" s="17"/>
      <c r="C540" s="14"/>
      <c r="D540" s="14"/>
      <c r="E540" s="18"/>
      <c r="F540" s="61"/>
      <c r="G540" s="73"/>
      <c r="H540" s="79"/>
      <c r="I540" s="79"/>
      <c r="J540" s="14"/>
      <c r="K540" s="38"/>
      <c r="L540" s="38"/>
      <c r="M540" s="17"/>
    </row>
    <row r="541" spans="2:13" ht="14.45" customHeight="1" x14ac:dyDescent="0.25">
      <c r="B541" s="17"/>
      <c r="C541" s="14"/>
      <c r="D541" s="14"/>
      <c r="E541" s="18"/>
      <c r="F541" s="61"/>
      <c r="G541" s="73"/>
      <c r="H541" s="79"/>
      <c r="I541" s="79"/>
      <c r="J541" s="14"/>
      <c r="K541" s="38"/>
      <c r="L541" s="38"/>
      <c r="M541" s="17"/>
    </row>
    <row r="542" spans="2:13" ht="14.45" customHeight="1" x14ac:dyDescent="0.25">
      <c r="B542" s="17"/>
      <c r="C542" s="14"/>
      <c r="D542" s="14"/>
      <c r="E542" s="18"/>
      <c r="F542" s="61"/>
      <c r="G542" s="73"/>
      <c r="H542" s="79"/>
      <c r="I542" s="79"/>
      <c r="J542" s="14"/>
      <c r="K542" s="38"/>
      <c r="L542" s="38"/>
      <c r="M542" s="17"/>
    </row>
    <row r="543" spans="2:13" ht="14.45" customHeight="1" x14ac:dyDescent="0.25">
      <c r="B543" s="17"/>
      <c r="C543" s="14"/>
      <c r="D543" s="14"/>
      <c r="E543" s="18"/>
      <c r="F543" s="61"/>
      <c r="G543" s="73"/>
      <c r="H543" s="79"/>
      <c r="I543" s="79"/>
      <c r="J543" s="14"/>
      <c r="K543" s="38"/>
      <c r="L543" s="38"/>
      <c r="M543" s="17"/>
    </row>
    <row r="544" spans="2:13" ht="14.45" customHeight="1" x14ac:dyDescent="0.25">
      <c r="B544" s="17"/>
      <c r="C544" s="14"/>
      <c r="D544" s="14"/>
      <c r="E544" s="18"/>
      <c r="F544" s="61"/>
      <c r="G544" s="73"/>
      <c r="H544" s="79"/>
      <c r="I544" s="79"/>
      <c r="J544" s="14"/>
      <c r="K544" s="38"/>
      <c r="L544" s="38"/>
      <c r="M544" s="17"/>
    </row>
    <row r="545" spans="2:13" ht="14.45" customHeight="1" x14ac:dyDescent="0.25">
      <c r="B545" s="17"/>
      <c r="C545" s="14"/>
      <c r="D545" s="14"/>
      <c r="E545" s="18"/>
      <c r="F545" s="61"/>
      <c r="G545" s="73"/>
      <c r="H545" s="79"/>
      <c r="I545" s="79"/>
      <c r="J545" s="14"/>
      <c r="K545" s="38"/>
      <c r="L545" s="38"/>
      <c r="M545" s="17"/>
    </row>
    <row r="546" spans="2:13" ht="14.45" customHeight="1" x14ac:dyDescent="0.25">
      <c r="B546" s="17"/>
      <c r="C546" s="14"/>
      <c r="D546" s="14"/>
      <c r="E546" s="18"/>
      <c r="F546" s="61"/>
      <c r="G546" s="73"/>
      <c r="H546" s="79"/>
      <c r="I546" s="79"/>
      <c r="J546" s="14"/>
      <c r="K546" s="38"/>
      <c r="L546" s="38"/>
      <c r="M546" s="17"/>
    </row>
    <row r="547" spans="2:13" ht="14.45" customHeight="1" x14ac:dyDescent="0.25">
      <c r="B547" s="17"/>
      <c r="C547" s="14"/>
      <c r="D547" s="14"/>
      <c r="E547" s="18"/>
      <c r="F547" s="61"/>
      <c r="G547" s="73"/>
      <c r="H547" s="79"/>
      <c r="I547" s="79"/>
      <c r="J547" s="14"/>
      <c r="K547" s="38"/>
      <c r="L547" s="38"/>
      <c r="M547" s="17"/>
    </row>
    <row r="548" spans="2:13" ht="14.45" customHeight="1" x14ac:dyDescent="0.25">
      <c r="B548" s="17"/>
      <c r="C548" s="14"/>
      <c r="D548" s="14"/>
      <c r="E548" s="18"/>
      <c r="F548" s="61"/>
      <c r="G548" s="73"/>
      <c r="H548" s="79"/>
      <c r="I548" s="79"/>
      <c r="J548" s="14"/>
      <c r="K548" s="38"/>
      <c r="L548" s="38"/>
      <c r="M548" s="17"/>
    </row>
    <row r="549" spans="2:13" ht="14.45" customHeight="1" x14ac:dyDescent="0.25">
      <c r="B549" s="17"/>
      <c r="C549" s="14"/>
      <c r="D549" s="14"/>
      <c r="E549" s="18"/>
      <c r="F549" s="61"/>
      <c r="G549" s="73"/>
      <c r="H549" s="79"/>
      <c r="I549" s="79"/>
      <c r="J549" s="14"/>
      <c r="K549" s="38"/>
      <c r="L549" s="38"/>
      <c r="M549" s="17"/>
    </row>
    <row r="550" spans="2:13" ht="14.45" customHeight="1" x14ac:dyDescent="0.25">
      <c r="B550" s="17"/>
      <c r="C550" s="14"/>
      <c r="D550" s="14"/>
      <c r="E550" s="18"/>
      <c r="F550" s="61"/>
      <c r="G550" s="73"/>
      <c r="H550" s="79"/>
      <c r="I550" s="79"/>
      <c r="J550" s="14"/>
      <c r="K550" s="38"/>
      <c r="L550" s="38"/>
      <c r="M550" s="17"/>
    </row>
    <row r="551" spans="2:13" ht="14.45" customHeight="1" x14ac:dyDescent="0.25">
      <c r="B551" s="17"/>
      <c r="C551" s="14"/>
      <c r="D551" s="14"/>
      <c r="E551" s="18"/>
      <c r="F551" s="61"/>
      <c r="G551" s="73"/>
      <c r="H551" s="79"/>
      <c r="I551" s="79"/>
      <c r="J551" s="14"/>
      <c r="K551" s="38"/>
      <c r="L551" s="38"/>
      <c r="M551" s="17"/>
    </row>
    <row r="552" spans="2:13" ht="14.45" customHeight="1" x14ac:dyDescent="0.25">
      <c r="B552" s="17"/>
      <c r="C552" s="14"/>
      <c r="D552" s="14"/>
      <c r="E552" s="18"/>
      <c r="F552" s="61"/>
      <c r="G552" s="73"/>
      <c r="H552" s="79"/>
      <c r="I552" s="79"/>
      <c r="J552" s="14"/>
      <c r="K552" s="38"/>
      <c r="L552" s="38"/>
      <c r="M552" s="17"/>
    </row>
    <row r="553" spans="2:13" ht="14.45" customHeight="1" x14ac:dyDescent="0.25">
      <c r="B553" s="17"/>
      <c r="C553" s="14"/>
      <c r="D553" s="14"/>
      <c r="E553" s="18"/>
      <c r="F553" s="61"/>
      <c r="G553" s="73"/>
      <c r="H553" s="79"/>
      <c r="I553" s="79"/>
      <c r="J553" s="14"/>
      <c r="K553" s="38"/>
      <c r="L553" s="38"/>
      <c r="M553" s="17"/>
    </row>
    <row r="554" spans="2:13" ht="14.45" customHeight="1" x14ac:dyDescent="0.25">
      <c r="B554" s="17"/>
      <c r="C554" s="14"/>
      <c r="D554" s="14"/>
      <c r="E554" s="18"/>
      <c r="F554" s="61"/>
      <c r="G554" s="73"/>
      <c r="H554" s="79"/>
      <c r="I554" s="79"/>
      <c r="J554" s="14"/>
      <c r="K554" s="38"/>
      <c r="L554" s="38"/>
      <c r="M554" s="17"/>
    </row>
    <row r="555" spans="2:13" ht="14.45" customHeight="1" x14ac:dyDescent="0.25">
      <c r="B555" s="17"/>
      <c r="C555" s="14"/>
      <c r="D555" s="14"/>
      <c r="E555" s="18"/>
      <c r="F555" s="61"/>
      <c r="G555" s="73"/>
      <c r="H555" s="79"/>
      <c r="I555" s="79"/>
      <c r="J555" s="14"/>
      <c r="K555" s="38"/>
      <c r="L555" s="38"/>
      <c r="M555" s="17"/>
    </row>
    <row r="556" spans="2:13" ht="14.45" customHeight="1" x14ac:dyDescent="0.25">
      <c r="B556" s="17"/>
      <c r="C556" s="14"/>
      <c r="D556" s="14"/>
      <c r="E556" s="18"/>
      <c r="F556" s="61"/>
      <c r="G556" s="73"/>
      <c r="H556" s="79"/>
      <c r="I556" s="79"/>
      <c r="J556" s="14"/>
      <c r="K556" s="38"/>
      <c r="L556" s="38"/>
      <c r="M556" s="17"/>
    </row>
    <row r="557" spans="2:13" ht="14.45" customHeight="1" x14ac:dyDescent="0.25">
      <c r="B557" s="17"/>
      <c r="C557" s="14"/>
      <c r="D557" s="14"/>
      <c r="E557" s="18"/>
      <c r="F557" s="61"/>
      <c r="G557" s="73"/>
      <c r="H557" s="79"/>
      <c r="I557" s="79"/>
      <c r="J557" s="14"/>
      <c r="K557" s="38"/>
      <c r="L557" s="38"/>
      <c r="M557" s="17"/>
    </row>
    <row r="558" spans="2:13" ht="14.45" customHeight="1" x14ac:dyDescent="0.25">
      <c r="B558" s="17"/>
      <c r="C558" s="14"/>
      <c r="D558" s="14"/>
      <c r="E558" s="18"/>
      <c r="F558" s="61"/>
      <c r="G558" s="73"/>
      <c r="H558" s="79"/>
      <c r="I558" s="79"/>
      <c r="J558" s="14"/>
      <c r="K558" s="38"/>
      <c r="L558" s="38"/>
      <c r="M558" s="17"/>
    </row>
    <row r="559" spans="2:13" ht="14.45" customHeight="1" x14ac:dyDescent="0.25">
      <c r="B559" s="17"/>
      <c r="C559" s="14"/>
      <c r="D559" s="14"/>
      <c r="E559" s="18"/>
      <c r="F559" s="61"/>
      <c r="G559" s="73"/>
      <c r="H559" s="79"/>
      <c r="I559" s="79"/>
      <c r="J559" s="14"/>
      <c r="K559" s="38"/>
      <c r="L559" s="38"/>
      <c r="M559" s="17"/>
    </row>
    <row r="560" spans="2:13" ht="14.45" customHeight="1" x14ac:dyDescent="0.25">
      <c r="B560" s="17"/>
      <c r="C560" s="14"/>
      <c r="D560" s="14"/>
      <c r="E560" s="18"/>
      <c r="F560" s="61"/>
      <c r="G560" s="73"/>
      <c r="H560" s="79"/>
      <c r="I560" s="79"/>
      <c r="J560" s="14"/>
      <c r="K560" s="38"/>
      <c r="L560" s="38"/>
      <c r="M560" s="17"/>
    </row>
    <row r="561" spans="2:13" ht="14.45" customHeight="1" x14ac:dyDescent="0.25">
      <c r="B561" s="17"/>
      <c r="C561" s="14"/>
      <c r="D561" s="14"/>
      <c r="E561" s="18"/>
      <c r="F561" s="61"/>
      <c r="G561" s="73"/>
      <c r="H561" s="79"/>
      <c r="I561" s="79"/>
      <c r="J561" s="14"/>
      <c r="K561" s="38"/>
      <c r="L561" s="38"/>
      <c r="M561" s="17"/>
    </row>
    <row r="562" spans="2:13" ht="14.45" customHeight="1" x14ac:dyDescent="0.25">
      <c r="B562" s="17"/>
      <c r="C562" s="14"/>
      <c r="D562" s="14"/>
      <c r="E562" s="18"/>
      <c r="F562" s="61"/>
      <c r="G562" s="73"/>
      <c r="H562" s="79"/>
      <c r="I562" s="79"/>
      <c r="J562" s="14"/>
      <c r="K562" s="38"/>
      <c r="L562" s="38"/>
      <c r="M562" s="17"/>
    </row>
    <row r="563" spans="2:13" ht="14.45" customHeight="1" x14ac:dyDescent="0.25">
      <c r="B563" s="17"/>
      <c r="C563" s="14"/>
      <c r="D563" s="14"/>
      <c r="E563" s="18"/>
      <c r="F563" s="61"/>
      <c r="G563" s="73"/>
      <c r="H563" s="79"/>
      <c r="I563" s="79"/>
      <c r="J563" s="14"/>
      <c r="K563" s="38"/>
      <c r="L563" s="38"/>
      <c r="M563" s="17"/>
    </row>
    <row r="564" spans="2:13" ht="14.45" customHeight="1" x14ac:dyDescent="0.25">
      <c r="B564" s="17"/>
      <c r="C564" s="14"/>
      <c r="D564" s="14"/>
      <c r="E564" s="18"/>
      <c r="F564" s="61"/>
      <c r="G564" s="73"/>
      <c r="H564" s="79"/>
      <c r="I564" s="79"/>
      <c r="J564" s="14"/>
      <c r="K564" s="38"/>
      <c r="L564" s="38"/>
      <c r="M564" s="17"/>
    </row>
    <row r="565" spans="2:13" ht="14.45" customHeight="1" x14ac:dyDescent="0.25">
      <c r="B565" s="17"/>
      <c r="C565" s="14"/>
      <c r="D565" s="14"/>
      <c r="E565" s="18"/>
      <c r="F565" s="61"/>
      <c r="G565" s="73"/>
      <c r="H565" s="79"/>
      <c r="I565" s="79"/>
      <c r="J565" s="14"/>
      <c r="K565" s="38"/>
      <c r="L565" s="38"/>
      <c r="M565" s="17"/>
    </row>
    <row r="566" spans="2:13" ht="14.45" customHeight="1" x14ac:dyDescent="0.25">
      <c r="B566" s="17"/>
      <c r="C566" s="14"/>
      <c r="D566" s="14"/>
      <c r="E566" s="18"/>
      <c r="F566" s="61"/>
      <c r="G566" s="73"/>
      <c r="H566" s="79"/>
      <c r="I566" s="79"/>
      <c r="J566" s="14"/>
      <c r="K566" s="38"/>
      <c r="L566" s="38"/>
      <c r="M566" s="17"/>
    </row>
    <row r="567" spans="2:13" ht="14.45" customHeight="1" x14ac:dyDescent="0.25">
      <c r="B567" s="17"/>
      <c r="C567" s="14"/>
      <c r="D567" s="14"/>
      <c r="E567" s="18"/>
      <c r="F567" s="61"/>
      <c r="G567" s="73"/>
      <c r="H567" s="79"/>
      <c r="I567" s="79"/>
      <c r="J567" s="14"/>
      <c r="K567" s="38"/>
      <c r="L567" s="38"/>
      <c r="M567" s="17"/>
    </row>
    <row r="568" spans="2:13" ht="14.45" customHeight="1" x14ac:dyDescent="0.25">
      <c r="B568" s="17"/>
      <c r="C568" s="14"/>
      <c r="D568" s="14"/>
      <c r="E568" s="18"/>
      <c r="F568" s="61"/>
      <c r="G568" s="73"/>
      <c r="H568" s="79"/>
      <c r="I568" s="79"/>
      <c r="J568" s="14"/>
      <c r="K568" s="38"/>
      <c r="L568" s="38"/>
      <c r="M568" s="17"/>
    </row>
    <row r="569" spans="2:13" ht="14.45" customHeight="1" x14ac:dyDescent="0.25">
      <c r="B569" s="17"/>
      <c r="C569" s="14"/>
      <c r="D569" s="14"/>
      <c r="E569" s="18"/>
      <c r="F569" s="61"/>
      <c r="G569" s="73"/>
      <c r="H569" s="79"/>
      <c r="I569" s="79"/>
      <c r="J569" s="14"/>
      <c r="K569" s="38"/>
      <c r="L569" s="38"/>
      <c r="M569" s="17"/>
    </row>
    <row r="570" spans="2:13" ht="14.45" customHeight="1" x14ac:dyDescent="0.25">
      <c r="B570" s="17"/>
      <c r="C570" s="14"/>
      <c r="D570" s="14"/>
      <c r="E570" s="18"/>
      <c r="F570" s="61"/>
      <c r="G570" s="73"/>
      <c r="H570" s="79"/>
      <c r="I570" s="79"/>
      <c r="J570" s="14"/>
      <c r="K570" s="38"/>
      <c r="L570" s="38"/>
      <c r="M570" s="17"/>
    </row>
    <row r="571" spans="2:13" ht="14.45" customHeight="1" x14ac:dyDescent="0.25">
      <c r="B571" s="17"/>
      <c r="C571" s="14"/>
      <c r="D571" s="14"/>
      <c r="E571" s="18"/>
      <c r="F571" s="61"/>
      <c r="G571" s="73"/>
      <c r="H571" s="79"/>
      <c r="I571" s="79"/>
      <c r="J571" s="14"/>
      <c r="K571" s="38"/>
      <c r="L571" s="38"/>
      <c r="M571" s="17"/>
    </row>
    <row r="572" spans="2:13" ht="14.45" customHeight="1" x14ac:dyDescent="0.25">
      <c r="B572" s="17"/>
      <c r="C572" s="14"/>
      <c r="D572" s="14"/>
      <c r="E572" s="18"/>
      <c r="F572" s="61"/>
      <c r="G572" s="73"/>
      <c r="H572" s="79"/>
      <c r="I572" s="79"/>
      <c r="J572" s="14"/>
      <c r="K572" s="38"/>
      <c r="L572" s="38"/>
      <c r="M572" s="17"/>
    </row>
    <row r="573" spans="2:13" ht="14.45" customHeight="1" x14ac:dyDescent="0.25">
      <c r="B573" s="17"/>
      <c r="C573" s="14"/>
      <c r="D573" s="14"/>
      <c r="E573" s="18"/>
      <c r="F573" s="61"/>
      <c r="G573" s="73"/>
      <c r="H573" s="79"/>
      <c r="I573" s="79"/>
      <c r="J573" s="14"/>
      <c r="K573" s="38"/>
      <c r="L573" s="38"/>
      <c r="M573" s="17"/>
    </row>
    <row r="574" spans="2:13" ht="14.45" customHeight="1" x14ac:dyDescent="0.25">
      <c r="B574" s="17"/>
      <c r="C574" s="14"/>
      <c r="D574" s="14"/>
      <c r="E574" s="18"/>
      <c r="F574" s="61"/>
      <c r="G574" s="73"/>
      <c r="H574" s="79"/>
      <c r="I574" s="79"/>
      <c r="J574" s="14"/>
      <c r="K574" s="38"/>
      <c r="L574" s="38"/>
      <c r="M574" s="17"/>
    </row>
    <row r="575" spans="2:13" ht="14.45" customHeight="1" x14ac:dyDescent="0.25">
      <c r="B575" s="17"/>
      <c r="C575" s="14"/>
      <c r="D575" s="14"/>
      <c r="E575" s="18"/>
      <c r="F575" s="61"/>
      <c r="G575" s="73"/>
      <c r="H575" s="79"/>
      <c r="I575" s="79"/>
      <c r="J575" s="14"/>
      <c r="K575" s="38"/>
      <c r="L575" s="38"/>
      <c r="M575" s="17"/>
    </row>
    <row r="576" spans="2:13" ht="14.45" customHeight="1" x14ac:dyDescent="0.25">
      <c r="B576" s="17"/>
      <c r="C576" s="14"/>
      <c r="D576" s="14"/>
      <c r="E576" s="18"/>
      <c r="F576" s="61"/>
      <c r="G576" s="73"/>
      <c r="H576" s="79"/>
      <c r="I576" s="79"/>
      <c r="J576" s="14"/>
      <c r="K576" s="38"/>
      <c r="L576" s="38"/>
      <c r="M576" s="17"/>
    </row>
    <row r="577" spans="2:13" ht="14.45" customHeight="1" x14ac:dyDescent="0.25">
      <c r="B577" s="17"/>
      <c r="C577" s="14"/>
      <c r="D577" s="14"/>
      <c r="E577" s="18"/>
      <c r="F577" s="61"/>
      <c r="G577" s="73"/>
      <c r="H577" s="79"/>
      <c r="I577" s="79"/>
      <c r="J577" s="14"/>
      <c r="K577" s="38"/>
      <c r="L577" s="38"/>
      <c r="M577" s="17"/>
    </row>
    <row r="578" spans="2:13" ht="14.45" customHeight="1" x14ac:dyDescent="0.25">
      <c r="B578" s="17"/>
      <c r="C578" s="14"/>
      <c r="D578" s="14"/>
      <c r="E578" s="18"/>
      <c r="F578" s="61"/>
      <c r="G578" s="73"/>
      <c r="H578" s="79"/>
      <c r="I578" s="79"/>
      <c r="J578" s="14"/>
      <c r="K578" s="38"/>
      <c r="L578" s="38"/>
      <c r="M578" s="17"/>
    </row>
    <row r="579" spans="2:13" ht="14.45" customHeight="1" x14ac:dyDescent="0.25">
      <c r="B579" s="17"/>
      <c r="C579" s="14"/>
      <c r="D579" s="14"/>
      <c r="E579" s="18"/>
      <c r="F579" s="61"/>
      <c r="G579" s="73"/>
      <c r="H579" s="79"/>
      <c r="I579" s="79"/>
      <c r="J579" s="14"/>
      <c r="K579" s="38"/>
      <c r="L579" s="38"/>
      <c r="M579" s="17"/>
    </row>
    <row r="580" spans="2:13" ht="14.45" customHeight="1" x14ac:dyDescent="0.25">
      <c r="B580" s="17"/>
      <c r="C580" s="14"/>
      <c r="D580" s="14"/>
      <c r="E580" s="18"/>
      <c r="F580" s="61"/>
      <c r="G580" s="73"/>
      <c r="H580" s="79"/>
      <c r="I580" s="79"/>
      <c r="J580" s="14"/>
      <c r="K580" s="38"/>
      <c r="L580" s="38"/>
      <c r="M580" s="17"/>
    </row>
    <row r="581" spans="2:13" ht="14.45" customHeight="1" x14ac:dyDescent="0.25">
      <c r="B581" s="17"/>
      <c r="C581" s="14"/>
      <c r="D581" s="14"/>
      <c r="E581" s="18"/>
      <c r="F581" s="61"/>
      <c r="G581" s="73"/>
      <c r="H581" s="79"/>
      <c r="I581" s="79"/>
      <c r="J581" s="14"/>
      <c r="K581" s="38"/>
      <c r="L581" s="38"/>
      <c r="M581" s="17"/>
    </row>
    <row r="582" spans="2:13" ht="14.45" customHeight="1" x14ac:dyDescent="0.25">
      <c r="B582" s="17"/>
      <c r="C582" s="14"/>
      <c r="D582" s="14"/>
      <c r="E582" s="18"/>
      <c r="F582" s="61"/>
      <c r="G582" s="73"/>
      <c r="H582" s="79"/>
      <c r="I582" s="79"/>
      <c r="J582" s="14"/>
      <c r="K582" s="38"/>
      <c r="L582" s="38"/>
      <c r="M582" s="17"/>
    </row>
    <row r="583" spans="2:13" ht="14.45" customHeight="1" x14ac:dyDescent="0.25">
      <c r="B583" s="17"/>
      <c r="C583" s="14"/>
      <c r="D583" s="14"/>
      <c r="E583" s="18"/>
      <c r="F583" s="61"/>
      <c r="G583" s="73"/>
      <c r="H583" s="79"/>
      <c r="I583" s="79"/>
      <c r="J583" s="14"/>
      <c r="K583" s="38"/>
      <c r="L583" s="38"/>
      <c r="M583" s="17"/>
    </row>
    <row r="584" spans="2:13" ht="14.45" customHeight="1" x14ac:dyDescent="0.25">
      <c r="B584" s="17"/>
      <c r="C584" s="14"/>
      <c r="D584" s="14"/>
      <c r="E584" s="18"/>
      <c r="F584" s="61"/>
      <c r="G584" s="73"/>
      <c r="H584" s="79"/>
      <c r="I584" s="79"/>
      <c r="J584" s="14"/>
      <c r="K584" s="38"/>
      <c r="L584" s="38"/>
      <c r="M584" s="17"/>
    </row>
    <row r="585" spans="2:13" ht="14.45" customHeight="1" x14ac:dyDescent="0.25">
      <c r="B585" s="17"/>
      <c r="C585" s="14"/>
      <c r="D585" s="14"/>
      <c r="E585" s="18"/>
      <c r="F585" s="61"/>
      <c r="G585" s="73"/>
      <c r="H585" s="79"/>
      <c r="I585" s="79"/>
      <c r="J585" s="14"/>
      <c r="K585" s="38"/>
      <c r="L585" s="38"/>
      <c r="M585" s="17"/>
    </row>
    <row r="586" spans="2:13" ht="14.45" customHeight="1" x14ac:dyDescent="0.25">
      <c r="B586" s="17"/>
      <c r="C586" s="14"/>
      <c r="D586" s="14"/>
      <c r="E586" s="18"/>
      <c r="F586" s="61"/>
      <c r="G586" s="73"/>
      <c r="H586" s="79"/>
      <c r="I586" s="79"/>
      <c r="J586" s="14"/>
      <c r="K586" s="38"/>
      <c r="L586" s="38"/>
      <c r="M586" s="17"/>
    </row>
    <row r="587" spans="2:13" ht="14.45" customHeight="1" x14ac:dyDescent="0.25">
      <c r="B587" s="17"/>
      <c r="C587" s="14"/>
      <c r="D587" s="14"/>
      <c r="E587" s="18"/>
      <c r="F587" s="61"/>
      <c r="G587" s="73"/>
      <c r="H587" s="79"/>
      <c r="I587" s="79"/>
      <c r="J587" s="14"/>
      <c r="K587" s="38"/>
      <c r="L587" s="38"/>
      <c r="M587" s="17"/>
    </row>
    <row r="588" spans="2:13" ht="14.45" customHeight="1" x14ac:dyDescent="0.25">
      <c r="B588" s="17"/>
      <c r="C588" s="14"/>
      <c r="D588" s="14"/>
      <c r="E588" s="18"/>
      <c r="F588" s="61"/>
      <c r="G588" s="73"/>
      <c r="H588" s="79"/>
      <c r="I588" s="79"/>
      <c r="J588" s="14"/>
      <c r="K588" s="38"/>
      <c r="L588" s="38"/>
      <c r="M588" s="17"/>
    </row>
    <row r="589" spans="2:13" ht="14.45" customHeight="1" x14ac:dyDescent="0.25">
      <c r="B589" s="17"/>
      <c r="C589" s="14"/>
      <c r="D589" s="14"/>
      <c r="E589" s="18"/>
      <c r="F589" s="61"/>
      <c r="G589" s="73"/>
      <c r="H589" s="79"/>
      <c r="I589" s="79"/>
      <c r="J589" s="14"/>
      <c r="K589" s="38"/>
      <c r="L589" s="38"/>
      <c r="M589" s="17"/>
    </row>
    <row r="590" spans="2:13" ht="14.45" customHeight="1" x14ac:dyDescent="0.25">
      <c r="B590" s="17"/>
      <c r="C590" s="14"/>
      <c r="D590" s="14"/>
      <c r="E590" s="18"/>
      <c r="F590" s="61"/>
      <c r="G590" s="73"/>
      <c r="H590" s="79"/>
      <c r="I590" s="79"/>
      <c r="J590" s="14"/>
      <c r="K590" s="38"/>
      <c r="L590" s="38"/>
      <c r="M590" s="17"/>
    </row>
    <row r="591" spans="2:13" ht="14.45" customHeight="1" x14ac:dyDescent="0.25">
      <c r="B591" s="17"/>
      <c r="C591" s="14"/>
      <c r="D591" s="14"/>
      <c r="E591" s="18"/>
      <c r="F591" s="61"/>
      <c r="G591" s="73"/>
      <c r="H591" s="79"/>
      <c r="I591" s="79"/>
      <c r="J591" s="14"/>
      <c r="K591" s="38"/>
      <c r="L591" s="38"/>
      <c r="M591" s="17"/>
    </row>
    <row r="592" spans="2:13" ht="14.45" customHeight="1" x14ac:dyDescent="0.25">
      <c r="B592" s="17"/>
      <c r="C592" s="14"/>
      <c r="D592" s="14"/>
      <c r="E592" s="18"/>
      <c r="F592" s="61"/>
      <c r="G592" s="73"/>
      <c r="H592" s="79"/>
      <c r="I592" s="79"/>
      <c r="J592" s="14"/>
      <c r="K592" s="38"/>
      <c r="L592" s="38"/>
      <c r="M592" s="17"/>
    </row>
    <row r="593" spans="2:13" ht="14.45" customHeight="1" x14ac:dyDescent="0.25">
      <c r="B593" s="17"/>
      <c r="C593" s="14"/>
      <c r="D593" s="14"/>
      <c r="E593" s="18"/>
      <c r="F593" s="61"/>
      <c r="G593" s="73"/>
      <c r="H593" s="79"/>
      <c r="I593" s="79"/>
      <c r="J593" s="14"/>
      <c r="K593" s="38"/>
      <c r="L593" s="38"/>
      <c r="M593" s="17"/>
    </row>
    <row r="594" spans="2:13" ht="14.45" customHeight="1" x14ac:dyDescent="0.25">
      <c r="B594" s="17"/>
      <c r="C594" s="14"/>
      <c r="D594" s="14"/>
      <c r="E594" s="18"/>
      <c r="F594" s="61"/>
      <c r="G594" s="73"/>
      <c r="H594" s="79"/>
      <c r="I594" s="79"/>
      <c r="J594" s="14"/>
      <c r="K594" s="38"/>
      <c r="L594" s="38"/>
      <c r="M594" s="17"/>
    </row>
    <row r="595" spans="2:13" ht="14.45" customHeight="1" x14ac:dyDescent="0.25">
      <c r="B595" s="17"/>
      <c r="C595" s="14"/>
      <c r="D595" s="14"/>
      <c r="E595" s="18"/>
      <c r="F595" s="61"/>
      <c r="G595" s="73"/>
      <c r="H595" s="79"/>
      <c r="I595" s="79"/>
      <c r="J595" s="14"/>
      <c r="K595" s="38"/>
      <c r="L595" s="38"/>
      <c r="M595" s="17"/>
    </row>
    <row r="596" spans="2:13" ht="14.45" customHeight="1" x14ac:dyDescent="0.25">
      <c r="B596" s="17"/>
      <c r="C596" s="14"/>
      <c r="D596" s="14"/>
      <c r="E596" s="18"/>
      <c r="F596" s="61"/>
      <c r="G596" s="73"/>
      <c r="H596" s="79"/>
      <c r="I596" s="79"/>
      <c r="J596" s="14"/>
      <c r="K596" s="38"/>
      <c r="L596" s="38"/>
      <c r="M596" s="17"/>
    </row>
    <row r="597" spans="2:13" ht="14.45" customHeight="1" x14ac:dyDescent="0.25">
      <c r="B597" s="17"/>
      <c r="C597" s="14"/>
      <c r="D597" s="14"/>
      <c r="E597" s="18"/>
      <c r="F597" s="61"/>
      <c r="G597" s="73"/>
      <c r="H597" s="79"/>
      <c r="I597" s="79"/>
      <c r="J597" s="14"/>
      <c r="K597" s="38"/>
      <c r="L597" s="38"/>
      <c r="M597" s="17"/>
    </row>
    <row r="598" spans="2:13" ht="14.45" customHeight="1" x14ac:dyDescent="0.25">
      <c r="B598" s="17"/>
      <c r="C598" s="14"/>
      <c r="D598" s="14"/>
      <c r="E598" s="18"/>
      <c r="F598" s="61"/>
      <c r="G598" s="73"/>
      <c r="H598" s="79"/>
      <c r="I598" s="79"/>
      <c r="J598" s="14"/>
      <c r="K598" s="38"/>
      <c r="L598" s="38"/>
      <c r="M598" s="17"/>
    </row>
    <row r="599" spans="2:13" ht="14.45" customHeight="1" x14ac:dyDescent="0.25">
      <c r="B599" s="17"/>
      <c r="C599" s="14"/>
      <c r="D599" s="14"/>
      <c r="E599" s="18"/>
      <c r="F599" s="61"/>
      <c r="G599" s="73"/>
      <c r="H599" s="79"/>
      <c r="I599" s="79"/>
      <c r="J599" s="14"/>
      <c r="K599" s="38"/>
      <c r="L599" s="38"/>
      <c r="M599" s="17"/>
    </row>
    <row r="600" spans="2:13" ht="14.45" customHeight="1" x14ac:dyDescent="0.25">
      <c r="B600" s="17"/>
      <c r="C600" s="14"/>
      <c r="D600" s="14"/>
      <c r="E600" s="18"/>
      <c r="F600" s="61"/>
      <c r="G600" s="73"/>
      <c r="H600" s="79"/>
      <c r="I600" s="79"/>
      <c r="J600" s="14"/>
      <c r="K600" s="38"/>
      <c r="L600" s="38"/>
      <c r="M600" s="17"/>
    </row>
    <row r="601" spans="2:13" ht="14.45" customHeight="1" x14ac:dyDescent="0.25">
      <c r="B601" s="17"/>
      <c r="C601" s="14"/>
      <c r="D601" s="14"/>
      <c r="E601" s="18"/>
      <c r="F601" s="61"/>
      <c r="G601" s="73"/>
      <c r="H601" s="79"/>
      <c r="I601" s="79"/>
      <c r="J601" s="14"/>
      <c r="K601" s="38"/>
      <c r="L601" s="38"/>
      <c r="M601" s="17"/>
    </row>
    <row r="602" spans="2:13" ht="14.45" customHeight="1" x14ac:dyDescent="0.25">
      <c r="B602" s="17"/>
      <c r="C602" s="14"/>
      <c r="D602" s="14"/>
      <c r="E602" s="18"/>
      <c r="F602" s="61"/>
      <c r="G602" s="73"/>
      <c r="H602" s="79"/>
      <c r="I602" s="79"/>
      <c r="J602" s="14"/>
      <c r="K602" s="38"/>
      <c r="L602" s="38"/>
      <c r="M602" s="17"/>
    </row>
    <row r="603" spans="2:13" ht="14.45" customHeight="1" x14ac:dyDescent="0.25">
      <c r="B603" s="17"/>
      <c r="C603" s="14"/>
      <c r="D603" s="14"/>
      <c r="E603" s="18"/>
      <c r="F603" s="61"/>
      <c r="G603" s="73"/>
      <c r="H603" s="79"/>
      <c r="I603" s="79"/>
      <c r="J603" s="14"/>
      <c r="K603" s="38"/>
      <c r="L603" s="38"/>
      <c r="M603" s="17"/>
    </row>
    <row r="604" spans="2:13" ht="14.45" customHeight="1" x14ac:dyDescent="0.25">
      <c r="B604" s="17"/>
      <c r="C604" s="14"/>
      <c r="D604" s="14"/>
      <c r="E604" s="18"/>
      <c r="F604" s="61"/>
      <c r="G604" s="73"/>
      <c r="H604" s="79"/>
      <c r="I604" s="79"/>
      <c r="J604" s="14"/>
      <c r="K604" s="38"/>
      <c r="L604" s="38"/>
      <c r="M604" s="17"/>
    </row>
    <row r="605" spans="2:13" ht="14.45" customHeight="1" x14ac:dyDescent="0.25">
      <c r="B605" s="17"/>
      <c r="C605" s="14"/>
      <c r="D605" s="14"/>
      <c r="E605" s="18"/>
      <c r="F605" s="61"/>
      <c r="G605" s="73"/>
      <c r="H605" s="79"/>
      <c r="I605" s="79"/>
      <c r="J605" s="14"/>
      <c r="K605" s="38"/>
      <c r="L605" s="38"/>
      <c r="M605" s="17"/>
    </row>
    <row r="606" spans="2:13" ht="14.45" customHeight="1" x14ac:dyDescent="0.25">
      <c r="B606" s="17"/>
      <c r="C606" s="14"/>
      <c r="D606" s="14"/>
      <c r="E606" s="18"/>
      <c r="F606" s="61"/>
      <c r="G606" s="73"/>
      <c r="H606" s="79"/>
      <c r="I606" s="79"/>
      <c r="J606" s="14"/>
      <c r="K606" s="38"/>
      <c r="L606" s="38"/>
      <c r="M606" s="17"/>
    </row>
    <row r="607" spans="2:13" ht="14.45" customHeight="1" x14ac:dyDescent="0.25">
      <c r="B607" s="17"/>
      <c r="C607" s="14"/>
      <c r="D607" s="14"/>
      <c r="E607" s="18"/>
      <c r="F607" s="61"/>
      <c r="G607" s="73"/>
      <c r="H607" s="79"/>
      <c r="I607" s="79"/>
      <c r="J607" s="14"/>
      <c r="K607" s="38"/>
      <c r="L607" s="38"/>
      <c r="M607" s="17"/>
    </row>
    <row r="608" spans="2:13" ht="14.45" customHeight="1" x14ac:dyDescent="0.25">
      <c r="B608" s="17"/>
      <c r="C608" s="14"/>
      <c r="D608" s="14"/>
      <c r="E608" s="18"/>
      <c r="F608" s="61"/>
      <c r="G608" s="73"/>
      <c r="H608" s="79"/>
      <c r="I608" s="79"/>
      <c r="J608" s="14"/>
      <c r="K608" s="38"/>
      <c r="L608" s="38"/>
      <c r="M608" s="17"/>
    </row>
    <row r="609" spans="2:13" ht="14.45" customHeight="1" x14ac:dyDescent="0.25">
      <c r="B609" s="17"/>
      <c r="C609" s="14"/>
      <c r="D609" s="14"/>
      <c r="E609" s="18"/>
      <c r="F609" s="61"/>
      <c r="G609" s="73"/>
      <c r="H609" s="79"/>
      <c r="I609" s="79"/>
      <c r="J609" s="14"/>
      <c r="K609" s="38"/>
      <c r="L609" s="38"/>
      <c r="M609" s="17"/>
    </row>
    <row r="610" spans="2:13" ht="14.45" customHeight="1" x14ac:dyDescent="0.25">
      <c r="B610" s="17"/>
      <c r="C610" s="14"/>
      <c r="D610" s="14"/>
      <c r="E610" s="18"/>
      <c r="F610" s="61"/>
      <c r="G610" s="73"/>
      <c r="H610" s="79"/>
      <c r="I610" s="79"/>
      <c r="J610" s="14"/>
      <c r="K610" s="38"/>
      <c r="L610" s="38"/>
      <c r="M610" s="17"/>
    </row>
    <row r="611" spans="2:13" ht="14.45" customHeight="1" x14ac:dyDescent="0.25">
      <c r="B611" s="17"/>
      <c r="C611" s="14"/>
      <c r="D611" s="14"/>
      <c r="E611" s="18"/>
      <c r="F611" s="61"/>
      <c r="G611" s="73"/>
      <c r="H611" s="79"/>
      <c r="I611" s="79"/>
      <c r="J611" s="14"/>
      <c r="K611" s="38"/>
      <c r="L611" s="38"/>
      <c r="M611" s="17"/>
    </row>
    <row r="612" spans="2:13" ht="14.45" customHeight="1" x14ac:dyDescent="0.25">
      <c r="B612" s="17"/>
      <c r="C612" s="14"/>
      <c r="D612" s="14"/>
      <c r="E612" s="18"/>
      <c r="F612" s="61"/>
      <c r="G612" s="73"/>
      <c r="H612" s="79"/>
      <c r="I612" s="79"/>
      <c r="J612" s="14"/>
      <c r="K612" s="38"/>
      <c r="L612" s="38"/>
      <c r="M612" s="17"/>
    </row>
    <row r="613" spans="2:13" ht="14.45" customHeight="1" x14ac:dyDescent="0.25">
      <c r="B613" s="17"/>
      <c r="C613" s="14"/>
      <c r="D613" s="14"/>
      <c r="E613" s="18"/>
      <c r="F613" s="61"/>
      <c r="G613" s="73"/>
      <c r="H613" s="79"/>
      <c r="I613" s="79"/>
      <c r="J613" s="14"/>
      <c r="K613" s="38"/>
      <c r="L613" s="38"/>
      <c r="M613" s="17"/>
    </row>
    <row r="614" spans="2:13" ht="14.45" customHeight="1" x14ac:dyDescent="0.25">
      <c r="B614" s="17"/>
      <c r="C614" s="14"/>
      <c r="D614" s="14"/>
      <c r="E614" s="18"/>
      <c r="F614" s="61"/>
      <c r="G614" s="73"/>
      <c r="H614" s="79"/>
      <c r="I614" s="79"/>
      <c r="J614" s="14"/>
      <c r="K614" s="38"/>
      <c r="L614" s="38"/>
      <c r="M614" s="17"/>
    </row>
    <row r="615" spans="2:13" ht="14.45" customHeight="1" x14ac:dyDescent="0.25">
      <c r="B615" s="17"/>
      <c r="C615" s="14"/>
      <c r="D615" s="14"/>
      <c r="E615" s="18"/>
      <c r="F615" s="61"/>
      <c r="G615" s="73"/>
      <c r="H615" s="79"/>
      <c r="I615" s="79"/>
      <c r="J615" s="14"/>
      <c r="K615" s="38"/>
      <c r="L615" s="38"/>
      <c r="M615" s="17"/>
    </row>
    <row r="616" spans="2:13" ht="14.45" customHeight="1" x14ac:dyDescent="0.25">
      <c r="B616" s="17"/>
      <c r="C616" s="14"/>
      <c r="D616" s="14"/>
      <c r="E616" s="18"/>
      <c r="F616" s="61"/>
      <c r="G616" s="73"/>
      <c r="H616" s="79"/>
      <c r="I616" s="79"/>
      <c r="J616" s="14"/>
      <c r="K616" s="38"/>
      <c r="L616" s="38"/>
      <c r="M616" s="17"/>
    </row>
    <row r="617" spans="2:13" ht="14.45" customHeight="1" x14ac:dyDescent="0.25">
      <c r="B617" s="17"/>
      <c r="C617" s="14"/>
      <c r="D617" s="14"/>
      <c r="E617" s="18"/>
      <c r="F617" s="61"/>
      <c r="G617" s="73"/>
      <c r="H617" s="79"/>
      <c r="I617" s="79"/>
      <c r="J617" s="14"/>
      <c r="K617" s="38"/>
      <c r="L617" s="38"/>
      <c r="M617" s="17"/>
    </row>
    <row r="618" spans="2:13" ht="14.45" customHeight="1" x14ac:dyDescent="0.25">
      <c r="B618" s="17"/>
      <c r="C618" s="14"/>
      <c r="D618" s="14"/>
      <c r="E618" s="18"/>
      <c r="F618" s="61"/>
      <c r="G618" s="73"/>
      <c r="H618" s="79"/>
      <c r="I618" s="79"/>
      <c r="J618" s="14"/>
      <c r="K618" s="38"/>
      <c r="L618" s="38"/>
      <c r="M618" s="17"/>
    </row>
    <row r="619" spans="2:13" ht="14.45" customHeight="1" x14ac:dyDescent="0.25">
      <c r="B619" s="17"/>
      <c r="C619" s="14"/>
      <c r="D619" s="14"/>
      <c r="E619" s="18"/>
      <c r="F619" s="61"/>
      <c r="G619" s="73"/>
      <c r="H619" s="79"/>
      <c r="I619" s="79"/>
      <c r="J619" s="14"/>
      <c r="K619" s="38"/>
      <c r="L619" s="38"/>
      <c r="M619" s="17"/>
    </row>
    <row r="620" spans="2:13" ht="14.45" customHeight="1" x14ac:dyDescent="0.25">
      <c r="B620" s="17"/>
      <c r="C620" s="14"/>
      <c r="D620" s="14"/>
      <c r="E620" s="18"/>
      <c r="F620" s="61"/>
      <c r="G620" s="73"/>
      <c r="H620" s="79"/>
      <c r="I620" s="79"/>
      <c r="J620" s="14"/>
      <c r="K620" s="38"/>
      <c r="L620" s="38"/>
      <c r="M620" s="17"/>
    </row>
    <row r="621" spans="2:13" ht="14.45" customHeight="1" x14ac:dyDescent="0.25">
      <c r="B621" s="17"/>
      <c r="C621" s="14"/>
      <c r="D621" s="14"/>
      <c r="E621" s="18"/>
      <c r="F621" s="61"/>
      <c r="G621" s="73"/>
      <c r="H621" s="79"/>
      <c r="I621" s="79"/>
      <c r="J621" s="14"/>
      <c r="K621" s="38"/>
      <c r="L621" s="38"/>
      <c r="M621" s="17"/>
    </row>
    <row r="622" spans="2:13" ht="14.45" customHeight="1" x14ac:dyDescent="0.25">
      <c r="B622" s="17"/>
      <c r="C622" s="14"/>
      <c r="D622" s="14"/>
      <c r="E622" s="18"/>
      <c r="F622" s="61"/>
      <c r="G622" s="73"/>
      <c r="H622" s="79"/>
      <c r="I622" s="79"/>
      <c r="J622" s="14"/>
      <c r="K622" s="38"/>
      <c r="L622" s="38"/>
      <c r="M622" s="17"/>
    </row>
    <row r="623" spans="2:13" ht="14.45" customHeight="1" x14ac:dyDescent="0.25">
      <c r="B623" s="17"/>
      <c r="C623" s="14"/>
      <c r="D623" s="14"/>
      <c r="E623" s="18"/>
      <c r="F623" s="61"/>
      <c r="G623" s="73"/>
      <c r="H623" s="79"/>
      <c r="I623" s="79"/>
      <c r="J623" s="14"/>
      <c r="K623" s="38"/>
      <c r="L623" s="38"/>
      <c r="M623" s="17"/>
    </row>
    <row r="624" spans="2:13" ht="14.45" customHeight="1" x14ac:dyDescent="0.25">
      <c r="B624" s="17"/>
      <c r="C624" s="14"/>
      <c r="D624" s="14"/>
      <c r="E624" s="18"/>
      <c r="F624" s="61"/>
      <c r="G624" s="73"/>
      <c r="H624" s="79"/>
      <c r="I624" s="79"/>
      <c r="J624" s="14"/>
      <c r="K624" s="38"/>
      <c r="L624" s="38"/>
      <c r="M624" s="17"/>
    </row>
    <row r="625" spans="2:13" ht="14.45" customHeight="1" x14ac:dyDescent="0.25">
      <c r="B625" s="17"/>
      <c r="C625" s="14"/>
      <c r="D625" s="14"/>
      <c r="E625" s="18"/>
      <c r="F625" s="61"/>
      <c r="G625" s="73"/>
      <c r="H625" s="79"/>
      <c r="I625" s="79"/>
      <c r="J625" s="14"/>
      <c r="K625" s="38"/>
      <c r="L625" s="38"/>
      <c r="M625" s="17"/>
    </row>
    <row r="626" spans="2:13" ht="14.45" customHeight="1" x14ac:dyDescent="0.25">
      <c r="B626" s="17"/>
      <c r="C626" s="14"/>
      <c r="D626" s="14"/>
      <c r="E626" s="18"/>
      <c r="F626" s="61"/>
      <c r="G626" s="73"/>
      <c r="H626" s="79"/>
      <c r="I626" s="79"/>
      <c r="J626" s="14"/>
      <c r="K626" s="38"/>
      <c r="L626" s="38"/>
      <c r="M626" s="17"/>
    </row>
    <row r="627" spans="2:13" ht="14.45" customHeight="1" x14ac:dyDescent="0.25">
      <c r="B627" s="17"/>
      <c r="C627" s="14"/>
      <c r="D627" s="14"/>
      <c r="E627" s="18"/>
      <c r="F627" s="61"/>
      <c r="G627" s="73"/>
      <c r="H627" s="79"/>
      <c r="I627" s="79"/>
      <c r="J627" s="14"/>
      <c r="K627" s="38"/>
      <c r="L627" s="38"/>
      <c r="M627" s="17"/>
    </row>
    <row r="628" spans="2:13" ht="14.45" customHeight="1" x14ac:dyDescent="0.25">
      <c r="B628" s="17"/>
      <c r="C628" s="14"/>
      <c r="D628" s="14"/>
      <c r="E628" s="18"/>
      <c r="F628" s="61"/>
      <c r="G628" s="73"/>
      <c r="H628" s="79"/>
      <c r="I628" s="79"/>
      <c r="J628" s="14"/>
      <c r="K628" s="38"/>
      <c r="L628" s="38"/>
      <c r="M628" s="17"/>
    </row>
    <row r="629" spans="2:13" ht="14.45" customHeight="1" x14ac:dyDescent="0.25">
      <c r="B629" s="17"/>
      <c r="C629" s="14"/>
      <c r="D629" s="14"/>
      <c r="E629" s="18"/>
      <c r="F629" s="61"/>
      <c r="G629" s="73"/>
      <c r="H629" s="79"/>
      <c r="I629" s="79"/>
      <c r="J629" s="14"/>
      <c r="K629" s="38"/>
      <c r="L629" s="38"/>
      <c r="M629" s="17"/>
    </row>
    <row r="630" spans="2:13" ht="14.45" customHeight="1" x14ac:dyDescent="0.25">
      <c r="B630" s="17"/>
      <c r="C630" s="14"/>
      <c r="D630" s="14"/>
      <c r="E630" s="18"/>
      <c r="F630" s="61"/>
      <c r="G630" s="73"/>
      <c r="H630" s="79"/>
      <c r="I630" s="79"/>
      <c r="J630" s="14"/>
      <c r="K630" s="38"/>
      <c r="L630" s="38"/>
      <c r="M630" s="17"/>
    </row>
    <row r="631" spans="2:13" ht="14.45" customHeight="1" x14ac:dyDescent="0.25">
      <c r="B631" s="17"/>
      <c r="C631" s="14"/>
      <c r="D631" s="14"/>
      <c r="E631" s="18"/>
      <c r="F631" s="61"/>
      <c r="G631" s="73"/>
      <c r="H631" s="79"/>
      <c r="I631" s="79"/>
      <c r="J631" s="14"/>
      <c r="K631" s="38"/>
      <c r="L631" s="38"/>
      <c r="M631" s="17"/>
    </row>
    <row r="632" spans="2:13" ht="14.45" customHeight="1" x14ac:dyDescent="0.25">
      <c r="B632" s="17"/>
      <c r="C632" s="14"/>
      <c r="D632" s="14"/>
      <c r="E632" s="18"/>
      <c r="F632" s="61"/>
      <c r="G632" s="73"/>
      <c r="H632" s="79"/>
      <c r="I632" s="79"/>
      <c r="J632" s="14"/>
      <c r="K632" s="38"/>
      <c r="L632" s="38"/>
      <c r="M632" s="17"/>
    </row>
    <row r="633" spans="2:13" ht="14.45" customHeight="1" x14ac:dyDescent="0.25">
      <c r="B633" s="17"/>
      <c r="C633" s="14"/>
      <c r="D633" s="14"/>
      <c r="E633" s="18"/>
      <c r="F633" s="61"/>
      <c r="G633" s="73"/>
      <c r="H633" s="79"/>
      <c r="I633" s="79"/>
      <c r="J633" s="14"/>
      <c r="K633" s="38"/>
      <c r="L633" s="38"/>
      <c r="M633" s="17"/>
    </row>
    <row r="634" spans="2:13" ht="14.45" customHeight="1" x14ac:dyDescent="0.25">
      <c r="B634" s="17"/>
      <c r="C634" s="14"/>
      <c r="D634" s="14"/>
      <c r="E634" s="18"/>
      <c r="F634" s="61"/>
      <c r="G634" s="73"/>
      <c r="H634" s="79"/>
      <c r="I634" s="79"/>
      <c r="J634" s="14"/>
      <c r="K634" s="38"/>
      <c r="L634" s="38"/>
      <c r="M634" s="17"/>
    </row>
    <row r="635" spans="2:13" ht="14.45" customHeight="1" x14ac:dyDescent="0.25">
      <c r="B635" s="17"/>
      <c r="C635" s="14"/>
      <c r="D635" s="14"/>
      <c r="E635" s="18"/>
      <c r="F635" s="61"/>
      <c r="G635" s="73"/>
      <c r="H635" s="79"/>
      <c r="I635" s="79"/>
      <c r="J635" s="14"/>
      <c r="K635" s="38"/>
      <c r="L635" s="38"/>
      <c r="M635" s="17"/>
    </row>
    <row r="636" spans="2:13" ht="14.45" customHeight="1" x14ac:dyDescent="0.25">
      <c r="B636" s="17"/>
      <c r="C636" s="14"/>
      <c r="D636" s="14"/>
      <c r="E636" s="18"/>
      <c r="F636" s="61"/>
      <c r="G636" s="73"/>
      <c r="H636" s="79"/>
      <c r="I636" s="79"/>
      <c r="J636" s="14"/>
      <c r="K636" s="38"/>
      <c r="L636" s="38"/>
      <c r="M636" s="17"/>
    </row>
    <row r="637" spans="2:13" ht="14.45" customHeight="1" x14ac:dyDescent="0.25">
      <c r="B637" s="17"/>
      <c r="C637" s="14"/>
      <c r="D637" s="14"/>
      <c r="E637" s="18"/>
      <c r="F637" s="61"/>
      <c r="G637" s="73"/>
      <c r="H637" s="79"/>
      <c r="I637" s="79"/>
      <c r="J637" s="14"/>
      <c r="K637" s="38"/>
      <c r="L637" s="38"/>
      <c r="M637" s="17"/>
    </row>
    <row r="638" spans="2:13" ht="14.45" customHeight="1" x14ac:dyDescent="0.25">
      <c r="B638" s="17"/>
      <c r="C638" s="14"/>
      <c r="D638" s="14"/>
      <c r="E638" s="18"/>
      <c r="F638" s="61"/>
      <c r="G638" s="73"/>
      <c r="H638" s="79"/>
      <c r="I638" s="79"/>
      <c r="J638" s="14"/>
      <c r="K638" s="38"/>
      <c r="L638" s="38"/>
      <c r="M638" s="17"/>
    </row>
    <row r="639" spans="2:13" ht="14.45" customHeight="1" x14ac:dyDescent="0.25">
      <c r="B639" s="17"/>
      <c r="C639" s="14"/>
      <c r="D639" s="14"/>
      <c r="E639" s="18"/>
      <c r="F639" s="61"/>
      <c r="G639" s="73"/>
      <c r="H639" s="79"/>
      <c r="I639" s="79"/>
      <c r="J639" s="14"/>
      <c r="K639" s="38"/>
      <c r="L639" s="38"/>
      <c r="M639" s="17"/>
    </row>
    <row r="640" spans="2:13" ht="14.45" customHeight="1" x14ac:dyDescent="0.25">
      <c r="B640" s="17"/>
      <c r="C640" s="14"/>
      <c r="D640" s="14"/>
      <c r="E640" s="18"/>
      <c r="F640" s="61"/>
      <c r="G640" s="73"/>
      <c r="H640" s="79"/>
      <c r="I640" s="79"/>
      <c r="J640" s="14"/>
      <c r="K640" s="38"/>
      <c r="L640" s="38"/>
      <c r="M640" s="17"/>
    </row>
    <row r="641" spans="2:13" ht="14.45" customHeight="1" x14ac:dyDescent="0.25">
      <c r="B641" s="17"/>
      <c r="C641" s="14"/>
      <c r="D641" s="14"/>
      <c r="E641" s="18"/>
      <c r="F641" s="61"/>
      <c r="G641" s="73"/>
      <c r="H641" s="79"/>
      <c r="I641" s="79"/>
      <c r="J641" s="14"/>
      <c r="K641" s="38"/>
      <c r="L641" s="38"/>
      <c r="M641" s="17"/>
    </row>
    <row r="642" spans="2:13" ht="14.45" customHeight="1" x14ac:dyDescent="0.25">
      <c r="B642" s="17"/>
      <c r="C642" s="14"/>
      <c r="D642" s="14"/>
      <c r="E642" s="18"/>
      <c r="F642" s="61"/>
      <c r="G642" s="73"/>
      <c r="H642" s="79"/>
      <c r="I642" s="79"/>
      <c r="J642" s="14"/>
      <c r="K642" s="38"/>
      <c r="L642" s="38"/>
      <c r="M642" s="17"/>
    </row>
    <row r="643" spans="2:13" ht="14.45" customHeight="1" x14ac:dyDescent="0.25">
      <c r="B643" s="17"/>
      <c r="C643" s="14"/>
      <c r="D643" s="14"/>
      <c r="E643" s="18"/>
      <c r="F643" s="61"/>
      <c r="G643" s="73"/>
      <c r="H643" s="79"/>
      <c r="I643" s="79"/>
      <c r="J643" s="14"/>
      <c r="K643" s="38"/>
      <c r="L643" s="38"/>
      <c r="M643" s="17"/>
    </row>
    <row r="644" spans="2:13" ht="14.45" customHeight="1" x14ac:dyDescent="0.25">
      <c r="B644" s="17"/>
      <c r="C644" s="14"/>
      <c r="D644" s="14"/>
      <c r="E644" s="18"/>
      <c r="F644" s="61"/>
      <c r="G644" s="73"/>
      <c r="H644" s="79"/>
      <c r="I644" s="79"/>
      <c r="J644" s="14"/>
      <c r="K644" s="38"/>
      <c r="L644" s="38"/>
      <c r="M644" s="17"/>
    </row>
    <row r="645" spans="2:13" ht="14.45" customHeight="1" x14ac:dyDescent="0.25">
      <c r="B645" s="17"/>
      <c r="C645" s="14"/>
      <c r="D645" s="14"/>
      <c r="E645" s="18"/>
      <c r="F645" s="61"/>
      <c r="G645" s="73"/>
      <c r="H645" s="79"/>
      <c r="I645" s="79"/>
      <c r="J645" s="14"/>
      <c r="K645" s="38"/>
      <c r="L645" s="38"/>
      <c r="M645" s="17"/>
    </row>
    <row r="646" spans="2:13" ht="14.45" customHeight="1" x14ac:dyDescent="0.25">
      <c r="B646" s="17"/>
      <c r="C646" s="14"/>
      <c r="D646" s="14"/>
      <c r="E646" s="18"/>
      <c r="F646" s="61"/>
      <c r="G646" s="73"/>
      <c r="H646" s="79"/>
      <c r="I646" s="79"/>
      <c r="J646" s="14"/>
      <c r="K646" s="38"/>
      <c r="L646" s="38"/>
      <c r="M646" s="17"/>
    </row>
    <row r="647" spans="2:13" ht="14.45" customHeight="1" x14ac:dyDescent="0.25">
      <c r="B647" s="17"/>
      <c r="C647" s="14"/>
      <c r="D647" s="14"/>
      <c r="E647" s="18"/>
      <c r="F647" s="61"/>
      <c r="G647" s="73"/>
      <c r="H647" s="79"/>
      <c r="I647" s="79"/>
      <c r="J647" s="14"/>
      <c r="K647" s="38"/>
      <c r="L647" s="38"/>
      <c r="M647" s="17"/>
    </row>
    <row r="648" spans="2:13" ht="14.45" customHeight="1" x14ac:dyDescent="0.25">
      <c r="B648" s="17"/>
      <c r="C648" s="14"/>
      <c r="D648" s="14"/>
      <c r="E648" s="18"/>
      <c r="F648" s="61"/>
      <c r="G648" s="73"/>
      <c r="H648" s="79"/>
      <c r="I648" s="79"/>
      <c r="J648" s="14"/>
      <c r="K648" s="38"/>
      <c r="L648" s="38"/>
      <c r="M648" s="17"/>
    </row>
    <row r="649" spans="2:13" ht="14.45" customHeight="1" x14ac:dyDescent="0.25">
      <c r="B649" s="17"/>
      <c r="C649" s="14"/>
      <c r="D649" s="14"/>
      <c r="E649" s="18"/>
      <c r="F649" s="61"/>
      <c r="G649" s="73"/>
      <c r="H649" s="79"/>
      <c r="I649" s="79"/>
      <c r="J649" s="14"/>
      <c r="K649" s="38"/>
      <c r="L649" s="38"/>
      <c r="M649" s="17"/>
    </row>
    <row r="650" spans="2:13" ht="14.45" customHeight="1" x14ac:dyDescent="0.25">
      <c r="B650" s="17"/>
      <c r="C650" s="14"/>
      <c r="D650" s="14"/>
      <c r="E650" s="18"/>
      <c r="F650" s="61"/>
      <c r="G650" s="73"/>
      <c r="H650" s="79"/>
      <c r="I650" s="79"/>
      <c r="J650" s="14"/>
      <c r="K650" s="38"/>
      <c r="L650" s="38"/>
      <c r="M650" s="17"/>
    </row>
    <row r="651" spans="2:13" ht="14.45" customHeight="1" x14ac:dyDescent="0.25">
      <c r="B651" s="17"/>
      <c r="C651" s="14"/>
      <c r="D651" s="14"/>
      <c r="E651" s="18"/>
      <c r="F651" s="61"/>
      <c r="G651" s="73"/>
      <c r="H651" s="79"/>
      <c r="I651" s="79"/>
      <c r="J651" s="14"/>
      <c r="K651" s="38"/>
      <c r="L651" s="38"/>
      <c r="M651" s="17"/>
    </row>
    <row r="652" spans="2:13" ht="14.45" customHeight="1" x14ac:dyDescent="0.25">
      <c r="B652" s="17"/>
      <c r="C652" s="14"/>
      <c r="D652" s="14"/>
      <c r="E652" s="18"/>
      <c r="F652" s="61"/>
      <c r="G652" s="73"/>
      <c r="H652" s="79"/>
      <c r="I652" s="79"/>
      <c r="J652" s="14"/>
      <c r="K652" s="38"/>
      <c r="L652" s="38"/>
      <c r="M652" s="17"/>
    </row>
    <row r="653" spans="2:13" ht="14.45" customHeight="1" x14ac:dyDescent="0.25">
      <c r="B653" s="17"/>
      <c r="C653" s="14"/>
      <c r="D653" s="14"/>
      <c r="E653" s="18"/>
      <c r="F653" s="61"/>
      <c r="G653" s="73"/>
      <c r="H653" s="79"/>
      <c r="I653" s="79"/>
      <c r="J653" s="14"/>
      <c r="K653" s="38"/>
      <c r="L653" s="38"/>
      <c r="M653" s="17"/>
    </row>
    <row r="654" spans="2:13" ht="14.45" customHeight="1" x14ac:dyDescent="0.25">
      <c r="B654" s="17"/>
      <c r="C654" s="14"/>
      <c r="D654" s="14"/>
      <c r="E654" s="18"/>
      <c r="F654" s="61"/>
      <c r="G654" s="73"/>
      <c r="H654" s="79"/>
      <c r="I654" s="79"/>
      <c r="J654" s="14"/>
      <c r="K654" s="38"/>
      <c r="L654" s="38"/>
      <c r="M654" s="17"/>
    </row>
    <row r="655" spans="2:13" ht="14.45" customHeight="1" x14ac:dyDescent="0.25">
      <c r="B655" s="17"/>
      <c r="C655" s="14"/>
      <c r="D655" s="14"/>
      <c r="E655" s="18"/>
      <c r="F655" s="61"/>
      <c r="G655" s="73"/>
      <c r="H655" s="79"/>
      <c r="I655" s="79"/>
      <c r="J655" s="14"/>
      <c r="K655" s="38"/>
      <c r="L655" s="38"/>
      <c r="M655" s="17"/>
    </row>
    <row r="656" spans="2:13" ht="14.45" customHeight="1" x14ac:dyDescent="0.25">
      <c r="B656" s="17"/>
      <c r="C656" s="14"/>
      <c r="D656" s="14"/>
      <c r="E656" s="18"/>
      <c r="F656" s="61"/>
      <c r="G656" s="73"/>
      <c r="H656" s="79"/>
      <c r="I656" s="79"/>
      <c r="J656" s="14"/>
      <c r="K656" s="38"/>
      <c r="L656" s="38"/>
      <c r="M656" s="17"/>
    </row>
    <row r="657" spans="2:13" ht="14.45" customHeight="1" x14ac:dyDescent="0.25">
      <c r="B657" s="17"/>
      <c r="C657" s="14"/>
      <c r="D657" s="14"/>
      <c r="E657" s="18"/>
      <c r="F657" s="61"/>
      <c r="G657" s="73"/>
      <c r="H657" s="79"/>
      <c r="I657" s="79"/>
      <c r="J657" s="14"/>
      <c r="K657" s="38"/>
      <c r="L657" s="38"/>
      <c r="M657" s="17"/>
    </row>
    <row r="658" spans="2:13" ht="14.45" customHeight="1" x14ac:dyDescent="0.25">
      <c r="B658" s="17"/>
      <c r="C658" s="14"/>
      <c r="D658" s="14"/>
      <c r="E658" s="18"/>
      <c r="F658" s="61"/>
      <c r="G658" s="73"/>
      <c r="H658" s="79"/>
      <c r="I658" s="79"/>
      <c r="J658" s="14"/>
      <c r="K658" s="38"/>
      <c r="L658" s="38"/>
      <c r="M658" s="17"/>
    </row>
    <row r="659" spans="2:13" ht="14.45" customHeight="1" x14ac:dyDescent="0.25">
      <c r="B659" s="17"/>
      <c r="C659" s="14"/>
      <c r="D659" s="14"/>
      <c r="E659" s="18"/>
      <c r="F659" s="61"/>
      <c r="G659" s="73"/>
      <c r="H659" s="79"/>
      <c r="I659" s="79"/>
      <c r="J659" s="14"/>
      <c r="K659" s="38"/>
      <c r="L659" s="38"/>
      <c r="M659" s="17"/>
    </row>
    <row r="660" spans="2:13" ht="14.45" customHeight="1" x14ac:dyDescent="0.25">
      <c r="B660" s="17"/>
      <c r="C660" s="14"/>
      <c r="D660" s="14"/>
      <c r="E660" s="18"/>
      <c r="F660" s="61"/>
      <c r="G660" s="73"/>
      <c r="H660" s="79"/>
      <c r="I660" s="79"/>
      <c r="J660" s="14"/>
      <c r="K660" s="38"/>
      <c r="L660" s="38"/>
      <c r="M660" s="17"/>
    </row>
    <row r="661" spans="2:13" ht="14.45" customHeight="1" x14ac:dyDescent="0.25">
      <c r="B661" s="17"/>
      <c r="C661" s="14"/>
      <c r="D661" s="14"/>
      <c r="E661" s="18"/>
      <c r="F661" s="61"/>
      <c r="G661" s="73"/>
      <c r="H661" s="79"/>
      <c r="I661" s="79"/>
      <c r="J661" s="14"/>
      <c r="K661" s="38"/>
      <c r="L661" s="38"/>
      <c r="M661" s="17"/>
    </row>
    <row r="662" spans="2:13" ht="14.45" customHeight="1" x14ac:dyDescent="0.25">
      <c r="B662" s="17"/>
      <c r="C662" s="14"/>
      <c r="D662" s="14"/>
      <c r="E662" s="18"/>
      <c r="F662" s="61"/>
      <c r="G662" s="73"/>
      <c r="H662" s="79"/>
      <c r="I662" s="79"/>
      <c r="J662" s="14"/>
      <c r="K662" s="38"/>
      <c r="L662" s="38"/>
      <c r="M662" s="17"/>
    </row>
    <row r="663" spans="2:13" ht="14.45" customHeight="1" x14ac:dyDescent="0.25">
      <c r="B663" s="17"/>
      <c r="C663" s="14"/>
      <c r="D663" s="14"/>
      <c r="E663" s="18"/>
      <c r="F663" s="61"/>
      <c r="G663" s="73"/>
      <c r="H663" s="79"/>
      <c r="I663" s="79"/>
      <c r="J663" s="14"/>
      <c r="K663" s="38"/>
      <c r="L663" s="38"/>
      <c r="M663" s="17"/>
    </row>
    <row r="664" spans="2:13" ht="14.45" customHeight="1" x14ac:dyDescent="0.25">
      <c r="B664" s="17"/>
      <c r="C664" s="14"/>
      <c r="D664" s="14"/>
      <c r="E664" s="18"/>
      <c r="F664" s="61"/>
      <c r="G664" s="73"/>
      <c r="H664" s="79"/>
      <c r="I664" s="79"/>
      <c r="J664" s="14"/>
      <c r="K664" s="38"/>
      <c r="L664" s="38"/>
      <c r="M664" s="17"/>
    </row>
    <row r="665" spans="2:13" ht="14.45" customHeight="1" x14ac:dyDescent="0.25">
      <c r="B665" s="17"/>
      <c r="C665" s="14"/>
      <c r="D665" s="14"/>
      <c r="E665" s="18"/>
      <c r="F665" s="61"/>
      <c r="G665" s="73"/>
      <c r="H665" s="79"/>
      <c r="I665" s="79"/>
      <c r="J665" s="14"/>
      <c r="K665" s="38"/>
      <c r="L665" s="38"/>
      <c r="M665" s="17"/>
    </row>
    <row r="666" spans="2:13" ht="14.45" customHeight="1" x14ac:dyDescent="0.25">
      <c r="B666" s="17"/>
      <c r="C666" s="14"/>
      <c r="D666" s="14"/>
      <c r="E666" s="18"/>
      <c r="F666" s="61"/>
      <c r="G666" s="73"/>
      <c r="H666" s="79"/>
      <c r="I666" s="79"/>
      <c r="J666" s="14"/>
      <c r="K666" s="38"/>
      <c r="L666" s="38"/>
      <c r="M666" s="17"/>
    </row>
    <row r="667" spans="2:13" ht="14.45" customHeight="1" x14ac:dyDescent="0.25">
      <c r="B667" s="17"/>
      <c r="C667" s="14"/>
      <c r="D667" s="14"/>
      <c r="E667" s="18"/>
      <c r="F667" s="61"/>
      <c r="G667" s="73"/>
      <c r="H667" s="79"/>
      <c r="I667" s="79"/>
      <c r="J667" s="14"/>
      <c r="K667" s="38"/>
      <c r="L667" s="38"/>
      <c r="M667" s="17"/>
    </row>
    <row r="668" spans="2:13" ht="14.45" customHeight="1" x14ac:dyDescent="0.25">
      <c r="B668" s="17"/>
      <c r="C668" s="14"/>
      <c r="D668" s="14"/>
      <c r="E668" s="18"/>
      <c r="F668" s="61"/>
      <c r="G668" s="73"/>
      <c r="H668" s="79"/>
      <c r="I668" s="79"/>
      <c r="J668" s="14"/>
      <c r="K668" s="38"/>
      <c r="L668" s="38"/>
      <c r="M668" s="17"/>
    </row>
    <row r="669" spans="2:13" ht="14.45" customHeight="1" x14ac:dyDescent="0.25">
      <c r="B669" s="17"/>
      <c r="C669" s="14"/>
      <c r="D669" s="14"/>
      <c r="E669" s="18"/>
      <c r="F669" s="61"/>
      <c r="G669" s="73"/>
      <c r="H669" s="79"/>
      <c r="I669" s="79"/>
      <c r="J669" s="14"/>
      <c r="K669" s="38"/>
      <c r="L669" s="38"/>
      <c r="M669" s="17"/>
    </row>
    <row r="670" spans="2:13" ht="14.45" customHeight="1" x14ac:dyDescent="0.25">
      <c r="B670" s="17"/>
      <c r="C670" s="14"/>
      <c r="D670" s="14"/>
      <c r="E670" s="18"/>
      <c r="F670" s="61"/>
      <c r="G670" s="73"/>
      <c r="H670" s="79"/>
      <c r="I670" s="79"/>
      <c r="J670" s="14"/>
      <c r="K670" s="38"/>
      <c r="L670" s="38"/>
      <c r="M670" s="17"/>
    </row>
    <row r="671" spans="2:13" ht="14.45" customHeight="1" x14ac:dyDescent="0.25">
      <c r="B671" s="17"/>
      <c r="C671" s="14"/>
      <c r="D671" s="14"/>
      <c r="E671" s="18"/>
      <c r="F671" s="61"/>
      <c r="G671" s="73"/>
      <c r="H671" s="79"/>
      <c r="I671" s="79"/>
      <c r="J671" s="14"/>
      <c r="K671" s="38"/>
      <c r="L671" s="38"/>
      <c r="M671" s="17"/>
    </row>
    <row r="672" spans="2:13" ht="14.45" customHeight="1" x14ac:dyDescent="0.25">
      <c r="B672" s="17"/>
      <c r="C672" s="14"/>
      <c r="D672" s="14"/>
      <c r="E672" s="18"/>
      <c r="F672" s="61"/>
      <c r="G672" s="73"/>
      <c r="H672" s="79"/>
      <c r="I672" s="79"/>
      <c r="J672" s="14"/>
      <c r="K672" s="38"/>
      <c r="L672" s="38"/>
      <c r="M672" s="17"/>
    </row>
    <row r="673" spans="2:13" ht="14.45" customHeight="1" x14ac:dyDescent="0.25">
      <c r="B673" s="17"/>
      <c r="C673" s="14"/>
      <c r="D673" s="14"/>
      <c r="E673" s="18"/>
      <c r="F673" s="61"/>
      <c r="G673" s="73"/>
      <c r="H673" s="79"/>
      <c r="I673" s="79"/>
      <c r="J673" s="14"/>
      <c r="K673" s="38"/>
      <c r="L673" s="38"/>
      <c r="M673" s="17"/>
    </row>
    <row r="674" spans="2:13" ht="14.45" customHeight="1" x14ac:dyDescent="0.25">
      <c r="B674" s="17"/>
      <c r="C674" s="14"/>
      <c r="D674" s="14"/>
      <c r="E674" s="18"/>
      <c r="F674" s="61"/>
      <c r="G674" s="73"/>
      <c r="H674" s="79"/>
      <c r="I674" s="79"/>
      <c r="J674" s="14"/>
      <c r="K674" s="38"/>
      <c r="L674" s="38"/>
      <c r="M674" s="17"/>
    </row>
    <row r="675" spans="2:13" ht="14.45" customHeight="1" x14ac:dyDescent="0.25">
      <c r="B675" s="17"/>
      <c r="C675" s="14"/>
      <c r="D675" s="14"/>
      <c r="E675" s="18"/>
      <c r="F675" s="61"/>
      <c r="G675" s="73"/>
      <c r="H675" s="79"/>
      <c r="I675" s="79"/>
      <c r="J675" s="14"/>
      <c r="K675" s="38"/>
      <c r="L675" s="38"/>
      <c r="M675" s="17"/>
    </row>
    <row r="676" spans="2:13" ht="14.45" customHeight="1" x14ac:dyDescent="0.25">
      <c r="B676" s="17"/>
      <c r="C676" s="14"/>
      <c r="D676" s="14"/>
      <c r="E676" s="18"/>
      <c r="F676" s="61"/>
      <c r="G676" s="73"/>
      <c r="H676" s="79"/>
      <c r="I676" s="79"/>
      <c r="J676" s="14"/>
      <c r="K676" s="38"/>
      <c r="L676" s="38"/>
      <c r="M676" s="17"/>
    </row>
    <row r="677" spans="2:13" ht="14.45" customHeight="1" x14ac:dyDescent="0.25">
      <c r="B677" s="17"/>
      <c r="C677" s="14"/>
      <c r="D677" s="14"/>
      <c r="E677" s="18"/>
      <c r="F677" s="61"/>
      <c r="G677" s="73"/>
      <c r="H677" s="79"/>
      <c r="I677" s="79"/>
      <c r="J677" s="14"/>
      <c r="K677" s="38"/>
      <c r="L677" s="38"/>
      <c r="M677" s="17"/>
    </row>
    <row r="678" spans="2:13" ht="14.45" customHeight="1" x14ac:dyDescent="0.25">
      <c r="B678" s="17"/>
      <c r="C678" s="14"/>
      <c r="D678" s="14"/>
      <c r="E678" s="18"/>
      <c r="F678" s="61"/>
      <c r="G678" s="73"/>
      <c r="H678" s="79"/>
      <c r="I678" s="79"/>
      <c r="J678" s="14"/>
      <c r="K678" s="38"/>
      <c r="L678" s="38"/>
      <c r="M678" s="17"/>
    </row>
    <row r="679" spans="2:13" ht="14.45" customHeight="1" x14ac:dyDescent="0.25">
      <c r="B679" s="17"/>
      <c r="C679" s="14"/>
      <c r="D679" s="14"/>
      <c r="E679" s="18"/>
      <c r="F679" s="61"/>
      <c r="G679" s="73"/>
      <c r="H679" s="79"/>
      <c r="I679" s="79"/>
      <c r="J679" s="14"/>
      <c r="K679" s="38"/>
      <c r="L679" s="38"/>
      <c r="M679" s="17"/>
    </row>
    <row r="680" spans="2:13" ht="14.45" customHeight="1" x14ac:dyDescent="0.25">
      <c r="B680" s="17"/>
      <c r="C680" s="14"/>
      <c r="D680" s="14"/>
      <c r="E680" s="18"/>
      <c r="F680" s="61"/>
      <c r="G680" s="73"/>
      <c r="H680" s="79"/>
      <c r="I680" s="79"/>
      <c r="J680" s="14"/>
      <c r="K680" s="38"/>
      <c r="L680" s="38"/>
      <c r="M680" s="17"/>
    </row>
    <row r="681" spans="2:13" ht="14.45" customHeight="1" x14ac:dyDescent="0.25">
      <c r="B681" s="17"/>
      <c r="C681" s="14"/>
      <c r="D681" s="14"/>
      <c r="E681" s="18"/>
      <c r="F681" s="61"/>
      <c r="G681" s="73"/>
      <c r="H681" s="79"/>
      <c r="I681" s="79"/>
      <c r="J681" s="14"/>
      <c r="K681" s="38"/>
      <c r="L681" s="38"/>
      <c r="M681" s="17"/>
    </row>
    <row r="682" spans="2:13" ht="14.45" customHeight="1" x14ac:dyDescent="0.25">
      <c r="B682" s="17"/>
      <c r="C682" s="14"/>
      <c r="D682" s="14"/>
      <c r="E682" s="18"/>
      <c r="F682" s="61"/>
      <c r="G682" s="73"/>
      <c r="H682" s="79"/>
      <c r="I682" s="79"/>
      <c r="J682" s="14"/>
      <c r="K682" s="38"/>
      <c r="L682" s="38"/>
      <c r="M682" s="17"/>
    </row>
    <row r="683" spans="2:13" ht="14.45" customHeight="1" x14ac:dyDescent="0.25">
      <c r="B683" s="17"/>
      <c r="C683" s="14"/>
      <c r="D683" s="14"/>
      <c r="E683" s="18"/>
      <c r="F683" s="61"/>
      <c r="G683" s="73"/>
      <c r="H683" s="79"/>
      <c r="I683" s="79"/>
      <c r="J683" s="14"/>
      <c r="K683" s="38"/>
      <c r="L683" s="38"/>
      <c r="M683" s="17"/>
    </row>
    <row r="684" spans="2:13" ht="14.45" customHeight="1" x14ac:dyDescent="0.25">
      <c r="B684" s="17"/>
      <c r="C684" s="14"/>
      <c r="D684" s="14"/>
      <c r="E684" s="18"/>
      <c r="F684" s="61"/>
      <c r="G684" s="73"/>
      <c r="H684" s="79"/>
      <c r="I684" s="79"/>
      <c r="J684" s="14"/>
      <c r="K684" s="38"/>
      <c r="L684" s="38"/>
      <c r="M684" s="17"/>
    </row>
    <row r="685" spans="2:13" ht="14.45" customHeight="1" x14ac:dyDescent="0.25">
      <c r="B685" s="17"/>
      <c r="C685" s="14"/>
      <c r="D685" s="14"/>
      <c r="E685" s="18"/>
      <c r="F685" s="61"/>
      <c r="G685" s="73"/>
      <c r="H685" s="79"/>
      <c r="I685" s="79"/>
      <c r="J685" s="14"/>
      <c r="K685" s="38"/>
      <c r="L685" s="38"/>
      <c r="M685" s="17"/>
    </row>
    <row r="686" spans="2:13" ht="14.45" customHeight="1" x14ac:dyDescent="0.25">
      <c r="B686" s="17"/>
      <c r="C686" s="14"/>
      <c r="D686" s="14"/>
      <c r="E686" s="18"/>
      <c r="F686" s="61"/>
      <c r="G686" s="73"/>
      <c r="H686" s="79"/>
      <c r="I686" s="79"/>
      <c r="J686" s="14"/>
      <c r="K686" s="38"/>
      <c r="L686" s="38"/>
      <c r="M686" s="17"/>
    </row>
    <row r="687" spans="2:13" ht="14.45" customHeight="1" x14ac:dyDescent="0.25">
      <c r="B687" s="17"/>
      <c r="C687" s="14"/>
      <c r="D687" s="14"/>
      <c r="E687" s="18"/>
      <c r="F687" s="61"/>
      <c r="G687" s="73"/>
      <c r="H687" s="79"/>
      <c r="I687" s="79"/>
      <c r="J687" s="14"/>
      <c r="K687" s="38"/>
      <c r="L687" s="38"/>
      <c r="M687" s="17"/>
    </row>
    <row r="688" spans="2:13" ht="14.45" customHeight="1" x14ac:dyDescent="0.25">
      <c r="B688" s="17"/>
      <c r="C688" s="14"/>
      <c r="D688" s="14"/>
      <c r="E688" s="18"/>
      <c r="F688" s="61"/>
      <c r="G688" s="73"/>
      <c r="H688" s="79"/>
      <c r="I688" s="79"/>
      <c r="J688" s="14"/>
      <c r="K688" s="38"/>
      <c r="L688" s="38"/>
      <c r="M688" s="17"/>
    </row>
    <row r="689" spans="2:13" ht="14.45" customHeight="1" x14ac:dyDescent="0.25">
      <c r="B689" s="17"/>
      <c r="C689" s="14"/>
      <c r="D689" s="14"/>
      <c r="E689" s="18"/>
      <c r="F689" s="61"/>
      <c r="G689" s="73"/>
      <c r="H689" s="79"/>
      <c r="I689" s="79"/>
      <c r="J689" s="14"/>
      <c r="K689" s="38"/>
      <c r="L689" s="38"/>
      <c r="M689" s="17"/>
    </row>
    <row r="690" spans="2:13" ht="14.45" customHeight="1" x14ac:dyDescent="0.25">
      <c r="B690" s="17"/>
      <c r="C690" s="14"/>
      <c r="D690" s="14"/>
      <c r="E690" s="18"/>
      <c r="F690" s="61"/>
      <c r="G690" s="73"/>
      <c r="H690" s="79"/>
      <c r="I690" s="79"/>
      <c r="J690" s="14"/>
      <c r="K690" s="38"/>
      <c r="L690" s="38"/>
      <c r="M690" s="17"/>
    </row>
    <row r="691" spans="2:13" ht="14.45" customHeight="1" x14ac:dyDescent="0.25">
      <c r="B691" s="17"/>
      <c r="C691" s="14"/>
      <c r="D691" s="14"/>
      <c r="E691" s="18"/>
      <c r="F691" s="61"/>
      <c r="G691" s="73"/>
      <c r="H691" s="79"/>
      <c r="I691" s="79"/>
      <c r="J691" s="14"/>
      <c r="K691" s="38"/>
      <c r="L691" s="38"/>
      <c r="M691" s="17"/>
    </row>
    <row r="692" spans="2:13" ht="14.45" customHeight="1" x14ac:dyDescent="0.25">
      <c r="B692" s="17"/>
      <c r="C692" s="14"/>
      <c r="D692" s="14"/>
      <c r="E692" s="18"/>
      <c r="F692" s="61"/>
      <c r="G692" s="73"/>
      <c r="H692" s="79"/>
      <c r="I692" s="79"/>
      <c r="J692" s="14"/>
      <c r="K692" s="38"/>
      <c r="L692" s="38"/>
      <c r="M692" s="17"/>
    </row>
    <row r="693" spans="2:13" ht="14.45" customHeight="1" x14ac:dyDescent="0.25">
      <c r="B693" s="17"/>
      <c r="C693" s="14"/>
      <c r="D693" s="14"/>
      <c r="E693" s="18"/>
      <c r="F693" s="61"/>
      <c r="G693" s="73"/>
      <c r="H693" s="79"/>
      <c r="I693" s="79"/>
      <c r="J693" s="14"/>
      <c r="K693" s="38"/>
      <c r="L693" s="38"/>
      <c r="M693" s="17"/>
    </row>
    <row r="694" spans="2:13" ht="14.45" customHeight="1" x14ac:dyDescent="0.25">
      <c r="B694" s="17"/>
      <c r="C694" s="14"/>
      <c r="D694" s="14"/>
      <c r="E694" s="18"/>
      <c r="F694" s="61"/>
      <c r="G694" s="73"/>
      <c r="H694" s="79"/>
      <c r="I694" s="79"/>
      <c r="J694" s="14"/>
      <c r="K694" s="38"/>
      <c r="L694" s="38"/>
      <c r="M694" s="17"/>
    </row>
    <row r="695" spans="2:13" ht="14.45" customHeight="1" x14ac:dyDescent="0.25">
      <c r="B695" s="17"/>
      <c r="C695" s="14"/>
      <c r="D695" s="14"/>
      <c r="E695" s="18"/>
      <c r="F695" s="61"/>
      <c r="G695" s="73"/>
      <c r="H695" s="79"/>
      <c r="I695" s="79"/>
      <c r="J695" s="14"/>
      <c r="K695" s="38"/>
      <c r="L695" s="38"/>
      <c r="M695" s="17"/>
    </row>
    <row r="696" spans="2:13" ht="14.45" customHeight="1" x14ac:dyDescent="0.25">
      <c r="B696" s="17"/>
      <c r="C696" s="14"/>
      <c r="D696" s="14"/>
      <c r="E696" s="18"/>
      <c r="F696" s="61"/>
      <c r="G696" s="73"/>
      <c r="H696" s="79"/>
      <c r="I696" s="79"/>
      <c r="J696" s="14"/>
      <c r="K696" s="38"/>
      <c r="L696" s="38"/>
      <c r="M696" s="17"/>
    </row>
    <row r="697" spans="2:13" ht="14.45" customHeight="1" x14ac:dyDescent="0.25">
      <c r="B697" s="17"/>
      <c r="C697" s="14"/>
      <c r="D697" s="14"/>
      <c r="E697" s="18"/>
      <c r="F697" s="61"/>
      <c r="G697" s="73"/>
      <c r="H697" s="79"/>
      <c r="I697" s="79"/>
      <c r="J697" s="14"/>
      <c r="K697" s="38"/>
      <c r="L697" s="38"/>
      <c r="M697" s="17"/>
    </row>
    <row r="698" spans="2:13" ht="14.45" customHeight="1" x14ac:dyDescent="0.25">
      <c r="B698" s="17"/>
      <c r="C698" s="14"/>
      <c r="D698" s="14"/>
      <c r="E698" s="18"/>
      <c r="F698" s="61"/>
      <c r="G698" s="73"/>
      <c r="H698" s="79"/>
      <c r="I698" s="79"/>
      <c r="J698" s="14"/>
      <c r="K698" s="38"/>
      <c r="L698" s="38"/>
      <c r="M698" s="17"/>
    </row>
    <row r="699" spans="2:13" ht="14.45" customHeight="1" x14ac:dyDescent="0.25">
      <c r="B699" s="17"/>
      <c r="C699" s="14"/>
      <c r="D699" s="14"/>
      <c r="E699" s="18"/>
      <c r="F699" s="61"/>
      <c r="G699" s="73"/>
      <c r="H699" s="79"/>
      <c r="I699" s="79"/>
      <c r="J699" s="14"/>
      <c r="K699" s="38"/>
      <c r="L699" s="38"/>
      <c r="M699" s="17"/>
    </row>
    <row r="700" spans="2:13" ht="14.45" customHeight="1" x14ac:dyDescent="0.25">
      <c r="B700" s="17"/>
      <c r="C700" s="14"/>
      <c r="D700" s="14"/>
      <c r="E700" s="18"/>
      <c r="F700" s="61"/>
      <c r="G700" s="73"/>
      <c r="H700" s="79"/>
      <c r="I700" s="79"/>
      <c r="J700" s="14"/>
      <c r="K700" s="38"/>
      <c r="L700" s="38"/>
      <c r="M700" s="17"/>
    </row>
    <row r="701" spans="2:13" ht="14.45" customHeight="1" x14ac:dyDescent="0.25">
      <c r="B701" s="17"/>
      <c r="C701" s="14"/>
      <c r="D701" s="14"/>
      <c r="E701" s="18"/>
      <c r="F701" s="61"/>
      <c r="G701" s="73"/>
      <c r="H701" s="79"/>
      <c r="I701" s="79"/>
      <c r="J701" s="14"/>
      <c r="K701" s="38"/>
      <c r="L701" s="38"/>
      <c r="M701" s="17"/>
    </row>
    <row r="702" spans="2:13" ht="14.45" customHeight="1" x14ac:dyDescent="0.25">
      <c r="B702" s="17"/>
      <c r="C702" s="14"/>
      <c r="D702" s="14"/>
      <c r="E702" s="18"/>
      <c r="F702" s="61"/>
      <c r="G702" s="73"/>
      <c r="H702" s="79"/>
      <c r="I702" s="79"/>
      <c r="J702" s="14"/>
      <c r="K702" s="38"/>
      <c r="L702" s="38"/>
      <c r="M702" s="17"/>
    </row>
    <row r="703" spans="2:13" ht="14.45" customHeight="1" x14ac:dyDescent="0.25">
      <c r="B703" s="17"/>
      <c r="C703" s="14"/>
      <c r="D703" s="14"/>
      <c r="E703" s="18"/>
      <c r="F703" s="61"/>
      <c r="G703" s="73"/>
      <c r="H703" s="79"/>
      <c r="I703" s="79"/>
      <c r="J703" s="14"/>
      <c r="K703" s="38"/>
      <c r="L703" s="38"/>
      <c r="M703" s="17"/>
    </row>
    <row r="704" spans="2:13" ht="14.45" customHeight="1" x14ac:dyDescent="0.25">
      <c r="B704" s="17"/>
      <c r="C704" s="14"/>
      <c r="D704" s="14"/>
      <c r="E704" s="18"/>
      <c r="F704" s="61"/>
      <c r="G704" s="73"/>
      <c r="H704" s="79"/>
      <c r="I704" s="79"/>
      <c r="J704" s="14"/>
      <c r="K704" s="38"/>
      <c r="L704" s="38"/>
      <c r="M704" s="17"/>
    </row>
    <row r="705" spans="2:13" ht="14.45" customHeight="1" x14ac:dyDescent="0.25">
      <c r="B705" s="17"/>
      <c r="C705" s="14"/>
      <c r="D705" s="14"/>
      <c r="E705" s="18"/>
      <c r="F705" s="61"/>
      <c r="G705" s="73"/>
      <c r="H705" s="79"/>
      <c r="I705" s="79"/>
      <c r="J705" s="14"/>
      <c r="K705" s="38"/>
      <c r="L705" s="38"/>
      <c r="M705" s="17"/>
    </row>
    <row r="706" spans="2:13" ht="14.45" customHeight="1" x14ac:dyDescent="0.25">
      <c r="B706" s="17"/>
      <c r="C706" s="14"/>
      <c r="D706" s="14"/>
      <c r="E706" s="18"/>
      <c r="F706" s="61"/>
      <c r="G706" s="73"/>
      <c r="H706" s="79"/>
      <c r="I706" s="79"/>
      <c r="J706" s="14"/>
      <c r="K706" s="38"/>
      <c r="L706" s="38"/>
      <c r="M706" s="17"/>
    </row>
    <row r="707" spans="2:13" ht="14.45" customHeight="1" x14ac:dyDescent="0.25">
      <c r="B707" s="17"/>
      <c r="C707" s="14"/>
      <c r="D707" s="14"/>
      <c r="E707" s="18"/>
      <c r="F707" s="61"/>
      <c r="G707" s="73"/>
      <c r="H707" s="79"/>
      <c r="I707" s="79"/>
      <c r="J707" s="14"/>
      <c r="K707" s="38"/>
      <c r="L707" s="38"/>
      <c r="M707" s="17"/>
    </row>
    <row r="708" spans="2:13" ht="14.45" customHeight="1" x14ac:dyDescent="0.25">
      <c r="B708" s="17"/>
      <c r="C708" s="14"/>
      <c r="D708" s="14"/>
      <c r="E708" s="18"/>
      <c r="F708" s="61"/>
      <c r="G708" s="73"/>
      <c r="H708" s="79"/>
      <c r="I708" s="79"/>
      <c r="J708" s="14"/>
      <c r="K708" s="38"/>
      <c r="L708" s="38"/>
      <c r="M708" s="17"/>
    </row>
    <row r="709" spans="2:13" ht="14.45" customHeight="1" x14ac:dyDescent="0.25">
      <c r="B709" s="17"/>
      <c r="C709" s="14"/>
      <c r="D709" s="14"/>
      <c r="E709" s="18"/>
      <c r="F709" s="61"/>
      <c r="G709" s="73"/>
      <c r="H709" s="79"/>
      <c r="I709" s="79"/>
      <c r="J709" s="14"/>
      <c r="K709" s="38"/>
      <c r="L709" s="38"/>
      <c r="M709" s="17"/>
    </row>
    <row r="710" spans="2:13" ht="14.45" customHeight="1" x14ac:dyDescent="0.25">
      <c r="B710" s="17"/>
      <c r="C710" s="14"/>
      <c r="D710" s="14"/>
      <c r="E710" s="18"/>
      <c r="F710" s="61"/>
      <c r="G710" s="73"/>
      <c r="H710" s="79"/>
      <c r="I710" s="79"/>
      <c r="J710" s="14"/>
      <c r="K710" s="38"/>
      <c r="L710" s="38"/>
      <c r="M710" s="17"/>
    </row>
    <row r="711" spans="2:13" ht="14.45" customHeight="1" x14ac:dyDescent="0.25">
      <c r="B711" s="17"/>
      <c r="C711" s="14"/>
      <c r="D711" s="14"/>
      <c r="E711" s="18"/>
      <c r="F711" s="61"/>
      <c r="G711" s="73"/>
      <c r="H711" s="79"/>
      <c r="I711" s="79"/>
      <c r="J711" s="14"/>
      <c r="K711" s="38"/>
      <c r="L711" s="38"/>
      <c r="M711" s="17"/>
    </row>
    <row r="712" spans="2:13" ht="14.45" customHeight="1" x14ac:dyDescent="0.25">
      <c r="B712" s="17"/>
      <c r="C712" s="14"/>
      <c r="D712" s="14"/>
      <c r="E712" s="18"/>
      <c r="F712" s="61"/>
      <c r="G712" s="73"/>
      <c r="H712" s="79"/>
      <c r="I712" s="79"/>
      <c r="J712" s="14"/>
      <c r="K712" s="38"/>
      <c r="L712" s="38"/>
      <c r="M712" s="17"/>
    </row>
    <row r="713" spans="2:13" ht="14.45" customHeight="1" x14ac:dyDescent="0.25">
      <c r="B713" s="17"/>
      <c r="C713" s="14"/>
      <c r="D713" s="14"/>
      <c r="E713" s="18"/>
      <c r="F713" s="61"/>
      <c r="G713" s="73"/>
      <c r="H713" s="79"/>
      <c r="I713" s="79"/>
      <c r="J713" s="14"/>
      <c r="K713" s="38"/>
      <c r="L713" s="38"/>
      <c r="M713" s="17"/>
    </row>
    <row r="714" spans="2:13" ht="14.45" customHeight="1" x14ac:dyDescent="0.25">
      <c r="B714" s="17"/>
      <c r="C714" s="14"/>
      <c r="D714" s="14"/>
      <c r="E714" s="18"/>
      <c r="F714" s="61"/>
      <c r="G714" s="73"/>
      <c r="H714" s="79"/>
      <c r="I714" s="79"/>
      <c r="J714" s="14"/>
      <c r="K714" s="38"/>
      <c r="L714" s="38"/>
      <c r="M714" s="17"/>
    </row>
    <row r="715" spans="2:13" ht="14.45" customHeight="1" x14ac:dyDescent="0.25">
      <c r="B715" s="17"/>
      <c r="C715" s="14"/>
      <c r="D715" s="14"/>
      <c r="E715" s="18"/>
      <c r="F715" s="61"/>
      <c r="G715" s="73"/>
      <c r="H715" s="79"/>
      <c r="I715" s="79"/>
      <c r="J715" s="14"/>
      <c r="K715" s="38"/>
      <c r="L715" s="38"/>
      <c r="M715" s="17"/>
    </row>
    <row r="716" spans="2:13" ht="14.45" customHeight="1" x14ac:dyDescent="0.25">
      <c r="B716" s="17"/>
      <c r="C716" s="14"/>
      <c r="D716" s="14"/>
      <c r="E716" s="18"/>
      <c r="F716" s="61"/>
      <c r="G716" s="73"/>
      <c r="H716" s="79"/>
      <c r="I716" s="79"/>
      <c r="J716" s="14"/>
      <c r="K716" s="38"/>
      <c r="L716" s="38"/>
      <c r="M716" s="17"/>
    </row>
    <row r="717" spans="2:13" ht="14.45" customHeight="1" x14ac:dyDescent="0.25">
      <c r="B717" s="17"/>
      <c r="C717" s="14"/>
      <c r="D717" s="14"/>
      <c r="E717" s="18"/>
      <c r="F717" s="61"/>
      <c r="G717" s="73"/>
      <c r="H717" s="79"/>
      <c r="I717" s="79"/>
      <c r="J717" s="14"/>
      <c r="K717" s="38"/>
      <c r="L717" s="38"/>
      <c r="M717" s="17"/>
    </row>
    <row r="718" spans="2:13" ht="14.45" customHeight="1" x14ac:dyDescent="0.25">
      <c r="B718" s="17"/>
      <c r="C718" s="14"/>
      <c r="D718" s="14"/>
      <c r="E718" s="18"/>
      <c r="F718" s="61"/>
      <c r="G718" s="73"/>
      <c r="H718" s="79"/>
      <c r="I718" s="79"/>
      <c r="J718" s="14"/>
      <c r="K718" s="38"/>
      <c r="L718" s="38"/>
      <c r="M718" s="17"/>
    </row>
    <row r="719" spans="2:13" ht="14.45" customHeight="1" x14ac:dyDescent="0.25">
      <c r="B719" s="17"/>
      <c r="C719" s="14"/>
      <c r="D719" s="14"/>
      <c r="E719" s="18"/>
      <c r="F719" s="61"/>
      <c r="G719" s="73"/>
      <c r="H719" s="79"/>
      <c r="I719" s="79"/>
      <c r="J719" s="14"/>
      <c r="K719" s="38"/>
      <c r="L719" s="38"/>
      <c r="M719" s="17"/>
    </row>
    <row r="720" spans="2:13" ht="14.45" customHeight="1" x14ac:dyDescent="0.25">
      <c r="B720" s="17"/>
      <c r="C720" s="14"/>
      <c r="D720" s="14"/>
      <c r="E720" s="18"/>
      <c r="F720" s="61"/>
      <c r="G720" s="73"/>
      <c r="H720" s="79"/>
      <c r="I720" s="79"/>
      <c r="J720" s="14"/>
      <c r="K720" s="38"/>
      <c r="L720" s="38"/>
      <c r="M720" s="17"/>
    </row>
    <row r="721" spans="2:13" ht="14.45" customHeight="1" x14ac:dyDescent="0.25">
      <c r="B721" s="17"/>
      <c r="C721" s="14"/>
      <c r="D721" s="14"/>
      <c r="E721" s="18"/>
      <c r="F721" s="61"/>
      <c r="G721" s="73"/>
      <c r="H721" s="79"/>
      <c r="I721" s="79"/>
      <c r="J721" s="14"/>
      <c r="K721" s="38"/>
      <c r="L721" s="38"/>
      <c r="M721" s="17"/>
    </row>
    <row r="722" spans="2:13" ht="14.45" customHeight="1" x14ac:dyDescent="0.25">
      <c r="B722" s="17"/>
      <c r="C722" s="14"/>
      <c r="D722" s="14"/>
      <c r="E722" s="18"/>
      <c r="F722" s="61"/>
      <c r="G722" s="73"/>
      <c r="H722" s="79"/>
      <c r="I722" s="79"/>
      <c r="J722" s="14"/>
      <c r="K722" s="38"/>
      <c r="L722" s="38"/>
      <c r="M722" s="17"/>
    </row>
    <row r="723" spans="2:13" ht="14.45" customHeight="1" x14ac:dyDescent="0.25">
      <c r="B723" s="17"/>
      <c r="C723" s="14"/>
      <c r="D723" s="14"/>
      <c r="E723" s="18"/>
      <c r="F723" s="61"/>
      <c r="G723" s="73"/>
      <c r="H723" s="79"/>
      <c r="I723" s="79"/>
      <c r="J723" s="14"/>
      <c r="K723" s="38"/>
      <c r="L723" s="38"/>
      <c r="M723" s="17"/>
    </row>
    <row r="724" spans="2:13" ht="14.45" customHeight="1" x14ac:dyDescent="0.25">
      <c r="B724" s="17"/>
      <c r="C724" s="14"/>
      <c r="D724" s="14"/>
      <c r="E724" s="18"/>
      <c r="F724" s="61"/>
      <c r="G724" s="73"/>
      <c r="H724" s="79"/>
      <c r="I724" s="79"/>
      <c r="J724" s="14"/>
      <c r="K724" s="38"/>
      <c r="L724" s="38"/>
      <c r="M724" s="17"/>
    </row>
    <row r="725" spans="2:13" ht="14.45" customHeight="1" x14ac:dyDescent="0.25">
      <c r="B725" s="17"/>
      <c r="C725" s="14"/>
      <c r="D725" s="14"/>
      <c r="E725" s="18"/>
      <c r="F725" s="61"/>
      <c r="G725" s="73"/>
      <c r="H725" s="79"/>
      <c r="I725" s="79"/>
      <c r="J725" s="14"/>
      <c r="K725" s="38"/>
      <c r="L725" s="38"/>
      <c r="M725" s="17"/>
    </row>
    <row r="726" spans="2:13" ht="14.45" customHeight="1" x14ac:dyDescent="0.25">
      <c r="B726" s="17"/>
      <c r="C726" s="14"/>
      <c r="D726" s="14"/>
      <c r="E726" s="18"/>
      <c r="F726" s="61"/>
      <c r="G726" s="73"/>
      <c r="H726" s="79"/>
      <c r="I726" s="79"/>
      <c r="J726" s="14"/>
      <c r="K726" s="38"/>
      <c r="L726" s="38"/>
      <c r="M726" s="17"/>
    </row>
    <row r="727" spans="2:13" ht="14.45" customHeight="1" x14ac:dyDescent="0.25">
      <c r="B727" s="17"/>
      <c r="C727" s="14"/>
      <c r="D727" s="14"/>
      <c r="E727" s="18"/>
      <c r="F727" s="61"/>
      <c r="G727" s="73"/>
      <c r="H727" s="79"/>
      <c r="I727" s="79"/>
      <c r="J727" s="14"/>
      <c r="K727" s="38"/>
      <c r="L727" s="38"/>
      <c r="M727" s="17"/>
    </row>
    <row r="728" spans="2:13" ht="14.45" customHeight="1" x14ac:dyDescent="0.25">
      <c r="B728" s="17"/>
      <c r="C728" s="14"/>
      <c r="D728" s="14"/>
      <c r="E728" s="18"/>
      <c r="F728" s="61"/>
      <c r="G728" s="73"/>
      <c r="H728" s="79"/>
      <c r="I728" s="79"/>
      <c r="J728" s="14"/>
      <c r="K728" s="38"/>
      <c r="L728" s="38"/>
      <c r="M728" s="17"/>
    </row>
    <row r="729" spans="2:13" ht="14.45" customHeight="1" x14ac:dyDescent="0.25">
      <c r="B729" s="17"/>
      <c r="C729" s="14"/>
      <c r="D729" s="14"/>
      <c r="E729" s="18"/>
      <c r="F729" s="61"/>
      <c r="G729" s="73"/>
      <c r="H729" s="79"/>
      <c r="I729" s="79"/>
      <c r="J729" s="14"/>
      <c r="K729" s="38"/>
      <c r="L729" s="38"/>
      <c r="M729" s="17"/>
    </row>
    <row r="730" spans="2:13" ht="14.45" customHeight="1" x14ac:dyDescent="0.25">
      <c r="B730" s="17"/>
      <c r="C730" s="14"/>
      <c r="D730" s="14"/>
      <c r="E730" s="18"/>
      <c r="F730" s="61"/>
      <c r="G730" s="73"/>
      <c r="H730" s="79"/>
      <c r="I730" s="79"/>
      <c r="J730" s="14"/>
      <c r="K730" s="38"/>
      <c r="L730" s="38"/>
      <c r="M730" s="17"/>
    </row>
    <row r="731" spans="2:13" ht="14.45" customHeight="1" x14ac:dyDescent="0.25">
      <c r="B731" s="17"/>
      <c r="C731" s="14"/>
      <c r="D731" s="14"/>
      <c r="E731" s="18"/>
      <c r="F731" s="61"/>
      <c r="G731" s="73"/>
      <c r="H731" s="79"/>
      <c r="I731" s="79"/>
      <c r="J731" s="14"/>
      <c r="K731" s="38"/>
      <c r="L731" s="38"/>
      <c r="M731" s="17"/>
    </row>
    <row r="732" spans="2:13" ht="14.45" customHeight="1" x14ac:dyDescent="0.25">
      <c r="B732" s="17"/>
      <c r="C732" s="14"/>
      <c r="D732" s="14"/>
      <c r="E732" s="18"/>
      <c r="F732" s="61"/>
      <c r="G732" s="73"/>
      <c r="H732" s="79"/>
      <c r="I732" s="79"/>
      <c r="J732" s="14"/>
      <c r="K732" s="38"/>
      <c r="L732" s="38"/>
      <c r="M732" s="17"/>
    </row>
    <row r="733" spans="2:13" ht="14.45" customHeight="1" x14ac:dyDescent="0.25">
      <c r="B733" s="17"/>
      <c r="C733" s="14"/>
      <c r="D733" s="14"/>
      <c r="E733" s="18"/>
      <c r="F733" s="61"/>
      <c r="G733" s="73"/>
      <c r="H733" s="79"/>
      <c r="I733" s="79"/>
      <c r="J733" s="14"/>
      <c r="K733" s="38"/>
      <c r="L733" s="38"/>
      <c r="M733" s="17"/>
    </row>
    <row r="734" spans="2:13" ht="14.45" customHeight="1" x14ac:dyDescent="0.25">
      <c r="B734" s="17"/>
      <c r="C734" s="14"/>
      <c r="D734" s="14"/>
      <c r="E734" s="18"/>
      <c r="F734" s="61"/>
      <c r="G734" s="73"/>
      <c r="H734" s="79"/>
      <c r="I734" s="79"/>
      <c r="J734" s="14"/>
      <c r="K734" s="38"/>
      <c r="L734" s="38"/>
      <c r="M734" s="17"/>
    </row>
    <row r="735" spans="2:13" ht="14.45" customHeight="1" x14ac:dyDescent="0.25">
      <c r="B735" s="17"/>
      <c r="C735" s="14"/>
      <c r="D735" s="14"/>
      <c r="E735" s="18"/>
      <c r="F735" s="61"/>
      <c r="G735" s="73"/>
      <c r="H735" s="79"/>
      <c r="I735" s="79"/>
      <c r="J735" s="14"/>
      <c r="K735" s="38"/>
      <c r="L735" s="38"/>
      <c r="M735" s="17"/>
    </row>
    <row r="736" spans="2:13" ht="14.45" customHeight="1" x14ac:dyDescent="0.25">
      <c r="B736" s="17"/>
      <c r="C736" s="14"/>
      <c r="D736" s="14"/>
      <c r="E736" s="18"/>
      <c r="F736" s="61"/>
      <c r="G736" s="73"/>
      <c r="H736" s="79"/>
      <c r="I736" s="79"/>
      <c r="J736" s="14"/>
      <c r="K736" s="38"/>
      <c r="L736" s="38"/>
      <c r="M736" s="17"/>
    </row>
    <row r="737" spans="2:13" ht="14.45" customHeight="1" x14ac:dyDescent="0.25">
      <c r="B737" s="17"/>
      <c r="C737" s="14"/>
      <c r="D737" s="14"/>
      <c r="E737" s="18"/>
      <c r="F737" s="61"/>
      <c r="G737" s="73"/>
      <c r="H737" s="79"/>
      <c r="I737" s="79"/>
      <c r="J737" s="14"/>
      <c r="K737" s="38"/>
      <c r="L737" s="38"/>
      <c r="M737" s="17"/>
    </row>
    <row r="738" spans="2:13" ht="14.45" customHeight="1" x14ac:dyDescent="0.25">
      <c r="B738" s="17"/>
      <c r="C738" s="14"/>
      <c r="D738" s="14"/>
      <c r="E738" s="18"/>
      <c r="F738" s="61"/>
      <c r="G738" s="73"/>
      <c r="H738" s="79"/>
      <c r="I738" s="79"/>
      <c r="J738" s="14"/>
      <c r="K738" s="38"/>
      <c r="L738" s="38"/>
      <c r="M738" s="17"/>
    </row>
    <row r="739" spans="2:13" ht="14.45" customHeight="1" x14ac:dyDescent="0.25">
      <c r="B739" s="17"/>
      <c r="C739" s="14"/>
      <c r="D739" s="14"/>
      <c r="E739" s="18"/>
      <c r="F739" s="61"/>
      <c r="G739" s="73"/>
      <c r="H739" s="79"/>
      <c r="I739" s="79"/>
      <c r="J739" s="14"/>
      <c r="K739" s="38"/>
      <c r="L739" s="38"/>
      <c r="M739" s="17"/>
    </row>
    <row r="740" spans="2:13" ht="14.45" customHeight="1" x14ac:dyDescent="0.25">
      <c r="B740" s="17"/>
      <c r="C740" s="14"/>
      <c r="D740" s="14"/>
      <c r="E740" s="18"/>
      <c r="F740" s="61"/>
      <c r="G740" s="73"/>
      <c r="H740" s="79"/>
      <c r="I740" s="79"/>
      <c r="J740" s="14"/>
      <c r="K740" s="38"/>
      <c r="L740" s="38"/>
      <c r="M740" s="17"/>
    </row>
    <row r="741" spans="2:13" ht="14.45" customHeight="1" x14ac:dyDescent="0.25">
      <c r="B741" s="17"/>
      <c r="C741" s="14"/>
      <c r="D741" s="14"/>
      <c r="E741" s="18"/>
      <c r="F741" s="61"/>
      <c r="G741" s="73"/>
      <c r="H741" s="79"/>
      <c r="I741" s="79"/>
      <c r="J741" s="14"/>
      <c r="K741" s="38"/>
      <c r="L741" s="38"/>
      <c r="M741" s="17"/>
    </row>
    <row r="742" spans="2:13" ht="14.45" customHeight="1" x14ac:dyDescent="0.25">
      <c r="B742" s="17"/>
      <c r="C742" s="14"/>
      <c r="D742" s="14"/>
      <c r="E742" s="18"/>
      <c r="F742" s="61"/>
      <c r="G742" s="73"/>
      <c r="H742" s="79"/>
      <c r="I742" s="79"/>
      <c r="J742" s="14"/>
      <c r="K742" s="38"/>
      <c r="L742" s="38"/>
      <c r="M742" s="17"/>
    </row>
    <row r="743" spans="2:13" ht="14.45" customHeight="1" x14ac:dyDescent="0.25">
      <c r="B743" s="17"/>
      <c r="C743" s="14"/>
      <c r="D743" s="14"/>
      <c r="E743" s="18"/>
      <c r="F743" s="61"/>
      <c r="G743" s="73"/>
      <c r="H743" s="79"/>
      <c r="I743" s="79"/>
      <c r="J743" s="14"/>
      <c r="K743" s="38"/>
      <c r="L743" s="38"/>
      <c r="M743" s="17"/>
    </row>
    <row r="744" spans="2:13" ht="14.45" customHeight="1" x14ac:dyDescent="0.25">
      <c r="B744" s="17"/>
      <c r="C744" s="14"/>
      <c r="D744" s="14"/>
      <c r="E744" s="18"/>
      <c r="F744" s="61"/>
      <c r="G744" s="73"/>
      <c r="H744" s="79"/>
      <c r="I744" s="79"/>
      <c r="J744" s="14"/>
      <c r="K744" s="38"/>
      <c r="L744" s="38"/>
      <c r="M744" s="17"/>
    </row>
    <row r="745" spans="2:13" ht="14.45" customHeight="1" x14ac:dyDescent="0.25">
      <c r="B745" s="17"/>
      <c r="C745" s="14"/>
      <c r="D745" s="14"/>
      <c r="E745" s="18"/>
      <c r="F745" s="61"/>
      <c r="G745" s="73"/>
      <c r="H745" s="79"/>
      <c r="I745" s="79"/>
      <c r="J745" s="14"/>
      <c r="K745" s="38"/>
      <c r="L745" s="38"/>
      <c r="M745" s="17"/>
    </row>
    <row r="746" spans="2:13" ht="14.45" customHeight="1" x14ac:dyDescent="0.25">
      <c r="B746" s="17"/>
      <c r="C746" s="14"/>
      <c r="D746" s="14"/>
      <c r="E746" s="18"/>
      <c r="F746" s="61"/>
      <c r="G746" s="73"/>
      <c r="H746" s="79"/>
      <c r="I746" s="79"/>
      <c r="J746" s="14"/>
      <c r="K746" s="38"/>
      <c r="L746" s="38"/>
      <c r="M746" s="17"/>
    </row>
    <row r="747" spans="2:13" ht="14.45" customHeight="1" x14ac:dyDescent="0.25">
      <c r="B747" s="17"/>
      <c r="C747" s="14"/>
      <c r="D747" s="14"/>
      <c r="E747" s="18"/>
      <c r="F747" s="61"/>
      <c r="G747" s="73"/>
      <c r="H747" s="79"/>
      <c r="I747" s="79"/>
      <c r="J747" s="14"/>
      <c r="K747" s="38"/>
      <c r="L747" s="38"/>
      <c r="M747" s="17"/>
    </row>
    <row r="748" spans="2:13" ht="14.45" customHeight="1" x14ac:dyDescent="0.25">
      <c r="B748" s="17"/>
      <c r="C748" s="14"/>
      <c r="D748" s="14"/>
      <c r="E748" s="18"/>
      <c r="F748" s="61"/>
      <c r="G748" s="73"/>
      <c r="H748" s="79"/>
      <c r="I748" s="79"/>
      <c r="J748" s="14"/>
      <c r="K748" s="38"/>
      <c r="L748" s="38"/>
      <c r="M748" s="17"/>
    </row>
    <row r="749" spans="2:13" ht="14.45" customHeight="1" x14ac:dyDescent="0.25">
      <c r="B749" s="17"/>
      <c r="C749" s="14"/>
      <c r="D749" s="14"/>
      <c r="E749" s="18"/>
      <c r="F749" s="61"/>
      <c r="G749" s="73"/>
      <c r="H749" s="79"/>
      <c r="I749" s="79"/>
      <c r="J749" s="14"/>
      <c r="K749" s="38"/>
      <c r="L749" s="38"/>
      <c r="M749" s="17"/>
    </row>
    <row r="750" spans="2:13" ht="14.45" customHeight="1" x14ac:dyDescent="0.25">
      <c r="B750" s="17"/>
      <c r="C750" s="14"/>
      <c r="D750" s="14"/>
      <c r="E750" s="18"/>
      <c r="F750" s="61"/>
      <c r="G750" s="73"/>
      <c r="H750" s="79"/>
      <c r="I750" s="79"/>
      <c r="J750" s="14"/>
      <c r="K750" s="38"/>
      <c r="L750" s="38"/>
      <c r="M750" s="17"/>
    </row>
    <row r="751" spans="2:13" ht="14.45" customHeight="1" x14ac:dyDescent="0.25">
      <c r="B751" s="17"/>
      <c r="C751" s="14"/>
      <c r="D751" s="14"/>
      <c r="E751" s="18"/>
      <c r="F751" s="61"/>
      <c r="G751" s="73"/>
      <c r="H751" s="79"/>
      <c r="I751" s="79"/>
      <c r="J751" s="14"/>
      <c r="K751" s="38"/>
      <c r="L751" s="38"/>
      <c r="M751" s="17"/>
    </row>
    <row r="752" spans="2:13" ht="14.45" customHeight="1" x14ac:dyDescent="0.25">
      <c r="B752" s="17"/>
      <c r="C752" s="14"/>
      <c r="D752" s="14"/>
      <c r="E752" s="18"/>
      <c r="F752" s="61"/>
      <c r="G752" s="73"/>
      <c r="H752" s="79"/>
      <c r="I752" s="79"/>
      <c r="J752" s="14"/>
      <c r="K752" s="38"/>
      <c r="L752" s="38"/>
      <c r="M752" s="17"/>
    </row>
    <row r="753" spans="2:13" ht="14.45" customHeight="1" x14ac:dyDescent="0.25">
      <c r="B753" s="17"/>
      <c r="C753" s="14"/>
      <c r="D753" s="14"/>
      <c r="E753" s="18"/>
      <c r="F753" s="61"/>
      <c r="G753" s="73"/>
      <c r="H753" s="79"/>
      <c r="I753" s="79"/>
      <c r="J753" s="14"/>
      <c r="K753" s="38"/>
      <c r="L753" s="38"/>
      <c r="M753" s="17"/>
    </row>
    <row r="754" spans="2:13" ht="14.45" customHeight="1" x14ac:dyDescent="0.25">
      <c r="B754" s="17"/>
      <c r="C754" s="14"/>
      <c r="D754" s="14"/>
      <c r="E754" s="18"/>
      <c r="F754" s="61"/>
      <c r="G754" s="73"/>
      <c r="H754" s="79"/>
      <c r="I754" s="79"/>
      <c r="J754" s="14"/>
      <c r="K754" s="38"/>
      <c r="L754" s="38"/>
      <c r="M754" s="17"/>
    </row>
    <row r="755" spans="2:13" ht="14.45" customHeight="1" x14ac:dyDescent="0.25">
      <c r="B755" s="17"/>
      <c r="C755" s="14"/>
      <c r="D755" s="14"/>
      <c r="E755" s="18"/>
      <c r="F755" s="61"/>
      <c r="G755" s="73"/>
      <c r="H755" s="79"/>
      <c r="I755" s="79"/>
      <c r="J755" s="14"/>
      <c r="K755" s="38"/>
      <c r="L755" s="38"/>
      <c r="M755" s="17"/>
    </row>
    <row r="756" spans="2:13" ht="14.45" customHeight="1" x14ac:dyDescent="0.25">
      <c r="B756" s="17"/>
      <c r="C756" s="14"/>
      <c r="D756" s="14"/>
      <c r="E756" s="18"/>
      <c r="F756" s="61"/>
      <c r="G756" s="73"/>
      <c r="H756" s="79"/>
      <c r="I756" s="79"/>
      <c r="J756" s="14"/>
      <c r="K756" s="38"/>
      <c r="L756" s="38"/>
      <c r="M756" s="17"/>
    </row>
    <row r="757" spans="2:13" ht="14.45" customHeight="1" x14ac:dyDescent="0.25">
      <c r="B757" s="17"/>
      <c r="C757" s="14"/>
      <c r="D757" s="14"/>
      <c r="E757" s="18"/>
      <c r="F757" s="61"/>
      <c r="G757" s="73"/>
      <c r="H757" s="79"/>
      <c r="I757" s="79"/>
      <c r="J757" s="14"/>
      <c r="K757" s="38"/>
      <c r="L757" s="38"/>
      <c r="M757" s="17"/>
    </row>
    <row r="758" spans="2:13" ht="14.45" customHeight="1" x14ac:dyDescent="0.25">
      <c r="B758" s="17"/>
      <c r="C758" s="14"/>
      <c r="D758" s="14"/>
      <c r="E758" s="18"/>
      <c r="F758" s="61"/>
      <c r="G758" s="73"/>
      <c r="H758" s="79"/>
      <c r="I758" s="79"/>
      <c r="J758" s="14"/>
      <c r="K758" s="38"/>
      <c r="L758" s="38"/>
      <c r="M758" s="17"/>
    </row>
    <row r="759" spans="2:13" ht="14.45" customHeight="1" x14ac:dyDescent="0.25">
      <c r="B759" s="17"/>
      <c r="C759" s="14"/>
      <c r="D759" s="14"/>
      <c r="E759" s="18"/>
      <c r="F759" s="61"/>
      <c r="G759" s="73"/>
      <c r="H759" s="79"/>
      <c r="I759" s="79"/>
      <c r="J759" s="14"/>
      <c r="K759" s="38"/>
      <c r="L759" s="38"/>
      <c r="M759" s="17"/>
    </row>
    <row r="760" spans="2:13" ht="14.45" customHeight="1" x14ac:dyDescent="0.25">
      <c r="B760" s="17"/>
      <c r="C760" s="14"/>
      <c r="D760" s="14"/>
      <c r="E760" s="18"/>
      <c r="F760" s="61"/>
      <c r="G760" s="73"/>
      <c r="H760" s="79"/>
      <c r="I760" s="79"/>
      <c r="J760" s="14"/>
      <c r="K760" s="38"/>
      <c r="L760" s="38"/>
      <c r="M760" s="17"/>
    </row>
    <row r="761" spans="2:13" ht="14.45" customHeight="1" x14ac:dyDescent="0.25">
      <c r="B761" s="17"/>
      <c r="C761" s="14"/>
      <c r="D761" s="14"/>
      <c r="E761" s="18"/>
      <c r="F761" s="61"/>
      <c r="G761" s="73"/>
      <c r="H761" s="79"/>
      <c r="I761" s="79"/>
      <c r="J761" s="14"/>
      <c r="K761" s="38"/>
      <c r="L761" s="38"/>
      <c r="M761" s="17"/>
    </row>
    <row r="762" spans="2:13" ht="14.45" customHeight="1" x14ac:dyDescent="0.25">
      <c r="B762" s="17"/>
      <c r="C762" s="14"/>
      <c r="D762" s="14"/>
      <c r="E762" s="18"/>
      <c r="F762" s="61"/>
      <c r="G762" s="73"/>
      <c r="H762" s="79"/>
      <c r="I762" s="79"/>
      <c r="J762" s="14"/>
      <c r="K762" s="38"/>
      <c r="L762" s="38"/>
      <c r="M762" s="17"/>
    </row>
    <row r="763" spans="2:13" ht="14.45" customHeight="1" x14ac:dyDescent="0.25">
      <c r="B763" s="17"/>
      <c r="C763" s="14"/>
      <c r="D763" s="14"/>
      <c r="E763" s="18"/>
      <c r="F763" s="61"/>
      <c r="G763" s="73"/>
      <c r="H763" s="79"/>
      <c r="I763" s="79"/>
      <c r="J763" s="14"/>
      <c r="K763" s="38"/>
      <c r="L763" s="38"/>
      <c r="M763" s="17"/>
    </row>
    <row r="764" spans="2:13" ht="14.45" customHeight="1" x14ac:dyDescent="0.25">
      <c r="B764" s="17"/>
      <c r="C764" s="14"/>
      <c r="D764" s="14"/>
      <c r="E764" s="18"/>
      <c r="F764" s="61"/>
      <c r="G764" s="73"/>
      <c r="H764" s="79"/>
      <c r="I764" s="79"/>
      <c r="J764" s="14"/>
      <c r="K764" s="38"/>
      <c r="L764" s="38"/>
      <c r="M764" s="17"/>
    </row>
    <row r="765" spans="2:13" ht="14.45" customHeight="1" x14ac:dyDescent="0.25">
      <c r="B765" s="17"/>
      <c r="C765" s="14"/>
      <c r="D765" s="14"/>
      <c r="E765" s="18"/>
      <c r="F765" s="61"/>
      <c r="G765" s="73"/>
      <c r="H765" s="79"/>
      <c r="I765" s="79"/>
      <c r="J765" s="14"/>
      <c r="K765" s="38"/>
      <c r="L765" s="38"/>
      <c r="M765" s="17"/>
    </row>
    <row r="766" spans="2:13" ht="14.45" customHeight="1" x14ac:dyDescent="0.25">
      <c r="B766" s="17"/>
      <c r="C766" s="14"/>
      <c r="D766" s="14"/>
      <c r="E766" s="18"/>
      <c r="F766" s="61"/>
      <c r="G766" s="73"/>
      <c r="H766" s="79"/>
      <c r="I766" s="79"/>
      <c r="J766" s="14"/>
      <c r="K766" s="38"/>
      <c r="L766" s="38"/>
      <c r="M766" s="17"/>
    </row>
    <row r="767" spans="2:13" ht="14.45" customHeight="1" x14ac:dyDescent="0.25">
      <c r="B767" s="17"/>
      <c r="C767" s="14"/>
      <c r="D767" s="14"/>
      <c r="E767" s="18"/>
      <c r="F767" s="61"/>
      <c r="G767" s="73"/>
      <c r="H767" s="79"/>
      <c r="I767" s="79"/>
      <c r="J767" s="14"/>
      <c r="K767" s="38"/>
      <c r="L767" s="38"/>
      <c r="M767" s="17"/>
    </row>
    <row r="768" spans="2:13" ht="14.45" customHeight="1" x14ac:dyDescent="0.25">
      <c r="B768" s="17"/>
      <c r="C768" s="14"/>
      <c r="D768" s="14"/>
      <c r="E768" s="18"/>
      <c r="F768" s="61"/>
      <c r="G768" s="73"/>
      <c r="H768" s="79"/>
      <c r="I768" s="79"/>
      <c r="J768" s="14"/>
      <c r="K768" s="38"/>
      <c r="L768" s="38"/>
      <c r="M768" s="17"/>
    </row>
    <row r="769" spans="2:13" ht="14.45" customHeight="1" x14ac:dyDescent="0.25">
      <c r="B769" s="17"/>
      <c r="C769" s="14"/>
      <c r="D769" s="14"/>
      <c r="E769" s="18"/>
      <c r="F769" s="61"/>
      <c r="G769" s="73"/>
      <c r="H769" s="79"/>
      <c r="I769" s="79"/>
      <c r="J769" s="14"/>
      <c r="K769" s="38"/>
      <c r="L769" s="38"/>
      <c r="M769" s="17"/>
    </row>
    <row r="770" spans="2:13" ht="14.45" customHeight="1" x14ac:dyDescent="0.25">
      <c r="B770" s="17"/>
      <c r="C770" s="14"/>
      <c r="D770" s="14"/>
      <c r="E770" s="18"/>
      <c r="F770" s="61"/>
      <c r="G770" s="73"/>
      <c r="H770" s="79"/>
      <c r="I770" s="79"/>
      <c r="J770" s="14"/>
      <c r="K770" s="38"/>
      <c r="L770" s="38"/>
      <c r="M770" s="17"/>
    </row>
    <row r="771" spans="2:13" ht="14.45" customHeight="1" x14ac:dyDescent="0.25">
      <c r="B771" s="17"/>
      <c r="C771" s="14"/>
      <c r="D771" s="14"/>
      <c r="E771" s="18"/>
      <c r="F771" s="61"/>
      <c r="G771" s="73"/>
      <c r="H771" s="79"/>
      <c r="I771" s="79"/>
      <c r="J771" s="14"/>
      <c r="K771" s="38"/>
      <c r="L771" s="38"/>
      <c r="M771" s="17"/>
    </row>
    <row r="772" spans="2:13" ht="14.45" customHeight="1" x14ac:dyDescent="0.25">
      <c r="B772" s="17"/>
      <c r="C772" s="14"/>
      <c r="D772" s="14"/>
      <c r="E772" s="18"/>
      <c r="F772" s="61"/>
      <c r="G772" s="73"/>
      <c r="H772" s="79"/>
      <c r="I772" s="79"/>
      <c r="J772" s="14"/>
      <c r="K772" s="38"/>
      <c r="L772" s="38"/>
      <c r="M772" s="17"/>
    </row>
    <row r="773" spans="2:13" ht="14.45" customHeight="1" x14ac:dyDescent="0.25">
      <c r="B773" s="17"/>
      <c r="C773" s="14"/>
      <c r="D773" s="14"/>
      <c r="E773" s="18"/>
      <c r="F773" s="61"/>
      <c r="G773" s="73"/>
      <c r="H773" s="79"/>
      <c r="I773" s="79"/>
      <c r="J773" s="14"/>
      <c r="K773" s="38"/>
      <c r="L773" s="38"/>
      <c r="M773" s="17"/>
    </row>
    <row r="774" spans="2:13" ht="14.45" customHeight="1" x14ac:dyDescent="0.25">
      <c r="B774" s="17"/>
      <c r="C774" s="14"/>
      <c r="D774" s="14"/>
      <c r="E774" s="18"/>
      <c r="F774" s="61"/>
      <c r="G774" s="73"/>
      <c r="H774" s="79"/>
      <c r="I774" s="79"/>
      <c r="J774" s="14"/>
      <c r="K774" s="38"/>
      <c r="L774" s="38"/>
      <c r="M774" s="17"/>
    </row>
    <row r="775" spans="2:13" ht="14.45" customHeight="1" x14ac:dyDescent="0.25">
      <c r="B775" s="17"/>
      <c r="C775" s="14"/>
      <c r="D775" s="14"/>
      <c r="E775" s="18"/>
      <c r="F775" s="61"/>
      <c r="G775" s="73"/>
      <c r="H775" s="79"/>
      <c r="I775" s="79"/>
      <c r="J775" s="14"/>
      <c r="K775" s="38"/>
      <c r="L775" s="38"/>
      <c r="M775" s="17"/>
    </row>
    <row r="776" spans="2:13" ht="14.45" customHeight="1" x14ac:dyDescent="0.25">
      <c r="B776" s="17"/>
      <c r="C776" s="14"/>
      <c r="D776" s="14"/>
      <c r="E776" s="18"/>
      <c r="F776" s="61"/>
      <c r="G776" s="73"/>
      <c r="H776" s="79"/>
      <c r="I776" s="79"/>
      <c r="J776" s="14"/>
      <c r="K776" s="38"/>
      <c r="L776" s="38"/>
      <c r="M776" s="17"/>
    </row>
    <row r="777" spans="2:13" ht="14.45" customHeight="1" x14ac:dyDescent="0.25">
      <c r="B777" s="17"/>
      <c r="C777" s="14"/>
      <c r="D777" s="14"/>
      <c r="E777" s="18"/>
      <c r="F777" s="61"/>
      <c r="G777" s="73"/>
      <c r="H777" s="79"/>
      <c r="I777" s="79"/>
      <c r="J777" s="14"/>
      <c r="K777" s="38"/>
      <c r="L777" s="38"/>
      <c r="M777" s="17"/>
    </row>
    <row r="778" spans="2:13" ht="14.45" customHeight="1" x14ac:dyDescent="0.25">
      <c r="B778" s="17"/>
      <c r="C778" s="14"/>
      <c r="D778" s="14"/>
      <c r="E778" s="18"/>
      <c r="F778" s="61"/>
      <c r="G778" s="73"/>
      <c r="H778" s="79"/>
      <c r="I778" s="79"/>
      <c r="J778" s="14"/>
      <c r="K778" s="38"/>
      <c r="L778" s="38"/>
      <c r="M778" s="17"/>
    </row>
    <row r="779" spans="2:13" ht="14.45" customHeight="1" x14ac:dyDescent="0.25">
      <c r="B779" s="17"/>
      <c r="C779" s="14"/>
      <c r="D779" s="14"/>
      <c r="E779" s="18"/>
      <c r="F779" s="61"/>
      <c r="G779" s="73"/>
      <c r="H779" s="79"/>
      <c r="I779" s="79"/>
      <c r="J779" s="14"/>
      <c r="K779" s="38"/>
      <c r="L779" s="38"/>
      <c r="M779" s="17"/>
    </row>
    <row r="780" spans="2:13" ht="14.45" customHeight="1" x14ac:dyDescent="0.25">
      <c r="B780" s="17"/>
      <c r="C780" s="14"/>
      <c r="D780" s="14"/>
      <c r="E780" s="18"/>
      <c r="F780" s="61"/>
      <c r="G780" s="73"/>
      <c r="H780" s="79"/>
      <c r="I780" s="79"/>
      <c r="J780" s="14"/>
      <c r="K780" s="38"/>
      <c r="L780" s="38"/>
      <c r="M780" s="17"/>
    </row>
    <row r="781" spans="2:13" ht="14.45" customHeight="1" x14ac:dyDescent="0.25">
      <c r="B781" s="17"/>
      <c r="C781" s="14"/>
      <c r="D781" s="14"/>
      <c r="E781" s="18"/>
      <c r="F781" s="61"/>
      <c r="G781" s="73"/>
      <c r="H781" s="79"/>
      <c r="I781" s="79"/>
      <c r="J781" s="14"/>
      <c r="K781" s="38"/>
      <c r="L781" s="38"/>
      <c r="M781" s="17"/>
    </row>
    <row r="782" spans="2:13" ht="14.45" customHeight="1" x14ac:dyDescent="0.25">
      <c r="B782" s="17"/>
      <c r="C782" s="14"/>
      <c r="D782" s="14"/>
      <c r="E782" s="18"/>
      <c r="F782" s="61"/>
      <c r="G782" s="73"/>
      <c r="H782" s="79"/>
      <c r="I782" s="79"/>
      <c r="J782" s="14"/>
      <c r="K782" s="38"/>
      <c r="L782" s="38"/>
      <c r="M782" s="17"/>
    </row>
    <row r="783" spans="2:13" ht="14.45" customHeight="1" x14ac:dyDescent="0.25">
      <c r="B783" s="17"/>
      <c r="C783" s="14"/>
      <c r="D783" s="14"/>
      <c r="E783" s="18"/>
      <c r="F783" s="61"/>
      <c r="G783" s="73"/>
      <c r="H783" s="79"/>
      <c r="I783" s="79"/>
      <c r="J783" s="14"/>
      <c r="K783" s="38"/>
      <c r="L783" s="38"/>
      <c r="M783" s="17"/>
    </row>
    <row r="784" spans="2:13" ht="14.45" customHeight="1" x14ac:dyDescent="0.25">
      <c r="B784" s="17"/>
      <c r="C784" s="14"/>
      <c r="D784" s="14"/>
      <c r="E784" s="18"/>
      <c r="F784" s="61"/>
      <c r="G784" s="73"/>
      <c r="H784" s="79"/>
      <c r="I784" s="79"/>
      <c r="J784" s="14"/>
      <c r="K784" s="38"/>
      <c r="L784" s="38"/>
      <c r="M784" s="17"/>
    </row>
    <row r="785" spans="2:13" ht="14.45" customHeight="1" x14ac:dyDescent="0.25">
      <c r="B785" s="17"/>
      <c r="C785" s="14"/>
      <c r="D785" s="14"/>
      <c r="E785" s="18"/>
      <c r="F785" s="61"/>
      <c r="G785" s="73"/>
      <c r="H785" s="79"/>
      <c r="I785" s="79"/>
      <c r="J785" s="14"/>
      <c r="K785" s="38"/>
      <c r="L785" s="38"/>
      <c r="M785" s="17"/>
    </row>
    <row r="786" spans="2:13" ht="14.45" customHeight="1" x14ac:dyDescent="0.25">
      <c r="B786" s="17"/>
      <c r="C786" s="14"/>
      <c r="D786" s="14"/>
      <c r="E786" s="18"/>
      <c r="F786" s="61"/>
      <c r="G786" s="73"/>
      <c r="H786" s="79"/>
      <c r="I786" s="79"/>
      <c r="J786" s="14"/>
      <c r="K786" s="38"/>
      <c r="L786" s="38"/>
      <c r="M786" s="17"/>
    </row>
    <row r="787" spans="2:13" ht="14.45" customHeight="1" x14ac:dyDescent="0.25">
      <c r="B787" s="17"/>
      <c r="C787" s="14"/>
      <c r="D787" s="14"/>
      <c r="E787" s="18"/>
      <c r="F787" s="61"/>
      <c r="G787" s="73"/>
      <c r="H787" s="79"/>
      <c r="I787" s="79"/>
      <c r="J787" s="14"/>
      <c r="K787" s="38"/>
      <c r="L787" s="38"/>
      <c r="M787" s="17"/>
    </row>
    <row r="788" spans="2:13" ht="14.45" customHeight="1" x14ac:dyDescent="0.25">
      <c r="B788" s="17"/>
      <c r="C788" s="14"/>
      <c r="D788" s="14"/>
      <c r="E788" s="18"/>
      <c r="F788" s="61"/>
      <c r="G788" s="73"/>
      <c r="H788" s="79"/>
      <c r="I788" s="79"/>
      <c r="J788" s="14"/>
      <c r="K788" s="38"/>
      <c r="L788" s="38"/>
      <c r="M788" s="17"/>
    </row>
    <row r="789" spans="2:13" ht="14.45" customHeight="1" x14ac:dyDescent="0.25">
      <c r="B789" s="17"/>
      <c r="C789" s="14"/>
      <c r="D789" s="14"/>
      <c r="E789" s="18"/>
      <c r="F789" s="61"/>
      <c r="G789" s="73"/>
      <c r="H789" s="79"/>
      <c r="I789" s="79"/>
      <c r="J789" s="14"/>
      <c r="K789" s="38"/>
      <c r="L789" s="38"/>
      <c r="M789" s="17"/>
    </row>
    <row r="790" spans="2:13" ht="14.45" customHeight="1" x14ac:dyDescent="0.25">
      <c r="B790" s="17"/>
      <c r="C790" s="14"/>
      <c r="D790" s="14"/>
      <c r="E790" s="18"/>
      <c r="F790" s="61"/>
      <c r="G790" s="73"/>
      <c r="H790" s="79"/>
      <c r="I790" s="79"/>
      <c r="J790" s="14"/>
      <c r="K790" s="38"/>
      <c r="L790" s="38"/>
      <c r="M790" s="17"/>
    </row>
    <row r="791" spans="2:13" ht="14.45" customHeight="1" x14ac:dyDescent="0.25">
      <c r="B791" s="17"/>
      <c r="C791" s="14"/>
      <c r="D791" s="14"/>
      <c r="E791" s="18"/>
      <c r="F791" s="61"/>
      <c r="G791" s="73"/>
      <c r="H791" s="79"/>
      <c r="I791" s="79"/>
      <c r="J791" s="14"/>
      <c r="K791" s="38"/>
      <c r="L791" s="38"/>
      <c r="M791" s="17"/>
    </row>
    <row r="792" spans="2:13" ht="14.45" customHeight="1" x14ac:dyDescent="0.25">
      <c r="B792" s="17"/>
      <c r="C792" s="14"/>
      <c r="D792" s="14"/>
      <c r="E792" s="18"/>
      <c r="F792" s="61"/>
      <c r="G792" s="73"/>
      <c r="H792" s="79"/>
      <c r="I792" s="79"/>
      <c r="J792" s="14"/>
      <c r="K792" s="38"/>
      <c r="L792" s="38"/>
      <c r="M792" s="17"/>
    </row>
    <row r="793" spans="2:13" ht="14.45" customHeight="1" x14ac:dyDescent="0.25">
      <c r="B793" s="17"/>
      <c r="C793" s="14"/>
      <c r="D793" s="14"/>
      <c r="E793" s="18"/>
      <c r="F793" s="61"/>
      <c r="G793" s="73"/>
      <c r="H793" s="79"/>
      <c r="I793" s="79"/>
      <c r="J793" s="14"/>
      <c r="K793" s="38"/>
      <c r="L793" s="38"/>
      <c r="M793" s="17"/>
    </row>
    <row r="794" spans="2:13" ht="14.45" customHeight="1" x14ac:dyDescent="0.25">
      <c r="B794" s="17"/>
      <c r="C794" s="14"/>
      <c r="D794" s="14"/>
      <c r="E794" s="18"/>
      <c r="F794" s="61"/>
      <c r="G794" s="73"/>
      <c r="H794" s="79"/>
      <c r="I794" s="79"/>
      <c r="J794" s="14"/>
      <c r="K794" s="38"/>
      <c r="L794" s="38"/>
      <c r="M794" s="17"/>
    </row>
    <row r="795" spans="2:13" ht="14.45" customHeight="1" x14ac:dyDescent="0.25">
      <c r="B795" s="17"/>
      <c r="C795" s="14"/>
      <c r="D795" s="14"/>
      <c r="E795" s="18"/>
      <c r="F795" s="61"/>
      <c r="G795" s="73"/>
      <c r="H795" s="79"/>
      <c r="I795" s="79"/>
      <c r="J795" s="14"/>
      <c r="K795" s="38"/>
      <c r="L795" s="38"/>
      <c r="M795" s="17"/>
    </row>
    <row r="796" spans="2:13" ht="14.45" customHeight="1" x14ac:dyDescent="0.25">
      <c r="B796" s="17"/>
      <c r="C796" s="14"/>
      <c r="D796" s="14"/>
      <c r="E796" s="18"/>
      <c r="F796" s="61"/>
      <c r="G796" s="73"/>
      <c r="H796" s="79"/>
      <c r="I796" s="79"/>
      <c r="J796" s="14"/>
      <c r="K796" s="38"/>
      <c r="L796" s="38"/>
      <c r="M796" s="17"/>
    </row>
    <row r="797" spans="2:13" ht="14.45" customHeight="1" x14ac:dyDescent="0.25">
      <c r="B797" s="17"/>
      <c r="C797" s="14"/>
      <c r="D797" s="14"/>
      <c r="E797" s="18"/>
      <c r="F797" s="61"/>
      <c r="G797" s="73"/>
      <c r="H797" s="79"/>
      <c r="I797" s="79"/>
      <c r="J797" s="14"/>
      <c r="K797" s="38"/>
      <c r="L797" s="38"/>
      <c r="M797" s="17"/>
    </row>
    <row r="798" spans="2:13" ht="14.45" customHeight="1" x14ac:dyDescent="0.25">
      <c r="B798" s="17"/>
      <c r="C798" s="14"/>
      <c r="D798" s="14"/>
      <c r="E798" s="18"/>
      <c r="F798" s="61"/>
      <c r="G798" s="73"/>
      <c r="H798" s="79"/>
      <c r="I798" s="79"/>
      <c r="J798" s="14"/>
      <c r="K798" s="38"/>
      <c r="L798" s="38"/>
      <c r="M798" s="17"/>
    </row>
    <row r="799" spans="2:13" ht="14.45" customHeight="1" x14ac:dyDescent="0.25">
      <c r="B799" s="17"/>
      <c r="C799" s="14"/>
      <c r="D799" s="14"/>
      <c r="E799" s="18"/>
      <c r="F799" s="61"/>
      <c r="G799" s="73"/>
      <c r="H799" s="79"/>
      <c r="I799" s="79"/>
      <c r="J799" s="14"/>
      <c r="K799" s="38"/>
      <c r="L799" s="38"/>
      <c r="M799" s="17"/>
    </row>
    <row r="800" spans="2:13" ht="14.45" customHeight="1" x14ac:dyDescent="0.25">
      <c r="B800" s="17"/>
      <c r="C800" s="14"/>
      <c r="D800" s="14"/>
      <c r="E800" s="18"/>
      <c r="F800" s="61"/>
      <c r="G800" s="73"/>
      <c r="H800" s="79"/>
      <c r="I800" s="79"/>
      <c r="J800" s="14"/>
      <c r="K800" s="38"/>
      <c r="L800" s="38"/>
      <c r="M800" s="17"/>
    </row>
    <row r="801" spans="2:13" ht="14.45" customHeight="1" x14ac:dyDescent="0.25">
      <c r="B801" s="17"/>
      <c r="C801" s="14"/>
      <c r="D801" s="14"/>
      <c r="E801" s="18"/>
      <c r="F801" s="61"/>
      <c r="G801" s="73"/>
      <c r="H801" s="79"/>
      <c r="I801" s="79"/>
      <c r="J801" s="14"/>
      <c r="K801" s="38"/>
      <c r="L801" s="38"/>
      <c r="M801" s="17"/>
    </row>
    <row r="802" spans="2:13" ht="14.45" customHeight="1" x14ac:dyDescent="0.25">
      <c r="B802" s="17"/>
      <c r="C802" s="14"/>
      <c r="D802" s="14"/>
      <c r="E802" s="18"/>
      <c r="F802" s="61"/>
      <c r="G802" s="73"/>
      <c r="H802" s="79"/>
      <c r="I802" s="79"/>
      <c r="J802" s="14"/>
      <c r="K802" s="38"/>
      <c r="L802" s="38"/>
      <c r="M802" s="17"/>
    </row>
    <row r="803" spans="2:13" ht="14.45" customHeight="1" x14ac:dyDescent="0.25">
      <c r="B803" s="17"/>
      <c r="C803" s="14"/>
      <c r="D803" s="14"/>
      <c r="E803" s="18"/>
      <c r="F803" s="61"/>
      <c r="G803" s="73"/>
      <c r="H803" s="79"/>
      <c r="I803" s="79"/>
      <c r="J803" s="14"/>
      <c r="K803" s="38"/>
      <c r="L803" s="38"/>
      <c r="M803" s="17"/>
    </row>
    <row r="804" spans="2:13" ht="14.45" customHeight="1" x14ac:dyDescent="0.25">
      <c r="B804" s="17"/>
      <c r="C804" s="14"/>
      <c r="D804" s="14"/>
      <c r="E804" s="18"/>
      <c r="F804" s="61"/>
      <c r="G804" s="73"/>
      <c r="H804" s="79"/>
      <c r="I804" s="79"/>
      <c r="J804" s="14"/>
      <c r="K804" s="38"/>
      <c r="L804" s="38"/>
      <c r="M804" s="17"/>
    </row>
    <row r="805" spans="2:13" ht="14.45" customHeight="1" x14ac:dyDescent="0.25">
      <c r="B805" s="17"/>
      <c r="C805" s="14"/>
      <c r="D805" s="14"/>
      <c r="E805" s="18"/>
      <c r="F805" s="61"/>
      <c r="G805" s="73"/>
      <c r="H805" s="79"/>
      <c r="I805" s="79"/>
      <c r="J805" s="14"/>
      <c r="K805" s="38"/>
      <c r="L805" s="38"/>
      <c r="M805" s="17"/>
    </row>
    <row r="806" spans="2:13" ht="14.45" customHeight="1" x14ac:dyDescent="0.25">
      <c r="B806" s="17"/>
      <c r="C806" s="14"/>
      <c r="D806" s="14"/>
      <c r="E806" s="18"/>
      <c r="F806" s="61"/>
      <c r="G806" s="73"/>
      <c r="H806" s="79"/>
      <c r="I806" s="79"/>
      <c r="J806" s="14"/>
      <c r="K806" s="38"/>
      <c r="L806" s="38"/>
      <c r="M806" s="17"/>
    </row>
    <row r="807" spans="2:13" ht="14.45" customHeight="1" x14ac:dyDescent="0.25">
      <c r="B807" s="17"/>
      <c r="C807" s="14"/>
      <c r="D807" s="14"/>
      <c r="E807" s="18"/>
      <c r="F807" s="61"/>
      <c r="G807" s="73"/>
      <c r="H807" s="79"/>
      <c r="I807" s="79"/>
      <c r="J807" s="14"/>
      <c r="K807" s="38"/>
      <c r="L807" s="38"/>
      <c r="M807" s="17"/>
    </row>
    <row r="808" spans="2:13" ht="14.45" customHeight="1" x14ac:dyDescent="0.25">
      <c r="B808" s="17"/>
      <c r="C808" s="14"/>
      <c r="D808" s="14"/>
      <c r="E808" s="18"/>
      <c r="F808" s="61"/>
      <c r="G808" s="73"/>
      <c r="H808" s="79"/>
      <c r="I808" s="79"/>
      <c r="J808" s="14"/>
      <c r="K808" s="38"/>
      <c r="L808" s="38"/>
      <c r="M808" s="17"/>
    </row>
    <row r="809" spans="2:13" ht="14.45" customHeight="1" x14ac:dyDescent="0.25">
      <c r="B809" s="17"/>
      <c r="C809" s="14"/>
      <c r="D809" s="14"/>
      <c r="E809" s="18"/>
      <c r="F809" s="61"/>
      <c r="G809" s="73"/>
      <c r="H809" s="79"/>
      <c r="I809" s="79"/>
      <c r="J809" s="14"/>
      <c r="K809" s="38"/>
      <c r="L809" s="38"/>
      <c r="M809" s="17"/>
    </row>
    <row r="810" spans="2:13" ht="14.45" customHeight="1" x14ac:dyDescent="0.25">
      <c r="B810" s="17"/>
      <c r="C810" s="14"/>
      <c r="D810" s="14"/>
      <c r="E810" s="18"/>
      <c r="F810" s="61"/>
      <c r="G810" s="73"/>
      <c r="H810" s="79"/>
      <c r="I810" s="79"/>
      <c r="J810" s="14"/>
      <c r="K810" s="38"/>
      <c r="L810" s="38"/>
      <c r="M810" s="17"/>
    </row>
    <row r="811" spans="2:13" ht="14.45" customHeight="1" x14ac:dyDescent="0.25">
      <c r="B811" s="17"/>
      <c r="C811" s="14"/>
      <c r="D811" s="14"/>
      <c r="E811" s="18"/>
      <c r="F811" s="61"/>
      <c r="G811" s="73"/>
      <c r="H811" s="79"/>
      <c r="I811" s="79"/>
      <c r="J811" s="14"/>
      <c r="K811" s="38"/>
      <c r="L811" s="38"/>
      <c r="M811" s="17"/>
    </row>
    <row r="812" spans="2:13" ht="14.45" customHeight="1" x14ac:dyDescent="0.25">
      <c r="B812" s="17"/>
      <c r="C812" s="14"/>
      <c r="D812" s="14"/>
      <c r="E812" s="18"/>
      <c r="F812" s="61"/>
      <c r="G812" s="73"/>
      <c r="H812" s="79"/>
      <c r="I812" s="79"/>
      <c r="J812" s="14"/>
      <c r="K812" s="38"/>
      <c r="L812" s="38"/>
      <c r="M812" s="17"/>
    </row>
    <row r="813" spans="2:13" ht="14.45" customHeight="1" x14ac:dyDescent="0.25">
      <c r="B813" s="17"/>
      <c r="C813" s="14"/>
      <c r="D813" s="14"/>
      <c r="E813" s="18"/>
      <c r="F813" s="61"/>
      <c r="G813" s="73"/>
      <c r="H813" s="79"/>
      <c r="I813" s="79"/>
      <c r="J813" s="14"/>
      <c r="K813" s="38"/>
      <c r="L813" s="38"/>
      <c r="M813" s="17"/>
    </row>
    <row r="814" spans="2:13" ht="14.45" customHeight="1" x14ac:dyDescent="0.25">
      <c r="B814" s="17"/>
      <c r="C814" s="14"/>
      <c r="D814" s="14"/>
      <c r="E814" s="18"/>
      <c r="F814" s="61"/>
      <c r="G814" s="73"/>
      <c r="H814" s="79"/>
      <c r="I814" s="79"/>
      <c r="J814" s="14"/>
      <c r="K814" s="38"/>
      <c r="L814" s="38"/>
      <c r="M814" s="17"/>
    </row>
    <row r="815" spans="2:13" ht="14.45" customHeight="1" x14ac:dyDescent="0.25">
      <c r="B815" s="17"/>
      <c r="C815" s="14"/>
      <c r="D815" s="14"/>
      <c r="E815" s="18"/>
      <c r="F815" s="61"/>
      <c r="G815" s="73"/>
      <c r="H815" s="79"/>
      <c r="I815" s="79"/>
      <c r="J815" s="14"/>
      <c r="K815" s="38"/>
      <c r="L815" s="38"/>
      <c r="M815" s="17"/>
    </row>
    <row r="816" spans="2:13" ht="14.45" customHeight="1" x14ac:dyDescent="0.25">
      <c r="B816" s="17"/>
      <c r="C816" s="14"/>
      <c r="D816" s="14"/>
      <c r="E816" s="18"/>
      <c r="F816" s="61"/>
      <c r="G816" s="73"/>
      <c r="H816" s="79"/>
      <c r="I816" s="79"/>
      <c r="J816" s="14"/>
      <c r="K816" s="38"/>
      <c r="L816" s="38"/>
      <c r="M816" s="17"/>
    </row>
    <row r="817" spans="2:13" ht="14.45" customHeight="1" x14ac:dyDescent="0.25">
      <c r="B817" s="17"/>
      <c r="C817" s="14"/>
      <c r="D817" s="14"/>
      <c r="E817" s="18"/>
      <c r="F817" s="61"/>
      <c r="G817" s="73"/>
      <c r="H817" s="79"/>
      <c r="I817" s="79"/>
      <c r="J817" s="14"/>
      <c r="K817" s="38"/>
      <c r="L817" s="38"/>
      <c r="M817" s="17"/>
    </row>
    <row r="818" spans="2:13" ht="14.45" customHeight="1" x14ac:dyDescent="0.25">
      <c r="B818" s="17"/>
      <c r="C818" s="14"/>
      <c r="D818" s="14"/>
      <c r="E818" s="18"/>
      <c r="F818" s="61"/>
      <c r="G818" s="73"/>
      <c r="H818" s="79"/>
      <c r="I818" s="79"/>
      <c r="J818" s="14"/>
      <c r="K818" s="38"/>
      <c r="L818" s="38"/>
      <c r="M818" s="17"/>
    </row>
    <row r="819" spans="2:13" ht="14.45" customHeight="1" x14ac:dyDescent="0.25">
      <c r="B819" s="17"/>
      <c r="C819" s="14"/>
      <c r="D819" s="14"/>
      <c r="E819" s="18"/>
      <c r="F819" s="61"/>
      <c r="G819" s="73"/>
      <c r="H819" s="79"/>
      <c r="I819" s="79"/>
      <c r="J819" s="14"/>
      <c r="K819" s="38"/>
      <c r="L819" s="38"/>
      <c r="M819" s="17"/>
    </row>
    <row r="820" spans="2:13" ht="14.45" customHeight="1" x14ac:dyDescent="0.25">
      <c r="B820" s="17"/>
      <c r="C820" s="14"/>
      <c r="D820" s="14"/>
      <c r="E820" s="18"/>
      <c r="F820" s="61"/>
      <c r="G820" s="73"/>
      <c r="H820" s="79"/>
      <c r="I820" s="79"/>
      <c r="J820" s="14"/>
      <c r="K820" s="38"/>
      <c r="L820" s="38"/>
      <c r="M820" s="17"/>
    </row>
    <row r="821" spans="2:13" ht="14.45" customHeight="1" x14ac:dyDescent="0.25">
      <c r="B821" s="17"/>
      <c r="C821" s="14"/>
      <c r="D821" s="14"/>
      <c r="E821" s="18"/>
      <c r="F821" s="61"/>
      <c r="G821" s="73"/>
      <c r="H821" s="79"/>
      <c r="I821" s="79"/>
      <c r="J821" s="14"/>
      <c r="K821" s="38"/>
      <c r="L821" s="38"/>
      <c r="M821" s="17"/>
    </row>
    <row r="822" spans="2:13" ht="14.45" customHeight="1" x14ac:dyDescent="0.25">
      <c r="B822" s="17"/>
      <c r="C822" s="14"/>
      <c r="D822" s="14"/>
      <c r="E822" s="18"/>
      <c r="F822" s="61"/>
      <c r="G822" s="73"/>
      <c r="H822" s="79"/>
      <c r="I822" s="79"/>
      <c r="J822" s="14"/>
      <c r="K822" s="38"/>
      <c r="L822" s="38"/>
      <c r="M822" s="17"/>
    </row>
    <row r="823" spans="2:13" ht="14.45" customHeight="1" x14ac:dyDescent="0.25">
      <c r="B823" s="17"/>
      <c r="C823" s="14"/>
      <c r="D823" s="14"/>
      <c r="E823" s="18"/>
      <c r="F823" s="61"/>
      <c r="G823" s="73"/>
      <c r="H823" s="79"/>
      <c r="I823" s="79"/>
      <c r="J823" s="14"/>
      <c r="K823" s="38"/>
      <c r="L823" s="38"/>
      <c r="M823" s="17"/>
    </row>
    <row r="824" spans="2:13" ht="14.45" customHeight="1" x14ac:dyDescent="0.25">
      <c r="B824" s="17"/>
      <c r="C824" s="14"/>
      <c r="D824" s="14"/>
      <c r="E824" s="18"/>
      <c r="F824" s="61"/>
      <c r="G824" s="73"/>
      <c r="H824" s="79"/>
      <c r="I824" s="79"/>
      <c r="J824" s="14"/>
      <c r="K824" s="38"/>
      <c r="L824" s="38"/>
      <c r="M824" s="17"/>
    </row>
    <row r="825" spans="2:13" ht="14.45" customHeight="1" x14ac:dyDescent="0.25">
      <c r="B825" s="17"/>
      <c r="C825" s="14"/>
      <c r="D825" s="14"/>
      <c r="E825" s="18"/>
      <c r="F825" s="61"/>
      <c r="G825" s="73"/>
      <c r="H825" s="79"/>
      <c r="I825" s="79"/>
      <c r="J825" s="14"/>
      <c r="K825" s="38"/>
      <c r="L825" s="38"/>
      <c r="M825" s="17"/>
    </row>
    <row r="826" spans="2:13" ht="14.45" customHeight="1" x14ac:dyDescent="0.25">
      <c r="B826" s="17"/>
      <c r="C826" s="14"/>
      <c r="D826" s="14"/>
      <c r="E826" s="18"/>
      <c r="F826" s="61"/>
      <c r="G826" s="73"/>
      <c r="H826" s="79"/>
      <c r="I826" s="79"/>
      <c r="J826" s="14"/>
      <c r="K826" s="38"/>
      <c r="L826" s="38"/>
      <c r="M826" s="17"/>
    </row>
    <row r="827" spans="2:13" ht="14.45" customHeight="1" x14ac:dyDescent="0.25">
      <c r="B827" s="17"/>
      <c r="C827" s="14"/>
      <c r="D827" s="14"/>
      <c r="E827" s="18"/>
      <c r="F827" s="61"/>
      <c r="G827" s="73"/>
      <c r="H827" s="79"/>
      <c r="I827" s="79"/>
      <c r="J827" s="14"/>
      <c r="K827" s="38"/>
      <c r="L827" s="38"/>
      <c r="M827" s="17"/>
    </row>
    <row r="828" spans="2:13" ht="14.45" customHeight="1" x14ac:dyDescent="0.25">
      <c r="B828" s="17"/>
      <c r="C828" s="14"/>
      <c r="D828" s="14"/>
      <c r="E828" s="18"/>
      <c r="F828" s="61"/>
      <c r="G828" s="73"/>
      <c r="H828" s="79"/>
      <c r="I828" s="79"/>
      <c r="J828" s="14"/>
      <c r="K828" s="38"/>
      <c r="L828" s="38"/>
      <c r="M828" s="17"/>
    </row>
    <row r="829" spans="2:13" ht="14.45" customHeight="1" x14ac:dyDescent="0.25">
      <c r="B829" s="17"/>
      <c r="C829" s="14"/>
      <c r="D829" s="14"/>
      <c r="E829" s="18"/>
      <c r="F829" s="61"/>
      <c r="G829" s="73"/>
      <c r="H829" s="79"/>
      <c r="I829" s="79"/>
      <c r="J829" s="14"/>
      <c r="K829" s="38"/>
      <c r="L829" s="38"/>
      <c r="M829" s="17"/>
    </row>
    <row r="830" spans="2:13" ht="14.45" customHeight="1" x14ac:dyDescent="0.25">
      <c r="B830" s="17"/>
      <c r="C830" s="14"/>
      <c r="D830" s="14"/>
      <c r="E830" s="18"/>
      <c r="F830" s="61"/>
      <c r="G830" s="73"/>
      <c r="H830" s="79"/>
      <c r="I830" s="79"/>
      <c r="J830" s="14"/>
      <c r="K830" s="38"/>
      <c r="L830" s="38"/>
      <c r="M830" s="17"/>
    </row>
    <row r="831" spans="2:13" ht="14.45" customHeight="1" x14ac:dyDescent="0.25">
      <c r="B831" s="17"/>
      <c r="C831" s="14"/>
      <c r="D831" s="14"/>
      <c r="E831" s="18"/>
      <c r="F831" s="61"/>
      <c r="G831" s="73"/>
      <c r="H831" s="79"/>
      <c r="I831" s="79"/>
      <c r="J831" s="14"/>
      <c r="K831" s="38"/>
      <c r="L831" s="38"/>
      <c r="M831" s="17"/>
    </row>
    <row r="832" spans="2:13" ht="14.45" customHeight="1" x14ac:dyDescent="0.25">
      <c r="B832" s="17"/>
      <c r="C832" s="14"/>
      <c r="D832" s="14"/>
      <c r="E832" s="18"/>
      <c r="F832" s="61"/>
      <c r="G832" s="73"/>
      <c r="H832" s="79"/>
      <c r="I832" s="79"/>
      <c r="J832" s="14"/>
      <c r="K832" s="38"/>
      <c r="L832" s="38"/>
      <c r="M832" s="17"/>
    </row>
    <row r="833" spans="2:13" ht="14.45" customHeight="1" x14ac:dyDescent="0.25">
      <c r="B833" s="17"/>
      <c r="C833" s="14"/>
      <c r="D833" s="14"/>
      <c r="E833" s="18"/>
      <c r="F833" s="61"/>
      <c r="G833" s="73"/>
      <c r="H833" s="79"/>
      <c r="I833" s="79"/>
      <c r="J833" s="14"/>
      <c r="K833" s="38"/>
      <c r="L833" s="38"/>
      <c r="M833" s="17"/>
    </row>
    <row r="834" spans="2:13" ht="14.45" customHeight="1" x14ac:dyDescent="0.25">
      <c r="B834" s="17"/>
      <c r="C834" s="14"/>
      <c r="D834" s="14"/>
      <c r="E834" s="18"/>
      <c r="F834" s="61"/>
      <c r="G834" s="73"/>
      <c r="H834" s="79"/>
      <c r="I834" s="79"/>
      <c r="J834" s="14"/>
      <c r="K834" s="38"/>
      <c r="L834" s="38"/>
      <c r="M834" s="17"/>
    </row>
    <row r="835" spans="2:13" ht="14.45" customHeight="1" x14ac:dyDescent="0.25">
      <c r="B835" s="17"/>
      <c r="C835" s="14"/>
      <c r="D835" s="14"/>
      <c r="E835" s="18"/>
      <c r="F835" s="61"/>
      <c r="G835" s="73"/>
      <c r="H835" s="79"/>
      <c r="I835" s="79"/>
      <c r="J835" s="14"/>
      <c r="K835" s="38"/>
      <c r="L835" s="38"/>
      <c r="M835" s="17"/>
    </row>
    <row r="836" spans="2:13" ht="14.45" customHeight="1" x14ac:dyDescent="0.25">
      <c r="B836" s="17"/>
      <c r="C836" s="14"/>
      <c r="D836" s="14"/>
      <c r="E836" s="18"/>
      <c r="F836" s="61"/>
      <c r="G836" s="73"/>
      <c r="H836" s="79"/>
      <c r="I836" s="79"/>
      <c r="J836" s="14"/>
      <c r="K836" s="38"/>
      <c r="L836" s="38"/>
      <c r="M836" s="17"/>
    </row>
    <row r="837" spans="2:13" ht="14.45" customHeight="1" x14ac:dyDescent="0.25">
      <c r="B837" s="17"/>
      <c r="C837" s="14"/>
      <c r="D837" s="14"/>
      <c r="E837" s="18"/>
      <c r="F837" s="61"/>
      <c r="G837" s="73"/>
      <c r="H837" s="79"/>
      <c r="I837" s="79"/>
      <c r="J837" s="14"/>
      <c r="K837" s="38"/>
      <c r="L837" s="38"/>
      <c r="M837" s="17"/>
    </row>
    <row r="838" spans="2:13" ht="14.45" customHeight="1" x14ac:dyDescent="0.25">
      <c r="B838" s="17"/>
      <c r="C838" s="14"/>
      <c r="D838" s="14"/>
      <c r="E838" s="18"/>
      <c r="F838" s="61"/>
      <c r="G838" s="73"/>
      <c r="H838" s="79"/>
      <c r="I838" s="79"/>
      <c r="J838" s="14"/>
      <c r="K838" s="38"/>
      <c r="L838" s="38"/>
      <c r="M838" s="17"/>
    </row>
    <row r="839" spans="2:13" ht="14.45" customHeight="1" x14ac:dyDescent="0.25">
      <c r="B839" s="17"/>
      <c r="C839" s="14"/>
      <c r="D839" s="14"/>
      <c r="E839" s="18"/>
      <c r="F839" s="61"/>
      <c r="G839" s="73"/>
      <c r="H839" s="79"/>
      <c r="I839" s="79"/>
      <c r="J839" s="14"/>
      <c r="K839" s="38"/>
      <c r="L839" s="38"/>
      <c r="M839" s="17"/>
    </row>
    <row r="840" spans="2:13" ht="14.45" customHeight="1" x14ac:dyDescent="0.25">
      <c r="B840" s="17"/>
      <c r="C840" s="14"/>
      <c r="D840" s="14"/>
      <c r="E840" s="18"/>
      <c r="F840" s="61"/>
      <c r="G840" s="73"/>
      <c r="H840" s="79"/>
      <c r="I840" s="79"/>
      <c r="J840" s="14"/>
      <c r="K840" s="38"/>
      <c r="L840" s="38"/>
      <c r="M840" s="17"/>
    </row>
    <row r="841" spans="2:13" ht="14.45" customHeight="1" x14ac:dyDescent="0.25">
      <c r="B841" s="17"/>
      <c r="C841" s="14"/>
      <c r="D841" s="14"/>
      <c r="E841" s="18"/>
      <c r="F841" s="61"/>
      <c r="G841" s="73"/>
      <c r="H841" s="79"/>
      <c r="I841" s="79"/>
      <c r="J841" s="14"/>
      <c r="K841" s="38"/>
      <c r="L841" s="38"/>
      <c r="M841" s="17"/>
    </row>
    <row r="842" spans="2:13" ht="14.45" customHeight="1" x14ac:dyDescent="0.25">
      <c r="B842" s="17"/>
      <c r="C842" s="14"/>
      <c r="D842" s="14"/>
      <c r="E842" s="18"/>
      <c r="F842" s="61"/>
      <c r="G842" s="73"/>
      <c r="H842" s="79"/>
      <c r="I842" s="79"/>
      <c r="J842" s="14"/>
      <c r="K842" s="38"/>
      <c r="L842" s="38"/>
      <c r="M842" s="17"/>
    </row>
    <row r="843" spans="2:13" ht="14.45" customHeight="1" x14ac:dyDescent="0.25">
      <c r="B843" s="17"/>
      <c r="C843" s="14"/>
      <c r="D843" s="14"/>
      <c r="E843" s="18"/>
      <c r="F843" s="61"/>
      <c r="G843" s="73"/>
      <c r="H843" s="79"/>
      <c r="I843" s="79"/>
      <c r="J843" s="14"/>
      <c r="K843" s="38"/>
      <c r="L843" s="38"/>
      <c r="M843" s="17"/>
    </row>
    <row r="844" spans="2:13" ht="14.45" customHeight="1" x14ac:dyDescent="0.25">
      <c r="B844" s="17"/>
      <c r="C844" s="14"/>
      <c r="D844" s="14"/>
      <c r="E844" s="18"/>
      <c r="F844" s="61"/>
      <c r="G844" s="73"/>
      <c r="H844" s="79"/>
      <c r="I844" s="79"/>
      <c r="J844" s="14"/>
      <c r="K844" s="38"/>
      <c r="L844" s="38"/>
      <c r="M844" s="17"/>
    </row>
    <row r="845" spans="2:13" ht="14.45" customHeight="1" x14ac:dyDescent="0.25">
      <c r="B845" s="17"/>
      <c r="C845" s="14"/>
      <c r="D845" s="14"/>
      <c r="E845" s="18"/>
      <c r="F845" s="61"/>
      <c r="G845" s="73"/>
      <c r="H845" s="79"/>
      <c r="I845" s="79"/>
      <c r="J845" s="14"/>
      <c r="K845" s="38"/>
      <c r="L845" s="38"/>
      <c r="M845" s="17"/>
    </row>
    <row r="846" spans="2:13" ht="14.45" customHeight="1" x14ac:dyDescent="0.25">
      <c r="B846" s="17"/>
      <c r="C846" s="14"/>
      <c r="D846" s="14"/>
      <c r="E846" s="18"/>
      <c r="F846" s="61"/>
      <c r="G846" s="73"/>
      <c r="H846" s="79"/>
      <c r="I846" s="79"/>
      <c r="J846" s="14"/>
      <c r="K846" s="38"/>
      <c r="L846" s="38"/>
      <c r="M846" s="17"/>
    </row>
    <row r="847" spans="2:13" ht="14.45" customHeight="1" x14ac:dyDescent="0.25">
      <c r="B847" s="17"/>
      <c r="C847" s="14"/>
      <c r="D847" s="14"/>
      <c r="E847" s="18"/>
      <c r="F847" s="61"/>
      <c r="G847" s="73"/>
      <c r="H847" s="79"/>
      <c r="I847" s="79"/>
      <c r="J847" s="14"/>
      <c r="K847" s="38"/>
      <c r="L847" s="38"/>
      <c r="M847" s="17"/>
    </row>
    <row r="848" spans="2:13" ht="14.45" customHeight="1" x14ac:dyDescent="0.25">
      <c r="B848" s="17"/>
      <c r="C848" s="14"/>
      <c r="D848" s="14"/>
      <c r="E848" s="18"/>
      <c r="F848" s="61"/>
      <c r="G848" s="73"/>
      <c r="H848" s="79"/>
      <c r="I848" s="79"/>
      <c r="J848" s="14"/>
      <c r="K848" s="38"/>
      <c r="L848" s="38"/>
      <c r="M848" s="17"/>
    </row>
    <row r="849" spans="2:13" ht="14.45" customHeight="1" x14ac:dyDescent="0.25">
      <c r="B849" s="17"/>
      <c r="C849" s="14"/>
      <c r="D849" s="14"/>
      <c r="E849" s="18"/>
      <c r="F849" s="61"/>
      <c r="G849" s="73"/>
      <c r="H849" s="79"/>
      <c r="I849" s="79"/>
      <c r="J849" s="14"/>
      <c r="K849" s="38"/>
      <c r="L849" s="38"/>
      <c r="M849" s="17"/>
    </row>
    <row r="850" spans="2:13" ht="14.45" customHeight="1" x14ac:dyDescent="0.25">
      <c r="B850" s="17"/>
      <c r="C850" s="14"/>
      <c r="D850" s="14"/>
      <c r="E850" s="18"/>
      <c r="F850" s="61"/>
      <c r="G850" s="73"/>
      <c r="H850" s="79"/>
      <c r="I850" s="79"/>
      <c r="J850" s="14"/>
      <c r="K850" s="38"/>
      <c r="L850" s="38"/>
      <c r="M850" s="17"/>
    </row>
    <row r="851" spans="2:13" ht="14.45" customHeight="1" x14ac:dyDescent="0.25">
      <c r="B851" s="17"/>
      <c r="C851" s="14"/>
      <c r="D851" s="14"/>
      <c r="E851" s="18"/>
      <c r="F851" s="61"/>
      <c r="G851" s="73"/>
      <c r="H851" s="79"/>
      <c r="I851" s="79"/>
      <c r="J851" s="14"/>
      <c r="K851" s="38"/>
      <c r="L851" s="38"/>
      <c r="M851" s="17"/>
    </row>
    <row r="852" spans="2:13" ht="14.45" customHeight="1" x14ac:dyDescent="0.25">
      <c r="B852" s="17"/>
      <c r="C852" s="14"/>
      <c r="D852" s="14"/>
      <c r="E852" s="18"/>
      <c r="F852" s="61"/>
      <c r="G852" s="73"/>
      <c r="H852" s="79"/>
      <c r="I852" s="79"/>
      <c r="J852" s="14"/>
      <c r="K852" s="38"/>
      <c r="L852" s="38"/>
      <c r="M852" s="17"/>
    </row>
    <row r="853" spans="2:13" ht="14.45" customHeight="1" x14ac:dyDescent="0.25">
      <c r="B853" s="17"/>
      <c r="C853" s="14"/>
      <c r="D853" s="14"/>
      <c r="E853" s="18"/>
      <c r="F853" s="61"/>
      <c r="G853" s="73"/>
      <c r="H853" s="79"/>
      <c r="I853" s="79"/>
      <c r="J853" s="14"/>
      <c r="K853" s="38"/>
      <c r="L853" s="38"/>
      <c r="M853" s="17"/>
    </row>
    <row r="854" spans="2:13" ht="14.45" customHeight="1" x14ac:dyDescent="0.25">
      <c r="B854" s="17"/>
      <c r="C854" s="14"/>
      <c r="D854" s="14"/>
      <c r="E854" s="18"/>
      <c r="F854" s="61"/>
      <c r="G854" s="73"/>
      <c r="H854" s="79"/>
      <c r="I854" s="79"/>
      <c r="J854" s="14"/>
      <c r="K854" s="38"/>
      <c r="L854" s="38"/>
      <c r="M854" s="17"/>
    </row>
    <row r="855" spans="2:13" ht="14.45" customHeight="1" x14ac:dyDescent="0.25">
      <c r="B855" s="17"/>
      <c r="C855" s="14"/>
      <c r="D855" s="14"/>
      <c r="E855" s="18"/>
      <c r="F855" s="61"/>
      <c r="G855" s="73"/>
      <c r="H855" s="79"/>
      <c r="I855" s="79"/>
      <c r="J855" s="14"/>
      <c r="K855" s="38"/>
      <c r="L855" s="38"/>
      <c r="M855" s="17"/>
    </row>
    <row r="856" spans="2:13" ht="14.45" customHeight="1" x14ac:dyDescent="0.25">
      <c r="B856" s="17"/>
      <c r="C856" s="14"/>
      <c r="D856" s="14"/>
      <c r="E856" s="18"/>
      <c r="F856" s="61"/>
      <c r="G856" s="73"/>
      <c r="H856" s="79"/>
      <c r="I856" s="79"/>
      <c r="J856" s="14"/>
      <c r="K856" s="38"/>
      <c r="L856" s="38"/>
      <c r="M856" s="17"/>
    </row>
    <row r="857" spans="2:13" ht="14.45" customHeight="1" x14ac:dyDescent="0.25">
      <c r="B857" s="17"/>
      <c r="C857" s="14"/>
      <c r="D857" s="14"/>
      <c r="E857" s="18"/>
      <c r="F857" s="61"/>
      <c r="G857" s="73"/>
      <c r="H857" s="79"/>
      <c r="I857" s="79"/>
      <c r="J857" s="14"/>
      <c r="K857" s="38"/>
      <c r="L857" s="38"/>
      <c r="M857" s="17"/>
    </row>
    <row r="858" spans="2:13" ht="14.45" customHeight="1" x14ac:dyDescent="0.25">
      <c r="B858" s="17"/>
      <c r="C858" s="14"/>
      <c r="D858" s="14"/>
      <c r="E858" s="18"/>
      <c r="F858" s="61"/>
      <c r="G858" s="73"/>
      <c r="H858" s="79"/>
      <c r="I858" s="79"/>
      <c r="J858" s="14"/>
      <c r="K858" s="38"/>
      <c r="L858" s="38"/>
      <c r="M858" s="17"/>
    </row>
    <row r="859" spans="2:13" ht="14.45" customHeight="1" x14ac:dyDescent="0.25">
      <c r="B859" s="17"/>
      <c r="C859" s="14"/>
      <c r="D859" s="14"/>
      <c r="E859" s="18"/>
      <c r="F859" s="61"/>
      <c r="G859" s="73"/>
      <c r="H859" s="79"/>
      <c r="I859" s="79"/>
      <c r="J859" s="14"/>
      <c r="K859" s="38"/>
      <c r="L859" s="38"/>
      <c r="M859" s="17"/>
    </row>
    <row r="860" spans="2:13" ht="14.45" customHeight="1" x14ac:dyDescent="0.25">
      <c r="B860" s="17"/>
      <c r="C860" s="14"/>
      <c r="D860" s="14"/>
      <c r="E860" s="18"/>
      <c r="F860" s="61"/>
      <c r="G860" s="73"/>
      <c r="H860" s="79"/>
      <c r="I860" s="79"/>
      <c r="J860" s="14"/>
      <c r="K860" s="38"/>
      <c r="L860" s="38"/>
      <c r="M860" s="17"/>
    </row>
    <row r="861" spans="2:13" ht="14.45" customHeight="1" x14ac:dyDescent="0.25">
      <c r="B861" s="17"/>
      <c r="C861" s="14"/>
      <c r="D861" s="14"/>
      <c r="E861" s="18"/>
      <c r="F861" s="61"/>
      <c r="G861" s="73"/>
      <c r="H861" s="79"/>
      <c r="I861" s="79"/>
      <c r="J861" s="14"/>
      <c r="K861" s="38"/>
      <c r="L861" s="38"/>
      <c r="M861" s="17"/>
    </row>
    <row r="862" spans="2:13" ht="14.45" customHeight="1" x14ac:dyDescent="0.25">
      <c r="B862" s="17"/>
      <c r="C862" s="14"/>
      <c r="D862" s="14"/>
      <c r="E862" s="18"/>
      <c r="F862" s="61"/>
      <c r="G862" s="73"/>
      <c r="H862" s="79"/>
      <c r="I862" s="79"/>
      <c r="J862" s="14"/>
      <c r="K862" s="38"/>
      <c r="L862" s="38"/>
      <c r="M862" s="17"/>
    </row>
    <row r="863" spans="2:13" ht="14.45" customHeight="1" x14ac:dyDescent="0.25">
      <c r="B863" s="17"/>
      <c r="C863" s="14"/>
      <c r="D863" s="14"/>
      <c r="E863" s="18"/>
      <c r="F863" s="61"/>
      <c r="G863" s="73"/>
      <c r="H863" s="79"/>
      <c r="I863" s="79"/>
      <c r="J863" s="14"/>
      <c r="K863" s="38"/>
      <c r="L863" s="38"/>
      <c r="M863" s="17"/>
    </row>
    <row r="864" spans="2:13" ht="14.45" customHeight="1" x14ac:dyDescent="0.25">
      <c r="B864" s="17"/>
      <c r="C864" s="14"/>
      <c r="D864" s="14"/>
      <c r="E864" s="18"/>
      <c r="F864" s="61"/>
      <c r="G864" s="73"/>
      <c r="H864" s="79"/>
      <c r="I864" s="79"/>
      <c r="J864" s="14"/>
      <c r="K864" s="38"/>
      <c r="L864" s="38"/>
      <c r="M864" s="17"/>
    </row>
    <row r="865" spans="2:13" ht="14.45" customHeight="1" x14ac:dyDescent="0.25">
      <c r="B865" s="17"/>
      <c r="C865" s="14"/>
      <c r="D865" s="14"/>
      <c r="E865" s="18"/>
      <c r="F865" s="61"/>
      <c r="G865" s="73"/>
      <c r="H865" s="79"/>
      <c r="I865" s="79"/>
      <c r="J865" s="14"/>
      <c r="K865" s="38"/>
      <c r="L865" s="38"/>
      <c r="M865" s="17"/>
    </row>
    <row r="866" spans="2:13" ht="14.45" customHeight="1" x14ac:dyDescent="0.25">
      <c r="B866" s="17"/>
      <c r="C866" s="14"/>
      <c r="D866" s="14"/>
      <c r="E866" s="18"/>
      <c r="F866" s="61"/>
      <c r="G866" s="73"/>
      <c r="H866" s="79"/>
      <c r="I866" s="79"/>
      <c r="J866" s="14"/>
      <c r="K866" s="38"/>
      <c r="L866" s="38"/>
      <c r="M866" s="17"/>
    </row>
    <row r="867" spans="2:13" ht="14.45" customHeight="1" x14ac:dyDescent="0.25">
      <c r="B867" s="17"/>
      <c r="C867" s="14"/>
      <c r="D867" s="14"/>
      <c r="E867" s="18"/>
      <c r="F867" s="61"/>
      <c r="G867" s="73"/>
      <c r="H867" s="79"/>
      <c r="I867" s="79"/>
      <c r="J867" s="14"/>
      <c r="K867" s="38"/>
      <c r="L867" s="38"/>
      <c r="M867" s="17"/>
    </row>
    <row r="868" spans="2:13" ht="14.45" customHeight="1" x14ac:dyDescent="0.25">
      <c r="B868" s="17"/>
      <c r="C868" s="14"/>
      <c r="D868" s="14"/>
      <c r="E868" s="18"/>
      <c r="F868" s="61"/>
      <c r="G868" s="73"/>
      <c r="H868" s="79"/>
      <c r="I868" s="79"/>
      <c r="J868" s="14"/>
      <c r="K868" s="38"/>
      <c r="L868" s="38"/>
      <c r="M868" s="17"/>
    </row>
    <row r="869" spans="2:13" ht="14.45" customHeight="1" x14ac:dyDescent="0.25">
      <c r="B869" s="17"/>
      <c r="C869" s="14"/>
      <c r="D869" s="14"/>
      <c r="E869" s="18"/>
      <c r="F869" s="61"/>
      <c r="G869" s="73"/>
      <c r="H869" s="79"/>
      <c r="I869" s="79"/>
      <c r="J869" s="14"/>
      <c r="K869" s="38"/>
      <c r="L869" s="38"/>
      <c r="M869" s="17"/>
    </row>
    <row r="870" spans="2:13" ht="14.45" customHeight="1" x14ac:dyDescent="0.25">
      <c r="B870" s="17"/>
      <c r="C870" s="14"/>
      <c r="D870" s="14"/>
      <c r="E870" s="18"/>
      <c r="F870" s="61"/>
      <c r="G870" s="73"/>
      <c r="H870" s="79"/>
      <c r="I870" s="79"/>
      <c r="J870" s="14"/>
      <c r="K870" s="38"/>
      <c r="L870" s="38"/>
      <c r="M870" s="17"/>
    </row>
    <row r="871" spans="2:13" ht="14.45" customHeight="1" x14ac:dyDescent="0.25">
      <c r="B871" s="17"/>
      <c r="C871" s="14"/>
      <c r="D871" s="14"/>
      <c r="E871" s="18"/>
      <c r="F871" s="61"/>
      <c r="G871" s="73"/>
      <c r="H871" s="79"/>
      <c r="I871" s="79"/>
      <c r="J871" s="14"/>
      <c r="K871" s="38"/>
      <c r="L871" s="38"/>
      <c r="M871" s="17"/>
    </row>
    <row r="872" spans="2:13" ht="14.45" customHeight="1" x14ac:dyDescent="0.25">
      <c r="B872" s="17"/>
      <c r="C872" s="14"/>
      <c r="D872" s="14"/>
      <c r="E872" s="18"/>
      <c r="F872" s="61"/>
      <c r="G872" s="73"/>
      <c r="H872" s="79"/>
      <c r="I872" s="79"/>
      <c r="J872" s="14"/>
      <c r="K872" s="38"/>
      <c r="L872" s="38"/>
      <c r="M872" s="17"/>
    </row>
    <row r="873" spans="2:13" ht="14.45" customHeight="1" x14ac:dyDescent="0.25">
      <c r="B873" s="17"/>
      <c r="C873" s="14"/>
      <c r="D873" s="14"/>
      <c r="E873" s="18"/>
      <c r="F873" s="61"/>
      <c r="G873" s="73"/>
      <c r="H873" s="79"/>
      <c r="I873" s="79"/>
      <c r="J873" s="14"/>
      <c r="K873" s="38"/>
      <c r="L873" s="38"/>
      <c r="M873" s="17"/>
    </row>
    <row r="874" spans="2:13" ht="14.45" customHeight="1" x14ac:dyDescent="0.25">
      <c r="B874" s="17"/>
      <c r="C874" s="14"/>
      <c r="D874" s="14"/>
      <c r="E874" s="18"/>
      <c r="F874" s="61"/>
      <c r="G874" s="73"/>
      <c r="H874" s="79"/>
      <c r="I874" s="79"/>
      <c r="J874" s="14"/>
      <c r="K874" s="38"/>
      <c r="L874" s="38"/>
      <c r="M874" s="17"/>
    </row>
    <row r="875" spans="2:13" ht="14.45" customHeight="1" x14ac:dyDescent="0.25">
      <c r="B875" s="17"/>
      <c r="C875" s="14"/>
      <c r="D875" s="14"/>
      <c r="E875" s="18"/>
      <c r="F875" s="61"/>
      <c r="G875" s="73"/>
      <c r="H875" s="79"/>
      <c r="I875" s="79"/>
      <c r="J875" s="14"/>
      <c r="K875" s="38"/>
      <c r="L875" s="38"/>
      <c r="M875" s="17"/>
    </row>
    <row r="876" spans="2:13" ht="14.45" customHeight="1" x14ac:dyDescent="0.25">
      <c r="B876" s="17"/>
      <c r="C876" s="14"/>
      <c r="D876" s="14"/>
      <c r="E876" s="18"/>
      <c r="F876" s="61"/>
      <c r="G876" s="73"/>
      <c r="H876" s="79"/>
      <c r="I876" s="79"/>
      <c r="J876" s="14"/>
      <c r="K876" s="38"/>
      <c r="L876" s="38"/>
      <c r="M876" s="17"/>
    </row>
    <row r="877" spans="2:13" ht="14.45" customHeight="1" x14ac:dyDescent="0.25">
      <c r="B877" s="17"/>
      <c r="C877" s="14"/>
      <c r="D877" s="14"/>
      <c r="E877" s="18"/>
      <c r="F877" s="61"/>
      <c r="G877" s="73"/>
      <c r="H877" s="79"/>
      <c r="I877" s="79"/>
      <c r="J877" s="14"/>
      <c r="K877" s="38"/>
      <c r="L877" s="38"/>
      <c r="M877" s="17"/>
    </row>
    <row r="878" spans="2:13" ht="14.45" customHeight="1" x14ac:dyDescent="0.25">
      <c r="B878" s="17"/>
      <c r="C878" s="14"/>
      <c r="D878" s="14"/>
      <c r="E878" s="18"/>
      <c r="F878" s="61"/>
      <c r="G878" s="73"/>
      <c r="H878" s="79"/>
      <c r="I878" s="79"/>
      <c r="J878" s="14"/>
      <c r="K878" s="38"/>
      <c r="L878" s="38"/>
      <c r="M878" s="17"/>
    </row>
    <row r="879" spans="2:13" ht="14.45" customHeight="1" x14ac:dyDescent="0.25">
      <c r="B879" s="17"/>
      <c r="C879" s="14"/>
      <c r="D879" s="14"/>
      <c r="E879" s="18"/>
      <c r="F879" s="61"/>
      <c r="G879" s="73"/>
      <c r="H879" s="79"/>
      <c r="I879" s="79"/>
      <c r="J879" s="14"/>
      <c r="K879" s="38"/>
      <c r="L879" s="38"/>
      <c r="M879" s="17"/>
    </row>
    <row r="880" spans="2:13" ht="14.45" customHeight="1" x14ac:dyDescent="0.25">
      <c r="B880" s="17"/>
      <c r="C880" s="14"/>
      <c r="D880" s="14"/>
      <c r="E880" s="18"/>
      <c r="F880" s="61"/>
      <c r="G880" s="73"/>
      <c r="H880" s="79"/>
      <c r="I880" s="79"/>
      <c r="J880" s="14"/>
      <c r="K880" s="38"/>
      <c r="L880" s="38"/>
      <c r="M880" s="17"/>
    </row>
    <row r="881" spans="2:13" ht="14.45" customHeight="1" x14ac:dyDescent="0.25">
      <c r="B881" s="17"/>
      <c r="C881" s="14"/>
      <c r="D881" s="14"/>
      <c r="E881" s="18"/>
      <c r="F881" s="61"/>
      <c r="G881" s="73"/>
      <c r="H881" s="79"/>
      <c r="I881" s="79"/>
      <c r="J881" s="14"/>
      <c r="K881" s="38"/>
      <c r="L881" s="38"/>
      <c r="M881" s="17"/>
    </row>
    <row r="882" spans="2:13" ht="14.45" customHeight="1" x14ac:dyDescent="0.25">
      <c r="B882" s="17"/>
      <c r="C882" s="14"/>
      <c r="D882" s="14"/>
      <c r="E882" s="18"/>
      <c r="F882" s="61"/>
      <c r="G882" s="73"/>
      <c r="H882" s="79"/>
      <c r="I882" s="79"/>
      <c r="J882" s="14"/>
      <c r="K882" s="38"/>
      <c r="L882" s="38"/>
      <c r="M882" s="17"/>
    </row>
    <row r="883" spans="2:13" ht="14.45" customHeight="1" x14ac:dyDescent="0.25">
      <c r="B883" s="17"/>
      <c r="C883" s="14"/>
      <c r="D883" s="14"/>
      <c r="E883" s="18"/>
      <c r="F883" s="61"/>
      <c r="G883" s="73"/>
      <c r="H883" s="79"/>
      <c r="I883" s="79"/>
      <c r="J883" s="14"/>
      <c r="K883" s="38"/>
      <c r="L883" s="38"/>
      <c r="M883" s="17"/>
    </row>
    <row r="884" spans="2:13" ht="14.45" customHeight="1" x14ac:dyDescent="0.25">
      <c r="B884" s="17"/>
      <c r="C884" s="14"/>
      <c r="D884" s="14"/>
      <c r="E884" s="18"/>
      <c r="F884" s="61"/>
      <c r="G884" s="73"/>
      <c r="H884" s="79"/>
      <c r="I884" s="79"/>
      <c r="J884" s="14"/>
      <c r="K884" s="38"/>
      <c r="L884" s="38"/>
      <c r="M884" s="17"/>
    </row>
    <row r="885" spans="2:13" ht="14.45" customHeight="1" x14ac:dyDescent="0.25">
      <c r="B885" s="17"/>
      <c r="C885" s="14"/>
      <c r="D885" s="14"/>
      <c r="E885" s="18"/>
      <c r="F885" s="61"/>
      <c r="G885" s="73"/>
      <c r="H885" s="79"/>
      <c r="I885" s="79"/>
      <c r="J885" s="14"/>
      <c r="K885" s="38"/>
      <c r="L885" s="38"/>
      <c r="M885" s="17"/>
    </row>
    <row r="886" spans="2:13" ht="14.45" customHeight="1" x14ac:dyDescent="0.25">
      <c r="B886" s="17"/>
      <c r="C886" s="14"/>
      <c r="D886" s="14"/>
      <c r="E886" s="18"/>
      <c r="F886" s="61"/>
      <c r="G886" s="73"/>
      <c r="H886" s="79"/>
      <c r="I886" s="79"/>
      <c r="J886" s="14"/>
      <c r="K886" s="38"/>
      <c r="L886" s="38"/>
      <c r="M886" s="17"/>
    </row>
    <row r="887" spans="2:13" ht="14.45" customHeight="1" x14ac:dyDescent="0.25">
      <c r="B887" s="17"/>
      <c r="C887" s="14"/>
      <c r="D887" s="14"/>
      <c r="E887" s="18"/>
      <c r="F887" s="61"/>
      <c r="G887" s="73"/>
      <c r="H887" s="79"/>
      <c r="I887" s="79"/>
      <c r="J887" s="14"/>
      <c r="K887" s="38"/>
      <c r="L887" s="38"/>
      <c r="M887" s="17"/>
    </row>
    <row r="888" spans="2:13" ht="14.45" customHeight="1" x14ac:dyDescent="0.25">
      <c r="B888" s="17"/>
      <c r="C888" s="14"/>
      <c r="D888" s="14"/>
      <c r="E888" s="18"/>
      <c r="F888" s="61"/>
      <c r="G888" s="73"/>
      <c r="H888" s="79"/>
      <c r="I888" s="79"/>
      <c r="J888" s="14"/>
      <c r="K888" s="38"/>
      <c r="L888" s="38"/>
      <c r="M888" s="17"/>
    </row>
    <row r="889" spans="2:13" ht="14.45" customHeight="1" x14ac:dyDescent="0.25">
      <c r="B889" s="17"/>
      <c r="C889" s="14"/>
      <c r="D889" s="14"/>
      <c r="E889" s="18"/>
      <c r="F889" s="61"/>
      <c r="G889" s="73"/>
      <c r="H889" s="79"/>
      <c r="I889" s="79"/>
      <c r="J889" s="14"/>
      <c r="K889" s="38"/>
      <c r="L889" s="38"/>
      <c r="M889" s="17"/>
    </row>
    <row r="890" spans="2:13" ht="14.45" customHeight="1" x14ac:dyDescent="0.25">
      <c r="B890" s="17"/>
      <c r="C890" s="14"/>
      <c r="D890" s="14"/>
      <c r="E890" s="18"/>
      <c r="F890" s="61"/>
      <c r="G890" s="73"/>
      <c r="H890" s="79"/>
      <c r="I890" s="79"/>
      <c r="J890" s="14"/>
      <c r="K890" s="38"/>
      <c r="L890" s="38"/>
      <c r="M890" s="17"/>
    </row>
    <row r="891" spans="2:13" ht="14.45" customHeight="1" x14ac:dyDescent="0.25">
      <c r="B891" s="17"/>
      <c r="C891" s="14"/>
      <c r="D891" s="14"/>
      <c r="E891" s="18"/>
      <c r="F891" s="61"/>
      <c r="G891" s="73"/>
      <c r="H891" s="79"/>
      <c r="I891" s="79"/>
      <c r="J891" s="14"/>
      <c r="K891" s="38"/>
      <c r="L891" s="38"/>
      <c r="M891" s="17"/>
    </row>
    <row r="892" spans="2:13" ht="14.45" customHeight="1" x14ac:dyDescent="0.25">
      <c r="B892" s="17"/>
      <c r="C892" s="14"/>
      <c r="D892" s="14"/>
      <c r="E892" s="18"/>
      <c r="F892" s="61"/>
      <c r="G892" s="73"/>
      <c r="H892" s="79"/>
      <c r="I892" s="79"/>
      <c r="J892" s="14"/>
      <c r="K892" s="38"/>
      <c r="L892" s="38"/>
      <c r="M892" s="17"/>
    </row>
    <row r="893" spans="2:13" ht="14.45" customHeight="1" x14ac:dyDescent="0.25">
      <c r="B893" s="17"/>
      <c r="C893" s="14"/>
      <c r="D893" s="14"/>
      <c r="E893" s="18"/>
      <c r="F893" s="61"/>
      <c r="G893" s="73"/>
      <c r="H893" s="79"/>
      <c r="I893" s="79"/>
      <c r="J893" s="14"/>
      <c r="K893" s="38"/>
      <c r="L893" s="38"/>
      <c r="M893" s="17"/>
    </row>
    <row r="894" spans="2:13" ht="14.45" customHeight="1" x14ac:dyDescent="0.25">
      <c r="B894" s="17"/>
      <c r="C894" s="14"/>
      <c r="D894" s="14"/>
      <c r="E894" s="18"/>
      <c r="F894" s="61"/>
      <c r="G894" s="73"/>
      <c r="H894" s="79"/>
      <c r="I894" s="79"/>
      <c r="J894" s="14"/>
      <c r="K894" s="38"/>
      <c r="L894" s="38"/>
      <c r="M894" s="17"/>
    </row>
    <row r="895" spans="2:13" ht="14.45" customHeight="1" x14ac:dyDescent="0.25">
      <c r="B895" s="17"/>
      <c r="C895" s="14"/>
      <c r="D895" s="14"/>
      <c r="E895" s="18"/>
      <c r="F895" s="61"/>
      <c r="G895" s="73"/>
      <c r="H895" s="79"/>
      <c r="I895" s="79"/>
      <c r="J895" s="14"/>
      <c r="K895" s="38"/>
      <c r="L895" s="38"/>
      <c r="M895" s="17"/>
    </row>
    <row r="896" spans="2:13" ht="14.45" customHeight="1" x14ac:dyDescent="0.25">
      <c r="B896" s="17"/>
      <c r="C896" s="14"/>
      <c r="D896" s="14"/>
      <c r="E896" s="18"/>
      <c r="F896" s="61"/>
      <c r="G896" s="73"/>
      <c r="H896" s="79"/>
      <c r="I896" s="79"/>
      <c r="J896" s="14"/>
      <c r="K896" s="38"/>
      <c r="L896" s="38"/>
      <c r="M896" s="17"/>
    </row>
    <row r="897" spans="2:13" ht="14.45" customHeight="1" x14ac:dyDescent="0.25">
      <c r="B897" s="17"/>
      <c r="C897" s="14"/>
      <c r="D897" s="14"/>
      <c r="E897" s="18"/>
      <c r="F897" s="61"/>
      <c r="G897" s="73"/>
      <c r="H897" s="79"/>
      <c r="I897" s="79"/>
      <c r="J897" s="14"/>
      <c r="K897" s="38"/>
      <c r="L897" s="38"/>
      <c r="M897" s="17"/>
    </row>
    <row r="898" spans="2:13" ht="14.45" customHeight="1" x14ac:dyDescent="0.25">
      <c r="B898" s="17"/>
      <c r="C898" s="14"/>
      <c r="D898" s="14"/>
      <c r="E898" s="18"/>
      <c r="F898" s="61"/>
      <c r="G898" s="73"/>
      <c r="H898" s="79"/>
      <c r="I898" s="79"/>
      <c r="J898" s="14"/>
      <c r="K898" s="38"/>
      <c r="L898" s="38"/>
      <c r="M898" s="17"/>
    </row>
    <row r="899" spans="2:13" ht="14.45" customHeight="1" x14ac:dyDescent="0.25">
      <c r="B899" s="17"/>
      <c r="C899" s="14"/>
      <c r="D899" s="14"/>
      <c r="E899" s="18"/>
      <c r="F899" s="61"/>
      <c r="G899" s="73"/>
      <c r="H899" s="79"/>
      <c r="I899" s="79"/>
      <c r="J899" s="14"/>
      <c r="K899" s="38"/>
      <c r="L899" s="38"/>
      <c r="M899" s="17"/>
    </row>
    <row r="900" spans="2:13" ht="14.45" customHeight="1" x14ac:dyDescent="0.25">
      <c r="B900" s="17"/>
      <c r="C900" s="14"/>
      <c r="D900" s="14"/>
      <c r="E900" s="18"/>
      <c r="F900" s="61"/>
      <c r="G900" s="73"/>
      <c r="H900" s="79"/>
      <c r="I900" s="79"/>
      <c r="J900" s="14"/>
      <c r="K900" s="38"/>
      <c r="L900" s="38"/>
      <c r="M900" s="17"/>
    </row>
    <row r="901" spans="2:13" ht="14.45" customHeight="1" x14ac:dyDescent="0.25">
      <c r="B901" s="17"/>
      <c r="C901" s="14"/>
      <c r="D901" s="14"/>
      <c r="E901" s="18"/>
      <c r="F901" s="61"/>
      <c r="G901" s="73"/>
      <c r="H901" s="79"/>
      <c r="I901" s="79"/>
      <c r="J901" s="14"/>
      <c r="K901" s="38"/>
      <c r="L901" s="38"/>
      <c r="M901" s="17"/>
    </row>
    <row r="902" spans="2:13" ht="14.45" customHeight="1" x14ac:dyDescent="0.25">
      <c r="B902" s="17"/>
      <c r="C902" s="14"/>
      <c r="D902" s="14"/>
      <c r="E902" s="18"/>
      <c r="F902" s="61"/>
      <c r="G902" s="73"/>
      <c r="H902" s="79"/>
      <c r="I902" s="79"/>
      <c r="J902" s="14"/>
      <c r="K902" s="38"/>
      <c r="L902" s="38"/>
      <c r="M902" s="17"/>
    </row>
    <row r="903" spans="2:13" ht="14.45" customHeight="1" x14ac:dyDescent="0.25">
      <c r="B903" s="17"/>
      <c r="C903" s="14"/>
      <c r="D903" s="14"/>
      <c r="E903" s="18"/>
      <c r="F903" s="61"/>
      <c r="G903" s="73"/>
      <c r="H903" s="79"/>
      <c r="I903" s="79"/>
      <c r="J903" s="14"/>
      <c r="K903" s="38"/>
      <c r="L903" s="38"/>
      <c r="M903" s="17"/>
    </row>
    <row r="904" spans="2:13" ht="14.45" customHeight="1" x14ac:dyDescent="0.25">
      <c r="B904" s="17"/>
      <c r="C904" s="14"/>
      <c r="D904" s="14"/>
      <c r="E904" s="18"/>
      <c r="F904" s="61"/>
      <c r="G904" s="73"/>
      <c r="H904" s="79"/>
      <c r="I904" s="79"/>
      <c r="J904" s="14"/>
      <c r="K904" s="38"/>
      <c r="L904" s="38"/>
      <c r="M904" s="17"/>
    </row>
    <row r="905" spans="2:13" ht="14.45" customHeight="1" x14ac:dyDescent="0.25">
      <c r="B905" s="17"/>
      <c r="C905" s="14"/>
      <c r="D905" s="14"/>
      <c r="E905" s="18"/>
      <c r="F905" s="61"/>
      <c r="G905" s="73"/>
      <c r="H905" s="79"/>
      <c r="I905" s="79"/>
      <c r="J905" s="14"/>
      <c r="K905" s="38"/>
      <c r="L905" s="38"/>
      <c r="M905" s="17"/>
    </row>
    <row r="906" spans="2:13" ht="14.45" customHeight="1" x14ac:dyDescent="0.25">
      <c r="B906" s="17"/>
      <c r="C906" s="14"/>
      <c r="D906" s="14"/>
      <c r="E906" s="18"/>
      <c r="F906" s="61"/>
      <c r="G906" s="73"/>
      <c r="H906" s="79"/>
      <c r="I906" s="79"/>
      <c r="J906" s="14"/>
      <c r="K906" s="38"/>
      <c r="L906" s="38"/>
      <c r="M906" s="17"/>
    </row>
    <row r="907" spans="2:13" ht="14.45" customHeight="1" x14ac:dyDescent="0.25">
      <c r="B907" s="17"/>
      <c r="C907" s="14"/>
      <c r="D907" s="14"/>
      <c r="E907" s="18"/>
      <c r="F907" s="61"/>
      <c r="G907" s="73"/>
      <c r="H907" s="79"/>
      <c r="I907" s="79"/>
      <c r="J907" s="14"/>
      <c r="K907" s="38"/>
      <c r="L907" s="38"/>
      <c r="M907" s="17"/>
    </row>
    <row r="908" spans="2:13" ht="14.45" customHeight="1" x14ac:dyDescent="0.25">
      <c r="B908" s="17"/>
      <c r="C908" s="14"/>
      <c r="D908" s="14"/>
      <c r="E908" s="18"/>
      <c r="F908" s="61"/>
      <c r="G908" s="73"/>
      <c r="H908" s="79"/>
      <c r="I908" s="79"/>
      <c r="J908" s="14"/>
      <c r="K908" s="38"/>
      <c r="L908" s="38"/>
      <c r="M908" s="17"/>
    </row>
    <row r="909" spans="2:13" ht="14.45" customHeight="1" x14ac:dyDescent="0.25">
      <c r="B909" s="17"/>
      <c r="C909" s="14"/>
      <c r="D909" s="14"/>
      <c r="E909" s="18"/>
      <c r="F909" s="61"/>
      <c r="G909" s="73"/>
      <c r="H909" s="79"/>
      <c r="I909" s="79"/>
      <c r="J909" s="14"/>
      <c r="K909" s="38"/>
      <c r="L909" s="38"/>
      <c r="M909" s="17"/>
    </row>
    <row r="910" spans="2:13" ht="14.45" customHeight="1" x14ac:dyDescent="0.25">
      <c r="B910" s="17"/>
      <c r="C910" s="14"/>
      <c r="D910" s="14"/>
      <c r="E910" s="18"/>
      <c r="F910" s="61"/>
      <c r="G910" s="73"/>
      <c r="H910" s="79"/>
      <c r="I910" s="79"/>
      <c r="J910" s="14"/>
      <c r="K910" s="38"/>
      <c r="L910" s="38"/>
      <c r="M910" s="17"/>
    </row>
    <row r="911" spans="2:13" ht="14.45" customHeight="1" x14ac:dyDescent="0.25">
      <c r="B911" s="17"/>
      <c r="C911" s="14"/>
      <c r="D911" s="14"/>
      <c r="E911" s="18"/>
      <c r="F911" s="61"/>
      <c r="G911" s="73"/>
      <c r="H911" s="79"/>
      <c r="I911" s="79"/>
      <c r="J911" s="14"/>
      <c r="K911" s="38"/>
      <c r="L911" s="38"/>
      <c r="M911" s="17"/>
    </row>
    <row r="912" spans="2:13" ht="14.45" customHeight="1" x14ac:dyDescent="0.25">
      <c r="B912" s="17"/>
      <c r="C912" s="14"/>
      <c r="D912" s="14"/>
      <c r="E912" s="18"/>
      <c r="F912" s="61"/>
      <c r="G912" s="73"/>
      <c r="H912" s="79"/>
      <c r="I912" s="79"/>
      <c r="J912" s="14"/>
      <c r="K912" s="38"/>
      <c r="L912" s="38"/>
      <c r="M912" s="17"/>
    </row>
    <row r="913" spans="2:13" ht="14.45" customHeight="1" x14ac:dyDescent="0.25">
      <c r="B913" s="17"/>
      <c r="C913" s="14"/>
      <c r="D913" s="14"/>
      <c r="E913" s="18"/>
      <c r="F913" s="61"/>
      <c r="G913" s="73"/>
      <c r="H913" s="79"/>
      <c r="I913" s="79"/>
      <c r="J913" s="14"/>
      <c r="K913" s="38"/>
      <c r="L913" s="38"/>
      <c r="M913" s="17"/>
    </row>
    <row r="914" spans="2:13" ht="14.45" customHeight="1" x14ac:dyDescent="0.25">
      <c r="B914" s="17"/>
      <c r="C914" s="14"/>
      <c r="D914" s="14"/>
      <c r="E914" s="18"/>
      <c r="F914" s="61"/>
      <c r="G914" s="73"/>
      <c r="H914" s="79"/>
      <c r="I914" s="79"/>
      <c r="J914" s="14"/>
      <c r="K914" s="38"/>
      <c r="L914" s="38"/>
      <c r="M914" s="17"/>
    </row>
    <row r="915" spans="2:13" ht="14.45" customHeight="1" x14ac:dyDescent="0.25">
      <c r="B915" s="17"/>
      <c r="C915" s="14"/>
      <c r="D915" s="14"/>
      <c r="E915" s="18"/>
      <c r="F915" s="61"/>
      <c r="G915" s="73"/>
      <c r="H915" s="79"/>
      <c r="I915" s="79"/>
      <c r="J915" s="14"/>
      <c r="K915" s="38"/>
      <c r="L915" s="38"/>
      <c r="M915" s="17"/>
    </row>
    <row r="916" spans="2:13" ht="14.45" customHeight="1" x14ac:dyDescent="0.25">
      <c r="B916" s="17"/>
      <c r="C916" s="14"/>
      <c r="D916" s="14"/>
      <c r="E916" s="18"/>
      <c r="F916" s="61"/>
      <c r="G916" s="73"/>
      <c r="H916" s="79"/>
      <c r="I916" s="79"/>
      <c r="J916" s="14"/>
      <c r="K916" s="38"/>
      <c r="L916" s="38"/>
      <c r="M916" s="17"/>
    </row>
    <row r="917" spans="2:13" ht="14.45" customHeight="1" x14ac:dyDescent="0.25">
      <c r="B917" s="17"/>
      <c r="C917" s="14"/>
      <c r="D917" s="14"/>
      <c r="E917" s="18"/>
      <c r="F917" s="61"/>
      <c r="G917" s="73"/>
      <c r="H917" s="79"/>
      <c r="I917" s="79"/>
      <c r="J917" s="14"/>
      <c r="K917" s="38"/>
      <c r="L917" s="38"/>
      <c r="M917" s="17"/>
    </row>
    <row r="918" spans="2:13" ht="14.45" customHeight="1" x14ac:dyDescent="0.25">
      <c r="B918" s="17"/>
      <c r="C918" s="14"/>
      <c r="D918" s="14"/>
      <c r="E918" s="18"/>
      <c r="F918" s="61"/>
      <c r="G918" s="73"/>
      <c r="H918" s="79"/>
      <c r="I918" s="79"/>
      <c r="J918" s="14"/>
      <c r="K918" s="38"/>
      <c r="L918" s="38"/>
      <c r="M918" s="17"/>
    </row>
    <row r="919" spans="2:13" ht="14.45" customHeight="1" x14ac:dyDescent="0.25">
      <c r="B919" s="17"/>
      <c r="C919" s="14"/>
      <c r="D919" s="14"/>
      <c r="E919" s="18"/>
      <c r="F919" s="61"/>
      <c r="G919" s="73"/>
      <c r="H919" s="79"/>
      <c r="I919" s="79"/>
      <c r="J919" s="14"/>
      <c r="K919" s="38"/>
      <c r="L919" s="38"/>
      <c r="M919" s="17"/>
    </row>
    <row r="920" spans="2:13" ht="14.45" customHeight="1" x14ac:dyDescent="0.25">
      <c r="B920" s="17"/>
      <c r="C920" s="14"/>
      <c r="D920" s="14"/>
      <c r="E920" s="18"/>
      <c r="F920" s="61"/>
      <c r="G920" s="73"/>
      <c r="H920" s="79"/>
      <c r="I920" s="79"/>
      <c r="J920" s="14"/>
      <c r="K920" s="38"/>
      <c r="L920" s="38"/>
      <c r="M920" s="17"/>
    </row>
    <row r="921" spans="2:13" ht="14.45" customHeight="1" x14ac:dyDescent="0.25">
      <c r="B921" s="17"/>
      <c r="C921" s="14"/>
      <c r="D921" s="14"/>
      <c r="E921" s="18"/>
      <c r="F921" s="61"/>
      <c r="G921" s="73"/>
      <c r="H921" s="79"/>
      <c r="I921" s="79"/>
      <c r="J921" s="14"/>
      <c r="K921" s="38"/>
      <c r="L921" s="38"/>
      <c r="M921" s="17"/>
    </row>
    <row r="922" spans="2:13" ht="14.45" customHeight="1" x14ac:dyDescent="0.25">
      <c r="B922" s="17"/>
      <c r="C922" s="14"/>
      <c r="D922" s="14"/>
      <c r="E922" s="18"/>
      <c r="F922" s="61"/>
      <c r="G922" s="73"/>
      <c r="H922" s="79"/>
      <c r="I922" s="79"/>
      <c r="J922" s="14"/>
      <c r="K922" s="38"/>
      <c r="L922" s="38"/>
      <c r="M922" s="17"/>
    </row>
    <row r="923" spans="2:13" ht="14.45" customHeight="1" x14ac:dyDescent="0.25">
      <c r="B923" s="17"/>
      <c r="C923" s="14"/>
      <c r="D923" s="14"/>
      <c r="E923" s="18"/>
      <c r="F923" s="61"/>
      <c r="G923" s="73"/>
      <c r="H923" s="79"/>
      <c r="I923" s="79"/>
      <c r="J923" s="14"/>
      <c r="K923" s="38"/>
      <c r="L923" s="38"/>
      <c r="M923" s="17"/>
    </row>
    <row r="924" spans="2:13" ht="14.45" customHeight="1" x14ac:dyDescent="0.25">
      <c r="B924" s="17"/>
      <c r="C924" s="14"/>
      <c r="D924" s="14"/>
      <c r="E924" s="18"/>
      <c r="F924" s="61"/>
      <c r="G924" s="73"/>
      <c r="H924" s="79"/>
      <c r="I924" s="79"/>
      <c r="J924" s="14"/>
      <c r="K924" s="38"/>
      <c r="L924" s="38"/>
      <c r="M924" s="17"/>
    </row>
    <row r="925" spans="2:13" ht="14.45" customHeight="1" x14ac:dyDescent="0.25">
      <c r="B925" s="17"/>
      <c r="C925" s="14"/>
      <c r="D925" s="14"/>
      <c r="E925" s="18"/>
      <c r="F925" s="61"/>
      <c r="G925" s="73"/>
      <c r="H925" s="79"/>
      <c r="I925" s="79"/>
      <c r="J925" s="14"/>
      <c r="K925" s="38"/>
      <c r="L925" s="38"/>
      <c r="M925" s="17"/>
    </row>
    <row r="926" spans="2:13" ht="14.45" customHeight="1" x14ac:dyDescent="0.25">
      <c r="B926" s="17"/>
      <c r="C926" s="14"/>
      <c r="D926" s="14"/>
      <c r="E926" s="18"/>
      <c r="F926" s="61"/>
      <c r="G926" s="73"/>
      <c r="H926" s="79"/>
      <c r="I926" s="79"/>
      <c r="J926" s="14"/>
      <c r="K926" s="38"/>
      <c r="L926" s="38"/>
      <c r="M926" s="17"/>
    </row>
    <row r="927" spans="2:13" ht="14.45" customHeight="1" x14ac:dyDescent="0.25">
      <c r="B927" s="17"/>
      <c r="C927" s="14"/>
      <c r="D927" s="14"/>
      <c r="E927" s="18"/>
      <c r="F927" s="61"/>
      <c r="G927" s="73"/>
      <c r="H927" s="79"/>
      <c r="I927" s="79"/>
      <c r="J927" s="14"/>
      <c r="K927" s="38"/>
      <c r="L927" s="38"/>
      <c r="M927" s="17"/>
    </row>
    <row r="928" spans="2:13" ht="14.45" customHeight="1" x14ac:dyDescent="0.25">
      <c r="B928" s="17"/>
      <c r="C928" s="14"/>
      <c r="D928" s="14"/>
      <c r="E928" s="18"/>
      <c r="F928" s="61"/>
      <c r="G928" s="73"/>
      <c r="H928" s="79"/>
      <c r="I928" s="79"/>
      <c r="J928" s="14"/>
      <c r="K928" s="38"/>
      <c r="L928" s="38"/>
      <c r="M928" s="17"/>
    </row>
    <row r="929" spans="2:13" ht="14.45" customHeight="1" x14ac:dyDescent="0.25">
      <c r="B929" s="17"/>
      <c r="C929" s="14"/>
      <c r="D929" s="14"/>
      <c r="E929" s="18"/>
      <c r="F929" s="61"/>
      <c r="G929" s="73"/>
      <c r="H929" s="79"/>
      <c r="I929" s="79"/>
      <c r="J929" s="14"/>
      <c r="K929" s="38"/>
      <c r="L929" s="38"/>
      <c r="M929" s="17"/>
    </row>
    <row r="930" spans="2:13" ht="14.45" customHeight="1" x14ac:dyDescent="0.25">
      <c r="B930" s="17"/>
      <c r="C930" s="14"/>
      <c r="D930" s="14"/>
      <c r="E930" s="18"/>
      <c r="F930" s="61"/>
      <c r="G930" s="73"/>
      <c r="H930" s="79"/>
      <c r="I930" s="79"/>
      <c r="J930" s="14"/>
      <c r="K930" s="38"/>
      <c r="L930" s="38"/>
      <c r="M930" s="17"/>
    </row>
    <row r="931" spans="2:13" ht="14.45" customHeight="1" x14ac:dyDescent="0.25">
      <c r="B931" s="17"/>
      <c r="C931" s="14"/>
      <c r="D931" s="14"/>
      <c r="E931" s="18"/>
      <c r="F931" s="61"/>
      <c r="G931" s="73"/>
      <c r="H931" s="79"/>
      <c r="I931" s="79"/>
      <c r="J931" s="14"/>
      <c r="K931" s="38"/>
      <c r="L931" s="38"/>
      <c r="M931" s="17"/>
    </row>
    <row r="932" spans="2:13" ht="14.45" customHeight="1" x14ac:dyDescent="0.25">
      <c r="B932" s="17"/>
      <c r="C932" s="14"/>
      <c r="D932" s="14"/>
      <c r="E932" s="18"/>
      <c r="F932" s="61"/>
      <c r="G932" s="73"/>
      <c r="H932" s="79"/>
      <c r="I932" s="79"/>
      <c r="J932" s="14"/>
      <c r="K932" s="38"/>
      <c r="L932" s="38"/>
      <c r="M932" s="17"/>
    </row>
    <row r="933" spans="2:13" ht="14.45" customHeight="1" x14ac:dyDescent="0.25">
      <c r="B933" s="17"/>
      <c r="C933" s="14"/>
      <c r="D933" s="14"/>
      <c r="E933" s="18"/>
      <c r="F933" s="61"/>
      <c r="G933" s="73"/>
      <c r="H933" s="79"/>
      <c r="I933" s="79"/>
      <c r="J933" s="14"/>
      <c r="K933" s="38"/>
      <c r="L933" s="38"/>
      <c r="M933" s="17"/>
    </row>
    <row r="934" spans="2:13" ht="14.45" customHeight="1" x14ac:dyDescent="0.25">
      <c r="B934" s="17"/>
      <c r="C934" s="14"/>
      <c r="D934" s="14"/>
      <c r="E934" s="18"/>
      <c r="F934" s="61"/>
      <c r="G934" s="73"/>
      <c r="H934" s="79"/>
      <c r="I934" s="79"/>
      <c r="J934" s="14"/>
      <c r="K934" s="38"/>
      <c r="L934" s="38"/>
      <c r="M934" s="17"/>
    </row>
    <row r="935" spans="2:13" ht="14.45" customHeight="1" x14ac:dyDescent="0.25">
      <c r="B935" s="17"/>
      <c r="C935" s="14"/>
      <c r="D935" s="14"/>
      <c r="E935" s="18"/>
      <c r="F935" s="61"/>
      <c r="G935" s="73"/>
      <c r="H935" s="79"/>
      <c r="I935" s="79"/>
      <c r="J935" s="14"/>
      <c r="K935" s="38"/>
      <c r="L935" s="38"/>
      <c r="M935" s="17"/>
    </row>
    <row r="936" spans="2:13" ht="14.45" customHeight="1" x14ac:dyDescent="0.25">
      <c r="B936" s="17"/>
      <c r="C936" s="14"/>
      <c r="D936" s="14"/>
      <c r="E936" s="18"/>
      <c r="F936" s="61"/>
      <c r="G936" s="73"/>
      <c r="H936" s="79"/>
      <c r="I936" s="79"/>
      <c r="J936" s="14"/>
      <c r="K936" s="38"/>
      <c r="L936" s="38"/>
      <c r="M936" s="17"/>
    </row>
    <row r="937" spans="2:13" ht="14.45" customHeight="1" x14ac:dyDescent="0.25">
      <c r="B937" s="17"/>
      <c r="C937" s="14"/>
      <c r="D937" s="14"/>
      <c r="E937" s="18"/>
      <c r="F937" s="61"/>
      <c r="G937" s="73"/>
      <c r="H937" s="79"/>
      <c r="I937" s="79"/>
      <c r="J937" s="14"/>
      <c r="K937" s="38"/>
      <c r="L937" s="38"/>
      <c r="M937" s="17"/>
    </row>
    <row r="938" spans="2:13" ht="14.45" customHeight="1" x14ac:dyDescent="0.25">
      <c r="B938" s="17"/>
      <c r="C938" s="14"/>
      <c r="D938" s="14"/>
      <c r="E938" s="18"/>
      <c r="F938" s="61"/>
      <c r="G938" s="73"/>
      <c r="H938" s="79"/>
      <c r="I938" s="79"/>
      <c r="J938" s="14"/>
      <c r="K938" s="38"/>
      <c r="L938" s="38"/>
      <c r="M938" s="17"/>
    </row>
    <row r="939" spans="2:13" ht="14.45" customHeight="1" x14ac:dyDescent="0.25">
      <c r="B939" s="17"/>
      <c r="C939" s="14"/>
      <c r="D939" s="14"/>
      <c r="E939" s="18"/>
      <c r="F939" s="61"/>
      <c r="G939" s="73"/>
      <c r="H939" s="79"/>
      <c r="I939" s="79"/>
      <c r="J939" s="14"/>
      <c r="K939" s="38"/>
      <c r="L939" s="38"/>
      <c r="M939" s="17"/>
    </row>
    <row r="940" spans="2:13" ht="14.45" customHeight="1" x14ac:dyDescent="0.25">
      <c r="B940" s="17"/>
      <c r="C940" s="14"/>
      <c r="D940" s="14"/>
      <c r="E940" s="18"/>
      <c r="F940" s="61"/>
      <c r="G940" s="73"/>
      <c r="H940" s="79"/>
      <c r="I940" s="79"/>
      <c r="J940" s="14"/>
      <c r="K940" s="38"/>
      <c r="L940" s="38"/>
      <c r="M940" s="17"/>
    </row>
    <row r="941" spans="2:13" ht="14.45" customHeight="1" x14ac:dyDescent="0.25">
      <c r="B941" s="17"/>
      <c r="C941" s="14"/>
      <c r="D941" s="14"/>
      <c r="E941" s="18"/>
      <c r="F941" s="61"/>
      <c r="G941" s="73"/>
      <c r="H941" s="79"/>
      <c r="I941" s="79"/>
      <c r="J941" s="14"/>
      <c r="K941" s="38"/>
      <c r="L941" s="38"/>
      <c r="M941" s="17"/>
    </row>
    <row r="942" spans="2:13" ht="14.45" customHeight="1" x14ac:dyDescent="0.25">
      <c r="B942" s="17"/>
      <c r="C942" s="14"/>
      <c r="D942" s="14"/>
      <c r="E942" s="18"/>
      <c r="F942" s="61"/>
      <c r="G942" s="73"/>
      <c r="H942" s="79"/>
      <c r="I942" s="79"/>
      <c r="J942" s="14"/>
      <c r="K942" s="38"/>
      <c r="L942" s="38"/>
      <c r="M942" s="17"/>
    </row>
    <row r="943" spans="2:13" ht="14.45" customHeight="1" x14ac:dyDescent="0.25">
      <c r="B943" s="17"/>
      <c r="C943" s="14"/>
      <c r="D943" s="14"/>
      <c r="E943" s="18"/>
      <c r="F943" s="61"/>
      <c r="G943" s="73"/>
      <c r="H943" s="79"/>
      <c r="I943" s="79"/>
      <c r="J943" s="14"/>
      <c r="K943" s="38"/>
      <c r="L943" s="38"/>
      <c r="M943" s="17"/>
    </row>
    <row r="944" spans="2:13" ht="14.45" customHeight="1" x14ac:dyDescent="0.25">
      <c r="B944" s="17"/>
      <c r="C944" s="14"/>
      <c r="D944" s="14"/>
      <c r="E944" s="18"/>
      <c r="F944" s="61"/>
      <c r="G944" s="73"/>
      <c r="H944" s="79"/>
      <c r="I944" s="79"/>
      <c r="J944" s="14"/>
      <c r="K944" s="38"/>
      <c r="L944" s="38"/>
      <c r="M944" s="17"/>
    </row>
    <row r="945" spans="2:13" ht="14.45" customHeight="1" x14ac:dyDescent="0.25">
      <c r="B945" s="17"/>
      <c r="C945" s="14"/>
      <c r="D945" s="14"/>
      <c r="E945" s="18"/>
      <c r="F945" s="61"/>
      <c r="G945" s="73"/>
      <c r="H945" s="79"/>
      <c r="I945" s="79"/>
      <c r="J945" s="14"/>
      <c r="K945" s="38"/>
      <c r="L945" s="38"/>
      <c r="M945" s="17"/>
    </row>
    <row r="946" spans="2:13" ht="14.45" customHeight="1" x14ac:dyDescent="0.25">
      <c r="B946" s="17"/>
      <c r="C946" s="14"/>
      <c r="D946" s="14"/>
      <c r="E946" s="18"/>
      <c r="F946" s="61"/>
      <c r="G946" s="73"/>
      <c r="H946" s="79"/>
      <c r="I946" s="79"/>
      <c r="J946" s="14"/>
      <c r="K946" s="38"/>
      <c r="L946" s="38"/>
      <c r="M946" s="17"/>
    </row>
    <row r="947" spans="2:13" ht="14.45" customHeight="1" x14ac:dyDescent="0.25">
      <c r="B947" s="17"/>
      <c r="C947" s="14"/>
      <c r="D947" s="14"/>
      <c r="E947" s="18"/>
      <c r="F947" s="61"/>
      <c r="G947" s="73"/>
      <c r="H947" s="79"/>
      <c r="I947" s="79"/>
      <c r="J947" s="14"/>
      <c r="K947" s="38"/>
      <c r="L947" s="38"/>
      <c r="M947" s="17"/>
    </row>
    <row r="948" spans="2:13" ht="14.45" customHeight="1" x14ac:dyDescent="0.25">
      <c r="B948" s="17"/>
      <c r="C948" s="14"/>
      <c r="D948" s="14"/>
      <c r="E948" s="18"/>
      <c r="F948" s="61"/>
      <c r="G948" s="73"/>
      <c r="H948" s="79"/>
      <c r="I948" s="79"/>
      <c r="J948" s="14"/>
      <c r="K948" s="38"/>
      <c r="L948" s="38"/>
      <c r="M948" s="17"/>
    </row>
    <row r="949" spans="2:13" ht="14.45" customHeight="1" x14ac:dyDescent="0.25">
      <c r="B949" s="17"/>
      <c r="C949" s="14"/>
      <c r="D949" s="14"/>
      <c r="E949" s="18"/>
      <c r="F949" s="61"/>
      <c r="G949" s="73"/>
      <c r="H949" s="79"/>
      <c r="I949" s="79"/>
      <c r="J949" s="14"/>
      <c r="K949" s="38"/>
      <c r="L949" s="38"/>
      <c r="M949" s="17"/>
    </row>
    <row r="950" spans="2:13" ht="14.45" customHeight="1" x14ac:dyDescent="0.25">
      <c r="B950" s="17"/>
      <c r="C950" s="14"/>
      <c r="D950" s="14"/>
      <c r="E950" s="18"/>
      <c r="F950" s="61"/>
      <c r="G950" s="73"/>
      <c r="H950" s="79"/>
      <c r="I950" s="79"/>
      <c r="J950" s="14"/>
      <c r="K950" s="38"/>
      <c r="L950" s="38"/>
      <c r="M950" s="17"/>
    </row>
    <row r="951" spans="2:13" ht="14.45" customHeight="1" x14ac:dyDescent="0.25">
      <c r="B951" s="17"/>
      <c r="C951" s="14"/>
      <c r="D951" s="14"/>
      <c r="E951" s="18"/>
      <c r="F951" s="61"/>
      <c r="G951" s="73"/>
      <c r="H951" s="79"/>
      <c r="I951" s="79"/>
      <c r="J951" s="14"/>
      <c r="K951" s="38"/>
      <c r="L951" s="38"/>
      <c r="M951" s="17"/>
    </row>
    <row r="952" spans="2:13" ht="14.45" customHeight="1" x14ac:dyDescent="0.25">
      <c r="B952" s="17"/>
      <c r="C952" s="14"/>
      <c r="D952" s="14"/>
      <c r="E952" s="18"/>
      <c r="F952" s="61"/>
      <c r="G952" s="73"/>
      <c r="H952" s="79"/>
      <c r="I952" s="79"/>
      <c r="J952" s="14"/>
      <c r="K952" s="38"/>
      <c r="L952" s="38"/>
      <c r="M952" s="17"/>
    </row>
    <row r="953" spans="2:13" ht="14.45" customHeight="1" x14ac:dyDescent="0.25">
      <c r="B953" s="17"/>
      <c r="C953" s="14"/>
      <c r="D953" s="14"/>
      <c r="E953" s="18"/>
      <c r="F953" s="61"/>
      <c r="G953" s="73"/>
      <c r="H953" s="79"/>
      <c r="I953" s="79"/>
      <c r="J953" s="14"/>
      <c r="K953" s="38"/>
      <c r="L953" s="38"/>
      <c r="M953" s="17"/>
    </row>
    <row r="954" spans="2:13" ht="14.45" customHeight="1" x14ac:dyDescent="0.25">
      <c r="B954" s="17"/>
      <c r="C954" s="14"/>
      <c r="D954" s="14"/>
      <c r="E954" s="18"/>
      <c r="F954" s="61"/>
      <c r="G954" s="73"/>
      <c r="H954" s="79"/>
      <c r="I954" s="79"/>
      <c r="J954" s="14"/>
      <c r="K954" s="38"/>
      <c r="L954" s="38"/>
      <c r="M954" s="17"/>
    </row>
    <row r="955" spans="2:13" ht="14.45" customHeight="1" x14ac:dyDescent="0.25">
      <c r="B955" s="17"/>
      <c r="C955" s="14"/>
      <c r="D955" s="14"/>
      <c r="E955" s="18"/>
      <c r="F955" s="61"/>
      <c r="G955" s="73"/>
      <c r="H955" s="79"/>
      <c r="I955" s="79"/>
      <c r="J955" s="14"/>
      <c r="K955" s="38"/>
      <c r="L955" s="38"/>
      <c r="M955" s="17"/>
    </row>
    <row r="956" spans="2:13" ht="14.45" customHeight="1" x14ac:dyDescent="0.25">
      <c r="B956" s="17"/>
      <c r="C956" s="14"/>
      <c r="D956" s="14"/>
      <c r="E956" s="18"/>
      <c r="F956" s="61"/>
      <c r="G956" s="73"/>
      <c r="H956" s="79"/>
      <c r="I956" s="79"/>
      <c r="J956" s="14"/>
      <c r="K956" s="38"/>
      <c r="L956" s="38"/>
      <c r="M956" s="17"/>
    </row>
    <row r="957" spans="2:13" ht="14.45" customHeight="1" x14ac:dyDescent="0.25">
      <c r="B957" s="17"/>
      <c r="C957" s="14"/>
      <c r="D957" s="14"/>
      <c r="E957" s="18"/>
      <c r="F957" s="61"/>
      <c r="G957" s="73"/>
      <c r="H957" s="79"/>
      <c r="I957" s="79"/>
      <c r="J957" s="14"/>
      <c r="K957" s="38"/>
      <c r="L957" s="38"/>
      <c r="M957" s="17"/>
    </row>
    <row r="958" spans="2:13" ht="14.45" customHeight="1" x14ac:dyDescent="0.25">
      <c r="B958" s="17"/>
      <c r="C958" s="14"/>
      <c r="D958" s="14"/>
      <c r="E958" s="18"/>
      <c r="F958" s="61"/>
      <c r="G958" s="73"/>
      <c r="H958" s="79"/>
      <c r="I958" s="79"/>
      <c r="J958" s="14"/>
      <c r="K958" s="38"/>
      <c r="L958" s="38"/>
      <c r="M958" s="17"/>
    </row>
    <row r="959" spans="2:13" ht="14.45" customHeight="1" x14ac:dyDescent="0.25">
      <c r="B959" s="17"/>
      <c r="C959" s="14"/>
      <c r="D959" s="14"/>
      <c r="E959" s="18"/>
      <c r="F959" s="61"/>
      <c r="G959" s="73"/>
      <c r="H959" s="79"/>
      <c r="I959" s="79"/>
      <c r="J959" s="14"/>
      <c r="K959" s="38"/>
      <c r="L959" s="38"/>
      <c r="M959" s="17"/>
    </row>
    <row r="960" spans="2:13" ht="14.45" customHeight="1" x14ac:dyDescent="0.25">
      <c r="B960" s="17"/>
      <c r="C960" s="14"/>
      <c r="D960" s="14"/>
      <c r="E960" s="18"/>
      <c r="F960" s="61"/>
      <c r="G960" s="73"/>
      <c r="H960" s="79"/>
      <c r="I960" s="79"/>
      <c r="J960" s="14"/>
      <c r="K960" s="38"/>
      <c r="L960" s="38"/>
      <c r="M960" s="17"/>
    </row>
    <row r="961" spans="2:13" ht="14.45" customHeight="1" x14ac:dyDescent="0.25">
      <c r="B961" s="17"/>
      <c r="C961" s="14"/>
      <c r="D961" s="14"/>
      <c r="E961" s="18"/>
      <c r="F961" s="61"/>
      <c r="G961" s="73"/>
      <c r="H961" s="79"/>
      <c r="I961" s="79"/>
      <c r="J961" s="14"/>
      <c r="K961" s="38"/>
      <c r="L961" s="38"/>
      <c r="M961" s="17"/>
    </row>
    <row r="962" spans="2:13" ht="14.45" customHeight="1" x14ac:dyDescent="0.25">
      <c r="B962" s="17"/>
      <c r="C962" s="14"/>
      <c r="D962" s="14"/>
      <c r="E962" s="18"/>
      <c r="F962" s="61"/>
      <c r="G962" s="73"/>
      <c r="H962" s="79"/>
      <c r="I962" s="79"/>
      <c r="J962" s="14"/>
      <c r="K962" s="38"/>
      <c r="L962" s="38"/>
      <c r="M962" s="17"/>
    </row>
    <row r="963" spans="2:13" ht="14.45" customHeight="1" x14ac:dyDescent="0.25">
      <c r="B963" s="17"/>
      <c r="C963" s="14"/>
      <c r="D963" s="14"/>
      <c r="E963" s="18"/>
      <c r="F963" s="61"/>
      <c r="G963" s="73"/>
      <c r="H963" s="79"/>
      <c r="I963" s="79"/>
      <c r="J963" s="14"/>
      <c r="K963" s="38"/>
      <c r="L963" s="38"/>
      <c r="M963" s="17"/>
    </row>
    <row r="964" spans="2:13" ht="14.45" customHeight="1" x14ac:dyDescent="0.25">
      <c r="B964" s="17"/>
      <c r="C964" s="14"/>
      <c r="D964" s="14"/>
      <c r="E964" s="18"/>
      <c r="F964" s="61"/>
      <c r="G964" s="73"/>
      <c r="H964" s="79"/>
      <c r="I964" s="79"/>
      <c r="J964" s="14"/>
      <c r="K964" s="38"/>
      <c r="L964" s="38"/>
      <c r="M964" s="17"/>
    </row>
    <row r="965" spans="2:13" ht="14.45" customHeight="1" x14ac:dyDescent="0.25">
      <c r="B965" s="17"/>
      <c r="C965" s="14"/>
      <c r="D965" s="14"/>
      <c r="E965" s="18"/>
      <c r="F965" s="61"/>
      <c r="G965" s="73"/>
      <c r="H965" s="79"/>
      <c r="I965" s="79"/>
      <c r="J965" s="14"/>
      <c r="K965" s="38"/>
      <c r="L965" s="38"/>
      <c r="M965" s="17"/>
    </row>
    <row r="966" spans="2:13" ht="14.45" customHeight="1" x14ac:dyDescent="0.25">
      <c r="B966" s="17"/>
      <c r="C966" s="14"/>
      <c r="D966" s="14"/>
      <c r="E966" s="18"/>
      <c r="F966" s="61"/>
      <c r="G966" s="73"/>
      <c r="H966" s="79"/>
      <c r="I966" s="79"/>
      <c r="J966" s="14"/>
      <c r="K966" s="38"/>
      <c r="L966" s="38"/>
      <c r="M966" s="17"/>
    </row>
    <row r="967" spans="2:13" ht="14.45" customHeight="1" x14ac:dyDescent="0.25">
      <c r="B967" s="17"/>
      <c r="C967" s="14"/>
      <c r="D967" s="14"/>
      <c r="E967" s="18"/>
      <c r="F967" s="61"/>
      <c r="G967" s="73"/>
      <c r="H967" s="79"/>
      <c r="I967" s="79"/>
      <c r="J967" s="14"/>
      <c r="K967" s="38"/>
      <c r="L967" s="38"/>
      <c r="M967" s="17"/>
    </row>
    <row r="968" spans="2:13" ht="14.45" customHeight="1" x14ac:dyDescent="0.25">
      <c r="B968" s="17"/>
      <c r="C968" s="14"/>
      <c r="D968" s="14"/>
      <c r="E968" s="18"/>
      <c r="F968" s="61"/>
      <c r="G968" s="73"/>
      <c r="H968" s="79"/>
      <c r="I968" s="79"/>
      <c r="J968" s="14"/>
      <c r="K968" s="38"/>
      <c r="L968" s="38"/>
      <c r="M968" s="17"/>
    </row>
    <row r="969" spans="2:13" ht="14.45" customHeight="1" x14ac:dyDescent="0.25">
      <c r="B969" s="17"/>
      <c r="C969" s="14"/>
      <c r="D969" s="14"/>
      <c r="E969" s="18"/>
      <c r="F969" s="61"/>
      <c r="G969" s="73"/>
      <c r="H969" s="79"/>
      <c r="I969" s="79"/>
      <c r="J969" s="14"/>
      <c r="K969" s="38"/>
      <c r="L969" s="38"/>
      <c r="M969" s="17"/>
    </row>
    <row r="970" spans="2:13" ht="14.45" customHeight="1" x14ac:dyDescent="0.25">
      <c r="B970" s="17"/>
      <c r="C970" s="14"/>
      <c r="D970" s="14"/>
      <c r="E970" s="18"/>
      <c r="F970" s="61"/>
      <c r="G970" s="73"/>
      <c r="H970" s="79"/>
      <c r="I970" s="79"/>
      <c r="J970" s="14"/>
      <c r="K970" s="38"/>
      <c r="L970" s="38"/>
      <c r="M970" s="17"/>
    </row>
    <row r="971" spans="2:13" ht="14.45" customHeight="1" x14ac:dyDescent="0.25">
      <c r="B971" s="17"/>
      <c r="C971" s="14"/>
      <c r="D971" s="14"/>
      <c r="E971" s="18"/>
      <c r="F971" s="61"/>
      <c r="G971" s="73"/>
      <c r="H971" s="79"/>
      <c r="I971" s="79"/>
      <c r="J971" s="14"/>
      <c r="K971" s="38"/>
      <c r="L971" s="38"/>
      <c r="M971" s="17"/>
    </row>
    <row r="972" spans="2:13" ht="14.45" customHeight="1" x14ac:dyDescent="0.25">
      <c r="B972" s="17"/>
      <c r="C972" s="14"/>
      <c r="D972" s="14"/>
      <c r="E972" s="18"/>
      <c r="F972" s="61"/>
      <c r="G972" s="73"/>
      <c r="H972" s="79"/>
      <c r="I972" s="79"/>
      <c r="J972" s="14"/>
      <c r="K972" s="38"/>
      <c r="L972" s="38"/>
      <c r="M972" s="17"/>
    </row>
    <row r="973" spans="2:13" ht="14.45" customHeight="1" x14ac:dyDescent="0.25">
      <c r="B973" s="17"/>
      <c r="C973" s="14"/>
      <c r="D973" s="14"/>
      <c r="E973" s="18"/>
      <c r="F973" s="61"/>
      <c r="G973" s="73"/>
      <c r="H973" s="79"/>
      <c r="I973" s="79"/>
      <c r="J973" s="14"/>
      <c r="K973" s="38"/>
      <c r="L973" s="38"/>
      <c r="M973" s="17"/>
    </row>
    <row r="974" spans="2:13" ht="14.45" customHeight="1" x14ac:dyDescent="0.25">
      <c r="B974" s="17"/>
      <c r="C974" s="14"/>
      <c r="D974" s="14"/>
      <c r="E974" s="18"/>
      <c r="F974" s="61"/>
      <c r="G974" s="73"/>
      <c r="H974" s="79"/>
      <c r="I974" s="79"/>
      <c r="J974" s="14"/>
      <c r="K974" s="38"/>
      <c r="L974" s="38"/>
      <c r="M974" s="17"/>
    </row>
    <row r="975" spans="2:13" ht="14.45" customHeight="1" x14ac:dyDescent="0.25">
      <c r="B975" s="17"/>
      <c r="C975" s="14"/>
      <c r="D975" s="14"/>
      <c r="E975" s="18"/>
      <c r="F975" s="61"/>
      <c r="G975" s="73"/>
      <c r="H975" s="79"/>
      <c r="I975" s="79"/>
      <c r="J975" s="14"/>
      <c r="K975" s="38"/>
      <c r="L975" s="38"/>
      <c r="M975" s="17"/>
    </row>
    <row r="976" spans="2:13" ht="14.45" customHeight="1" x14ac:dyDescent="0.25">
      <c r="B976" s="17"/>
      <c r="C976" s="14"/>
      <c r="D976" s="14"/>
      <c r="E976" s="18"/>
      <c r="F976" s="61"/>
      <c r="G976" s="73"/>
      <c r="H976" s="79"/>
      <c r="I976" s="79"/>
      <c r="J976" s="14"/>
      <c r="K976" s="38"/>
      <c r="L976" s="38"/>
      <c r="M976" s="17"/>
    </row>
    <row r="977" spans="2:13" ht="14.45" customHeight="1" x14ac:dyDescent="0.25">
      <c r="B977" s="17"/>
      <c r="C977" s="14"/>
      <c r="D977" s="14"/>
      <c r="E977" s="18"/>
      <c r="F977" s="61"/>
      <c r="G977" s="73"/>
      <c r="H977" s="79"/>
      <c r="I977" s="79"/>
      <c r="J977" s="14"/>
      <c r="K977" s="38"/>
      <c r="L977" s="38"/>
      <c r="M977" s="17"/>
    </row>
    <row r="978" spans="2:13" ht="14.45" customHeight="1" x14ac:dyDescent="0.25">
      <c r="B978" s="17"/>
      <c r="C978" s="14"/>
      <c r="D978" s="14"/>
      <c r="E978" s="18"/>
      <c r="F978" s="61"/>
      <c r="G978" s="73"/>
      <c r="H978" s="79"/>
      <c r="I978" s="79"/>
      <c r="J978" s="14"/>
      <c r="K978" s="38"/>
      <c r="L978" s="38"/>
      <c r="M978" s="17"/>
    </row>
    <row r="979" spans="2:13" ht="14.45" customHeight="1" x14ac:dyDescent="0.25">
      <c r="B979" s="17"/>
      <c r="C979" s="14"/>
      <c r="D979" s="14"/>
      <c r="E979" s="18"/>
      <c r="F979" s="61"/>
      <c r="G979" s="73"/>
      <c r="H979" s="79"/>
      <c r="I979" s="79"/>
      <c r="J979" s="14"/>
      <c r="K979" s="38"/>
      <c r="L979" s="38"/>
      <c r="M979" s="17"/>
    </row>
    <row r="980" spans="2:13" ht="14.45" customHeight="1" x14ac:dyDescent="0.25">
      <c r="B980" s="17"/>
      <c r="C980" s="14"/>
      <c r="D980" s="14"/>
      <c r="E980" s="18"/>
      <c r="F980" s="61"/>
      <c r="G980" s="73"/>
      <c r="H980" s="79"/>
      <c r="I980" s="79"/>
      <c r="J980" s="14"/>
      <c r="K980" s="38"/>
      <c r="L980" s="38"/>
      <c r="M980" s="17"/>
    </row>
    <row r="981" spans="2:13" ht="14.45" customHeight="1" x14ac:dyDescent="0.25">
      <c r="B981" s="17"/>
      <c r="C981" s="14"/>
      <c r="D981" s="14"/>
      <c r="E981" s="18"/>
      <c r="F981" s="61"/>
      <c r="G981" s="73"/>
      <c r="H981" s="79"/>
      <c r="I981" s="79"/>
      <c r="J981" s="14"/>
      <c r="K981" s="38"/>
      <c r="L981" s="38"/>
      <c r="M981" s="17"/>
    </row>
    <row r="982" spans="2:13" ht="14.45" customHeight="1" x14ac:dyDescent="0.25">
      <c r="B982" s="17"/>
      <c r="C982" s="14"/>
      <c r="D982" s="14"/>
      <c r="E982" s="18"/>
      <c r="F982" s="61"/>
      <c r="G982" s="73"/>
      <c r="H982" s="79"/>
      <c r="I982" s="79"/>
      <c r="J982" s="14"/>
      <c r="K982" s="38"/>
      <c r="L982" s="38"/>
      <c r="M982" s="17"/>
    </row>
    <row r="983" spans="2:13" ht="14.45" customHeight="1" x14ac:dyDescent="0.25">
      <c r="B983" s="17"/>
      <c r="C983" s="14"/>
      <c r="D983" s="14"/>
      <c r="E983" s="18"/>
      <c r="F983" s="61"/>
      <c r="G983" s="73"/>
      <c r="H983" s="79"/>
      <c r="I983" s="79"/>
      <c r="J983" s="14"/>
      <c r="K983" s="38"/>
      <c r="L983" s="38"/>
      <c r="M983" s="17"/>
    </row>
    <row r="984" spans="2:13" ht="14.45" customHeight="1" x14ac:dyDescent="0.25">
      <c r="B984" s="17"/>
      <c r="C984" s="14"/>
      <c r="D984" s="14"/>
      <c r="E984" s="18"/>
      <c r="F984" s="61"/>
      <c r="G984" s="73"/>
      <c r="H984" s="79"/>
      <c r="I984" s="79"/>
      <c r="J984" s="14"/>
      <c r="K984" s="38"/>
      <c r="L984" s="38"/>
      <c r="M984" s="17"/>
    </row>
    <row r="985" spans="2:13" ht="14.45" customHeight="1" x14ac:dyDescent="0.25">
      <c r="B985" s="17"/>
      <c r="C985" s="14"/>
      <c r="D985" s="14"/>
      <c r="E985" s="18"/>
      <c r="F985" s="61"/>
      <c r="G985" s="73"/>
      <c r="H985" s="79"/>
      <c r="I985" s="79"/>
      <c r="J985" s="14"/>
      <c r="K985" s="38"/>
      <c r="L985" s="38"/>
      <c r="M985" s="17"/>
    </row>
    <row r="986" spans="2:13" ht="14.45" customHeight="1" x14ac:dyDescent="0.25">
      <c r="B986" s="17"/>
      <c r="C986" s="14"/>
      <c r="D986" s="14"/>
      <c r="E986" s="18"/>
      <c r="F986" s="61"/>
      <c r="G986" s="73"/>
      <c r="H986" s="79"/>
      <c r="I986" s="79"/>
      <c r="J986" s="14"/>
      <c r="K986" s="38"/>
      <c r="L986" s="38"/>
      <c r="M986" s="17"/>
    </row>
    <row r="987" spans="2:13" ht="14.45" customHeight="1" x14ac:dyDescent="0.25">
      <c r="B987" s="17"/>
      <c r="C987" s="14"/>
      <c r="D987" s="14"/>
      <c r="E987" s="18"/>
      <c r="F987" s="61"/>
      <c r="G987" s="73"/>
      <c r="H987" s="79"/>
      <c r="I987" s="79"/>
      <c r="J987" s="14"/>
      <c r="K987" s="38"/>
      <c r="L987" s="38"/>
      <c r="M987" s="17"/>
    </row>
    <row r="988" spans="2:13" ht="14.45" customHeight="1" x14ac:dyDescent="0.25">
      <c r="B988" s="17"/>
      <c r="C988" s="14"/>
      <c r="D988" s="14"/>
      <c r="E988" s="18"/>
      <c r="F988" s="61"/>
      <c r="G988" s="73"/>
      <c r="H988" s="79"/>
      <c r="I988" s="79"/>
      <c r="J988" s="14"/>
      <c r="K988" s="38"/>
      <c r="L988" s="38"/>
      <c r="M988" s="17"/>
    </row>
    <row r="989" spans="2:13" ht="14.45" customHeight="1" x14ac:dyDescent="0.25">
      <c r="B989" s="17"/>
      <c r="C989" s="14"/>
      <c r="D989" s="14"/>
      <c r="E989" s="18"/>
      <c r="F989" s="61"/>
      <c r="G989" s="73"/>
      <c r="H989" s="79"/>
      <c r="I989" s="79"/>
      <c r="J989" s="14"/>
      <c r="K989" s="38"/>
      <c r="L989" s="38"/>
      <c r="M989" s="17"/>
    </row>
    <row r="990" spans="2:13" ht="14.45" customHeight="1" x14ac:dyDescent="0.25">
      <c r="B990" s="17"/>
      <c r="C990" s="14"/>
      <c r="D990" s="14"/>
      <c r="E990" s="18"/>
      <c r="F990" s="61"/>
      <c r="G990" s="73"/>
      <c r="H990" s="79"/>
      <c r="I990" s="79"/>
      <c r="J990" s="14"/>
      <c r="K990" s="38"/>
      <c r="L990" s="38"/>
      <c r="M990" s="17"/>
    </row>
    <row r="991" spans="2:13" ht="14.45" customHeight="1" x14ac:dyDescent="0.25">
      <c r="B991" s="17"/>
      <c r="C991" s="14"/>
      <c r="D991" s="14"/>
      <c r="E991" s="18"/>
      <c r="F991" s="61"/>
      <c r="G991" s="73"/>
      <c r="H991" s="79"/>
      <c r="I991" s="79"/>
      <c r="J991" s="14"/>
      <c r="K991" s="38"/>
      <c r="L991" s="38"/>
      <c r="M991" s="17"/>
    </row>
    <row r="992" spans="2:13" ht="14.45" customHeight="1" x14ac:dyDescent="0.25">
      <c r="B992" s="17"/>
      <c r="C992" s="14"/>
      <c r="D992" s="14"/>
      <c r="E992" s="18"/>
      <c r="F992" s="61"/>
      <c r="G992" s="73"/>
      <c r="H992" s="79"/>
      <c r="I992" s="79"/>
      <c r="J992" s="14"/>
      <c r="K992" s="38"/>
      <c r="L992" s="38"/>
      <c r="M992" s="17"/>
    </row>
    <row r="993" spans="2:13" ht="14.45" customHeight="1" x14ac:dyDescent="0.25">
      <c r="B993" s="17"/>
      <c r="C993" s="14"/>
      <c r="D993" s="14"/>
      <c r="E993" s="18"/>
      <c r="F993" s="61"/>
      <c r="G993" s="73"/>
      <c r="H993" s="79"/>
      <c r="I993" s="79"/>
      <c r="J993" s="14"/>
      <c r="K993" s="38"/>
      <c r="L993" s="38"/>
      <c r="M993" s="17"/>
    </row>
    <row r="994" spans="2:13" ht="14.45" customHeight="1" x14ac:dyDescent="0.25">
      <c r="B994" s="17"/>
      <c r="C994" s="14"/>
      <c r="D994" s="14"/>
      <c r="E994" s="18"/>
      <c r="F994" s="61"/>
      <c r="G994" s="73"/>
      <c r="H994" s="79"/>
      <c r="I994" s="79"/>
      <c r="J994" s="14"/>
      <c r="K994" s="38"/>
      <c r="L994" s="38"/>
      <c r="M994" s="17"/>
    </row>
    <row r="995" spans="2:13" ht="14.45" customHeight="1" x14ac:dyDescent="0.25">
      <c r="B995" s="17"/>
      <c r="C995" s="14"/>
      <c r="D995" s="14"/>
      <c r="E995" s="18"/>
      <c r="F995" s="61"/>
      <c r="G995" s="73"/>
      <c r="H995" s="79"/>
      <c r="I995" s="79"/>
      <c r="J995" s="14"/>
      <c r="K995" s="38"/>
      <c r="L995" s="38"/>
      <c r="M995" s="17"/>
    </row>
    <row r="996" spans="2:13" ht="14.45" customHeight="1" x14ac:dyDescent="0.25">
      <c r="B996" s="17"/>
      <c r="C996" s="14"/>
      <c r="D996" s="14"/>
      <c r="E996" s="18"/>
      <c r="F996" s="61"/>
      <c r="G996" s="73"/>
      <c r="H996" s="79"/>
      <c r="I996" s="79"/>
      <c r="J996" s="14"/>
      <c r="K996" s="38"/>
      <c r="L996" s="38"/>
      <c r="M996" s="17"/>
    </row>
    <row r="997" spans="2:13" ht="14.45" customHeight="1" x14ac:dyDescent="0.25">
      <c r="B997" s="17"/>
      <c r="C997" s="14"/>
      <c r="D997" s="14"/>
      <c r="E997" s="18"/>
      <c r="F997" s="61"/>
      <c r="G997" s="73"/>
      <c r="H997" s="79"/>
      <c r="I997" s="79"/>
      <c r="J997" s="14"/>
      <c r="K997" s="38"/>
      <c r="L997" s="38"/>
      <c r="M997" s="17"/>
    </row>
    <row r="998" spans="2:13" ht="14.45" customHeight="1" x14ac:dyDescent="0.25">
      <c r="B998" s="17"/>
      <c r="C998" s="14"/>
      <c r="D998" s="14"/>
      <c r="E998" s="18"/>
      <c r="F998" s="61"/>
      <c r="G998" s="73"/>
      <c r="H998" s="79"/>
      <c r="I998" s="79"/>
      <c r="J998" s="14"/>
      <c r="K998" s="38"/>
      <c r="L998" s="38"/>
      <c r="M998" s="17"/>
    </row>
    <row r="999" spans="2:13" ht="14.45" customHeight="1" x14ac:dyDescent="0.25">
      <c r="B999" s="17"/>
      <c r="C999" s="14"/>
      <c r="D999" s="14"/>
      <c r="E999" s="18"/>
      <c r="F999" s="61"/>
      <c r="G999" s="73"/>
      <c r="H999" s="79"/>
      <c r="I999" s="79"/>
      <c r="J999" s="14"/>
      <c r="K999" s="38"/>
      <c r="L999" s="38"/>
      <c r="M999" s="17"/>
    </row>
    <row r="1000" spans="2:13" ht="14.45" customHeight="1" x14ac:dyDescent="0.25">
      <c r="B1000" s="17"/>
      <c r="C1000" s="14"/>
      <c r="D1000" s="14"/>
      <c r="E1000" s="18"/>
      <c r="F1000" s="61"/>
      <c r="G1000" s="73"/>
      <c r="H1000" s="79"/>
      <c r="I1000" s="79"/>
      <c r="J1000" s="14"/>
      <c r="K1000" s="38"/>
      <c r="L1000" s="38"/>
      <c r="M1000" s="17"/>
    </row>
  </sheetData>
  <sheetProtection algorithmName="SHA-512" hashValue="BlQDEWIXNNw2IQppXPQToNfjorPL5NihoBIphbw23kz5l+FyBWGQMH/OzA2kIeRfdp5N+XuB7NQSIWhs5VcqzA==" saltValue="08ophW72w1Vaw1G7ewojRQ==" spinCount="100000" sheet="1" objects="1" scenarios="1"/>
  <mergeCells count="2">
    <mergeCell ref="C10:F10"/>
    <mergeCell ref="H10:I10"/>
  </mergeCells>
  <conditionalFormatting sqref="M10 H10">
    <cfRule type="cellIs" dxfId="39" priority="2" operator="greaterThanOrEqual">
      <formula>6750</formula>
    </cfRule>
  </conditionalFormatting>
  <conditionalFormatting sqref="K13:K1000">
    <cfRule type="cellIs" dxfId="38" priority="1" operator="lessThan">
      <formula>0</formula>
    </cfRule>
  </conditionalFormatting>
  <dataValidations count="1">
    <dataValidation type="list" allowBlank="1" showInputMessage="1" showErrorMessage="1" sqref="H13:H1000" xr:uid="{A0F243C6-A4B7-4B83-88A6-6CF76A0356BB}">
      <formula1>"Ativa,Cancelada"</formula1>
    </dataValidation>
  </dataValidations>
  <printOptions horizontalCentered="1"/>
  <pageMargins left="0.19685039370078741" right="0.19685039370078741" top="0.39370078740157483" bottom="0.78740157480314965" header="0.31496062992125984" footer="0.31496062992125984"/>
  <pageSetup paperSize="9" scale="54" fitToHeight="50" orientation="portrait" r:id="rId1"/>
  <headerFooter>
    <oddHeader>&amp;L&amp;"Calibri"&amp;12&amp;K008000 Documento Público&amp;1#_x000D_</oddHeader>
    <oddFooter>Página &amp;P de &amp;N</oddFooter>
  </headerFooter>
  <rowBreaks count="1" manualBreakCount="1">
    <brk id="63" min="1" max="5" man="1"/>
  </rowBreaks>
  <drawing r:id="rId2"/>
  <tableParts count="1"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AB5E3D-C33C-4DF2-9AD0-33382BABFDFD}">
  <sheetPr codeName="Planilha16">
    <tabColor theme="8" tint="-0.499984740745262"/>
    <pageSetUpPr fitToPage="1"/>
  </sheetPr>
  <dimension ref="A1:Q1000"/>
  <sheetViews>
    <sheetView showGridLines="0" showRowColHeaders="0" zoomScaleNormal="100" workbookViewId="0">
      <pane ySplit="12" topLeftCell="A13" activePane="bottomLeft" state="frozen"/>
      <selection activeCell="D23" sqref="D23"/>
      <selection pane="bottomLeft" activeCell="G24" sqref="G24"/>
    </sheetView>
  </sheetViews>
  <sheetFormatPr defaultColWidth="0" defaultRowHeight="14.45" customHeight="1" x14ac:dyDescent="0.25"/>
  <cols>
    <col min="1" max="1" width="1.7109375" customWidth="1"/>
    <col min="2" max="2" width="15.28515625" customWidth="1"/>
    <col min="3" max="3" width="35.85546875" customWidth="1"/>
    <col min="4" max="4" width="20.7109375" customWidth="1"/>
    <col min="5" max="5" width="42.28515625" customWidth="1"/>
    <col min="6" max="6" width="25.7109375" customWidth="1"/>
    <col min="7" max="7" width="12.28515625" bestFit="1" customWidth="1"/>
    <col min="8" max="8" width="12.28515625" customWidth="1"/>
    <col min="9" max="9" width="21.42578125" bestFit="1" customWidth="1"/>
    <col min="10" max="10" width="16.140625" customWidth="1"/>
    <col min="11" max="11" width="13" customWidth="1"/>
    <col min="12" max="12" width="11.28515625" customWidth="1"/>
    <col min="13" max="13" width="18.28515625" customWidth="1"/>
    <col min="14" max="14" width="5.7109375" customWidth="1"/>
    <col min="15" max="15" width="25" hidden="1" customWidth="1"/>
    <col min="16" max="16" width="6.7109375" hidden="1" customWidth="1"/>
    <col min="17" max="17" width="3.85546875" hidden="1" customWidth="1"/>
    <col min="18" max="16384" width="8.85546875" hidden="1"/>
  </cols>
  <sheetData>
    <row r="1" spans="2:13" ht="15" x14ac:dyDescent="0.25"/>
    <row r="2" spans="2:13" ht="15" x14ac:dyDescent="0.25"/>
    <row r="3" spans="2:13" ht="15" x14ac:dyDescent="0.25">
      <c r="J3" s="9" t="str">
        <f>IF(H10&gt;=6750,"ATENÇÃO: Você atingiu o limite de faturamento mensal de R$ 6.750,00",IF(H10&gt;=6000,"O limite de faturamento mensal de R$ 6.750,00 está quase sendo atingido.",""))</f>
        <v/>
      </c>
    </row>
    <row r="4" spans="2:13" ht="1.9" customHeight="1" x14ac:dyDescent="0.25"/>
    <row r="5" spans="2:13" s="1" customFormat="1" ht="4.9000000000000004" customHeight="1" x14ac:dyDescent="0.25"/>
    <row r="6" spans="2:13" ht="3" customHeight="1" x14ac:dyDescent="0.25"/>
    <row r="7" spans="2:13" s="1" customFormat="1" ht="4.9000000000000004" customHeight="1" x14ac:dyDescent="0.25"/>
    <row r="8" spans="2:13" ht="1.9" customHeight="1" x14ac:dyDescent="0.25"/>
    <row r="9" spans="2:13" ht="30" customHeight="1" x14ac:dyDescent="0.25"/>
    <row r="10" spans="2:13" ht="34.9" customHeight="1" x14ac:dyDescent="0.25">
      <c r="B10" s="4" t="s">
        <v>0</v>
      </c>
      <c r="C10" s="94" t="str">
        <f>Menu!G26</f>
        <v>Empresa ABCDE</v>
      </c>
      <c r="D10" s="95"/>
      <c r="E10" s="95"/>
      <c r="F10" s="95"/>
      <c r="G10" s="87"/>
      <c r="H10" s="93">
        <f>SUMIF(DEZ[Status Nota Fiscal],"Ativa",DEZ[Valor da Parcela a Receber])</f>
        <v>0</v>
      </c>
      <c r="I10" s="93"/>
      <c r="J10" s="85"/>
      <c r="M10" s="86"/>
    </row>
    <row r="11" spans="2:13" ht="4.9000000000000004" customHeight="1" x14ac:dyDescent="0.25"/>
    <row r="12" spans="2:13" ht="30" customHeight="1" x14ac:dyDescent="0.25">
      <c r="B12" s="5" t="s">
        <v>2</v>
      </c>
      <c r="C12" s="6" t="s">
        <v>3</v>
      </c>
      <c r="D12" s="6" t="s">
        <v>4</v>
      </c>
      <c r="E12" s="6" t="s">
        <v>5</v>
      </c>
      <c r="F12" s="7" t="s">
        <v>6</v>
      </c>
      <c r="G12" s="7" t="s">
        <v>7</v>
      </c>
      <c r="H12" s="7" t="s">
        <v>8</v>
      </c>
      <c r="I12" s="7" t="s">
        <v>9</v>
      </c>
      <c r="J12" s="7" t="s">
        <v>10</v>
      </c>
      <c r="K12" s="7" t="s">
        <v>11</v>
      </c>
      <c r="L12" s="7" t="s">
        <v>12</v>
      </c>
      <c r="M12" s="8" t="s">
        <v>13</v>
      </c>
    </row>
    <row r="13" spans="2:13" ht="14.45" customHeight="1" x14ac:dyDescent="0.25">
      <c r="B13" s="24"/>
      <c r="C13" s="25"/>
      <c r="D13" s="25"/>
      <c r="E13" s="25"/>
      <c r="F13" s="26"/>
      <c r="G13" s="62"/>
      <c r="H13" s="62"/>
      <c r="I13" s="62"/>
      <c r="J13" s="27"/>
      <c r="K13" s="28"/>
      <c r="L13" s="28"/>
      <c r="M13" s="29"/>
    </row>
    <row r="14" spans="2:13" ht="14.45" customHeight="1" x14ac:dyDescent="0.25">
      <c r="B14" s="30"/>
      <c r="C14" s="31"/>
      <c r="D14" s="31"/>
      <c r="E14" s="31"/>
      <c r="F14" s="32"/>
      <c r="G14" s="63"/>
      <c r="H14" s="63"/>
      <c r="I14" s="63"/>
      <c r="J14" s="33"/>
      <c r="K14" s="34"/>
      <c r="L14" s="34"/>
      <c r="M14" s="35"/>
    </row>
    <row r="15" spans="2:13" ht="14.45" customHeight="1" x14ac:dyDescent="0.25">
      <c r="B15" s="36"/>
      <c r="C15" s="14"/>
      <c r="D15" s="14"/>
      <c r="E15" s="18"/>
      <c r="F15" s="20"/>
      <c r="G15" s="64"/>
      <c r="H15" s="68"/>
      <c r="I15" s="68"/>
      <c r="J15" s="37"/>
      <c r="K15" s="38"/>
      <c r="L15" s="38"/>
      <c r="M15" s="36"/>
    </row>
    <row r="16" spans="2:13" ht="14.45" customHeight="1" x14ac:dyDescent="0.25">
      <c r="B16" s="17"/>
      <c r="C16" s="14"/>
      <c r="D16" s="14"/>
      <c r="E16" s="18"/>
      <c r="F16" s="20"/>
      <c r="G16" s="64"/>
      <c r="H16" s="68"/>
      <c r="I16" s="68"/>
      <c r="J16" s="15"/>
      <c r="K16" s="38"/>
      <c r="L16" s="38"/>
      <c r="M16" s="17"/>
    </row>
    <row r="17" spans="2:13" ht="14.45" customHeight="1" x14ac:dyDescent="0.25">
      <c r="B17" s="17"/>
      <c r="C17" s="14"/>
      <c r="D17" s="14"/>
      <c r="E17" s="18"/>
      <c r="F17" s="20"/>
      <c r="G17" s="64"/>
      <c r="H17" s="68"/>
      <c r="I17" s="68"/>
      <c r="J17" s="15"/>
      <c r="K17" s="38"/>
      <c r="L17" s="38"/>
      <c r="M17" s="17"/>
    </row>
    <row r="18" spans="2:13" ht="14.45" customHeight="1" x14ac:dyDescent="0.25">
      <c r="B18" s="17"/>
      <c r="C18" s="14"/>
      <c r="D18" s="14"/>
      <c r="E18" s="18"/>
      <c r="F18" s="20"/>
      <c r="G18" s="64"/>
      <c r="H18" s="68"/>
      <c r="I18" s="68"/>
      <c r="J18" s="15"/>
      <c r="K18" s="38"/>
      <c r="L18" s="38"/>
      <c r="M18" s="17"/>
    </row>
    <row r="19" spans="2:13" ht="14.45" customHeight="1" x14ac:dyDescent="0.25">
      <c r="B19" s="17"/>
      <c r="C19" s="14"/>
      <c r="D19" s="14"/>
      <c r="E19" s="18"/>
      <c r="F19" s="20"/>
      <c r="G19" s="64"/>
      <c r="H19" s="68"/>
      <c r="I19" s="68"/>
      <c r="J19" s="15"/>
      <c r="K19" s="38"/>
      <c r="L19" s="38"/>
      <c r="M19" s="17"/>
    </row>
    <row r="20" spans="2:13" ht="14.45" customHeight="1" x14ac:dyDescent="0.25">
      <c r="B20" s="17"/>
      <c r="C20" s="14"/>
      <c r="D20" s="14"/>
      <c r="E20" s="18"/>
      <c r="F20" s="20"/>
      <c r="G20" s="64"/>
      <c r="H20" s="68"/>
      <c r="I20" s="68"/>
      <c r="J20" s="15"/>
      <c r="K20" s="38"/>
      <c r="L20" s="38"/>
      <c r="M20" s="17"/>
    </row>
    <row r="21" spans="2:13" ht="14.45" customHeight="1" x14ac:dyDescent="0.25">
      <c r="B21" s="17"/>
      <c r="C21" s="14"/>
      <c r="D21" s="14"/>
      <c r="E21" s="18"/>
      <c r="F21" s="20"/>
      <c r="G21" s="64"/>
      <c r="H21" s="68"/>
      <c r="I21" s="68"/>
      <c r="J21" s="15"/>
      <c r="K21" s="38"/>
      <c r="L21" s="38"/>
      <c r="M21" s="17"/>
    </row>
    <row r="22" spans="2:13" ht="14.45" customHeight="1" x14ac:dyDescent="0.25">
      <c r="B22" s="17"/>
      <c r="C22" s="14"/>
      <c r="D22" s="14"/>
      <c r="E22" s="18"/>
      <c r="F22" s="20"/>
      <c r="G22" s="64"/>
      <c r="H22" s="68"/>
      <c r="I22" s="68"/>
      <c r="J22" s="15"/>
      <c r="K22" s="38"/>
      <c r="L22" s="38"/>
      <c r="M22" s="17"/>
    </row>
    <row r="23" spans="2:13" ht="14.45" customHeight="1" x14ac:dyDescent="0.25">
      <c r="B23" s="17"/>
      <c r="C23" s="14"/>
      <c r="D23" s="14"/>
      <c r="E23" s="18"/>
      <c r="F23" s="20"/>
      <c r="G23" s="64"/>
      <c r="H23" s="68"/>
      <c r="I23" s="68"/>
      <c r="J23" s="15"/>
      <c r="K23" s="38"/>
      <c r="L23" s="38"/>
      <c r="M23" s="17"/>
    </row>
    <row r="24" spans="2:13" ht="14.45" customHeight="1" x14ac:dyDescent="0.25">
      <c r="B24" s="17"/>
      <c r="C24" s="14"/>
      <c r="D24" s="14"/>
      <c r="E24" s="18"/>
      <c r="F24" s="20"/>
      <c r="G24" s="64"/>
      <c r="H24" s="68"/>
      <c r="I24" s="68"/>
      <c r="J24" s="15"/>
      <c r="K24" s="38"/>
      <c r="L24" s="38"/>
      <c r="M24" s="17"/>
    </row>
    <row r="25" spans="2:13" ht="14.45" customHeight="1" x14ac:dyDescent="0.25">
      <c r="B25" s="17"/>
      <c r="C25" s="14"/>
      <c r="D25" s="14"/>
      <c r="E25" s="18"/>
      <c r="F25" s="20"/>
      <c r="G25" s="64"/>
      <c r="H25" s="68"/>
      <c r="I25" s="68"/>
      <c r="J25" s="15"/>
      <c r="K25" s="38"/>
      <c r="L25" s="38"/>
      <c r="M25" s="17"/>
    </row>
    <row r="26" spans="2:13" ht="14.45" customHeight="1" x14ac:dyDescent="0.25">
      <c r="B26" s="17"/>
      <c r="C26" s="14"/>
      <c r="D26" s="14"/>
      <c r="E26" s="18"/>
      <c r="F26" s="20"/>
      <c r="G26" s="64"/>
      <c r="H26" s="68"/>
      <c r="I26" s="68"/>
      <c r="J26" s="15"/>
      <c r="K26" s="38"/>
      <c r="L26" s="38"/>
      <c r="M26" s="17"/>
    </row>
    <row r="27" spans="2:13" ht="14.45" customHeight="1" x14ac:dyDescent="0.25">
      <c r="B27" s="17"/>
      <c r="C27" s="14"/>
      <c r="D27" s="14"/>
      <c r="E27" s="18"/>
      <c r="F27" s="20"/>
      <c r="G27" s="64"/>
      <c r="H27" s="68"/>
      <c r="I27" s="68"/>
      <c r="J27" s="15"/>
      <c r="K27" s="38"/>
      <c r="L27" s="38"/>
      <c r="M27" s="17"/>
    </row>
    <row r="28" spans="2:13" ht="14.45" customHeight="1" x14ac:dyDescent="0.25">
      <c r="B28" s="17"/>
      <c r="C28" s="14"/>
      <c r="D28" s="14"/>
      <c r="E28" s="18"/>
      <c r="F28" s="20"/>
      <c r="G28" s="64"/>
      <c r="H28" s="68"/>
      <c r="I28" s="68"/>
      <c r="J28" s="15"/>
      <c r="K28" s="38"/>
      <c r="L28" s="38"/>
      <c r="M28" s="17"/>
    </row>
    <row r="29" spans="2:13" ht="14.45" customHeight="1" x14ac:dyDescent="0.25">
      <c r="B29" s="17"/>
      <c r="C29" s="14"/>
      <c r="D29" s="14"/>
      <c r="E29" s="18"/>
      <c r="F29" s="20"/>
      <c r="G29" s="64"/>
      <c r="H29" s="68"/>
      <c r="I29" s="68"/>
      <c r="J29" s="15"/>
      <c r="K29" s="38"/>
      <c r="L29" s="38"/>
      <c r="M29" s="17"/>
    </row>
    <row r="30" spans="2:13" ht="14.45" customHeight="1" x14ac:dyDescent="0.25">
      <c r="B30" s="17"/>
      <c r="C30" s="14"/>
      <c r="D30" s="14"/>
      <c r="E30" s="18"/>
      <c r="F30" s="20"/>
      <c r="G30" s="64"/>
      <c r="H30" s="68"/>
      <c r="I30" s="68"/>
      <c r="J30" s="15"/>
      <c r="K30" s="38"/>
      <c r="L30" s="38"/>
      <c r="M30" s="17"/>
    </row>
    <row r="31" spans="2:13" ht="14.45" customHeight="1" x14ac:dyDescent="0.25">
      <c r="B31" s="17"/>
      <c r="C31" s="14"/>
      <c r="D31" s="14"/>
      <c r="E31" s="18"/>
      <c r="F31" s="20"/>
      <c r="G31" s="64"/>
      <c r="H31" s="68"/>
      <c r="I31" s="68"/>
      <c r="J31" s="15"/>
      <c r="K31" s="38"/>
      <c r="L31" s="38"/>
      <c r="M31" s="17"/>
    </row>
    <row r="32" spans="2:13" ht="14.45" customHeight="1" x14ac:dyDescent="0.25">
      <c r="B32" s="17"/>
      <c r="C32" s="14"/>
      <c r="D32" s="14"/>
      <c r="E32" s="18"/>
      <c r="F32" s="20"/>
      <c r="G32" s="64"/>
      <c r="H32" s="68"/>
      <c r="I32" s="68"/>
      <c r="J32" s="15"/>
      <c r="K32" s="38"/>
      <c r="L32" s="38"/>
      <c r="M32" s="17"/>
    </row>
    <row r="33" spans="2:13" ht="14.45" customHeight="1" x14ac:dyDescent="0.25">
      <c r="B33" s="17"/>
      <c r="C33" s="14"/>
      <c r="D33" s="14"/>
      <c r="E33" s="18"/>
      <c r="F33" s="20"/>
      <c r="G33" s="64"/>
      <c r="H33" s="68"/>
      <c r="I33" s="68"/>
      <c r="J33" s="15"/>
      <c r="K33" s="38"/>
      <c r="L33" s="38"/>
      <c r="M33" s="17"/>
    </row>
    <row r="34" spans="2:13" ht="14.45" customHeight="1" x14ac:dyDescent="0.25">
      <c r="B34" s="17"/>
      <c r="C34" s="14"/>
      <c r="D34" s="14"/>
      <c r="E34" s="18"/>
      <c r="F34" s="20"/>
      <c r="G34" s="64"/>
      <c r="H34" s="68"/>
      <c r="I34" s="68"/>
      <c r="J34" s="15"/>
      <c r="K34" s="38"/>
      <c r="L34" s="38"/>
      <c r="M34" s="17"/>
    </row>
    <row r="35" spans="2:13" ht="14.45" customHeight="1" x14ac:dyDescent="0.25">
      <c r="B35" s="39"/>
      <c r="C35" s="40"/>
      <c r="D35" s="40"/>
      <c r="E35" s="41"/>
      <c r="F35" s="42"/>
      <c r="G35" s="65"/>
      <c r="H35" s="70"/>
      <c r="I35" s="70"/>
      <c r="J35" s="43"/>
      <c r="K35" s="38"/>
      <c r="L35" s="38"/>
      <c r="M35" s="17"/>
    </row>
    <row r="36" spans="2:13" ht="14.45" customHeight="1" x14ac:dyDescent="0.25">
      <c r="B36" s="17"/>
      <c r="C36" s="14"/>
      <c r="D36" s="14"/>
      <c r="E36" s="18"/>
      <c r="F36" s="20"/>
      <c r="G36" s="64"/>
      <c r="H36" s="68"/>
      <c r="I36" s="68"/>
      <c r="J36" s="14"/>
      <c r="K36" s="38"/>
      <c r="L36" s="38"/>
      <c r="M36" s="17"/>
    </row>
    <row r="37" spans="2:13" ht="14.45" customHeight="1" x14ac:dyDescent="0.25">
      <c r="B37" s="39"/>
      <c r="C37" s="40"/>
      <c r="D37" s="40"/>
      <c r="E37" s="41"/>
      <c r="F37" s="42"/>
      <c r="G37" s="65"/>
      <c r="H37" s="70"/>
      <c r="I37" s="70"/>
      <c r="J37" s="40"/>
      <c r="K37" s="38"/>
      <c r="L37" s="38"/>
      <c r="M37" s="17"/>
    </row>
    <row r="38" spans="2:13" ht="14.45" customHeight="1" x14ac:dyDescent="0.25">
      <c r="B38" s="44"/>
      <c r="C38" s="45"/>
      <c r="D38" s="45"/>
      <c r="E38" s="46"/>
      <c r="F38" s="47"/>
      <c r="G38" s="66"/>
      <c r="H38" s="77"/>
      <c r="I38" s="77"/>
      <c r="J38" s="45"/>
      <c r="K38" s="38"/>
      <c r="L38" s="38"/>
      <c r="M38" s="17"/>
    </row>
    <row r="39" spans="2:13" ht="14.45" customHeight="1" x14ac:dyDescent="0.25">
      <c r="B39" s="39"/>
      <c r="C39" s="48"/>
      <c r="D39" s="48"/>
      <c r="E39" s="49"/>
      <c r="F39" s="50"/>
      <c r="G39" s="67"/>
      <c r="H39" s="67"/>
      <c r="I39" s="67"/>
      <c r="J39" s="51"/>
      <c r="K39" s="38"/>
      <c r="L39" s="38"/>
      <c r="M39" s="17"/>
    </row>
    <row r="40" spans="2:13" ht="14.45" customHeight="1" x14ac:dyDescent="0.25">
      <c r="B40" s="17"/>
      <c r="C40" s="14"/>
      <c r="D40" s="14"/>
      <c r="E40" s="19"/>
      <c r="F40" s="21"/>
      <c r="G40" s="68"/>
      <c r="H40" s="68"/>
      <c r="I40" s="68"/>
      <c r="J40" s="52"/>
      <c r="K40" s="38"/>
      <c r="L40" s="38"/>
      <c r="M40" s="17"/>
    </row>
    <row r="41" spans="2:13" ht="14.45" customHeight="1" x14ac:dyDescent="0.25">
      <c r="B41" s="17"/>
      <c r="C41" s="14"/>
      <c r="D41" s="14"/>
      <c r="E41" s="19"/>
      <c r="F41" s="21"/>
      <c r="G41" s="68"/>
      <c r="H41" s="68"/>
      <c r="I41" s="68"/>
      <c r="J41" s="52"/>
      <c r="K41" s="38"/>
      <c r="L41" s="38"/>
      <c r="M41" s="17"/>
    </row>
    <row r="42" spans="2:13" ht="14.45" customHeight="1" x14ac:dyDescent="0.25">
      <c r="B42" s="17"/>
      <c r="C42" s="14"/>
      <c r="D42" s="14"/>
      <c r="E42" s="19"/>
      <c r="F42" s="21"/>
      <c r="G42" s="68"/>
      <c r="H42" s="68"/>
      <c r="I42" s="68"/>
      <c r="J42" s="52"/>
      <c r="K42" s="38"/>
      <c r="L42" s="38"/>
      <c r="M42" s="17"/>
    </row>
    <row r="43" spans="2:13" ht="14.45" customHeight="1" x14ac:dyDescent="0.25">
      <c r="B43" s="17"/>
      <c r="C43" s="14"/>
      <c r="D43" s="14"/>
      <c r="E43" s="19"/>
      <c r="F43" s="21"/>
      <c r="G43" s="68"/>
      <c r="H43" s="68"/>
      <c r="I43" s="68"/>
      <c r="J43" s="52"/>
      <c r="K43" s="38"/>
      <c r="L43" s="38"/>
      <c r="M43" s="17"/>
    </row>
    <row r="44" spans="2:13" ht="14.45" customHeight="1" x14ac:dyDescent="0.25">
      <c r="B44" s="17"/>
      <c r="C44" s="14"/>
      <c r="D44" s="14"/>
      <c r="E44" s="19"/>
      <c r="F44" s="21"/>
      <c r="G44" s="68"/>
      <c r="H44" s="68"/>
      <c r="I44" s="68"/>
      <c r="J44" s="52"/>
      <c r="K44" s="38"/>
      <c r="L44" s="38"/>
      <c r="M44" s="17"/>
    </row>
    <row r="45" spans="2:13" ht="14.45" customHeight="1" x14ac:dyDescent="0.25">
      <c r="B45" s="17"/>
      <c r="C45" s="14"/>
      <c r="D45" s="14"/>
      <c r="E45" s="19"/>
      <c r="F45" s="21"/>
      <c r="G45" s="68"/>
      <c r="H45" s="68"/>
      <c r="I45" s="68"/>
      <c r="J45" s="52"/>
      <c r="K45" s="38"/>
      <c r="L45" s="38"/>
      <c r="M45" s="17"/>
    </row>
    <row r="46" spans="2:13" ht="14.45" customHeight="1" x14ac:dyDescent="0.25">
      <c r="B46" s="17"/>
      <c r="C46" s="14"/>
      <c r="D46" s="14"/>
      <c r="E46" s="19"/>
      <c r="F46" s="21"/>
      <c r="G46" s="68"/>
      <c r="H46" s="68"/>
      <c r="I46" s="68"/>
      <c r="J46" s="52"/>
      <c r="K46" s="38"/>
      <c r="L46" s="38"/>
      <c r="M46" s="17"/>
    </row>
    <row r="47" spans="2:13" ht="14.45" customHeight="1" x14ac:dyDescent="0.25">
      <c r="B47" s="17"/>
      <c r="C47" s="14"/>
      <c r="D47" s="14"/>
      <c r="E47" s="19"/>
      <c r="F47" s="21"/>
      <c r="G47" s="68"/>
      <c r="H47" s="68"/>
      <c r="I47" s="68"/>
      <c r="J47" s="52"/>
      <c r="K47" s="38"/>
      <c r="L47" s="38"/>
      <c r="M47" s="17"/>
    </row>
    <row r="48" spans="2:13" ht="14.45" customHeight="1" x14ac:dyDescent="0.25">
      <c r="B48" s="17"/>
      <c r="C48" s="14"/>
      <c r="D48" s="14"/>
      <c r="E48" s="19"/>
      <c r="F48" s="21"/>
      <c r="G48" s="68"/>
      <c r="H48" s="68"/>
      <c r="I48" s="68"/>
      <c r="J48" s="52"/>
      <c r="K48" s="38"/>
      <c r="L48" s="38"/>
      <c r="M48" s="17"/>
    </row>
    <row r="49" spans="2:13" ht="14.45" customHeight="1" x14ac:dyDescent="0.25">
      <c r="B49" s="17"/>
      <c r="C49" s="14"/>
      <c r="D49" s="14"/>
      <c r="E49" s="19"/>
      <c r="F49" s="21"/>
      <c r="G49" s="68"/>
      <c r="H49" s="68"/>
      <c r="I49" s="68"/>
      <c r="J49" s="52"/>
      <c r="K49" s="38"/>
      <c r="L49" s="38"/>
      <c r="M49" s="17"/>
    </row>
    <row r="50" spans="2:13" ht="14.45" customHeight="1" x14ac:dyDescent="0.25">
      <c r="B50" s="53"/>
      <c r="C50" s="40"/>
      <c r="D50" s="40"/>
      <c r="E50" s="54"/>
      <c r="F50" s="55"/>
      <c r="G50" s="69"/>
      <c r="H50" s="78"/>
      <c r="I50" s="78"/>
      <c r="J50" s="56"/>
      <c r="K50" s="38"/>
      <c r="L50" s="38"/>
      <c r="M50" s="17"/>
    </row>
    <row r="51" spans="2:13" ht="14.45" customHeight="1" x14ac:dyDescent="0.25">
      <c r="B51" s="44"/>
      <c r="C51" s="45"/>
      <c r="D51" s="45"/>
      <c r="E51" s="46"/>
      <c r="F51" s="47"/>
      <c r="G51" s="66"/>
      <c r="H51" s="77"/>
      <c r="I51" s="77"/>
      <c r="J51" s="45"/>
      <c r="K51" s="38"/>
      <c r="L51" s="38"/>
      <c r="M51" s="17"/>
    </row>
    <row r="52" spans="2:13" ht="14.45" customHeight="1" x14ac:dyDescent="0.25">
      <c r="B52" s="39"/>
      <c r="C52" s="48"/>
      <c r="D52" s="48"/>
      <c r="E52" s="49"/>
      <c r="F52" s="50"/>
      <c r="G52" s="67"/>
      <c r="H52" s="67"/>
      <c r="I52" s="67"/>
      <c r="J52" s="51"/>
      <c r="K52" s="38"/>
      <c r="L52" s="38"/>
      <c r="M52" s="17"/>
    </row>
    <row r="53" spans="2:13" ht="14.45" customHeight="1" x14ac:dyDescent="0.25">
      <c r="B53" s="17"/>
      <c r="C53" s="14"/>
      <c r="D53" s="14"/>
      <c r="E53" s="19"/>
      <c r="F53" s="21"/>
      <c r="G53" s="68"/>
      <c r="H53" s="68"/>
      <c r="I53" s="68"/>
      <c r="J53" s="52"/>
      <c r="K53" s="38"/>
      <c r="L53" s="38"/>
      <c r="M53" s="17"/>
    </row>
    <row r="54" spans="2:13" ht="14.45" customHeight="1" x14ac:dyDescent="0.25">
      <c r="B54" s="17"/>
      <c r="C54" s="14"/>
      <c r="D54" s="14"/>
      <c r="E54" s="19"/>
      <c r="F54" s="21"/>
      <c r="G54" s="68"/>
      <c r="H54" s="68"/>
      <c r="I54" s="68"/>
      <c r="J54" s="52"/>
      <c r="K54" s="38"/>
      <c r="L54" s="38"/>
      <c r="M54" s="17"/>
    </row>
    <row r="55" spans="2:13" ht="14.45" customHeight="1" x14ac:dyDescent="0.25">
      <c r="B55" s="17"/>
      <c r="C55" s="14"/>
      <c r="D55" s="14"/>
      <c r="E55" s="19"/>
      <c r="F55" s="21"/>
      <c r="G55" s="68"/>
      <c r="H55" s="68"/>
      <c r="I55" s="68"/>
      <c r="J55" s="52"/>
      <c r="K55" s="38"/>
      <c r="L55" s="38"/>
      <c r="M55" s="17"/>
    </row>
    <row r="56" spans="2:13" ht="14.45" customHeight="1" x14ac:dyDescent="0.25">
      <c r="B56" s="17"/>
      <c r="C56" s="14"/>
      <c r="D56" s="14"/>
      <c r="E56" s="19"/>
      <c r="F56" s="21"/>
      <c r="G56" s="68"/>
      <c r="H56" s="68"/>
      <c r="I56" s="68"/>
      <c r="J56" s="52"/>
      <c r="K56" s="38"/>
      <c r="L56" s="38"/>
      <c r="M56" s="17"/>
    </row>
    <row r="57" spans="2:13" ht="14.45" customHeight="1" x14ac:dyDescent="0.25">
      <c r="B57" s="17"/>
      <c r="C57" s="14"/>
      <c r="D57" s="14"/>
      <c r="E57" s="19"/>
      <c r="F57" s="21"/>
      <c r="G57" s="68"/>
      <c r="H57" s="68"/>
      <c r="I57" s="68"/>
      <c r="J57" s="52"/>
      <c r="K57" s="38"/>
      <c r="L57" s="38"/>
      <c r="M57" s="17"/>
    </row>
    <row r="58" spans="2:13" ht="14.45" customHeight="1" x14ac:dyDescent="0.25">
      <c r="B58" s="17"/>
      <c r="C58" s="14"/>
      <c r="D58" s="14"/>
      <c r="E58" s="19"/>
      <c r="F58" s="21"/>
      <c r="G58" s="68"/>
      <c r="H58" s="68"/>
      <c r="I58" s="68"/>
      <c r="J58" s="52"/>
      <c r="K58" s="38"/>
      <c r="L58" s="38"/>
      <c r="M58" s="17"/>
    </row>
    <row r="59" spans="2:13" ht="14.45" customHeight="1" x14ac:dyDescent="0.25">
      <c r="B59" s="17"/>
      <c r="C59" s="14"/>
      <c r="D59" s="14"/>
      <c r="E59" s="19"/>
      <c r="F59" s="21"/>
      <c r="G59" s="68"/>
      <c r="H59" s="68"/>
      <c r="I59" s="68"/>
      <c r="J59" s="52"/>
      <c r="K59" s="38"/>
      <c r="L59" s="38"/>
      <c r="M59" s="17"/>
    </row>
    <row r="60" spans="2:13" ht="14.45" customHeight="1" x14ac:dyDescent="0.25">
      <c r="B60" s="17"/>
      <c r="C60" s="14"/>
      <c r="D60" s="14"/>
      <c r="E60" s="19"/>
      <c r="F60" s="21"/>
      <c r="G60" s="68"/>
      <c r="H60" s="68"/>
      <c r="I60" s="68"/>
      <c r="J60" s="52"/>
      <c r="K60" s="38"/>
      <c r="L60" s="38"/>
      <c r="M60" s="17"/>
    </row>
    <row r="61" spans="2:13" ht="14.45" customHeight="1" x14ac:dyDescent="0.25">
      <c r="B61" s="17"/>
      <c r="C61" s="14"/>
      <c r="D61" s="14"/>
      <c r="E61" s="19"/>
      <c r="F61" s="21"/>
      <c r="G61" s="68"/>
      <c r="H61" s="68"/>
      <c r="I61" s="68"/>
      <c r="J61" s="52"/>
      <c r="K61" s="38"/>
      <c r="L61" s="38"/>
      <c r="M61" s="17"/>
    </row>
    <row r="62" spans="2:13" ht="14.45" customHeight="1" x14ac:dyDescent="0.25">
      <c r="B62" s="17"/>
      <c r="C62" s="14"/>
      <c r="D62" s="14"/>
      <c r="E62" s="19"/>
      <c r="F62" s="21"/>
      <c r="G62" s="68"/>
      <c r="H62" s="68"/>
      <c r="I62" s="68"/>
      <c r="J62" s="52"/>
      <c r="K62" s="38"/>
      <c r="L62" s="38"/>
      <c r="M62" s="17"/>
    </row>
    <row r="63" spans="2:13" ht="14.45" customHeight="1" x14ac:dyDescent="0.25">
      <c r="B63" s="53"/>
      <c r="C63" s="40"/>
      <c r="D63" s="40"/>
      <c r="E63" s="54"/>
      <c r="F63" s="55"/>
      <c r="G63" s="69"/>
      <c r="H63" s="78"/>
      <c r="I63" s="78"/>
      <c r="J63" s="56"/>
      <c r="K63" s="38"/>
      <c r="L63" s="38"/>
      <c r="M63" s="17"/>
    </row>
    <row r="64" spans="2:13" ht="14.45" customHeight="1" x14ac:dyDescent="0.25">
      <c r="B64" s="44"/>
      <c r="C64" s="45"/>
      <c r="D64" s="45"/>
      <c r="E64" s="46"/>
      <c r="F64" s="47"/>
      <c r="G64" s="66"/>
      <c r="H64" s="77"/>
      <c r="I64" s="77"/>
      <c r="J64" s="45"/>
      <c r="K64" s="38"/>
      <c r="L64" s="38"/>
      <c r="M64" s="17"/>
    </row>
    <row r="65" spans="2:13" ht="14.45" customHeight="1" x14ac:dyDescent="0.25">
      <c r="B65" s="53"/>
      <c r="C65" s="40"/>
      <c r="D65" s="40"/>
      <c r="E65" s="41"/>
      <c r="F65" s="57"/>
      <c r="G65" s="70"/>
      <c r="H65" s="70"/>
      <c r="I65" s="70"/>
      <c r="J65" s="16"/>
      <c r="K65" s="38"/>
      <c r="L65" s="38"/>
      <c r="M65" s="17"/>
    </row>
    <row r="66" spans="2:13" ht="14.45" customHeight="1" x14ac:dyDescent="0.25">
      <c r="B66" s="44"/>
      <c r="C66" s="45"/>
      <c r="D66" s="45"/>
      <c r="E66" s="46"/>
      <c r="F66" s="47"/>
      <c r="G66" s="66"/>
      <c r="H66" s="77"/>
      <c r="I66" s="77"/>
      <c r="J66" s="45"/>
      <c r="K66" s="38"/>
      <c r="L66" s="38"/>
      <c r="M66" s="17"/>
    </row>
    <row r="67" spans="2:13" ht="14.45" customHeight="1" x14ac:dyDescent="0.25">
      <c r="B67" s="39"/>
      <c r="C67" s="48"/>
      <c r="D67" s="48"/>
      <c r="E67" s="49"/>
      <c r="F67" s="57"/>
      <c r="G67" s="70"/>
      <c r="H67" s="70"/>
      <c r="I67" s="70"/>
      <c r="J67" s="58"/>
      <c r="K67" s="38"/>
      <c r="L67" s="38"/>
      <c r="M67" s="17"/>
    </row>
    <row r="68" spans="2:13" ht="14.45" customHeight="1" x14ac:dyDescent="0.25">
      <c r="B68" s="44"/>
      <c r="C68" s="45"/>
      <c r="D68" s="45"/>
      <c r="E68" s="46"/>
      <c r="F68" s="47"/>
      <c r="G68" s="66"/>
      <c r="H68" s="77"/>
      <c r="I68" s="77"/>
      <c r="J68" s="45"/>
      <c r="K68" s="38"/>
      <c r="L68" s="38"/>
      <c r="M68" s="17"/>
    </row>
    <row r="69" spans="2:13" ht="14.45" customHeight="1" x14ac:dyDescent="0.25">
      <c r="B69" s="53"/>
      <c r="C69" s="40"/>
      <c r="D69" s="40"/>
      <c r="E69" s="41"/>
      <c r="F69" s="42"/>
      <c r="G69" s="65"/>
      <c r="H69" s="70"/>
      <c r="I69" s="70"/>
      <c r="J69" s="40"/>
      <c r="K69" s="38"/>
      <c r="L69" s="38"/>
      <c r="M69" s="17"/>
    </row>
    <row r="70" spans="2:13" ht="14.45" customHeight="1" x14ac:dyDescent="0.25">
      <c r="B70" s="53"/>
      <c r="C70" s="40"/>
      <c r="D70" s="40"/>
      <c r="E70" s="41"/>
      <c r="F70" s="42"/>
      <c r="G70" s="65"/>
      <c r="H70" s="70"/>
      <c r="I70" s="70"/>
      <c r="J70" s="59"/>
      <c r="K70" s="38"/>
      <c r="L70" s="38"/>
      <c r="M70" s="17"/>
    </row>
    <row r="71" spans="2:13" ht="14.45" customHeight="1" x14ac:dyDescent="0.25">
      <c r="B71" s="17"/>
      <c r="C71" s="14"/>
      <c r="D71" s="14"/>
      <c r="E71" s="18"/>
      <c r="F71" s="22"/>
      <c r="G71" s="71"/>
      <c r="H71" s="68"/>
      <c r="I71" s="68"/>
      <c r="J71" s="15"/>
      <c r="K71" s="38"/>
      <c r="L71" s="38"/>
      <c r="M71" s="17"/>
    </row>
    <row r="72" spans="2:13" ht="14.45" customHeight="1" x14ac:dyDescent="0.25">
      <c r="B72" s="17"/>
      <c r="C72" s="14"/>
      <c r="D72" s="14"/>
      <c r="E72" s="18"/>
      <c r="F72" s="22"/>
      <c r="G72" s="71"/>
      <c r="H72" s="68"/>
      <c r="I72" s="68"/>
      <c r="J72" s="15"/>
      <c r="K72" s="38"/>
      <c r="L72" s="38"/>
      <c r="M72" s="17"/>
    </row>
    <row r="73" spans="2:13" ht="14.45" customHeight="1" x14ac:dyDescent="0.25">
      <c r="B73" s="17"/>
      <c r="C73" s="14"/>
      <c r="D73" s="14"/>
      <c r="E73" s="18"/>
      <c r="F73" s="22"/>
      <c r="G73" s="71"/>
      <c r="H73" s="68"/>
      <c r="I73" s="68"/>
      <c r="J73" s="15"/>
      <c r="K73" s="38"/>
      <c r="L73" s="38"/>
      <c r="M73" s="17"/>
    </row>
    <row r="74" spans="2:13" ht="14.45" customHeight="1" x14ac:dyDescent="0.25">
      <c r="B74" s="17"/>
      <c r="C74" s="14"/>
      <c r="D74" s="14"/>
      <c r="E74" s="18"/>
      <c r="F74" s="22"/>
      <c r="G74" s="71"/>
      <c r="H74" s="68"/>
      <c r="I74" s="68"/>
      <c r="J74" s="15"/>
      <c r="K74" s="38"/>
      <c r="L74" s="38"/>
      <c r="M74" s="17"/>
    </row>
    <row r="75" spans="2:13" ht="14.45" customHeight="1" x14ac:dyDescent="0.25">
      <c r="B75" s="17"/>
      <c r="C75" s="14"/>
      <c r="D75" s="14"/>
      <c r="E75" s="18"/>
      <c r="F75" s="22"/>
      <c r="G75" s="71"/>
      <c r="H75" s="68"/>
      <c r="I75" s="68"/>
      <c r="J75" s="15"/>
      <c r="K75" s="38"/>
      <c r="L75" s="38"/>
      <c r="M75" s="17"/>
    </row>
    <row r="76" spans="2:13" ht="14.45" customHeight="1" x14ac:dyDescent="0.25">
      <c r="B76" s="17"/>
      <c r="C76" s="14"/>
      <c r="D76" s="14"/>
      <c r="E76" s="18"/>
      <c r="F76" s="22"/>
      <c r="G76" s="71"/>
      <c r="H76" s="68"/>
      <c r="I76" s="68"/>
      <c r="J76" s="15"/>
      <c r="K76" s="38"/>
      <c r="L76" s="38"/>
      <c r="M76" s="17"/>
    </row>
    <row r="77" spans="2:13" ht="14.45" customHeight="1" x14ac:dyDescent="0.25">
      <c r="B77" s="17"/>
      <c r="C77" s="14"/>
      <c r="D77" s="14"/>
      <c r="E77" s="18"/>
      <c r="F77" s="22"/>
      <c r="G77" s="71"/>
      <c r="H77" s="68"/>
      <c r="I77" s="68"/>
      <c r="J77" s="15"/>
      <c r="K77" s="38"/>
      <c r="L77" s="38"/>
      <c r="M77" s="17"/>
    </row>
    <row r="78" spans="2:13" ht="14.45" customHeight="1" x14ac:dyDescent="0.25">
      <c r="B78" s="17"/>
      <c r="C78" s="14"/>
      <c r="D78" s="14"/>
      <c r="E78" s="18"/>
      <c r="F78" s="22"/>
      <c r="G78" s="71"/>
      <c r="H78" s="68"/>
      <c r="I78" s="68"/>
      <c r="J78" s="15"/>
      <c r="K78" s="38"/>
      <c r="L78" s="38"/>
      <c r="M78" s="17"/>
    </row>
    <row r="79" spans="2:13" ht="14.45" customHeight="1" x14ac:dyDescent="0.25">
      <c r="B79" s="17"/>
      <c r="C79" s="14"/>
      <c r="D79" s="14"/>
      <c r="E79" s="18"/>
      <c r="F79" s="22"/>
      <c r="G79" s="71"/>
      <c r="H79" s="68"/>
      <c r="I79" s="68"/>
      <c r="J79" s="15"/>
      <c r="K79" s="38"/>
      <c r="L79" s="38"/>
      <c r="M79" s="17"/>
    </row>
    <row r="80" spans="2:13" ht="14.45" customHeight="1" x14ac:dyDescent="0.25">
      <c r="B80" s="17"/>
      <c r="C80" s="14"/>
      <c r="D80" s="14"/>
      <c r="E80" s="18"/>
      <c r="F80" s="22"/>
      <c r="G80" s="71"/>
      <c r="H80" s="68"/>
      <c r="I80" s="68"/>
      <c r="J80" s="15"/>
      <c r="K80" s="38"/>
      <c r="L80" s="38"/>
      <c r="M80" s="17"/>
    </row>
    <row r="81" spans="2:13" ht="14.45" customHeight="1" x14ac:dyDescent="0.25">
      <c r="B81" s="53"/>
      <c r="C81" s="40"/>
      <c r="D81" s="40"/>
      <c r="E81" s="41"/>
      <c r="F81" s="42"/>
      <c r="G81" s="65"/>
      <c r="H81" s="70"/>
      <c r="I81" s="70"/>
      <c r="J81" s="43"/>
      <c r="K81" s="38"/>
      <c r="L81" s="38"/>
      <c r="M81" s="17"/>
    </row>
    <row r="82" spans="2:13" ht="14.45" customHeight="1" x14ac:dyDescent="0.25">
      <c r="B82" s="53"/>
      <c r="C82" s="40"/>
      <c r="D82" s="40"/>
      <c r="E82" s="41"/>
      <c r="F82" s="42"/>
      <c r="G82" s="65"/>
      <c r="H82" s="70"/>
      <c r="I82" s="70"/>
      <c r="J82" s="43"/>
      <c r="K82" s="38"/>
      <c r="L82" s="38"/>
      <c r="M82" s="17"/>
    </row>
    <row r="83" spans="2:13" ht="14.45" customHeight="1" x14ac:dyDescent="0.25">
      <c r="B83" s="44"/>
      <c r="C83" s="45"/>
      <c r="D83" s="45"/>
      <c r="E83" s="46"/>
      <c r="F83" s="47"/>
      <c r="G83" s="66"/>
      <c r="H83" s="77"/>
      <c r="I83" s="77"/>
      <c r="J83" s="45"/>
      <c r="K83" s="38"/>
      <c r="L83" s="38"/>
      <c r="M83" s="17"/>
    </row>
    <row r="84" spans="2:13" ht="14.45" customHeight="1" x14ac:dyDescent="0.25">
      <c r="B84" s="39"/>
      <c r="C84" s="48"/>
      <c r="D84" s="48"/>
      <c r="E84" s="49"/>
      <c r="F84" s="60"/>
      <c r="G84" s="72"/>
      <c r="H84" s="67"/>
      <c r="I84" s="67"/>
      <c r="J84" s="43"/>
      <c r="K84" s="38"/>
      <c r="L84" s="38"/>
      <c r="M84" s="17"/>
    </row>
    <row r="85" spans="2:13" ht="14.45" customHeight="1" x14ac:dyDescent="0.25">
      <c r="B85" s="17"/>
      <c r="C85" s="14"/>
      <c r="D85" s="14"/>
      <c r="E85" s="18"/>
      <c r="F85" s="20"/>
      <c r="G85" s="64"/>
      <c r="H85" s="68"/>
      <c r="I85" s="68"/>
      <c r="J85" s="14"/>
      <c r="K85" s="38"/>
      <c r="L85" s="38"/>
      <c r="M85" s="17"/>
    </row>
    <row r="86" spans="2:13" ht="14.45" customHeight="1" x14ac:dyDescent="0.25">
      <c r="B86" s="39"/>
      <c r="C86" s="40"/>
      <c r="D86" s="40"/>
      <c r="E86" s="41"/>
      <c r="F86" s="42"/>
      <c r="G86" s="65"/>
      <c r="H86" s="70"/>
      <c r="I86" s="70"/>
      <c r="J86" s="40"/>
      <c r="K86" s="38"/>
      <c r="L86" s="38"/>
      <c r="M86" s="17"/>
    </row>
    <row r="87" spans="2:13" ht="14.45" customHeight="1" x14ac:dyDescent="0.25">
      <c r="B87" s="53"/>
      <c r="C87" s="40"/>
      <c r="D87" s="40"/>
      <c r="E87" s="41"/>
      <c r="F87" s="42"/>
      <c r="G87" s="65"/>
      <c r="H87" s="70"/>
      <c r="I87" s="70"/>
      <c r="J87" s="43"/>
      <c r="K87" s="38"/>
      <c r="L87" s="38"/>
      <c r="M87" s="17"/>
    </row>
    <row r="88" spans="2:13" ht="14.45" customHeight="1" x14ac:dyDescent="0.25">
      <c r="B88" s="17"/>
      <c r="C88" s="14"/>
      <c r="D88" s="14"/>
      <c r="E88" s="18"/>
      <c r="F88" s="61"/>
      <c r="G88" s="73"/>
      <c r="H88" s="79"/>
      <c r="I88" s="79"/>
      <c r="J88" s="14"/>
      <c r="K88" s="38"/>
      <c r="L88" s="38"/>
      <c r="M88" s="17"/>
    </row>
    <row r="89" spans="2:13" ht="14.45" customHeight="1" x14ac:dyDescent="0.25">
      <c r="B89" s="17"/>
      <c r="C89" s="14"/>
      <c r="D89" s="14"/>
      <c r="E89" s="18"/>
      <c r="F89" s="61"/>
      <c r="G89" s="73"/>
      <c r="H89" s="79"/>
      <c r="I89" s="79"/>
      <c r="J89" s="14"/>
      <c r="K89" s="38"/>
      <c r="L89" s="38"/>
      <c r="M89" s="17"/>
    </row>
    <row r="90" spans="2:13" ht="14.45" customHeight="1" x14ac:dyDescent="0.25">
      <c r="B90" s="17"/>
      <c r="C90" s="14"/>
      <c r="D90" s="14"/>
      <c r="E90" s="18"/>
      <c r="F90" s="61"/>
      <c r="G90" s="73"/>
      <c r="H90" s="79"/>
      <c r="I90" s="79"/>
      <c r="J90" s="14"/>
      <c r="K90" s="38"/>
      <c r="L90" s="38"/>
      <c r="M90" s="17"/>
    </row>
    <row r="91" spans="2:13" ht="14.45" customHeight="1" x14ac:dyDescent="0.25">
      <c r="B91" s="17"/>
      <c r="C91" s="14"/>
      <c r="D91" s="14"/>
      <c r="E91" s="18"/>
      <c r="F91" s="61"/>
      <c r="G91" s="73"/>
      <c r="H91" s="79"/>
      <c r="I91" s="79"/>
      <c r="J91" s="14"/>
      <c r="K91" s="38"/>
      <c r="L91" s="38"/>
      <c r="M91" s="17"/>
    </row>
    <row r="92" spans="2:13" ht="14.45" customHeight="1" x14ac:dyDescent="0.25">
      <c r="B92" s="17"/>
      <c r="C92" s="14"/>
      <c r="D92" s="14"/>
      <c r="E92" s="18"/>
      <c r="F92" s="61"/>
      <c r="G92" s="73"/>
      <c r="H92" s="79"/>
      <c r="I92" s="79"/>
      <c r="J92" s="14"/>
      <c r="K92" s="38"/>
      <c r="L92" s="38"/>
      <c r="M92" s="17"/>
    </row>
    <row r="93" spans="2:13" ht="14.45" customHeight="1" x14ac:dyDescent="0.25">
      <c r="B93" s="17"/>
      <c r="C93" s="14"/>
      <c r="D93" s="14"/>
      <c r="E93" s="18"/>
      <c r="F93" s="61"/>
      <c r="G93" s="73"/>
      <c r="H93" s="79"/>
      <c r="I93" s="79"/>
      <c r="J93" s="14"/>
      <c r="K93" s="38"/>
      <c r="L93" s="38"/>
      <c r="M93" s="17"/>
    </row>
    <row r="94" spans="2:13" ht="14.45" customHeight="1" x14ac:dyDescent="0.25">
      <c r="B94" s="17"/>
      <c r="C94" s="14"/>
      <c r="D94" s="14"/>
      <c r="E94" s="18"/>
      <c r="F94" s="61"/>
      <c r="G94" s="73"/>
      <c r="H94" s="79"/>
      <c r="I94" s="79"/>
      <c r="J94" s="14"/>
      <c r="K94" s="38"/>
      <c r="L94" s="38"/>
      <c r="M94" s="17"/>
    </row>
    <row r="95" spans="2:13" ht="14.45" customHeight="1" x14ac:dyDescent="0.25">
      <c r="B95" s="17"/>
      <c r="C95" s="14"/>
      <c r="D95" s="14"/>
      <c r="E95" s="18"/>
      <c r="F95" s="61"/>
      <c r="G95" s="73"/>
      <c r="H95" s="79"/>
      <c r="I95" s="79"/>
      <c r="J95" s="14"/>
      <c r="K95" s="38"/>
      <c r="L95" s="38"/>
      <c r="M95" s="17"/>
    </row>
    <row r="96" spans="2:13" ht="14.45" customHeight="1" x14ac:dyDescent="0.25">
      <c r="B96" s="17"/>
      <c r="C96" s="14"/>
      <c r="D96" s="14"/>
      <c r="E96" s="18"/>
      <c r="F96" s="61"/>
      <c r="G96" s="73"/>
      <c r="H96" s="79"/>
      <c r="I96" s="79"/>
      <c r="J96" s="14"/>
      <c r="K96" s="38"/>
      <c r="L96" s="38"/>
      <c r="M96" s="17"/>
    </row>
    <row r="97" spans="2:13" ht="14.45" customHeight="1" x14ac:dyDescent="0.25">
      <c r="B97" s="17"/>
      <c r="C97" s="14"/>
      <c r="D97" s="14"/>
      <c r="E97" s="18"/>
      <c r="F97" s="61"/>
      <c r="G97" s="73"/>
      <c r="H97" s="79"/>
      <c r="I97" s="79"/>
      <c r="J97" s="14"/>
      <c r="K97" s="38"/>
      <c r="L97" s="38"/>
      <c r="M97" s="17"/>
    </row>
    <row r="98" spans="2:13" ht="14.45" customHeight="1" x14ac:dyDescent="0.25">
      <c r="B98" s="17"/>
      <c r="C98" s="14"/>
      <c r="D98" s="14"/>
      <c r="E98" s="18"/>
      <c r="F98" s="61"/>
      <c r="G98" s="73"/>
      <c r="H98" s="79"/>
      <c r="I98" s="79"/>
      <c r="J98" s="14"/>
      <c r="K98" s="38"/>
      <c r="L98" s="38"/>
      <c r="M98" s="17"/>
    </row>
    <row r="99" spans="2:13" ht="14.45" customHeight="1" x14ac:dyDescent="0.25">
      <c r="B99" s="17"/>
      <c r="C99" s="14"/>
      <c r="D99" s="14"/>
      <c r="E99" s="18"/>
      <c r="F99" s="61"/>
      <c r="G99" s="73"/>
      <c r="H99" s="79"/>
      <c r="I99" s="79"/>
      <c r="J99" s="14"/>
      <c r="K99" s="38"/>
      <c r="L99" s="38"/>
      <c r="M99" s="17"/>
    </row>
    <row r="100" spans="2:13" ht="14.45" customHeight="1" x14ac:dyDescent="0.25">
      <c r="B100" s="17"/>
      <c r="C100" s="14"/>
      <c r="D100" s="14"/>
      <c r="E100" s="18"/>
      <c r="F100" s="61"/>
      <c r="G100" s="73"/>
      <c r="H100" s="79"/>
      <c r="I100" s="79"/>
      <c r="J100" s="14"/>
      <c r="K100" s="38"/>
      <c r="L100" s="38"/>
      <c r="M100" s="17"/>
    </row>
    <row r="101" spans="2:13" ht="14.45" customHeight="1" x14ac:dyDescent="0.25">
      <c r="B101" s="17"/>
      <c r="C101" s="14"/>
      <c r="D101" s="14"/>
      <c r="E101" s="18"/>
      <c r="F101" s="61"/>
      <c r="G101" s="73"/>
      <c r="H101" s="79"/>
      <c r="I101" s="79"/>
      <c r="J101" s="14"/>
      <c r="K101" s="38"/>
      <c r="L101" s="38"/>
      <c r="M101" s="17"/>
    </row>
    <row r="102" spans="2:13" ht="14.45" customHeight="1" x14ac:dyDescent="0.25">
      <c r="B102" s="17"/>
      <c r="C102" s="14"/>
      <c r="D102" s="14"/>
      <c r="E102" s="18"/>
      <c r="F102" s="61"/>
      <c r="G102" s="73"/>
      <c r="H102" s="79"/>
      <c r="I102" s="79"/>
      <c r="J102" s="14"/>
      <c r="K102" s="38"/>
      <c r="L102" s="38"/>
      <c r="M102" s="17"/>
    </row>
    <row r="103" spans="2:13" ht="14.45" customHeight="1" x14ac:dyDescent="0.25">
      <c r="B103" s="17"/>
      <c r="C103" s="14"/>
      <c r="D103" s="14"/>
      <c r="E103" s="18"/>
      <c r="F103" s="61"/>
      <c r="G103" s="73"/>
      <c r="H103" s="79"/>
      <c r="I103" s="79"/>
      <c r="J103" s="14"/>
      <c r="K103" s="38"/>
      <c r="L103" s="38"/>
      <c r="M103" s="17"/>
    </row>
    <row r="104" spans="2:13" ht="14.45" customHeight="1" x14ac:dyDescent="0.25">
      <c r="B104" s="17"/>
      <c r="C104" s="14"/>
      <c r="D104" s="14"/>
      <c r="E104" s="18"/>
      <c r="F104" s="61"/>
      <c r="G104" s="73"/>
      <c r="H104" s="79"/>
      <c r="I104" s="79"/>
      <c r="J104" s="14"/>
      <c r="K104" s="38"/>
      <c r="L104" s="38"/>
      <c r="M104" s="17"/>
    </row>
    <row r="105" spans="2:13" ht="14.45" customHeight="1" x14ac:dyDescent="0.25">
      <c r="B105" s="17"/>
      <c r="C105" s="14"/>
      <c r="D105" s="14"/>
      <c r="E105" s="18"/>
      <c r="F105" s="61"/>
      <c r="G105" s="73"/>
      <c r="H105" s="79"/>
      <c r="I105" s="79"/>
      <c r="J105" s="14"/>
      <c r="K105" s="38"/>
      <c r="L105" s="38"/>
      <c r="M105" s="17"/>
    </row>
    <row r="106" spans="2:13" ht="14.45" customHeight="1" x14ac:dyDescent="0.25">
      <c r="B106" s="17"/>
      <c r="C106" s="14"/>
      <c r="D106" s="14"/>
      <c r="E106" s="18"/>
      <c r="F106" s="61"/>
      <c r="G106" s="73"/>
      <c r="H106" s="79"/>
      <c r="I106" s="79"/>
      <c r="J106" s="14"/>
      <c r="K106" s="38"/>
      <c r="L106" s="38"/>
      <c r="M106" s="17"/>
    </row>
    <row r="107" spans="2:13" ht="14.45" customHeight="1" x14ac:dyDescent="0.25">
      <c r="B107" s="17"/>
      <c r="C107" s="14"/>
      <c r="D107" s="14"/>
      <c r="E107" s="18"/>
      <c r="F107" s="61"/>
      <c r="G107" s="73"/>
      <c r="H107" s="79"/>
      <c r="I107" s="79"/>
      <c r="J107" s="14"/>
      <c r="K107" s="38"/>
      <c r="L107" s="38"/>
      <c r="M107" s="17"/>
    </row>
    <row r="108" spans="2:13" ht="14.45" customHeight="1" x14ac:dyDescent="0.25">
      <c r="B108" s="17"/>
      <c r="C108" s="14"/>
      <c r="D108" s="14"/>
      <c r="E108" s="18"/>
      <c r="F108" s="61"/>
      <c r="G108" s="73"/>
      <c r="H108" s="79"/>
      <c r="I108" s="79"/>
      <c r="J108" s="14"/>
      <c r="K108" s="38"/>
      <c r="L108" s="38"/>
      <c r="M108" s="17"/>
    </row>
    <row r="109" spans="2:13" ht="14.45" customHeight="1" x14ac:dyDescent="0.25">
      <c r="B109" s="17"/>
      <c r="C109" s="14"/>
      <c r="D109" s="14"/>
      <c r="E109" s="18"/>
      <c r="F109" s="61"/>
      <c r="G109" s="73"/>
      <c r="H109" s="79"/>
      <c r="I109" s="79"/>
      <c r="J109" s="14"/>
      <c r="K109" s="38"/>
      <c r="L109" s="38"/>
      <c r="M109" s="17"/>
    </row>
    <row r="110" spans="2:13" ht="14.45" customHeight="1" x14ac:dyDescent="0.25">
      <c r="B110" s="17"/>
      <c r="C110" s="14"/>
      <c r="D110" s="14"/>
      <c r="E110" s="18"/>
      <c r="F110" s="61"/>
      <c r="G110" s="73"/>
      <c r="H110" s="79"/>
      <c r="I110" s="79"/>
      <c r="J110" s="14"/>
      <c r="K110" s="38"/>
      <c r="L110" s="38"/>
      <c r="M110" s="17"/>
    </row>
    <row r="111" spans="2:13" ht="14.45" customHeight="1" x14ac:dyDescent="0.25">
      <c r="B111" s="17"/>
      <c r="C111" s="14"/>
      <c r="D111" s="14"/>
      <c r="E111" s="18"/>
      <c r="F111" s="61"/>
      <c r="G111" s="73"/>
      <c r="H111" s="79"/>
      <c r="I111" s="79"/>
      <c r="J111" s="14"/>
      <c r="K111" s="38"/>
      <c r="L111" s="38"/>
      <c r="M111" s="17"/>
    </row>
    <row r="112" spans="2:13" ht="14.45" customHeight="1" x14ac:dyDescent="0.25">
      <c r="B112" s="17"/>
      <c r="C112" s="14"/>
      <c r="D112" s="14"/>
      <c r="E112" s="18"/>
      <c r="F112" s="61"/>
      <c r="G112" s="73"/>
      <c r="H112" s="79"/>
      <c r="I112" s="79"/>
      <c r="J112" s="14"/>
      <c r="K112" s="38"/>
      <c r="L112" s="38"/>
      <c r="M112" s="17"/>
    </row>
    <row r="113" spans="2:13" ht="14.45" customHeight="1" x14ac:dyDescent="0.25">
      <c r="B113" s="17"/>
      <c r="C113" s="14"/>
      <c r="D113" s="14"/>
      <c r="E113" s="18"/>
      <c r="F113" s="61"/>
      <c r="G113" s="73"/>
      <c r="H113" s="79"/>
      <c r="I113" s="79"/>
      <c r="J113" s="14"/>
      <c r="K113" s="38"/>
      <c r="L113" s="38"/>
      <c r="M113" s="17"/>
    </row>
    <row r="114" spans="2:13" ht="14.45" customHeight="1" x14ac:dyDescent="0.25">
      <c r="B114" s="17"/>
      <c r="C114" s="14"/>
      <c r="D114" s="14"/>
      <c r="E114" s="18"/>
      <c r="F114" s="61"/>
      <c r="G114" s="73"/>
      <c r="H114" s="79"/>
      <c r="I114" s="79"/>
      <c r="J114" s="14"/>
      <c r="K114" s="38"/>
      <c r="L114" s="38"/>
      <c r="M114" s="17"/>
    </row>
    <row r="115" spans="2:13" ht="14.45" customHeight="1" x14ac:dyDescent="0.25">
      <c r="B115" s="17"/>
      <c r="C115" s="14"/>
      <c r="D115" s="14"/>
      <c r="E115" s="18"/>
      <c r="F115" s="61"/>
      <c r="G115" s="73"/>
      <c r="H115" s="79"/>
      <c r="I115" s="79"/>
      <c r="J115" s="14"/>
      <c r="K115" s="38"/>
      <c r="L115" s="38"/>
      <c r="M115" s="17"/>
    </row>
    <row r="116" spans="2:13" ht="14.45" customHeight="1" x14ac:dyDescent="0.25">
      <c r="B116" s="17"/>
      <c r="C116" s="14"/>
      <c r="D116" s="14"/>
      <c r="E116" s="18"/>
      <c r="F116" s="61"/>
      <c r="G116" s="73"/>
      <c r="H116" s="79"/>
      <c r="I116" s="79"/>
      <c r="J116" s="14"/>
      <c r="K116" s="38"/>
      <c r="L116" s="38"/>
      <c r="M116" s="17"/>
    </row>
    <row r="117" spans="2:13" ht="14.45" customHeight="1" x14ac:dyDescent="0.25">
      <c r="B117" s="17"/>
      <c r="C117" s="14"/>
      <c r="D117" s="14"/>
      <c r="E117" s="18"/>
      <c r="F117" s="61"/>
      <c r="G117" s="73"/>
      <c r="H117" s="79"/>
      <c r="I117" s="79"/>
      <c r="J117" s="14"/>
      <c r="K117" s="38"/>
      <c r="L117" s="38"/>
      <c r="M117" s="17"/>
    </row>
    <row r="118" spans="2:13" ht="14.45" customHeight="1" x14ac:dyDescent="0.25">
      <c r="B118" s="17"/>
      <c r="C118" s="14"/>
      <c r="D118" s="14"/>
      <c r="E118" s="18"/>
      <c r="F118" s="61"/>
      <c r="G118" s="73"/>
      <c r="H118" s="79"/>
      <c r="I118" s="79"/>
      <c r="J118" s="14"/>
      <c r="K118" s="38"/>
      <c r="L118" s="38"/>
      <c r="M118" s="17"/>
    </row>
    <row r="119" spans="2:13" ht="14.45" customHeight="1" x14ac:dyDescent="0.25">
      <c r="B119" s="17"/>
      <c r="C119" s="14"/>
      <c r="D119" s="14"/>
      <c r="E119" s="18"/>
      <c r="F119" s="61"/>
      <c r="G119" s="73"/>
      <c r="H119" s="79"/>
      <c r="I119" s="79"/>
      <c r="J119" s="14"/>
      <c r="K119" s="38"/>
      <c r="L119" s="38"/>
      <c r="M119" s="17"/>
    </row>
    <row r="120" spans="2:13" ht="14.45" customHeight="1" x14ac:dyDescent="0.25">
      <c r="B120" s="17"/>
      <c r="C120" s="14"/>
      <c r="D120" s="14"/>
      <c r="E120" s="18"/>
      <c r="F120" s="61"/>
      <c r="G120" s="73"/>
      <c r="H120" s="79"/>
      <c r="I120" s="79"/>
      <c r="J120" s="14"/>
      <c r="K120" s="38"/>
      <c r="L120" s="38"/>
      <c r="M120" s="17"/>
    </row>
    <row r="121" spans="2:13" ht="14.45" customHeight="1" x14ac:dyDescent="0.25">
      <c r="B121" s="17"/>
      <c r="C121" s="14"/>
      <c r="D121" s="14"/>
      <c r="E121" s="18"/>
      <c r="F121" s="61"/>
      <c r="G121" s="73"/>
      <c r="H121" s="79"/>
      <c r="I121" s="79"/>
      <c r="J121" s="14"/>
      <c r="K121" s="38"/>
      <c r="L121" s="38"/>
      <c r="M121" s="17"/>
    </row>
    <row r="122" spans="2:13" ht="14.45" customHeight="1" x14ac:dyDescent="0.25">
      <c r="B122" s="17"/>
      <c r="C122" s="14"/>
      <c r="D122" s="14"/>
      <c r="E122" s="18"/>
      <c r="F122" s="61"/>
      <c r="G122" s="73"/>
      <c r="H122" s="79"/>
      <c r="I122" s="79"/>
      <c r="J122" s="14"/>
      <c r="K122" s="38"/>
      <c r="L122" s="38"/>
      <c r="M122" s="17"/>
    </row>
    <row r="123" spans="2:13" ht="14.45" customHeight="1" x14ac:dyDescent="0.25">
      <c r="B123" s="17"/>
      <c r="C123" s="14"/>
      <c r="D123" s="14"/>
      <c r="E123" s="18"/>
      <c r="F123" s="61"/>
      <c r="G123" s="73"/>
      <c r="H123" s="79"/>
      <c r="I123" s="79"/>
      <c r="J123" s="14"/>
      <c r="K123" s="38"/>
      <c r="L123" s="38"/>
      <c r="M123" s="17"/>
    </row>
    <row r="124" spans="2:13" ht="14.45" customHeight="1" x14ac:dyDescent="0.25">
      <c r="B124" s="17"/>
      <c r="C124" s="14"/>
      <c r="D124" s="14"/>
      <c r="E124" s="18"/>
      <c r="F124" s="61"/>
      <c r="G124" s="73"/>
      <c r="H124" s="79"/>
      <c r="I124" s="79"/>
      <c r="J124" s="14"/>
      <c r="K124" s="38"/>
      <c r="L124" s="38"/>
      <c r="M124" s="17"/>
    </row>
    <row r="125" spans="2:13" ht="14.45" customHeight="1" x14ac:dyDescent="0.25">
      <c r="B125" s="17"/>
      <c r="C125" s="14"/>
      <c r="D125" s="14"/>
      <c r="E125" s="18"/>
      <c r="F125" s="61"/>
      <c r="G125" s="73"/>
      <c r="H125" s="79"/>
      <c r="I125" s="79"/>
      <c r="J125" s="14"/>
      <c r="K125" s="38"/>
      <c r="L125" s="38"/>
      <c r="M125" s="17"/>
    </row>
    <row r="126" spans="2:13" ht="14.45" customHeight="1" x14ac:dyDescent="0.25">
      <c r="B126" s="17"/>
      <c r="C126" s="14"/>
      <c r="D126" s="14"/>
      <c r="E126" s="18"/>
      <c r="F126" s="61"/>
      <c r="G126" s="73"/>
      <c r="H126" s="79"/>
      <c r="I126" s="79"/>
      <c r="J126" s="14"/>
      <c r="K126" s="38"/>
      <c r="L126" s="38"/>
      <c r="M126" s="17"/>
    </row>
    <row r="127" spans="2:13" ht="14.45" customHeight="1" x14ac:dyDescent="0.25">
      <c r="B127" s="17"/>
      <c r="C127" s="14"/>
      <c r="D127" s="14"/>
      <c r="E127" s="18"/>
      <c r="F127" s="61"/>
      <c r="G127" s="73"/>
      <c r="H127" s="79"/>
      <c r="I127" s="79"/>
      <c r="J127" s="14"/>
      <c r="K127" s="38"/>
      <c r="L127" s="38"/>
      <c r="M127" s="17"/>
    </row>
    <row r="128" spans="2:13" ht="14.45" customHeight="1" x14ac:dyDescent="0.25">
      <c r="B128" s="17"/>
      <c r="C128" s="14"/>
      <c r="D128" s="14"/>
      <c r="E128" s="18"/>
      <c r="F128" s="61"/>
      <c r="G128" s="73"/>
      <c r="H128" s="79"/>
      <c r="I128" s="79"/>
      <c r="J128" s="14"/>
      <c r="K128" s="38"/>
      <c r="L128" s="38"/>
      <c r="M128" s="17"/>
    </row>
    <row r="129" spans="2:13" ht="14.45" customHeight="1" x14ac:dyDescent="0.25">
      <c r="B129" s="17"/>
      <c r="C129" s="14"/>
      <c r="D129" s="14"/>
      <c r="E129" s="18"/>
      <c r="F129" s="61"/>
      <c r="G129" s="73"/>
      <c r="H129" s="79"/>
      <c r="I129" s="79"/>
      <c r="J129" s="14"/>
      <c r="K129" s="38"/>
      <c r="L129" s="38"/>
      <c r="M129" s="17"/>
    </row>
    <row r="130" spans="2:13" ht="14.45" customHeight="1" x14ac:dyDescent="0.25">
      <c r="B130" s="17"/>
      <c r="C130" s="14"/>
      <c r="D130" s="14"/>
      <c r="E130" s="18"/>
      <c r="F130" s="61"/>
      <c r="G130" s="73"/>
      <c r="H130" s="79"/>
      <c r="I130" s="79"/>
      <c r="J130" s="14"/>
      <c r="K130" s="38"/>
      <c r="L130" s="38"/>
      <c r="M130" s="17"/>
    </row>
    <row r="131" spans="2:13" ht="14.45" customHeight="1" x14ac:dyDescent="0.25">
      <c r="B131" s="17"/>
      <c r="C131" s="14"/>
      <c r="D131" s="14"/>
      <c r="E131" s="18"/>
      <c r="F131" s="61"/>
      <c r="G131" s="73"/>
      <c r="H131" s="79"/>
      <c r="I131" s="79"/>
      <c r="J131" s="14"/>
      <c r="K131" s="38"/>
      <c r="L131" s="38"/>
      <c r="M131" s="17"/>
    </row>
    <row r="132" spans="2:13" ht="14.45" customHeight="1" x14ac:dyDescent="0.25">
      <c r="B132" s="17"/>
      <c r="C132" s="14"/>
      <c r="D132" s="14"/>
      <c r="E132" s="18"/>
      <c r="F132" s="61"/>
      <c r="G132" s="73"/>
      <c r="H132" s="79"/>
      <c r="I132" s="79"/>
      <c r="J132" s="14"/>
      <c r="K132" s="38"/>
      <c r="L132" s="38"/>
      <c r="M132" s="17"/>
    </row>
    <row r="133" spans="2:13" ht="14.45" customHeight="1" x14ac:dyDescent="0.25">
      <c r="B133" s="17"/>
      <c r="C133" s="14"/>
      <c r="D133" s="14"/>
      <c r="E133" s="18"/>
      <c r="F133" s="61"/>
      <c r="G133" s="73"/>
      <c r="H133" s="79"/>
      <c r="I133" s="79"/>
      <c r="J133" s="14"/>
      <c r="K133" s="38"/>
      <c r="L133" s="38"/>
      <c r="M133" s="17"/>
    </row>
    <row r="134" spans="2:13" ht="14.45" customHeight="1" x14ac:dyDescent="0.25">
      <c r="B134" s="17"/>
      <c r="C134" s="14"/>
      <c r="D134" s="14"/>
      <c r="E134" s="18"/>
      <c r="F134" s="61"/>
      <c r="G134" s="73"/>
      <c r="H134" s="79"/>
      <c r="I134" s="79"/>
      <c r="J134" s="14"/>
      <c r="K134" s="38"/>
      <c r="L134" s="38"/>
      <c r="M134" s="17"/>
    </row>
    <row r="135" spans="2:13" ht="14.45" customHeight="1" x14ac:dyDescent="0.25">
      <c r="B135" s="17"/>
      <c r="C135" s="14"/>
      <c r="D135" s="14"/>
      <c r="E135" s="18"/>
      <c r="F135" s="61"/>
      <c r="G135" s="73"/>
      <c r="H135" s="79"/>
      <c r="I135" s="79"/>
      <c r="J135" s="14"/>
      <c r="K135" s="38"/>
      <c r="L135" s="38"/>
      <c r="M135" s="17"/>
    </row>
    <row r="136" spans="2:13" ht="14.45" customHeight="1" x14ac:dyDescent="0.25">
      <c r="B136" s="17"/>
      <c r="C136" s="14"/>
      <c r="D136" s="14"/>
      <c r="E136" s="18"/>
      <c r="F136" s="61"/>
      <c r="G136" s="73"/>
      <c r="H136" s="79"/>
      <c r="I136" s="79"/>
      <c r="J136" s="14"/>
      <c r="K136" s="38"/>
      <c r="L136" s="38"/>
      <c r="M136" s="17"/>
    </row>
    <row r="137" spans="2:13" ht="14.45" customHeight="1" x14ac:dyDescent="0.25">
      <c r="B137" s="17"/>
      <c r="C137" s="14"/>
      <c r="D137" s="14"/>
      <c r="E137" s="18"/>
      <c r="F137" s="61"/>
      <c r="G137" s="73"/>
      <c r="H137" s="79"/>
      <c r="I137" s="79"/>
      <c r="J137" s="14"/>
      <c r="K137" s="38"/>
      <c r="L137" s="38"/>
      <c r="M137" s="17"/>
    </row>
    <row r="138" spans="2:13" ht="14.45" customHeight="1" x14ac:dyDescent="0.25">
      <c r="B138" s="17"/>
      <c r="C138" s="14"/>
      <c r="D138" s="14"/>
      <c r="E138" s="18"/>
      <c r="F138" s="61"/>
      <c r="G138" s="73"/>
      <c r="H138" s="79"/>
      <c r="I138" s="79"/>
      <c r="J138" s="14"/>
      <c r="K138" s="38"/>
      <c r="L138" s="38"/>
      <c r="M138" s="17"/>
    </row>
    <row r="139" spans="2:13" ht="14.45" customHeight="1" x14ac:dyDescent="0.25">
      <c r="B139" s="17"/>
      <c r="C139" s="14"/>
      <c r="D139" s="14"/>
      <c r="E139" s="18"/>
      <c r="F139" s="61"/>
      <c r="G139" s="73"/>
      <c r="H139" s="79"/>
      <c r="I139" s="79"/>
      <c r="J139" s="14"/>
      <c r="K139" s="38"/>
      <c r="L139" s="38"/>
      <c r="M139" s="17"/>
    </row>
    <row r="140" spans="2:13" ht="14.45" customHeight="1" x14ac:dyDescent="0.25">
      <c r="B140" s="17"/>
      <c r="C140" s="14"/>
      <c r="D140" s="14"/>
      <c r="E140" s="18"/>
      <c r="F140" s="61"/>
      <c r="G140" s="73"/>
      <c r="H140" s="79"/>
      <c r="I140" s="79"/>
      <c r="J140" s="14"/>
      <c r="K140" s="38"/>
      <c r="L140" s="38"/>
      <c r="M140" s="17"/>
    </row>
    <row r="141" spans="2:13" ht="14.45" customHeight="1" x14ac:dyDescent="0.25">
      <c r="B141" s="17"/>
      <c r="C141" s="14"/>
      <c r="D141" s="14"/>
      <c r="E141" s="18"/>
      <c r="F141" s="61"/>
      <c r="G141" s="73"/>
      <c r="H141" s="79"/>
      <c r="I141" s="79"/>
      <c r="J141" s="14"/>
      <c r="K141" s="38"/>
      <c r="L141" s="38"/>
      <c r="M141" s="17"/>
    </row>
    <row r="142" spans="2:13" ht="14.45" customHeight="1" x14ac:dyDescent="0.25">
      <c r="B142" s="17"/>
      <c r="C142" s="14"/>
      <c r="D142" s="14"/>
      <c r="E142" s="18"/>
      <c r="F142" s="61"/>
      <c r="G142" s="73"/>
      <c r="H142" s="79"/>
      <c r="I142" s="79"/>
      <c r="J142" s="14"/>
      <c r="K142" s="38"/>
      <c r="L142" s="38"/>
      <c r="M142" s="17"/>
    </row>
    <row r="143" spans="2:13" ht="14.45" customHeight="1" x14ac:dyDescent="0.25">
      <c r="B143" s="17"/>
      <c r="C143" s="14"/>
      <c r="D143" s="14"/>
      <c r="E143" s="18"/>
      <c r="F143" s="61"/>
      <c r="G143" s="73"/>
      <c r="H143" s="79"/>
      <c r="I143" s="79"/>
      <c r="J143" s="14"/>
      <c r="K143" s="38"/>
      <c r="L143" s="38"/>
      <c r="M143" s="17"/>
    </row>
    <row r="144" spans="2:13" ht="14.45" customHeight="1" x14ac:dyDescent="0.25">
      <c r="B144" s="17"/>
      <c r="C144" s="14"/>
      <c r="D144" s="14"/>
      <c r="E144" s="18"/>
      <c r="F144" s="61"/>
      <c r="G144" s="73"/>
      <c r="H144" s="79"/>
      <c r="I144" s="79"/>
      <c r="J144" s="14"/>
      <c r="K144" s="38"/>
      <c r="L144" s="38"/>
      <c r="M144" s="17"/>
    </row>
    <row r="145" spans="2:13" ht="14.45" customHeight="1" x14ac:dyDescent="0.25">
      <c r="B145" s="17"/>
      <c r="C145" s="14"/>
      <c r="D145" s="14"/>
      <c r="E145" s="18"/>
      <c r="F145" s="61"/>
      <c r="G145" s="73"/>
      <c r="H145" s="79"/>
      <c r="I145" s="79"/>
      <c r="J145" s="14"/>
      <c r="K145" s="38"/>
      <c r="L145" s="38"/>
      <c r="M145" s="17"/>
    </row>
    <row r="146" spans="2:13" ht="14.45" customHeight="1" x14ac:dyDescent="0.25">
      <c r="B146" s="17"/>
      <c r="C146" s="14"/>
      <c r="D146" s="14"/>
      <c r="E146" s="18"/>
      <c r="F146" s="61"/>
      <c r="G146" s="73"/>
      <c r="H146" s="79"/>
      <c r="I146" s="79"/>
      <c r="J146" s="14"/>
      <c r="K146" s="38"/>
      <c r="L146" s="38"/>
      <c r="M146" s="17"/>
    </row>
    <row r="147" spans="2:13" ht="14.45" customHeight="1" x14ac:dyDescent="0.25">
      <c r="B147" s="17"/>
      <c r="C147" s="14"/>
      <c r="D147" s="14"/>
      <c r="E147" s="18"/>
      <c r="F147" s="61"/>
      <c r="G147" s="73"/>
      <c r="H147" s="79"/>
      <c r="I147" s="79"/>
      <c r="J147" s="14"/>
      <c r="K147" s="38"/>
      <c r="L147" s="38"/>
      <c r="M147" s="17"/>
    </row>
    <row r="148" spans="2:13" ht="14.45" customHeight="1" x14ac:dyDescent="0.25">
      <c r="B148" s="17"/>
      <c r="C148" s="14"/>
      <c r="D148" s="14"/>
      <c r="E148" s="18"/>
      <c r="F148" s="61"/>
      <c r="G148" s="73"/>
      <c r="H148" s="79"/>
      <c r="I148" s="79"/>
      <c r="J148" s="14"/>
      <c r="K148" s="38"/>
      <c r="L148" s="38"/>
      <c r="M148" s="17"/>
    </row>
    <row r="149" spans="2:13" ht="14.45" customHeight="1" x14ac:dyDescent="0.25">
      <c r="B149" s="17"/>
      <c r="C149" s="14"/>
      <c r="D149" s="14"/>
      <c r="E149" s="18"/>
      <c r="F149" s="61"/>
      <c r="G149" s="73"/>
      <c r="H149" s="79"/>
      <c r="I149" s="79"/>
      <c r="J149" s="14"/>
      <c r="K149" s="38"/>
      <c r="L149" s="38"/>
      <c r="M149" s="17"/>
    </row>
    <row r="150" spans="2:13" ht="14.45" customHeight="1" x14ac:dyDescent="0.25">
      <c r="B150" s="17"/>
      <c r="C150" s="14"/>
      <c r="D150" s="14"/>
      <c r="E150" s="18"/>
      <c r="F150" s="61"/>
      <c r="G150" s="73"/>
      <c r="H150" s="79"/>
      <c r="I150" s="79"/>
      <c r="J150" s="14"/>
      <c r="K150" s="38"/>
      <c r="L150" s="38"/>
      <c r="M150" s="17"/>
    </row>
    <row r="151" spans="2:13" ht="14.45" customHeight="1" x14ac:dyDescent="0.25">
      <c r="B151" s="17"/>
      <c r="C151" s="14"/>
      <c r="D151" s="14"/>
      <c r="E151" s="18"/>
      <c r="F151" s="61"/>
      <c r="G151" s="73"/>
      <c r="H151" s="79"/>
      <c r="I151" s="79"/>
      <c r="J151" s="14"/>
      <c r="K151" s="38"/>
      <c r="L151" s="38"/>
      <c r="M151" s="17"/>
    </row>
    <row r="152" spans="2:13" ht="14.45" customHeight="1" x14ac:dyDescent="0.25">
      <c r="B152" s="17"/>
      <c r="C152" s="14"/>
      <c r="D152" s="14"/>
      <c r="E152" s="18"/>
      <c r="F152" s="61"/>
      <c r="G152" s="73"/>
      <c r="H152" s="79"/>
      <c r="I152" s="79"/>
      <c r="J152" s="14"/>
      <c r="K152" s="38"/>
      <c r="L152" s="38"/>
      <c r="M152" s="17"/>
    </row>
    <row r="153" spans="2:13" ht="14.45" customHeight="1" x14ac:dyDescent="0.25">
      <c r="B153" s="17"/>
      <c r="C153" s="14"/>
      <c r="D153" s="14"/>
      <c r="E153" s="18"/>
      <c r="F153" s="61"/>
      <c r="G153" s="73"/>
      <c r="H153" s="79"/>
      <c r="I153" s="79"/>
      <c r="J153" s="14"/>
      <c r="K153" s="38"/>
      <c r="L153" s="38"/>
      <c r="M153" s="17"/>
    </row>
    <row r="154" spans="2:13" ht="14.45" customHeight="1" x14ac:dyDescent="0.25">
      <c r="B154" s="17"/>
      <c r="C154" s="14"/>
      <c r="D154" s="14"/>
      <c r="E154" s="18"/>
      <c r="F154" s="61"/>
      <c r="G154" s="73"/>
      <c r="H154" s="79"/>
      <c r="I154" s="79"/>
      <c r="J154" s="14"/>
      <c r="K154" s="38"/>
      <c r="L154" s="38"/>
      <c r="M154" s="17"/>
    </row>
    <row r="155" spans="2:13" ht="14.45" customHeight="1" x14ac:dyDescent="0.25">
      <c r="B155" s="17"/>
      <c r="C155" s="14"/>
      <c r="D155" s="14"/>
      <c r="E155" s="18"/>
      <c r="F155" s="61"/>
      <c r="G155" s="73"/>
      <c r="H155" s="79"/>
      <c r="I155" s="79"/>
      <c r="J155" s="14"/>
      <c r="K155" s="38"/>
      <c r="L155" s="38"/>
      <c r="M155" s="17"/>
    </row>
    <row r="156" spans="2:13" ht="14.45" customHeight="1" x14ac:dyDescent="0.25">
      <c r="B156" s="17"/>
      <c r="C156" s="14"/>
      <c r="D156" s="14"/>
      <c r="E156" s="18"/>
      <c r="F156" s="61"/>
      <c r="G156" s="73"/>
      <c r="H156" s="79"/>
      <c r="I156" s="79"/>
      <c r="J156" s="14"/>
      <c r="K156" s="38"/>
      <c r="L156" s="38"/>
      <c r="M156" s="17"/>
    </row>
    <row r="157" spans="2:13" ht="14.45" customHeight="1" x14ac:dyDescent="0.25">
      <c r="B157" s="17"/>
      <c r="C157" s="14"/>
      <c r="D157" s="14"/>
      <c r="E157" s="18"/>
      <c r="F157" s="61"/>
      <c r="G157" s="73"/>
      <c r="H157" s="79"/>
      <c r="I157" s="79"/>
      <c r="J157" s="14"/>
      <c r="K157" s="38"/>
      <c r="L157" s="38"/>
      <c r="M157" s="17"/>
    </row>
    <row r="158" spans="2:13" ht="14.45" customHeight="1" x14ac:dyDescent="0.25">
      <c r="B158" s="17"/>
      <c r="C158" s="14"/>
      <c r="D158" s="14"/>
      <c r="E158" s="18"/>
      <c r="F158" s="61"/>
      <c r="G158" s="73"/>
      <c r="H158" s="79"/>
      <c r="I158" s="79"/>
      <c r="J158" s="14"/>
      <c r="K158" s="38"/>
      <c r="L158" s="38"/>
      <c r="M158" s="17"/>
    </row>
    <row r="159" spans="2:13" ht="14.45" customHeight="1" x14ac:dyDescent="0.25">
      <c r="B159" s="17"/>
      <c r="C159" s="14"/>
      <c r="D159" s="14"/>
      <c r="E159" s="18"/>
      <c r="F159" s="61"/>
      <c r="G159" s="73"/>
      <c r="H159" s="79"/>
      <c r="I159" s="79"/>
      <c r="J159" s="14"/>
      <c r="K159" s="38"/>
      <c r="L159" s="38"/>
      <c r="M159" s="17"/>
    </row>
    <row r="160" spans="2:13" ht="14.45" customHeight="1" x14ac:dyDescent="0.25">
      <c r="B160" s="17"/>
      <c r="C160" s="14"/>
      <c r="D160" s="14"/>
      <c r="E160" s="18"/>
      <c r="F160" s="61"/>
      <c r="G160" s="73"/>
      <c r="H160" s="79"/>
      <c r="I160" s="79"/>
      <c r="J160" s="14"/>
      <c r="K160" s="38"/>
      <c r="L160" s="38"/>
      <c r="M160" s="17"/>
    </row>
    <row r="161" spans="2:13" ht="14.45" customHeight="1" x14ac:dyDescent="0.25">
      <c r="B161" s="17"/>
      <c r="C161" s="14"/>
      <c r="D161" s="14"/>
      <c r="E161" s="18"/>
      <c r="F161" s="61"/>
      <c r="G161" s="73"/>
      <c r="H161" s="79"/>
      <c r="I161" s="79"/>
      <c r="J161" s="14"/>
      <c r="K161" s="38"/>
      <c r="L161" s="38"/>
      <c r="M161" s="17"/>
    </row>
    <row r="162" spans="2:13" ht="14.45" customHeight="1" x14ac:dyDescent="0.25">
      <c r="B162" s="17"/>
      <c r="C162" s="14"/>
      <c r="D162" s="14"/>
      <c r="E162" s="18"/>
      <c r="F162" s="61"/>
      <c r="G162" s="73"/>
      <c r="H162" s="79"/>
      <c r="I162" s="79"/>
      <c r="J162" s="14"/>
      <c r="K162" s="38"/>
      <c r="L162" s="38"/>
      <c r="M162" s="17"/>
    </row>
    <row r="163" spans="2:13" ht="14.45" customHeight="1" x14ac:dyDescent="0.25">
      <c r="B163" s="17"/>
      <c r="C163" s="14"/>
      <c r="D163" s="14"/>
      <c r="E163" s="18"/>
      <c r="F163" s="61"/>
      <c r="G163" s="73"/>
      <c r="H163" s="79"/>
      <c r="I163" s="79"/>
      <c r="J163" s="14"/>
      <c r="K163" s="38"/>
      <c r="L163" s="38"/>
      <c r="M163" s="17"/>
    </row>
    <row r="164" spans="2:13" ht="14.45" customHeight="1" x14ac:dyDescent="0.25">
      <c r="B164" s="17"/>
      <c r="C164" s="14"/>
      <c r="D164" s="14"/>
      <c r="E164" s="18"/>
      <c r="F164" s="61"/>
      <c r="G164" s="73"/>
      <c r="H164" s="79"/>
      <c r="I164" s="79"/>
      <c r="J164" s="14"/>
      <c r="K164" s="38"/>
      <c r="L164" s="38"/>
      <c r="M164" s="17"/>
    </row>
    <row r="165" spans="2:13" ht="14.45" customHeight="1" x14ac:dyDescent="0.25">
      <c r="B165" s="17"/>
      <c r="C165" s="14"/>
      <c r="D165" s="14"/>
      <c r="E165" s="18"/>
      <c r="F165" s="61"/>
      <c r="G165" s="73"/>
      <c r="H165" s="79"/>
      <c r="I165" s="79"/>
      <c r="J165" s="14"/>
      <c r="K165" s="38"/>
      <c r="L165" s="38"/>
      <c r="M165" s="17"/>
    </row>
    <row r="166" spans="2:13" ht="14.45" customHeight="1" x14ac:dyDescent="0.25">
      <c r="B166" s="17"/>
      <c r="C166" s="14"/>
      <c r="D166" s="14"/>
      <c r="E166" s="18"/>
      <c r="F166" s="61"/>
      <c r="G166" s="73"/>
      <c r="H166" s="79"/>
      <c r="I166" s="79"/>
      <c r="J166" s="14"/>
      <c r="K166" s="38"/>
      <c r="L166" s="38"/>
      <c r="M166" s="17"/>
    </row>
    <row r="167" spans="2:13" ht="14.45" customHeight="1" x14ac:dyDescent="0.25">
      <c r="B167" s="17"/>
      <c r="C167" s="14"/>
      <c r="D167" s="14"/>
      <c r="E167" s="18"/>
      <c r="F167" s="61"/>
      <c r="G167" s="73"/>
      <c r="H167" s="79"/>
      <c r="I167" s="79"/>
      <c r="J167" s="14"/>
      <c r="K167" s="38"/>
      <c r="L167" s="38"/>
      <c r="M167" s="17"/>
    </row>
    <row r="168" spans="2:13" ht="14.45" customHeight="1" x14ac:dyDescent="0.25">
      <c r="B168" s="17"/>
      <c r="C168" s="14"/>
      <c r="D168" s="14"/>
      <c r="E168" s="18"/>
      <c r="F168" s="61"/>
      <c r="G168" s="73"/>
      <c r="H168" s="79"/>
      <c r="I168" s="79"/>
      <c r="J168" s="14"/>
      <c r="K168" s="38"/>
      <c r="L168" s="38"/>
      <c r="M168" s="17"/>
    </row>
    <row r="169" spans="2:13" ht="14.45" customHeight="1" x14ac:dyDescent="0.25">
      <c r="B169" s="17"/>
      <c r="C169" s="14"/>
      <c r="D169" s="14"/>
      <c r="E169" s="18"/>
      <c r="F169" s="61"/>
      <c r="G169" s="73"/>
      <c r="H169" s="79"/>
      <c r="I169" s="79"/>
      <c r="J169" s="14"/>
      <c r="K169" s="38"/>
      <c r="L169" s="38"/>
      <c r="M169" s="17"/>
    </row>
    <row r="170" spans="2:13" ht="14.45" customHeight="1" x14ac:dyDescent="0.25">
      <c r="B170" s="17"/>
      <c r="C170" s="14"/>
      <c r="D170" s="14"/>
      <c r="E170" s="18"/>
      <c r="F170" s="61"/>
      <c r="G170" s="73"/>
      <c r="H170" s="79"/>
      <c r="I170" s="79"/>
      <c r="J170" s="14"/>
      <c r="K170" s="38"/>
      <c r="L170" s="38"/>
      <c r="M170" s="17"/>
    </row>
    <row r="171" spans="2:13" ht="14.45" customHeight="1" x14ac:dyDescent="0.25">
      <c r="B171" s="17"/>
      <c r="C171" s="14"/>
      <c r="D171" s="14"/>
      <c r="E171" s="18"/>
      <c r="F171" s="61"/>
      <c r="G171" s="73"/>
      <c r="H171" s="79"/>
      <c r="I171" s="79"/>
      <c r="J171" s="14"/>
      <c r="K171" s="38"/>
      <c r="L171" s="38"/>
      <c r="M171" s="17"/>
    </row>
    <row r="172" spans="2:13" ht="14.45" customHeight="1" x14ac:dyDescent="0.25">
      <c r="B172" s="17"/>
      <c r="C172" s="14"/>
      <c r="D172" s="14"/>
      <c r="E172" s="18"/>
      <c r="F172" s="61"/>
      <c r="G172" s="73"/>
      <c r="H172" s="79"/>
      <c r="I172" s="79"/>
      <c r="J172" s="14"/>
      <c r="K172" s="38"/>
      <c r="L172" s="38"/>
      <c r="M172" s="17"/>
    </row>
    <row r="173" spans="2:13" ht="14.45" customHeight="1" x14ac:dyDescent="0.25">
      <c r="B173" s="17"/>
      <c r="C173" s="14"/>
      <c r="D173" s="14"/>
      <c r="E173" s="18"/>
      <c r="F173" s="61"/>
      <c r="G173" s="73"/>
      <c r="H173" s="79"/>
      <c r="I173" s="79"/>
      <c r="J173" s="14"/>
      <c r="K173" s="38"/>
      <c r="L173" s="38"/>
      <c r="M173" s="17"/>
    </row>
    <row r="174" spans="2:13" ht="14.45" customHeight="1" x14ac:dyDescent="0.25">
      <c r="B174" s="17"/>
      <c r="C174" s="14"/>
      <c r="D174" s="14"/>
      <c r="E174" s="18"/>
      <c r="F174" s="61"/>
      <c r="G174" s="73"/>
      <c r="H174" s="79"/>
      <c r="I174" s="79"/>
      <c r="J174" s="14"/>
      <c r="K174" s="38"/>
      <c r="L174" s="38"/>
      <c r="M174" s="17"/>
    </row>
    <row r="175" spans="2:13" ht="14.45" customHeight="1" x14ac:dyDescent="0.25">
      <c r="B175" s="17"/>
      <c r="C175" s="14"/>
      <c r="D175" s="14"/>
      <c r="E175" s="18"/>
      <c r="F175" s="61"/>
      <c r="G175" s="73"/>
      <c r="H175" s="79"/>
      <c r="I175" s="79"/>
      <c r="J175" s="14"/>
      <c r="K175" s="38"/>
      <c r="L175" s="38"/>
      <c r="M175" s="17"/>
    </row>
    <row r="176" spans="2:13" ht="14.45" customHeight="1" x14ac:dyDescent="0.25">
      <c r="B176" s="17"/>
      <c r="C176" s="14"/>
      <c r="D176" s="14"/>
      <c r="E176" s="18"/>
      <c r="F176" s="61"/>
      <c r="G176" s="73"/>
      <c r="H176" s="79"/>
      <c r="I176" s="79"/>
      <c r="J176" s="14"/>
      <c r="K176" s="38"/>
      <c r="L176" s="38"/>
      <c r="M176" s="17"/>
    </row>
    <row r="177" spans="2:13" ht="14.45" customHeight="1" x14ac:dyDescent="0.25">
      <c r="B177" s="17"/>
      <c r="C177" s="14"/>
      <c r="D177" s="14"/>
      <c r="E177" s="18"/>
      <c r="F177" s="61"/>
      <c r="G177" s="73"/>
      <c r="H177" s="79"/>
      <c r="I177" s="79"/>
      <c r="J177" s="14"/>
      <c r="K177" s="38"/>
      <c r="L177" s="38"/>
      <c r="M177" s="17"/>
    </row>
    <row r="178" spans="2:13" ht="14.45" customHeight="1" x14ac:dyDescent="0.25">
      <c r="B178" s="17"/>
      <c r="C178" s="14"/>
      <c r="D178" s="14"/>
      <c r="E178" s="18"/>
      <c r="F178" s="61"/>
      <c r="G178" s="73"/>
      <c r="H178" s="79"/>
      <c r="I178" s="79"/>
      <c r="J178" s="14"/>
      <c r="K178" s="38"/>
      <c r="L178" s="38"/>
      <c r="M178" s="17"/>
    </row>
    <row r="179" spans="2:13" ht="14.45" customHeight="1" x14ac:dyDescent="0.25">
      <c r="B179" s="17"/>
      <c r="C179" s="14"/>
      <c r="D179" s="14"/>
      <c r="E179" s="18"/>
      <c r="F179" s="61"/>
      <c r="G179" s="73"/>
      <c r="H179" s="79"/>
      <c r="I179" s="79"/>
      <c r="J179" s="14"/>
      <c r="K179" s="38"/>
      <c r="L179" s="38"/>
      <c r="M179" s="17"/>
    </row>
    <row r="180" spans="2:13" ht="14.45" customHeight="1" x14ac:dyDescent="0.25">
      <c r="B180" s="17"/>
      <c r="C180" s="14"/>
      <c r="D180" s="14"/>
      <c r="E180" s="18"/>
      <c r="F180" s="61"/>
      <c r="G180" s="73"/>
      <c r="H180" s="79"/>
      <c r="I180" s="79"/>
      <c r="J180" s="14"/>
      <c r="K180" s="38"/>
      <c r="L180" s="38"/>
      <c r="M180" s="17"/>
    </row>
    <row r="181" spans="2:13" ht="14.45" customHeight="1" x14ac:dyDescent="0.25">
      <c r="B181" s="17"/>
      <c r="C181" s="14"/>
      <c r="D181" s="14"/>
      <c r="E181" s="18"/>
      <c r="F181" s="61"/>
      <c r="G181" s="73"/>
      <c r="H181" s="79"/>
      <c r="I181" s="79"/>
      <c r="J181" s="14"/>
      <c r="K181" s="38"/>
      <c r="L181" s="38"/>
      <c r="M181" s="17"/>
    </row>
    <row r="182" spans="2:13" ht="14.45" customHeight="1" x14ac:dyDescent="0.25">
      <c r="B182" s="17"/>
      <c r="C182" s="14"/>
      <c r="D182" s="14"/>
      <c r="E182" s="18"/>
      <c r="F182" s="61"/>
      <c r="G182" s="73"/>
      <c r="H182" s="79"/>
      <c r="I182" s="79"/>
      <c r="J182" s="14"/>
      <c r="K182" s="38"/>
      <c r="L182" s="38"/>
      <c r="M182" s="17"/>
    </row>
    <row r="183" spans="2:13" ht="14.45" customHeight="1" x14ac:dyDescent="0.25">
      <c r="B183" s="17"/>
      <c r="C183" s="14"/>
      <c r="D183" s="14"/>
      <c r="E183" s="18"/>
      <c r="F183" s="61"/>
      <c r="G183" s="73"/>
      <c r="H183" s="79"/>
      <c r="I183" s="79"/>
      <c r="J183" s="14"/>
      <c r="K183" s="38"/>
      <c r="L183" s="38"/>
      <c r="M183" s="17"/>
    </row>
    <row r="184" spans="2:13" ht="14.45" customHeight="1" x14ac:dyDescent="0.25">
      <c r="B184" s="17"/>
      <c r="C184" s="14"/>
      <c r="D184" s="14"/>
      <c r="E184" s="18"/>
      <c r="F184" s="61"/>
      <c r="G184" s="73"/>
      <c r="H184" s="79"/>
      <c r="I184" s="79"/>
      <c r="J184" s="14"/>
      <c r="K184" s="38"/>
      <c r="L184" s="38"/>
      <c r="M184" s="17"/>
    </row>
    <row r="185" spans="2:13" ht="14.45" customHeight="1" x14ac:dyDescent="0.25">
      <c r="B185" s="17"/>
      <c r="C185" s="14"/>
      <c r="D185" s="14"/>
      <c r="E185" s="18"/>
      <c r="F185" s="61"/>
      <c r="G185" s="73"/>
      <c r="H185" s="79"/>
      <c r="I185" s="79"/>
      <c r="J185" s="14"/>
      <c r="K185" s="38"/>
      <c r="L185" s="38"/>
      <c r="M185" s="17"/>
    </row>
    <row r="186" spans="2:13" ht="14.45" customHeight="1" x14ac:dyDescent="0.25">
      <c r="B186" s="17"/>
      <c r="C186" s="14"/>
      <c r="D186" s="14"/>
      <c r="E186" s="18"/>
      <c r="F186" s="61"/>
      <c r="G186" s="73"/>
      <c r="H186" s="79"/>
      <c r="I186" s="79"/>
      <c r="J186" s="14"/>
      <c r="K186" s="38"/>
      <c r="L186" s="38"/>
      <c r="M186" s="17"/>
    </row>
    <row r="187" spans="2:13" ht="14.45" customHeight="1" x14ac:dyDescent="0.25">
      <c r="B187" s="17"/>
      <c r="C187" s="14"/>
      <c r="D187" s="14"/>
      <c r="E187" s="18"/>
      <c r="F187" s="61"/>
      <c r="G187" s="73"/>
      <c r="H187" s="79"/>
      <c r="I187" s="79"/>
      <c r="J187" s="14"/>
      <c r="K187" s="38"/>
      <c r="L187" s="38"/>
      <c r="M187" s="17"/>
    </row>
    <row r="188" spans="2:13" ht="14.45" customHeight="1" x14ac:dyDescent="0.25">
      <c r="B188" s="17"/>
      <c r="C188" s="14"/>
      <c r="D188" s="14"/>
      <c r="E188" s="18"/>
      <c r="F188" s="61"/>
      <c r="G188" s="73"/>
      <c r="H188" s="79"/>
      <c r="I188" s="79"/>
      <c r="J188" s="14"/>
      <c r="K188" s="38"/>
      <c r="L188" s="38"/>
      <c r="M188" s="17"/>
    </row>
    <row r="189" spans="2:13" ht="14.45" customHeight="1" x14ac:dyDescent="0.25">
      <c r="B189" s="17"/>
      <c r="C189" s="14"/>
      <c r="D189" s="14"/>
      <c r="E189" s="18"/>
      <c r="F189" s="61"/>
      <c r="G189" s="73"/>
      <c r="H189" s="79"/>
      <c r="I189" s="79"/>
      <c r="J189" s="14"/>
      <c r="K189" s="38"/>
      <c r="L189" s="38"/>
      <c r="M189" s="17"/>
    </row>
    <row r="190" spans="2:13" ht="14.45" customHeight="1" x14ac:dyDescent="0.25">
      <c r="B190" s="17"/>
      <c r="C190" s="14"/>
      <c r="D190" s="14"/>
      <c r="E190" s="18"/>
      <c r="F190" s="61"/>
      <c r="G190" s="73"/>
      <c r="H190" s="79"/>
      <c r="I190" s="79"/>
      <c r="J190" s="14"/>
      <c r="K190" s="38"/>
      <c r="L190" s="38"/>
      <c r="M190" s="17"/>
    </row>
    <row r="191" spans="2:13" ht="14.45" customHeight="1" x14ac:dyDescent="0.25">
      <c r="B191" s="17"/>
      <c r="C191" s="14"/>
      <c r="D191" s="14"/>
      <c r="E191" s="18"/>
      <c r="F191" s="61"/>
      <c r="G191" s="73"/>
      <c r="H191" s="79"/>
      <c r="I191" s="79"/>
      <c r="J191" s="14"/>
      <c r="K191" s="38"/>
      <c r="L191" s="38"/>
      <c r="M191" s="17"/>
    </row>
    <row r="192" spans="2:13" ht="14.45" customHeight="1" x14ac:dyDescent="0.25">
      <c r="B192" s="17"/>
      <c r="C192" s="14"/>
      <c r="D192" s="14"/>
      <c r="E192" s="18"/>
      <c r="F192" s="61"/>
      <c r="G192" s="73"/>
      <c r="H192" s="79"/>
      <c r="I192" s="79"/>
      <c r="J192" s="14"/>
      <c r="K192" s="38"/>
      <c r="L192" s="38"/>
      <c r="M192" s="17"/>
    </row>
    <row r="193" spans="2:13" ht="14.45" customHeight="1" x14ac:dyDescent="0.25">
      <c r="B193" s="17"/>
      <c r="C193" s="14"/>
      <c r="D193" s="14"/>
      <c r="E193" s="18"/>
      <c r="F193" s="61"/>
      <c r="G193" s="73"/>
      <c r="H193" s="79"/>
      <c r="I193" s="79"/>
      <c r="J193" s="14"/>
      <c r="K193" s="38"/>
      <c r="L193" s="38"/>
      <c r="M193" s="17"/>
    </row>
    <row r="194" spans="2:13" ht="14.45" customHeight="1" x14ac:dyDescent="0.25">
      <c r="B194" s="17"/>
      <c r="C194" s="14"/>
      <c r="D194" s="14"/>
      <c r="E194" s="18"/>
      <c r="F194" s="61"/>
      <c r="G194" s="73"/>
      <c r="H194" s="79"/>
      <c r="I194" s="79"/>
      <c r="J194" s="14"/>
      <c r="K194" s="38"/>
      <c r="L194" s="38"/>
      <c r="M194" s="17"/>
    </row>
    <row r="195" spans="2:13" ht="14.45" customHeight="1" x14ac:dyDescent="0.25">
      <c r="B195" s="17"/>
      <c r="C195" s="14"/>
      <c r="D195" s="14"/>
      <c r="E195" s="18"/>
      <c r="F195" s="61"/>
      <c r="G195" s="73"/>
      <c r="H195" s="79"/>
      <c r="I195" s="79"/>
      <c r="J195" s="14"/>
      <c r="K195" s="38"/>
      <c r="L195" s="38"/>
      <c r="M195" s="17"/>
    </row>
    <row r="196" spans="2:13" ht="14.45" customHeight="1" x14ac:dyDescent="0.25">
      <c r="B196" s="17"/>
      <c r="C196" s="14"/>
      <c r="D196" s="14"/>
      <c r="E196" s="18"/>
      <c r="F196" s="61"/>
      <c r="G196" s="73"/>
      <c r="H196" s="79"/>
      <c r="I196" s="79"/>
      <c r="J196" s="14"/>
      <c r="K196" s="38"/>
      <c r="L196" s="38"/>
      <c r="M196" s="17"/>
    </row>
    <row r="197" spans="2:13" ht="14.45" customHeight="1" x14ac:dyDescent="0.25">
      <c r="B197" s="17"/>
      <c r="C197" s="14"/>
      <c r="D197" s="14"/>
      <c r="E197" s="18"/>
      <c r="F197" s="61"/>
      <c r="G197" s="73"/>
      <c r="H197" s="79"/>
      <c r="I197" s="79"/>
      <c r="J197" s="14"/>
      <c r="K197" s="38"/>
      <c r="L197" s="38"/>
      <c r="M197" s="17"/>
    </row>
    <row r="198" spans="2:13" ht="14.45" customHeight="1" x14ac:dyDescent="0.25">
      <c r="B198" s="17"/>
      <c r="C198" s="14"/>
      <c r="D198" s="14"/>
      <c r="E198" s="18"/>
      <c r="F198" s="61"/>
      <c r="G198" s="73"/>
      <c r="H198" s="79"/>
      <c r="I198" s="79"/>
      <c r="J198" s="14"/>
      <c r="K198" s="38"/>
      <c r="L198" s="38"/>
      <c r="M198" s="17"/>
    </row>
    <row r="199" spans="2:13" ht="14.45" customHeight="1" x14ac:dyDescent="0.25">
      <c r="B199" s="17"/>
      <c r="C199" s="14"/>
      <c r="D199" s="14"/>
      <c r="E199" s="18"/>
      <c r="F199" s="61"/>
      <c r="G199" s="73"/>
      <c r="H199" s="79"/>
      <c r="I199" s="79"/>
      <c r="J199" s="14"/>
      <c r="K199" s="38"/>
      <c r="L199" s="38"/>
      <c r="M199" s="17"/>
    </row>
    <row r="200" spans="2:13" ht="14.45" customHeight="1" x14ac:dyDescent="0.25">
      <c r="B200" s="17"/>
      <c r="C200" s="14"/>
      <c r="D200" s="14"/>
      <c r="E200" s="18"/>
      <c r="F200" s="61"/>
      <c r="G200" s="73"/>
      <c r="H200" s="79"/>
      <c r="I200" s="79"/>
      <c r="J200" s="14"/>
      <c r="K200" s="38"/>
      <c r="L200" s="38"/>
      <c r="M200" s="17"/>
    </row>
    <row r="201" spans="2:13" ht="14.45" customHeight="1" x14ac:dyDescent="0.25">
      <c r="B201" s="17"/>
      <c r="C201" s="14"/>
      <c r="D201" s="14"/>
      <c r="E201" s="18"/>
      <c r="F201" s="61"/>
      <c r="G201" s="73"/>
      <c r="H201" s="79"/>
      <c r="I201" s="79"/>
      <c r="J201" s="14"/>
      <c r="K201" s="38"/>
      <c r="L201" s="38"/>
      <c r="M201" s="17"/>
    </row>
    <row r="202" spans="2:13" ht="14.45" customHeight="1" x14ac:dyDescent="0.25">
      <c r="B202" s="17"/>
      <c r="C202" s="14"/>
      <c r="D202" s="14"/>
      <c r="E202" s="18"/>
      <c r="F202" s="61"/>
      <c r="G202" s="73"/>
      <c r="H202" s="79"/>
      <c r="I202" s="79"/>
      <c r="J202" s="14"/>
      <c r="K202" s="38"/>
      <c r="L202" s="38"/>
      <c r="M202" s="17"/>
    </row>
    <row r="203" spans="2:13" ht="14.45" customHeight="1" x14ac:dyDescent="0.25">
      <c r="B203" s="17"/>
      <c r="C203" s="14"/>
      <c r="D203" s="14"/>
      <c r="E203" s="18"/>
      <c r="F203" s="61"/>
      <c r="G203" s="73"/>
      <c r="H203" s="79"/>
      <c r="I203" s="79"/>
      <c r="J203" s="14"/>
      <c r="K203" s="38"/>
      <c r="L203" s="38"/>
      <c r="M203" s="17"/>
    </row>
    <row r="204" spans="2:13" ht="14.45" customHeight="1" x14ac:dyDescent="0.25">
      <c r="B204" s="17"/>
      <c r="C204" s="14"/>
      <c r="D204" s="14"/>
      <c r="E204" s="18"/>
      <c r="F204" s="61"/>
      <c r="G204" s="73"/>
      <c r="H204" s="79"/>
      <c r="I204" s="79"/>
      <c r="J204" s="14"/>
      <c r="K204" s="38"/>
      <c r="L204" s="38"/>
      <c r="M204" s="17"/>
    </row>
    <row r="205" spans="2:13" ht="14.45" customHeight="1" x14ac:dyDescent="0.25">
      <c r="B205" s="17"/>
      <c r="C205" s="14"/>
      <c r="D205" s="14"/>
      <c r="E205" s="18"/>
      <c r="F205" s="61"/>
      <c r="G205" s="73"/>
      <c r="H205" s="79"/>
      <c r="I205" s="79"/>
      <c r="J205" s="14"/>
      <c r="K205" s="38"/>
      <c r="L205" s="38"/>
      <c r="M205" s="17"/>
    </row>
    <row r="206" spans="2:13" ht="14.45" customHeight="1" x14ac:dyDescent="0.25">
      <c r="B206" s="17"/>
      <c r="C206" s="14"/>
      <c r="D206" s="14"/>
      <c r="E206" s="18"/>
      <c r="F206" s="61"/>
      <c r="G206" s="73"/>
      <c r="H206" s="79"/>
      <c r="I206" s="79"/>
      <c r="J206" s="14"/>
      <c r="K206" s="38"/>
      <c r="L206" s="38"/>
      <c r="M206" s="17"/>
    </row>
    <row r="207" spans="2:13" ht="14.45" customHeight="1" x14ac:dyDescent="0.25">
      <c r="B207" s="17"/>
      <c r="C207" s="14"/>
      <c r="D207" s="14"/>
      <c r="E207" s="18"/>
      <c r="F207" s="61"/>
      <c r="G207" s="73"/>
      <c r="H207" s="79"/>
      <c r="I207" s="79"/>
      <c r="J207" s="14"/>
      <c r="K207" s="38"/>
      <c r="L207" s="38"/>
      <c r="M207" s="17"/>
    </row>
    <row r="208" spans="2:13" ht="14.45" customHeight="1" x14ac:dyDescent="0.25">
      <c r="B208" s="17"/>
      <c r="C208" s="14"/>
      <c r="D208" s="14"/>
      <c r="E208" s="18"/>
      <c r="F208" s="61"/>
      <c r="G208" s="73"/>
      <c r="H208" s="79"/>
      <c r="I208" s="79"/>
      <c r="J208" s="14"/>
      <c r="K208" s="38"/>
      <c r="L208" s="38"/>
      <c r="M208" s="17"/>
    </row>
    <row r="209" spans="2:13" ht="14.45" customHeight="1" x14ac:dyDescent="0.25">
      <c r="B209" s="17"/>
      <c r="C209" s="14"/>
      <c r="D209" s="14"/>
      <c r="E209" s="18"/>
      <c r="F209" s="61"/>
      <c r="G209" s="73"/>
      <c r="H209" s="79"/>
      <c r="I209" s="79"/>
      <c r="J209" s="14"/>
      <c r="K209" s="38"/>
      <c r="L209" s="38"/>
      <c r="M209" s="17"/>
    </row>
    <row r="210" spans="2:13" ht="14.45" customHeight="1" x14ac:dyDescent="0.25">
      <c r="B210" s="17"/>
      <c r="C210" s="14"/>
      <c r="D210" s="14"/>
      <c r="E210" s="18"/>
      <c r="F210" s="61"/>
      <c r="G210" s="73"/>
      <c r="H210" s="79"/>
      <c r="I210" s="79"/>
      <c r="J210" s="14"/>
      <c r="K210" s="38"/>
      <c r="L210" s="38"/>
      <c r="M210" s="17"/>
    </row>
    <row r="211" spans="2:13" ht="14.45" customHeight="1" x14ac:dyDescent="0.25">
      <c r="B211" s="17"/>
      <c r="C211" s="14"/>
      <c r="D211" s="14"/>
      <c r="E211" s="18"/>
      <c r="F211" s="61"/>
      <c r="G211" s="73"/>
      <c r="H211" s="79"/>
      <c r="I211" s="79"/>
      <c r="J211" s="14"/>
      <c r="K211" s="38"/>
      <c r="L211" s="38"/>
      <c r="M211" s="17"/>
    </row>
    <row r="212" spans="2:13" ht="14.45" customHeight="1" x14ac:dyDescent="0.25">
      <c r="B212" s="17"/>
      <c r="C212" s="14"/>
      <c r="D212" s="14"/>
      <c r="E212" s="18"/>
      <c r="F212" s="61"/>
      <c r="G212" s="73"/>
      <c r="H212" s="79"/>
      <c r="I212" s="79"/>
      <c r="J212" s="14"/>
      <c r="K212" s="38"/>
      <c r="L212" s="38"/>
      <c r="M212" s="17"/>
    </row>
    <row r="213" spans="2:13" ht="14.45" customHeight="1" x14ac:dyDescent="0.25">
      <c r="B213" s="17"/>
      <c r="C213" s="14"/>
      <c r="D213" s="14"/>
      <c r="E213" s="18"/>
      <c r="F213" s="61"/>
      <c r="G213" s="73"/>
      <c r="H213" s="79"/>
      <c r="I213" s="79"/>
      <c r="J213" s="14"/>
      <c r="K213" s="38"/>
      <c r="L213" s="38"/>
      <c r="M213" s="17"/>
    </row>
    <row r="214" spans="2:13" ht="14.45" customHeight="1" x14ac:dyDescent="0.25">
      <c r="B214" s="17"/>
      <c r="C214" s="14"/>
      <c r="D214" s="14"/>
      <c r="E214" s="18"/>
      <c r="F214" s="61"/>
      <c r="G214" s="73"/>
      <c r="H214" s="79"/>
      <c r="I214" s="79"/>
      <c r="J214" s="14"/>
      <c r="K214" s="38"/>
      <c r="L214" s="38"/>
      <c r="M214" s="17"/>
    </row>
    <row r="215" spans="2:13" ht="14.45" customHeight="1" x14ac:dyDescent="0.25">
      <c r="B215" s="17"/>
      <c r="C215" s="14"/>
      <c r="D215" s="14"/>
      <c r="E215" s="18"/>
      <c r="F215" s="61"/>
      <c r="G215" s="73"/>
      <c r="H215" s="79"/>
      <c r="I215" s="79"/>
      <c r="J215" s="14"/>
      <c r="K215" s="38"/>
      <c r="L215" s="38"/>
      <c r="M215" s="17"/>
    </row>
    <row r="216" spans="2:13" ht="14.45" customHeight="1" x14ac:dyDescent="0.25">
      <c r="B216" s="17"/>
      <c r="C216" s="14"/>
      <c r="D216" s="14"/>
      <c r="E216" s="18"/>
      <c r="F216" s="61"/>
      <c r="G216" s="73"/>
      <c r="H216" s="79"/>
      <c r="I216" s="79"/>
      <c r="J216" s="14"/>
      <c r="K216" s="38"/>
      <c r="L216" s="38"/>
      <c r="M216" s="17"/>
    </row>
    <row r="217" spans="2:13" ht="14.45" customHeight="1" x14ac:dyDescent="0.25">
      <c r="B217" s="17"/>
      <c r="C217" s="14"/>
      <c r="D217" s="14"/>
      <c r="E217" s="18"/>
      <c r="F217" s="61"/>
      <c r="G217" s="73"/>
      <c r="H217" s="79"/>
      <c r="I217" s="79"/>
      <c r="J217" s="14"/>
      <c r="K217" s="38"/>
      <c r="L217" s="38"/>
      <c r="M217" s="17"/>
    </row>
    <row r="218" spans="2:13" ht="14.45" customHeight="1" x14ac:dyDescent="0.25">
      <c r="B218" s="17"/>
      <c r="C218" s="14"/>
      <c r="D218" s="14"/>
      <c r="E218" s="18"/>
      <c r="F218" s="61"/>
      <c r="G218" s="73"/>
      <c r="H218" s="79"/>
      <c r="I218" s="79"/>
      <c r="J218" s="14"/>
      <c r="K218" s="38"/>
      <c r="L218" s="38"/>
      <c r="M218" s="17"/>
    </row>
    <row r="219" spans="2:13" ht="14.45" customHeight="1" x14ac:dyDescent="0.25">
      <c r="B219" s="17"/>
      <c r="C219" s="14"/>
      <c r="D219" s="14"/>
      <c r="E219" s="18"/>
      <c r="F219" s="61"/>
      <c r="G219" s="73"/>
      <c r="H219" s="79"/>
      <c r="I219" s="79"/>
      <c r="J219" s="14"/>
      <c r="K219" s="38"/>
      <c r="L219" s="38"/>
      <c r="M219" s="17"/>
    </row>
    <row r="220" spans="2:13" ht="14.45" customHeight="1" x14ac:dyDescent="0.25">
      <c r="B220" s="17"/>
      <c r="C220" s="14"/>
      <c r="D220" s="14"/>
      <c r="E220" s="18"/>
      <c r="F220" s="61"/>
      <c r="G220" s="73"/>
      <c r="H220" s="79"/>
      <c r="I220" s="79"/>
      <c r="J220" s="14"/>
      <c r="K220" s="38"/>
      <c r="L220" s="38"/>
      <c r="M220" s="17"/>
    </row>
    <row r="221" spans="2:13" ht="14.45" customHeight="1" x14ac:dyDescent="0.25">
      <c r="B221" s="17"/>
      <c r="C221" s="14"/>
      <c r="D221" s="14"/>
      <c r="E221" s="18"/>
      <c r="F221" s="61"/>
      <c r="G221" s="73"/>
      <c r="H221" s="79"/>
      <c r="I221" s="79"/>
      <c r="J221" s="14"/>
      <c r="K221" s="38"/>
      <c r="L221" s="38"/>
      <c r="M221" s="17"/>
    </row>
    <row r="222" spans="2:13" ht="14.45" customHeight="1" x14ac:dyDescent="0.25">
      <c r="B222" s="17"/>
      <c r="C222" s="14"/>
      <c r="D222" s="14"/>
      <c r="E222" s="18"/>
      <c r="F222" s="61"/>
      <c r="G222" s="73"/>
      <c r="H222" s="79"/>
      <c r="I222" s="79"/>
      <c r="J222" s="14"/>
      <c r="K222" s="38"/>
      <c r="L222" s="38"/>
      <c r="M222" s="17"/>
    </row>
    <row r="223" spans="2:13" ht="14.45" customHeight="1" x14ac:dyDescent="0.25">
      <c r="B223" s="17"/>
      <c r="C223" s="14"/>
      <c r="D223" s="14"/>
      <c r="E223" s="18"/>
      <c r="F223" s="61"/>
      <c r="G223" s="73"/>
      <c r="H223" s="79"/>
      <c r="I223" s="79"/>
      <c r="J223" s="14"/>
      <c r="K223" s="38"/>
      <c r="L223" s="38"/>
      <c r="M223" s="17"/>
    </row>
    <row r="224" spans="2:13" ht="14.45" customHeight="1" x14ac:dyDescent="0.25">
      <c r="B224" s="17"/>
      <c r="C224" s="14"/>
      <c r="D224" s="14"/>
      <c r="E224" s="18"/>
      <c r="F224" s="61"/>
      <c r="G224" s="73"/>
      <c r="H224" s="79"/>
      <c r="I224" s="79"/>
      <c r="J224" s="14"/>
      <c r="K224" s="38"/>
      <c r="L224" s="38"/>
      <c r="M224" s="17"/>
    </row>
    <row r="225" spans="2:13" ht="14.45" customHeight="1" x14ac:dyDescent="0.25">
      <c r="B225" s="17"/>
      <c r="C225" s="14"/>
      <c r="D225" s="14"/>
      <c r="E225" s="18"/>
      <c r="F225" s="61"/>
      <c r="G225" s="73"/>
      <c r="H225" s="79"/>
      <c r="I225" s="79"/>
      <c r="J225" s="14"/>
      <c r="K225" s="38"/>
      <c r="L225" s="38"/>
      <c r="M225" s="17"/>
    </row>
    <row r="226" spans="2:13" ht="14.45" customHeight="1" x14ac:dyDescent="0.25">
      <c r="B226" s="17"/>
      <c r="C226" s="14"/>
      <c r="D226" s="14"/>
      <c r="E226" s="18"/>
      <c r="F226" s="61"/>
      <c r="G226" s="73"/>
      <c r="H226" s="79"/>
      <c r="I226" s="79"/>
      <c r="J226" s="14"/>
      <c r="K226" s="38"/>
      <c r="L226" s="38"/>
      <c r="M226" s="17"/>
    </row>
    <row r="227" spans="2:13" ht="14.45" customHeight="1" x14ac:dyDescent="0.25">
      <c r="B227" s="17"/>
      <c r="C227" s="14"/>
      <c r="D227" s="14"/>
      <c r="E227" s="18"/>
      <c r="F227" s="61"/>
      <c r="G227" s="73"/>
      <c r="H227" s="79"/>
      <c r="I227" s="79"/>
      <c r="J227" s="14"/>
      <c r="K227" s="38"/>
      <c r="L227" s="38"/>
      <c r="M227" s="17"/>
    </row>
    <row r="228" spans="2:13" ht="14.45" customHeight="1" x14ac:dyDescent="0.25">
      <c r="B228" s="17"/>
      <c r="C228" s="14"/>
      <c r="D228" s="14"/>
      <c r="E228" s="18"/>
      <c r="F228" s="61"/>
      <c r="G228" s="73"/>
      <c r="H228" s="79"/>
      <c r="I228" s="79"/>
      <c r="J228" s="14"/>
      <c r="K228" s="38"/>
      <c r="L228" s="38"/>
      <c r="M228" s="17"/>
    </row>
    <row r="229" spans="2:13" ht="14.45" customHeight="1" x14ac:dyDescent="0.25">
      <c r="B229" s="17"/>
      <c r="C229" s="14"/>
      <c r="D229" s="14"/>
      <c r="E229" s="18"/>
      <c r="F229" s="61"/>
      <c r="G229" s="73"/>
      <c r="H229" s="79"/>
      <c r="I229" s="79"/>
      <c r="J229" s="14"/>
      <c r="K229" s="38"/>
      <c r="L229" s="38"/>
      <c r="M229" s="17"/>
    </row>
    <row r="230" spans="2:13" ht="14.45" customHeight="1" x14ac:dyDescent="0.25">
      <c r="B230" s="17"/>
      <c r="C230" s="14"/>
      <c r="D230" s="14"/>
      <c r="E230" s="18"/>
      <c r="F230" s="61"/>
      <c r="G230" s="73"/>
      <c r="H230" s="79"/>
      <c r="I230" s="79"/>
      <c r="J230" s="14"/>
      <c r="K230" s="38"/>
      <c r="L230" s="38"/>
      <c r="M230" s="17"/>
    </row>
    <row r="231" spans="2:13" ht="14.45" customHeight="1" x14ac:dyDescent="0.25">
      <c r="B231" s="17"/>
      <c r="C231" s="14"/>
      <c r="D231" s="14"/>
      <c r="E231" s="18"/>
      <c r="F231" s="61"/>
      <c r="G231" s="73"/>
      <c r="H231" s="79"/>
      <c r="I231" s="79"/>
      <c r="J231" s="14"/>
      <c r="K231" s="38"/>
      <c r="L231" s="38"/>
      <c r="M231" s="17"/>
    </row>
    <row r="232" spans="2:13" ht="14.45" customHeight="1" x14ac:dyDescent="0.25">
      <c r="B232" s="17"/>
      <c r="C232" s="14"/>
      <c r="D232" s="14"/>
      <c r="E232" s="18"/>
      <c r="F232" s="61"/>
      <c r="G232" s="73"/>
      <c r="H232" s="79"/>
      <c r="I232" s="79"/>
      <c r="J232" s="14"/>
      <c r="K232" s="38"/>
      <c r="L232" s="38"/>
      <c r="M232" s="17"/>
    </row>
    <row r="233" spans="2:13" ht="14.45" customHeight="1" x14ac:dyDescent="0.25">
      <c r="B233" s="17"/>
      <c r="C233" s="14"/>
      <c r="D233" s="14"/>
      <c r="E233" s="18"/>
      <c r="F233" s="61"/>
      <c r="G233" s="73"/>
      <c r="H233" s="79"/>
      <c r="I233" s="79"/>
      <c r="J233" s="14"/>
      <c r="K233" s="38"/>
      <c r="L233" s="38"/>
      <c r="M233" s="17"/>
    </row>
    <row r="234" spans="2:13" ht="14.45" customHeight="1" x14ac:dyDescent="0.25">
      <c r="B234" s="17"/>
      <c r="C234" s="14"/>
      <c r="D234" s="14"/>
      <c r="E234" s="18"/>
      <c r="F234" s="61"/>
      <c r="G234" s="73"/>
      <c r="H234" s="79"/>
      <c r="I234" s="79"/>
      <c r="J234" s="14"/>
      <c r="K234" s="38"/>
      <c r="L234" s="38"/>
      <c r="M234" s="17"/>
    </row>
    <row r="235" spans="2:13" ht="14.45" customHeight="1" x14ac:dyDescent="0.25">
      <c r="B235" s="17"/>
      <c r="C235" s="14"/>
      <c r="D235" s="14"/>
      <c r="E235" s="18"/>
      <c r="F235" s="61"/>
      <c r="G235" s="73"/>
      <c r="H235" s="79"/>
      <c r="I235" s="79"/>
      <c r="J235" s="14"/>
      <c r="K235" s="38"/>
      <c r="L235" s="38"/>
      <c r="M235" s="17"/>
    </row>
    <row r="236" spans="2:13" ht="14.45" customHeight="1" x14ac:dyDescent="0.25">
      <c r="B236" s="17"/>
      <c r="C236" s="14"/>
      <c r="D236" s="14"/>
      <c r="E236" s="18"/>
      <c r="F236" s="61"/>
      <c r="G236" s="73"/>
      <c r="H236" s="79"/>
      <c r="I236" s="79"/>
      <c r="J236" s="14"/>
      <c r="K236" s="38"/>
      <c r="L236" s="38"/>
      <c r="M236" s="17"/>
    </row>
    <row r="237" spans="2:13" ht="14.45" customHeight="1" x14ac:dyDescent="0.25">
      <c r="B237" s="17"/>
      <c r="C237" s="14"/>
      <c r="D237" s="14"/>
      <c r="E237" s="18"/>
      <c r="F237" s="61"/>
      <c r="G237" s="73"/>
      <c r="H237" s="79"/>
      <c r="I237" s="79"/>
      <c r="J237" s="14"/>
      <c r="K237" s="38"/>
      <c r="L237" s="38"/>
      <c r="M237" s="17"/>
    </row>
    <row r="238" spans="2:13" ht="14.45" customHeight="1" x14ac:dyDescent="0.25">
      <c r="B238" s="17"/>
      <c r="C238" s="14"/>
      <c r="D238" s="14"/>
      <c r="E238" s="18"/>
      <c r="F238" s="61"/>
      <c r="G238" s="73"/>
      <c r="H238" s="79"/>
      <c r="I238" s="79"/>
      <c r="J238" s="14"/>
      <c r="K238" s="38"/>
      <c r="L238" s="38"/>
      <c r="M238" s="17"/>
    </row>
    <row r="239" spans="2:13" ht="14.45" customHeight="1" x14ac:dyDescent="0.25">
      <c r="B239" s="17"/>
      <c r="C239" s="14"/>
      <c r="D239" s="14"/>
      <c r="E239" s="18"/>
      <c r="F239" s="61"/>
      <c r="G239" s="73"/>
      <c r="H239" s="79"/>
      <c r="I239" s="79"/>
      <c r="J239" s="14"/>
      <c r="K239" s="38"/>
      <c r="L239" s="38"/>
      <c r="M239" s="17"/>
    </row>
    <row r="240" spans="2:13" ht="14.45" customHeight="1" x14ac:dyDescent="0.25">
      <c r="B240" s="17"/>
      <c r="C240" s="14"/>
      <c r="D240" s="14"/>
      <c r="E240" s="18"/>
      <c r="F240" s="61"/>
      <c r="G240" s="73"/>
      <c r="H240" s="79"/>
      <c r="I240" s="79"/>
      <c r="J240" s="14"/>
      <c r="K240" s="38"/>
      <c r="L240" s="38"/>
      <c r="M240" s="17"/>
    </row>
    <row r="241" spans="2:13" ht="14.45" customHeight="1" x14ac:dyDescent="0.25">
      <c r="B241" s="17"/>
      <c r="C241" s="14"/>
      <c r="D241" s="14"/>
      <c r="E241" s="18"/>
      <c r="F241" s="61"/>
      <c r="G241" s="73"/>
      <c r="H241" s="79"/>
      <c r="I241" s="79"/>
      <c r="J241" s="14"/>
      <c r="K241" s="38"/>
      <c r="L241" s="38"/>
      <c r="M241" s="17"/>
    </row>
    <row r="242" spans="2:13" ht="14.45" customHeight="1" x14ac:dyDescent="0.25">
      <c r="B242" s="17"/>
      <c r="C242" s="14"/>
      <c r="D242" s="14"/>
      <c r="E242" s="18"/>
      <c r="F242" s="61"/>
      <c r="G242" s="73"/>
      <c r="H242" s="79"/>
      <c r="I242" s="79"/>
      <c r="J242" s="14"/>
      <c r="K242" s="38"/>
      <c r="L242" s="38"/>
      <c r="M242" s="17"/>
    </row>
    <row r="243" spans="2:13" ht="14.45" customHeight="1" x14ac:dyDescent="0.25">
      <c r="B243" s="17"/>
      <c r="C243" s="14"/>
      <c r="D243" s="14"/>
      <c r="E243" s="18"/>
      <c r="F243" s="61"/>
      <c r="G243" s="73"/>
      <c r="H243" s="79"/>
      <c r="I243" s="79"/>
      <c r="J243" s="14"/>
      <c r="K243" s="38"/>
      <c r="L243" s="38"/>
      <c r="M243" s="17"/>
    </row>
    <row r="244" spans="2:13" ht="14.45" customHeight="1" x14ac:dyDescent="0.25">
      <c r="B244" s="17"/>
      <c r="C244" s="14"/>
      <c r="D244" s="14"/>
      <c r="E244" s="18"/>
      <c r="F244" s="61"/>
      <c r="G244" s="73"/>
      <c r="H244" s="79"/>
      <c r="I244" s="79"/>
      <c r="J244" s="14"/>
      <c r="K244" s="38"/>
      <c r="L244" s="38"/>
      <c r="M244" s="17"/>
    </row>
    <row r="245" spans="2:13" ht="14.45" customHeight="1" x14ac:dyDescent="0.25">
      <c r="B245" s="17"/>
      <c r="C245" s="14"/>
      <c r="D245" s="14"/>
      <c r="E245" s="18"/>
      <c r="F245" s="61"/>
      <c r="G245" s="73"/>
      <c r="H245" s="79"/>
      <c r="I245" s="79"/>
      <c r="J245" s="14"/>
      <c r="K245" s="38"/>
      <c r="L245" s="38"/>
      <c r="M245" s="17"/>
    </row>
    <row r="246" spans="2:13" ht="14.45" customHeight="1" x14ac:dyDescent="0.25">
      <c r="B246" s="17"/>
      <c r="C246" s="14"/>
      <c r="D246" s="14"/>
      <c r="E246" s="18"/>
      <c r="F246" s="61"/>
      <c r="G246" s="73"/>
      <c r="H246" s="79"/>
      <c r="I246" s="79"/>
      <c r="J246" s="14"/>
      <c r="K246" s="38"/>
      <c r="L246" s="38"/>
      <c r="M246" s="17"/>
    </row>
    <row r="247" spans="2:13" ht="14.45" customHeight="1" x14ac:dyDescent="0.25">
      <c r="B247" s="17"/>
      <c r="C247" s="14"/>
      <c r="D247" s="14"/>
      <c r="E247" s="18"/>
      <c r="F247" s="61"/>
      <c r="G247" s="73"/>
      <c r="H247" s="79"/>
      <c r="I247" s="79"/>
      <c r="J247" s="14"/>
      <c r="K247" s="38"/>
      <c r="L247" s="38"/>
      <c r="M247" s="17"/>
    </row>
    <row r="248" spans="2:13" ht="14.45" customHeight="1" x14ac:dyDescent="0.25">
      <c r="B248" s="17"/>
      <c r="C248" s="14"/>
      <c r="D248" s="14"/>
      <c r="E248" s="18"/>
      <c r="F248" s="61"/>
      <c r="G248" s="73"/>
      <c r="H248" s="79"/>
      <c r="I248" s="79"/>
      <c r="J248" s="14"/>
      <c r="K248" s="38"/>
      <c r="L248" s="38"/>
      <c r="M248" s="17"/>
    </row>
    <row r="249" spans="2:13" ht="14.45" customHeight="1" x14ac:dyDescent="0.25">
      <c r="B249" s="17"/>
      <c r="C249" s="14"/>
      <c r="D249" s="14"/>
      <c r="E249" s="18"/>
      <c r="F249" s="61"/>
      <c r="G249" s="73"/>
      <c r="H249" s="79"/>
      <c r="I249" s="79"/>
      <c r="J249" s="14"/>
      <c r="K249" s="38"/>
      <c r="L249" s="38"/>
      <c r="M249" s="17"/>
    </row>
    <row r="250" spans="2:13" ht="14.45" customHeight="1" x14ac:dyDescent="0.25">
      <c r="B250" s="17"/>
      <c r="C250" s="14"/>
      <c r="D250" s="14"/>
      <c r="E250" s="18"/>
      <c r="F250" s="61"/>
      <c r="G250" s="73"/>
      <c r="H250" s="79"/>
      <c r="I250" s="79"/>
      <c r="J250" s="14"/>
      <c r="K250" s="38"/>
      <c r="L250" s="38"/>
      <c r="M250" s="17"/>
    </row>
    <row r="251" spans="2:13" ht="14.45" customHeight="1" x14ac:dyDescent="0.25">
      <c r="B251" s="17"/>
      <c r="C251" s="14"/>
      <c r="D251" s="14"/>
      <c r="E251" s="18"/>
      <c r="F251" s="61"/>
      <c r="G251" s="73"/>
      <c r="H251" s="79"/>
      <c r="I251" s="79"/>
      <c r="J251" s="14"/>
      <c r="K251" s="38"/>
      <c r="L251" s="38"/>
      <c r="M251" s="17"/>
    </row>
    <row r="252" spans="2:13" ht="14.45" customHeight="1" x14ac:dyDescent="0.25">
      <c r="B252" s="17"/>
      <c r="C252" s="14"/>
      <c r="D252" s="14"/>
      <c r="E252" s="18"/>
      <c r="F252" s="61"/>
      <c r="G252" s="73"/>
      <c r="H252" s="79"/>
      <c r="I252" s="79"/>
      <c r="J252" s="14"/>
      <c r="K252" s="38"/>
      <c r="L252" s="38"/>
      <c r="M252" s="17"/>
    </row>
    <row r="253" spans="2:13" ht="14.45" customHeight="1" x14ac:dyDescent="0.25">
      <c r="B253" s="17"/>
      <c r="C253" s="14"/>
      <c r="D253" s="14"/>
      <c r="E253" s="18"/>
      <c r="F253" s="61"/>
      <c r="G253" s="73"/>
      <c r="H253" s="79"/>
      <c r="I253" s="79"/>
      <c r="J253" s="14"/>
      <c r="K253" s="38"/>
      <c r="L253" s="38"/>
      <c r="M253" s="17"/>
    </row>
    <row r="254" spans="2:13" ht="14.45" customHeight="1" x14ac:dyDescent="0.25">
      <c r="B254" s="17"/>
      <c r="C254" s="14"/>
      <c r="D254" s="14"/>
      <c r="E254" s="18"/>
      <c r="F254" s="61"/>
      <c r="G254" s="73"/>
      <c r="H254" s="79"/>
      <c r="I254" s="79"/>
      <c r="J254" s="14"/>
      <c r="K254" s="38"/>
      <c r="L254" s="38"/>
      <c r="M254" s="17"/>
    </row>
    <row r="255" spans="2:13" ht="14.45" customHeight="1" x14ac:dyDescent="0.25">
      <c r="B255" s="17"/>
      <c r="C255" s="14"/>
      <c r="D255" s="14"/>
      <c r="E255" s="18"/>
      <c r="F255" s="61"/>
      <c r="G255" s="73"/>
      <c r="H255" s="79"/>
      <c r="I255" s="79"/>
      <c r="J255" s="14"/>
      <c r="K255" s="38"/>
      <c r="L255" s="38"/>
      <c r="M255" s="17"/>
    </row>
    <row r="256" spans="2:13" ht="14.45" customHeight="1" x14ac:dyDescent="0.25">
      <c r="B256" s="17"/>
      <c r="C256" s="14"/>
      <c r="D256" s="14"/>
      <c r="E256" s="18"/>
      <c r="F256" s="61"/>
      <c r="G256" s="73"/>
      <c r="H256" s="79"/>
      <c r="I256" s="79"/>
      <c r="J256" s="14"/>
      <c r="K256" s="38"/>
      <c r="L256" s="38"/>
      <c r="M256" s="17"/>
    </row>
    <row r="257" spans="2:13" ht="14.45" customHeight="1" x14ac:dyDescent="0.25">
      <c r="B257" s="17"/>
      <c r="C257" s="14"/>
      <c r="D257" s="14"/>
      <c r="E257" s="18"/>
      <c r="F257" s="61"/>
      <c r="G257" s="73"/>
      <c r="H257" s="79"/>
      <c r="I257" s="79"/>
      <c r="J257" s="14"/>
      <c r="K257" s="38"/>
      <c r="L257" s="38"/>
      <c r="M257" s="17"/>
    </row>
    <row r="258" spans="2:13" ht="14.45" customHeight="1" x14ac:dyDescent="0.25">
      <c r="B258" s="17"/>
      <c r="C258" s="14"/>
      <c r="D258" s="14"/>
      <c r="E258" s="18"/>
      <c r="F258" s="61"/>
      <c r="G258" s="73"/>
      <c r="H258" s="79"/>
      <c r="I258" s="79"/>
      <c r="J258" s="14"/>
      <c r="K258" s="38"/>
      <c r="L258" s="38"/>
      <c r="M258" s="17"/>
    </row>
    <row r="259" spans="2:13" ht="14.45" customHeight="1" x14ac:dyDescent="0.25">
      <c r="B259" s="17"/>
      <c r="C259" s="14"/>
      <c r="D259" s="14"/>
      <c r="E259" s="18"/>
      <c r="F259" s="61"/>
      <c r="G259" s="73"/>
      <c r="H259" s="79"/>
      <c r="I259" s="79"/>
      <c r="J259" s="14"/>
      <c r="K259" s="38"/>
      <c r="L259" s="38"/>
      <c r="M259" s="17"/>
    </row>
    <row r="260" spans="2:13" ht="14.45" customHeight="1" x14ac:dyDescent="0.25">
      <c r="B260" s="17"/>
      <c r="C260" s="14"/>
      <c r="D260" s="14"/>
      <c r="E260" s="18"/>
      <c r="F260" s="61"/>
      <c r="G260" s="73"/>
      <c r="H260" s="79"/>
      <c r="I260" s="79"/>
      <c r="J260" s="14"/>
      <c r="K260" s="38"/>
      <c r="L260" s="38"/>
      <c r="M260" s="17"/>
    </row>
    <row r="261" spans="2:13" ht="14.45" customHeight="1" x14ac:dyDescent="0.25">
      <c r="B261" s="17"/>
      <c r="C261" s="14"/>
      <c r="D261" s="14"/>
      <c r="E261" s="18"/>
      <c r="F261" s="61"/>
      <c r="G261" s="73"/>
      <c r="H261" s="79"/>
      <c r="I261" s="79"/>
      <c r="J261" s="14"/>
      <c r="K261" s="38"/>
      <c r="L261" s="38"/>
      <c r="M261" s="17"/>
    </row>
    <row r="262" spans="2:13" ht="14.45" customHeight="1" x14ac:dyDescent="0.25">
      <c r="B262" s="17"/>
      <c r="C262" s="14"/>
      <c r="D262" s="14"/>
      <c r="E262" s="18"/>
      <c r="F262" s="61"/>
      <c r="G262" s="73"/>
      <c r="H262" s="79"/>
      <c r="I262" s="79"/>
      <c r="J262" s="14"/>
      <c r="K262" s="38"/>
      <c r="L262" s="38"/>
      <c r="M262" s="17"/>
    </row>
    <row r="263" spans="2:13" ht="14.45" customHeight="1" x14ac:dyDescent="0.25">
      <c r="B263" s="17"/>
      <c r="C263" s="14"/>
      <c r="D263" s="14"/>
      <c r="E263" s="18"/>
      <c r="F263" s="61"/>
      <c r="G263" s="73"/>
      <c r="H263" s="79"/>
      <c r="I263" s="79"/>
      <c r="J263" s="14"/>
      <c r="K263" s="38"/>
      <c r="L263" s="38"/>
      <c r="M263" s="17"/>
    </row>
    <row r="264" spans="2:13" ht="14.45" customHeight="1" x14ac:dyDescent="0.25">
      <c r="B264" s="17"/>
      <c r="C264" s="14"/>
      <c r="D264" s="14"/>
      <c r="E264" s="18"/>
      <c r="F264" s="61"/>
      <c r="G264" s="73"/>
      <c r="H264" s="79"/>
      <c r="I264" s="79"/>
      <c r="J264" s="14"/>
      <c r="K264" s="38"/>
      <c r="L264" s="38"/>
      <c r="M264" s="17"/>
    </row>
    <row r="265" spans="2:13" ht="14.45" customHeight="1" x14ac:dyDescent="0.25">
      <c r="B265" s="17"/>
      <c r="C265" s="14"/>
      <c r="D265" s="14"/>
      <c r="E265" s="18"/>
      <c r="F265" s="61"/>
      <c r="G265" s="73"/>
      <c r="H265" s="79"/>
      <c r="I265" s="79"/>
      <c r="J265" s="14"/>
      <c r="K265" s="38"/>
      <c r="L265" s="38"/>
      <c r="M265" s="17"/>
    </row>
    <row r="266" spans="2:13" ht="14.45" customHeight="1" x14ac:dyDescent="0.25">
      <c r="B266" s="17"/>
      <c r="C266" s="14"/>
      <c r="D266" s="14"/>
      <c r="E266" s="18"/>
      <c r="F266" s="61"/>
      <c r="G266" s="73"/>
      <c r="H266" s="79"/>
      <c r="I266" s="79"/>
      <c r="J266" s="14"/>
      <c r="K266" s="38"/>
      <c r="L266" s="38"/>
      <c r="M266" s="17"/>
    </row>
    <row r="267" spans="2:13" ht="14.45" customHeight="1" x14ac:dyDescent="0.25">
      <c r="B267" s="17"/>
      <c r="C267" s="14"/>
      <c r="D267" s="14"/>
      <c r="E267" s="18"/>
      <c r="F267" s="61"/>
      <c r="G267" s="73"/>
      <c r="H267" s="79"/>
      <c r="I267" s="79"/>
      <c r="J267" s="14"/>
      <c r="K267" s="38"/>
      <c r="L267" s="38"/>
      <c r="M267" s="17"/>
    </row>
    <row r="268" spans="2:13" ht="14.45" customHeight="1" x14ac:dyDescent="0.25">
      <c r="B268" s="17"/>
      <c r="C268" s="14"/>
      <c r="D268" s="14"/>
      <c r="E268" s="18"/>
      <c r="F268" s="61"/>
      <c r="G268" s="73"/>
      <c r="H268" s="79"/>
      <c r="I268" s="79"/>
      <c r="J268" s="14"/>
      <c r="K268" s="38"/>
      <c r="L268" s="38"/>
      <c r="M268" s="17"/>
    </row>
    <row r="269" spans="2:13" ht="14.45" customHeight="1" x14ac:dyDescent="0.25">
      <c r="B269" s="17"/>
      <c r="C269" s="14"/>
      <c r="D269" s="14"/>
      <c r="E269" s="18"/>
      <c r="F269" s="61"/>
      <c r="G269" s="73"/>
      <c r="H269" s="79"/>
      <c r="I269" s="79"/>
      <c r="J269" s="14"/>
      <c r="K269" s="38"/>
      <c r="L269" s="38"/>
      <c r="M269" s="17"/>
    </row>
    <row r="270" spans="2:13" ht="14.45" customHeight="1" x14ac:dyDescent="0.25">
      <c r="B270" s="17"/>
      <c r="C270" s="14"/>
      <c r="D270" s="14"/>
      <c r="E270" s="18"/>
      <c r="F270" s="61"/>
      <c r="G270" s="73"/>
      <c r="H270" s="79"/>
      <c r="I270" s="79"/>
      <c r="J270" s="14"/>
      <c r="K270" s="38"/>
      <c r="L270" s="38"/>
      <c r="M270" s="17"/>
    </row>
    <row r="271" spans="2:13" ht="14.45" customHeight="1" x14ac:dyDescent="0.25">
      <c r="B271" s="17"/>
      <c r="C271" s="14"/>
      <c r="D271" s="14"/>
      <c r="E271" s="18"/>
      <c r="F271" s="61"/>
      <c r="G271" s="73"/>
      <c r="H271" s="79"/>
      <c r="I271" s="79"/>
      <c r="J271" s="14"/>
      <c r="K271" s="38"/>
      <c r="L271" s="38"/>
      <c r="M271" s="17"/>
    </row>
    <row r="272" spans="2:13" ht="14.45" customHeight="1" x14ac:dyDescent="0.25">
      <c r="B272" s="17"/>
      <c r="C272" s="14"/>
      <c r="D272" s="14"/>
      <c r="E272" s="18"/>
      <c r="F272" s="61"/>
      <c r="G272" s="73"/>
      <c r="H272" s="79"/>
      <c r="I272" s="79"/>
      <c r="J272" s="14"/>
      <c r="K272" s="38"/>
      <c r="L272" s="38"/>
      <c r="M272" s="17"/>
    </row>
    <row r="273" spans="2:13" ht="14.45" customHeight="1" x14ac:dyDescent="0.25">
      <c r="B273" s="17"/>
      <c r="C273" s="14"/>
      <c r="D273" s="14"/>
      <c r="E273" s="18"/>
      <c r="F273" s="61"/>
      <c r="G273" s="73"/>
      <c r="H273" s="79"/>
      <c r="I273" s="79"/>
      <c r="J273" s="14"/>
      <c r="K273" s="38"/>
      <c r="L273" s="38"/>
      <c r="M273" s="17"/>
    </row>
    <row r="274" spans="2:13" ht="14.45" customHeight="1" x14ac:dyDescent="0.25">
      <c r="B274" s="17"/>
      <c r="C274" s="14"/>
      <c r="D274" s="14"/>
      <c r="E274" s="18"/>
      <c r="F274" s="61"/>
      <c r="G274" s="73"/>
      <c r="H274" s="79"/>
      <c r="I274" s="79"/>
      <c r="J274" s="14"/>
      <c r="K274" s="38"/>
      <c r="L274" s="38"/>
      <c r="M274" s="17"/>
    </row>
    <row r="275" spans="2:13" ht="14.45" customHeight="1" x14ac:dyDescent="0.25">
      <c r="B275" s="17"/>
      <c r="C275" s="14"/>
      <c r="D275" s="14"/>
      <c r="E275" s="18"/>
      <c r="F275" s="61"/>
      <c r="G275" s="73"/>
      <c r="H275" s="79"/>
      <c r="I275" s="79"/>
      <c r="J275" s="14"/>
      <c r="K275" s="38"/>
      <c r="L275" s="38"/>
      <c r="M275" s="17"/>
    </row>
    <row r="276" spans="2:13" ht="14.45" customHeight="1" x14ac:dyDescent="0.25">
      <c r="B276" s="17"/>
      <c r="C276" s="14"/>
      <c r="D276" s="14"/>
      <c r="E276" s="18"/>
      <c r="F276" s="61"/>
      <c r="G276" s="73"/>
      <c r="H276" s="79"/>
      <c r="I276" s="79"/>
      <c r="J276" s="14"/>
      <c r="K276" s="38"/>
      <c r="L276" s="38"/>
      <c r="M276" s="17"/>
    </row>
    <row r="277" spans="2:13" ht="14.45" customHeight="1" x14ac:dyDescent="0.25">
      <c r="B277" s="17"/>
      <c r="C277" s="14"/>
      <c r="D277" s="14"/>
      <c r="E277" s="18"/>
      <c r="F277" s="61"/>
      <c r="G277" s="73"/>
      <c r="H277" s="79"/>
      <c r="I277" s="79"/>
      <c r="J277" s="14"/>
      <c r="K277" s="38"/>
      <c r="L277" s="38"/>
      <c r="M277" s="17"/>
    </row>
    <row r="278" spans="2:13" ht="14.45" customHeight="1" x14ac:dyDescent="0.25">
      <c r="B278" s="17"/>
      <c r="C278" s="14"/>
      <c r="D278" s="14"/>
      <c r="E278" s="18"/>
      <c r="F278" s="61"/>
      <c r="G278" s="73"/>
      <c r="H278" s="79"/>
      <c r="I278" s="79"/>
      <c r="J278" s="14"/>
      <c r="K278" s="38"/>
      <c r="L278" s="38"/>
      <c r="M278" s="17"/>
    </row>
    <row r="279" spans="2:13" ht="14.45" customHeight="1" x14ac:dyDescent="0.25">
      <c r="B279" s="17"/>
      <c r="C279" s="14"/>
      <c r="D279" s="14"/>
      <c r="E279" s="18"/>
      <c r="F279" s="61"/>
      <c r="G279" s="73"/>
      <c r="H279" s="79"/>
      <c r="I279" s="79"/>
      <c r="J279" s="14"/>
      <c r="K279" s="38"/>
      <c r="L279" s="38"/>
      <c r="M279" s="17"/>
    </row>
    <row r="280" spans="2:13" ht="14.45" customHeight="1" x14ac:dyDescent="0.25">
      <c r="B280" s="17"/>
      <c r="C280" s="14"/>
      <c r="D280" s="14"/>
      <c r="E280" s="18"/>
      <c r="F280" s="61"/>
      <c r="G280" s="73"/>
      <c r="H280" s="79"/>
      <c r="I280" s="79"/>
      <c r="J280" s="14"/>
      <c r="K280" s="38"/>
      <c r="L280" s="38"/>
      <c r="M280" s="17"/>
    </row>
    <row r="281" spans="2:13" ht="14.45" customHeight="1" x14ac:dyDescent="0.25">
      <c r="B281" s="17"/>
      <c r="C281" s="14"/>
      <c r="D281" s="14"/>
      <c r="E281" s="18"/>
      <c r="F281" s="61"/>
      <c r="G281" s="73"/>
      <c r="H281" s="79"/>
      <c r="I281" s="79"/>
      <c r="J281" s="14"/>
      <c r="K281" s="38"/>
      <c r="L281" s="38"/>
      <c r="M281" s="17"/>
    </row>
    <row r="282" spans="2:13" ht="14.45" customHeight="1" x14ac:dyDescent="0.25">
      <c r="B282" s="17"/>
      <c r="C282" s="14"/>
      <c r="D282" s="14"/>
      <c r="E282" s="18"/>
      <c r="F282" s="61"/>
      <c r="G282" s="73"/>
      <c r="H282" s="79"/>
      <c r="I282" s="79"/>
      <c r="J282" s="14"/>
      <c r="K282" s="38"/>
      <c r="L282" s="38"/>
      <c r="M282" s="17"/>
    </row>
    <row r="283" spans="2:13" ht="14.45" customHeight="1" x14ac:dyDescent="0.25">
      <c r="B283" s="17"/>
      <c r="C283" s="14"/>
      <c r="D283" s="14"/>
      <c r="E283" s="18"/>
      <c r="F283" s="61"/>
      <c r="G283" s="73"/>
      <c r="H283" s="79"/>
      <c r="I283" s="79"/>
      <c r="J283" s="14"/>
      <c r="K283" s="38"/>
      <c r="L283" s="38"/>
      <c r="M283" s="17"/>
    </row>
    <row r="284" spans="2:13" ht="14.45" customHeight="1" x14ac:dyDescent="0.25">
      <c r="B284" s="17"/>
      <c r="C284" s="14"/>
      <c r="D284" s="14"/>
      <c r="E284" s="18"/>
      <c r="F284" s="61"/>
      <c r="G284" s="73"/>
      <c r="H284" s="79"/>
      <c r="I284" s="79"/>
      <c r="J284" s="14"/>
      <c r="K284" s="38"/>
      <c r="L284" s="38"/>
      <c r="M284" s="17"/>
    </row>
    <row r="285" spans="2:13" ht="14.45" customHeight="1" x14ac:dyDescent="0.25">
      <c r="B285" s="17"/>
      <c r="C285" s="14"/>
      <c r="D285" s="14"/>
      <c r="E285" s="18"/>
      <c r="F285" s="61"/>
      <c r="G285" s="73"/>
      <c r="H285" s="79"/>
      <c r="I285" s="79"/>
      <c r="J285" s="14"/>
      <c r="K285" s="38"/>
      <c r="L285" s="38"/>
      <c r="M285" s="17"/>
    </row>
    <row r="286" spans="2:13" ht="14.45" customHeight="1" x14ac:dyDescent="0.25">
      <c r="B286" s="17"/>
      <c r="C286" s="14"/>
      <c r="D286" s="14"/>
      <c r="E286" s="18"/>
      <c r="F286" s="61"/>
      <c r="G286" s="73"/>
      <c r="H286" s="79"/>
      <c r="I286" s="79"/>
      <c r="J286" s="14"/>
      <c r="K286" s="38"/>
      <c r="L286" s="38"/>
      <c r="M286" s="17"/>
    </row>
    <row r="287" spans="2:13" ht="14.45" customHeight="1" x14ac:dyDescent="0.25">
      <c r="B287" s="17"/>
      <c r="C287" s="14"/>
      <c r="D287" s="14"/>
      <c r="E287" s="18"/>
      <c r="F287" s="61"/>
      <c r="G287" s="73"/>
      <c r="H287" s="79"/>
      <c r="I287" s="79"/>
      <c r="J287" s="14"/>
      <c r="K287" s="38"/>
      <c r="L287" s="38"/>
      <c r="M287" s="17"/>
    </row>
    <row r="288" spans="2:13" ht="14.45" customHeight="1" x14ac:dyDescent="0.25">
      <c r="B288" s="17"/>
      <c r="C288" s="14"/>
      <c r="D288" s="14"/>
      <c r="E288" s="18"/>
      <c r="F288" s="61"/>
      <c r="G288" s="73"/>
      <c r="H288" s="79"/>
      <c r="I288" s="79"/>
      <c r="J288" s="14"/>
      <c r="K288" s="38"/>
      <c r="L288" s="38"/>
      <c r="M288" s="17"/>
    </row>
    <row r="289" spans="2:13" ht="14.45" customHeight="1" x14ac:dyDescent="0.25">
      <c r="B289" s="17"/>
      <c r="C289" s="14"/>
      <c r="D289" s="14"/>
      <c r="E289" s="18"/>
      <c r="F289" s="61"/>
      <c r="G289" s="73"/>
      <c r="H289" s="79"/>
      <c r="I289" s="79"/>
      <c r="J289" s="14"/>
      <c r="K289" s="38"/>
      <c r="L289" s="38"/>
      <c r="M289" s="17"/>
    </row>
    <row r="290" spans="2:13" ht="14.45" customHeight="1" x14ac:dyDescent="0.25">
      <c r="B290" s="17"/>
      <c r="C290" s="14"/>
      <c r="D290" s="14"/>
      <c r="E290" s="18"/>
      <c r="F290" s="61"/>
      <c r="G290" s="73"/>
      <c r="H290" s="79"/>
      <c r="I290" s="79"/>
      <c r="J290" s="14"/>
      <c r="K290" s="38"/>
      <c r="L290" s="38"/>
      <c r="M290" s="17"/>
    </row>
    <row r="291" spans="2:13" ht="14.45" customHeight="1" x14ac:dyDescent="0.25">
      <c r="B291" s="17"/>
      <c r="C291" s="14"/>
      <c r="D291" s="14"/>
      <c r="E291" s="18"/>
      <c r="F291" s="61"/>
      <c r="G291" s="73"/>
      <c r="H291" s="79"/>
      <c r="I291" s="79"/>
      <c r="J291" s="14"/>
      <c r="K291" s="38"/>
      <c r="L291" s="38"/>
      <c r="M291" s="17"/>
    </row>
    <row r="292" spans="2:13" ht="14.45" customHeight="1" x14ac:dyDescent="0.25">
      <c r="B292" s="17"/>
      <c r="C292" s="14"/>
      <c r="D292" s="14"/>
      <c r="E292" s="18"/>
      <c r="F292" s="61"/>
      <c r="G292" s="73"/>
      <c r="H292" s="79"/>
      <c r="I292" s="79"/>
      <c r="J292" s="14"/>
      <c r="K292" s="38"/>
      <c r="L292" s="38"/>
      <c r="M292" s="17"/>
    </row>
    <row r="293" spans="2:13" ht="14.45" customHeight="1" x14ac:dyDescent="0.25">
      <c r="B293" s="17"/>
      <c r="C293" s="14"/>
      <c r="D293" s="14"/>
      <c r="E293" s="18"/>
      <c r="F293" s="61"/>
      <c r="G293" s="73"/>
      <c r="H293" s="79"/>
      <c r="I293" s="79"/>
      <c r="J293" s="14"/>
      <c r="K293" s="38"/>
      <c r="L293" s="38"/>
      <c r="M293" s="17"/>
    </row>
    <row r="294" spans="2:13" ht="14.45" customHeight="1" x14ac:dyDescent="0.25">
      <c r="B294" s="17"/>
      <c r="C294" s="14"/>
      <c r="D294" s="14"/>
      <c r="E294" s="18"/>
      <c r="F294" s="61"/>
      <c r="G294" s="73"/>
      <c r="H294" s="79"/>
      <c r="I294" s="79"/>
      <c r="J294" s="14"/>
      <c r="K294" s="38"/>
      <c r="L294" s="38"/>
      <c r="M294" s="17"/>
    </row>
    <row r="295" spans="2:13" ht="14.45" customHeight="1" x14ac:dyDescent="0.25">
      <c r="B295" s="17"/>
      <c r="C295" s="14"/>
      <c r="D295" s="14"/>
      <c r="E295" s="18"/>
      <c r="F295" s="61"/>
      <c r="G295" s="73"/>
      <c r="H295" s="79"/>
      <c r="I295" s="79"/>
      <c r="J295" s="14"/>
      <c r="K295" s="38"/>
      <c r="L295" s="38"/>
      <c r="M295" s="17"/>
    </row>
    <row r="296" spans="2:13" ht="14.45" customHeight="1" x14ac:dyDescent="0.25">
      <c r="B296" s="17"/>
      <c r="C296" s="14"/>
      <c r="D296" s="14"/>
      <c r="E296" s="18"/>
      <c r="F296" s="61"/>
      <c r="G296" s="73"/>
      <c r="H296" s="79"/>
      <c r="I296" s="79"/>
      <c r="J296" s="14"/>
      <c r="K296" s="38"/>
      <c r="L296" s="38"/>
      <c r="M296" s="17"/>
    </row>
    <row r="297" spans="2:13" ht="14.45" customHeight="1" x14ac:dyDescent="0.25">
      <c r="B297" s="17"/>
      <c r="C297" s="14"/>
      <c r="D297" s="14"/>
      <c r="E297" s="18"/>
      <c r="F297" s="61"/>
      <c r="G297" s="73"/>
      <c r="H297" s="79"/>
      <c r="I297" s="79"/>
      <c r="J297" s="14"/>
      <c r="K297" s="38"/>
      <c r="L297" s="38"/>
      <c r="M297" s="17"/>
    </row>
    <row r="298" spans="2:13" ht="14.45" customHeight="1" x14ac:dyDescent="0.25">
      <c r="B298" s="17"/>
      <c r="C298" s="14"/>
      <c r="D298" s="14"/>
      <c r="E298" s="18"/>
      <c r="F298" s="61"/>
      <c r="G298" s="73"/>
      <c r="H298" s="79"/>
      <c r="I298" s="79"/>
      <c r="J298" s="14"/>
      <c r="K298" s="38"/>
      <c r="L298" s="38"/>
      <c r="M298" s="17"/>
    </row>
    <row r="299" spans="2:13" ht="14.45" customHeight="1" x14ac:dyDescent="0.25">
      <c r="B299" s="17"/>
      <c r="C299" s="14"/>
      <c r="D299" s="14"/>
      <c r="E299" s="18"/>
      <c r="F299" s="61"/>
      <c r="G299" s="73"/>
      <c r="H299" s="79"/>
      <c r="I299" s="79"/>
      <c r="J299" s="14"/>
      <c r="K299" s="38"/>
      <c r="L299" s="38"/>
      <c r="M299" s="17"/>
    </row>
    <row r="300" spans="2:13" ht="14.45" customHeight="1" x14ac:dyDescent="0.25">
      <c r="B300" s="17"/>
      <c r="C300" s="14"/>
      <c r="D300" s="14"/>
      <c r="E300" s="18"/>
      <c r="F300" s="61"/>
      <c r="G300" s="73"/>
      <c r="H300" s="79"/>
      <c r="I300" s="79"/>
      <c r="J300" s="14"/>
      <c r="K300" s="38"/>
      <c r="L300" s="38"/>
      <c r="M300" s="17"/>
    </row>
    <row r="301" spans="2:13" ht="14.45" customHeight="1" x14ac:dyDescent="0.25">
      <c r="B301" s="17"/>
      <c r="C301" s="14"/>
      <c r="D301" s="14"/>
      <c r="E301" s="18"/>
      <c r="F301" s="61"/>
      <c r="G301" s="73"/>
      <c r="H301" s="79"/>
      <c r="I301" s="79"/>
      <c r="J301" s="14"/>
      <c r="K301" s="38"/>
      <c r="L301" s="38"/>
      <c r="M301" s="17"/>
    </row>
    <row r="302" spans="2:13" ht="14.45" customHeight="1" x14ac:dyDescent="0.25">
      <c r="B302" s="17"/>
      <c r="C302" s="14"/>
      <c r="D302" s="14"/>
      <c r="E302" s="18"/>
      <c r="F302" s="61"/>
      <c r="G302" s="73"/>
      <c r="H302" s="79"/>
      <c r="I302" s="79"/>
      <c r="J302" s="14"/>
      <c r="K302" s="38"/>
      <c r="L302" s="38"/>
      <c r="M302" s="17"/>
    </row>
    <row r="303" spans="2:13" ht="14.45" customHeight="1" x14ac:dyDescent="0.25">
      <c r="B303" s="17"/>
      <c r="C303" s="14"/>
      <c r="D303" s="14"/>
      <c r="E303" s="18"/>
      <c r="F303" s="61"/>
      <c r="G303" s="73"/>
      <c r="H303" s="79"/>
      <c r="I303" s="79"/>
      <c r="J303" s="14"/>
      <c r="K303" s="38"/>
      <c r="L303" s="38"/>
      <c r="M303" s="17"/>
    </row>
    <row r="304" spans="2:13" ht="14.45" customHeight="1" x14ac:dyDescent="0.25">
      <c r="B304" s="17"/>
      <c r="C304" s="14"/>
      <c r="D304" s="14"/>
      <c r="E304" s="18"/>
      <c r="F304" s="61"/>
      <c r="G304" s="73"/>
      <c r="H304" s="79"/>
      <c r="I304" s="79"/>
      <c r="J304" s="14"/>
      <c r="K304" s="38"/>
      <c r="L304" s="38"/>
      <c r="M304" s="17"/>
    </row>
    <row r="305" spans="2:13" ht="14.45" customHeight="1" x14ac:dyDescent="0.25">
      <c r="B305" s="17"/>
      <c r="C305" s="14"/>
      <c r="D305" s="14"/>
      <c r="E305" s="18"/>
      <c r="F305" s="61"/>
      <c r="G305" s="73"/>
      <c r="H305" s="79"/>
      <c r="I305" s="79"/>
      <c r="J305" s="14"/>
      <c r="K305" s="38"/>
      <c r="L305" s="38"/>
      <c r="M305" s="17"/>
    </row>
    <row r="306" spans="2:13" ht="14.45" customHeight="1" x14ac:dyDescent="0.25">
      <c r="B306" s="17"/>
      <c r="C306" s="14"/>
      <c r="D306" s="14"/>
      <c r="E306" s="18"/>
      <c r="F306" s="61"/>
      <c r="G306" s="73"/>
      <c r="H306" s="79"/>
      <c r="I306" s="79"/>
      <c r="J306" s="14"/>
      <c r="K306" s="38"/>
      <c r="L306" s="38"/>
      <c r="M306" s="17"/>
    </row>
    <row r="307" spans="2:13" ht="14.45" customHeight="1" x14ac:dyDescent="0.25">
      <c r="B307" s="17"/>
      <c r="C307" s="14"/>
      <c r="D307" s="14"/>
      <c r="E307" s="18"/>
      <c r="F307" s="61"/>
      <c r="G307" s="73"/>
      <c r="H307" s="79"/>
      <c r="I307" s="79"/>
      <c r="J307" s="14"/>
      <c r="K307" s="38"/>
      <c r="L307" s="38"/>
      <c r="M307" s="17"/>
    </row>
    <row r="308" spans="2:13" ht="14.45" customHeight="1" x14ac:dyDescent="0.25">
      <c r="B308" s="17"/>
      <c r="C308" s="14"/>
      <c r="D308" s="14"/>
      <c r="E308" s="18"/>
      <c r="F308" s="61"/>
      <c r="G308" s="73"/>
      <c r="H308" s="79"/>
      <c r="I308" s="79"/>
      <c r="J308" s="14"/>
      <c r="K308" s="38"/>
      <c r="L308" s="38"/>
      <c r="M308" s="17"/>
    </row>
    <row r="309" spans="2:13" ht="14.45" customHeight="1" x14ac:dyDescent="0.25">
      <c r="B309" s="17"/>
      <c r="C309" s="14"/>
      <c r="D309" s="14"/>
      <c r="E309" s="18"/>
      <c r="F309" s="61"/>
      <c r="G309" s="73"/>
      <c r="H309" s="79"/>
      <c r="I309" s="79"/>
      <c r="J309" s="14"/>
      <c r="K309" s="38"/>
      <c r="L309" s="38"/>
      <c r="M309" s="17"/>
    </row>
    <row r="310" spans="2:13" ht="14.45" customHeight="1" x14ac:dyDescent="0.25">
      <c r="B310" s="17"/>
      <c r="C310" s="14"/>
      <c r="D310" s="14"/>
      <c r="E310" s="18"/>
      <c r="F310" s="61"/>
      <c r="G310" s="73"/>
      <c r="H310" s="79"/>
      <c r="I310" s="79"/>
      <c r="J310" s="14"/>
      <c r="K310" s="38"/>
      <c r="L310" s="38"/>
      <c r="M310" s="17"/>
    </row>
    <row r="311" spans="2:13" ht="14.45" customHeight="1" x14ac:dyDescent="0.25">
      <c r="B311" s="17"/>
      <c r="C311" s="14"/>
      <c r="D311" s="14"/>
      <c r="E311" s="18"/>
      <c r="F311" s="61"/>
      <c r="G311" s="73"/>
      <c r="H311" s="79"/>
      <c r="I311" s="79"/>
      <c r="J311" s="14"/>
      <c r="K311" s="38"/>
      <c r="L311" s="38"/>
      <c r="M311" s="17"/>
    </row>
    <row r="312" spans="2:13" ht="14.45" customHeight="1" x14ac:dyDescent="0.25">
      <c r="B312" s="17"/>
      <c r="C312" s="14"/>
      <c r="D312" s="14"/>
      <c r="E312" s="18"/>
      <c r="F312" s="61"/>
      <c r="G312" s="73"/>
      <c r="H312" s="79"/>
      <c r="I312" s="79"/>
      <c r="J312" s="14"/>
      <c r="K312" s="38"/>
      <c r="L312" s="38"/>
      <c r="M312" s="17"/>
    </row>
    <row r="313" spans="2:13" ht="14.45" customHeight="1" x14ac:dyDescent="0.25">
      <c r="B313" s="17"/>
      <c r="C313" s="14"/>
      <c r="D313" s="14"/>
      <c r="E313" s="18"/>
      <c r="F313" s="61"/>
      <c r="G313" s="73"/>
      <c r="H313" s="79"/>
      <c r="I313" s="79"/>
      <c r="J313" s="14"/>
      <c r="K313" s="38"/>
      <c r="L313" s="38"/>
      <c r="M313" s="17"/>
    </row>
    <row r="314" spans="2:13" ht="14.45" customHeight="1" x14ac:dyDescent="0.25">
      <c r="B314" s="17"/>
      <c r="C314" s="14"/>
      <c r="D314" s="14"/>
      <c r="E314" s="18"/>
      <c r="F314" s="61"/>
      <c r="G314" s="73"/>
      <c r="H314" s="79"/>
      <c r="I314" s="79"/>
      <c r="J314" s="14"/>
      <c r="K314" s="38"/>
      <c r="L314" s="38"/>
      <c r="M314" s="17"/>
    </row>
    <row r="315" spans="2:13" ht="14.45" customHeight="1" x14ac:dyDescent="0.25">
      <c r="B315" s="17"/>
      <c r="C315" s="14"/>
      <c r="D315" s="14"/>
      <c r="E315" s="18"/>
      <c r="F315" s="61"/>
      <c r="G315" s="73"/>
      <c r="H315" s="79"/>
      <c r="I315" s="79"/>
      <c r="J315" s="14"/>
      <c r="K315" s="38"/>
      <c r="L315" s="38"/>
      <c r="M315" s="17"/>
    </row>
    <row r="316" spans="2:13" ht="14.45" customHeight="1" x14ac:dyDescent="0.25">
      <c r="B316" s="17"/>
      <c r="C316" s="14"/>
      <c r="D316" s="14"/>
      <c r="E316" s="18"/>
      <c r="F316" s="61"/>
      <c r="G316" s="73"/>
      <c r="H316" s="79"/>
      <c r="I316" s="79"/>
      <c r="J316" s="14"/>
      <c r="K316" s="38"/>
      <c r="L316" s="38"/>
      <c r="M316" s="17"/>
    </row>
    <row r="317" spans="2:13" ht="14.45" customHeight="1" x14ac:dyDescent="0.25">
      <c r="B317" s="17"/>
      <c r="C317" s="14"/>
      <c r="D317" s="14"/>
      <c r="E317" s="18"/>
      <c r="F317" s="61"/>
      <c r="G317" s="73"/>
      <c r="H317" s="79"/>
      <c r="I317" s="79"/>
      <c r="J317" s="14"/>
      <c r="K317" s="38"/>
      <c r="L317" s="38"/>
      <c r="M317" s="17"/>
    </row>
    <row r="318" spans="2:13" ht="14.45" customHeight="1" x14ac:dyDescent="0.25">
      <c r="B318" s="17"/>
      <c r="C318" s="14"/>
      <c r="D318" s="14"/>
      <c r="E318" s="18"/>
      <c r="F318" s="61"/>
      <c r="G318" s="73"/>
      <c r="H318" s="79"/>
      <c r="I318" s="79"/>
      <c r="J318" s="14"/>
      <c r="K318" s="38"/>
      <c r="L318" s="38"/>
      <c r="M318" s="17"/>
    </row>
    <row r="319" spans="2:13" ht="14.45" customHeight="1" x14ac:dyDescent="0.25">
      <c r="B319" s="17"/>
      <c r="C319" s="14"/>
      <c r="D319" s="14"/>
      <c r="E319" s="18"/>
      <c r="F319" s="61"/>
      <c r="G319" s="73"/>
      <c r="H319" s="79"/>
      <c r="I319" s="79"/>
      <c r="J319" s="14"/>
      <c r="K319" s="38"/>
      <c r="L319" s="38"/>
      <c r="M319" s="17"/>
    </row>
    <row r="320" spans="2:13" ht="14.45" customHeight="1" x14ac:dyDescent="0.25">
      <c r="B320" s="17"/>
      <c r="C320" s="14"/>
      <c r="D320" s="14"/>
      <c r="E320" s="18"/>
      <c r="F320" s="61"/>
      <c r="G320" s="73"/>
      <c r="H320" s="79"/>
      <c r="I320" s="79"/>
      <c r="J320" s="14"/>
      <c r="K320" s="38"/>
      <c r="L320" s="38"/>
      <c r="M320" s="17"/>
    </row>
    <row r="321" spans="2:13" ht="14.45" customHeight="1" x14ac:dyDescent="0.25">
      <c r="B321" s="17"/>
      <c r="C321" s="14"/>
      <c r="D321" s="14"/>
      <c r="E321" s="18"/>
      <c r="F321" s="61"/>
      <c r="G321" s="73"/>
      <c r="H321" s="79"/>
      <c r="I321" s="79"/>
      <c r="J321" s="14"/>
      <c r="K321" s="38"/>
      <c r="L321" s="38"/>
      <c r="M321" s="17"/>
    </row>
    <row r="322" spans="2:13" ht="14.45" customHeight="1" x14ac:dyDescent="0.25">
      <c r="B322" s="17"/>
      <c r="C322" s="14"/>
      <c r="D322" s="14"/>
      <c r="E322" s="18"/>
      <c r="F322" s="61"/>
      <c r="G322" s="73"/>
      <c r="H322" s="79"/>
      <c r="I322" s="79"/>
      <c r="J322" s="14"/>
      <c r="K322" s="38"/>
      <c r="L322" s="38"/>
      <c r="M322" s="17"/>
    </row>
    <row r="323" spans="2:13" ht="14.45" customHeight="1" x14ac:dyDescent="0.25">
      <c r="B323" s="17"/>
      <c r="C323" s="14"/>
      <c r="D323" s="14"/>
      <c r="E323" s="18"/>
      <c r="F323" s="61"/>
      <c r="G323" s="73"/>
      <c r="H323" s="79"/>
      <c r="I323" s="79"/>
      <c r="J323" s="14"/>
      <c r="K323" s="38"/>
      <c r="L323" s="38"/>
      <c r="M323" s="17"/>
    </row>
    <row r="324" spans="2:13" ht="14.45" customHeight="1" x14ac:dyDescent="0.25">
      <c r="B324" s="17"/>
      <c r="C324" s="14"/>
      <c r="D324" s="14"/>
      <c r="E324" s="18"/>
      <c r="F324" s="61"/>
      <c r="G324" s="73"/>
      <c r="H324" s="79"/>
      <c r="I324" s="79"/>
      <c r="J324" s="14"/>
      <c r="K324" s="38"/>
      <c r="L324" s="38"/>
      <c r="M324" s="17"/>
    </row>
    <row r="325" spans="2:13" ht="14.45" customHeight="1" x14ac:dyDescent="0.25">
      <c r="B325" s="17"/>
      <c r="C325" s="14"/>
      <c r="D325" s="14"/>
      <c r="E325" s="18"/>
      <c r="F325" s="61"/>
      <c r="G325" s="73"/>
      <c r="H325" s="79"/>
      <c r="I325" s="79"/>
      <c r="J325" s="14"/>
      <c r="K325" s="38"/>
      <c r="L325" s="38"/>
      <c r="M325" s="17"/>
    </row>
    <row r="326" spans="2:13" ht="14.45" customHeight="1" x14ac:dyDescent="0.25">
      <c r="B326" s="17"/>
      <c r="C326" s="14"/>
      <c r="D326" s="14"/>
      <c r="E326" s="18"/>
      <c r="F326" s="61"/>
      <c r="G326" s="73"/>
      <c r="H326" s="79"/>
      <c r="I326" s="79"/>
      <c r="J326" s="14"/>
      <c r="K326" s="38"/>
      <c r="L326" s="38"/>
      <c r="M326" s="17"/>
    </row>
    <row r="327" spans="2:13" ht="14.45" customHeight="1" x14ac:dyDescent="0.25">
      <c r="B327" s="17"/>
      <c r="C327" s="14"/>
      <c r="D327" s="14"/>
      <c r="E327" s="18"/>
      <c r="F327" s="61"/>
      <c r="G327" s="73"/>
      <c r="H327" s="79"/>
      <c r="I327" s="79"/>
      <c r="J327" s="14"/>
      <c r="K327" s="38"/>
      <c r="L327" s="38"/>
      <c r="M327" s="17"/>
    </row>
    <row r="328" spans="2:13" ht="14.45" customHeight="1" x14ac:dyDescent="0.25">
      <c r="B328" s="17"/>
      <c r="C328" s="14"/>
      <c r="D328" s="14"/>
      <c r="E328" s="18"/>
      <c r="F328" s="61"/>
      <c r="G328" s="73"/>
      <c r="H328" s="79"/>
      <c r="I328" s="79"/>
      <c r="J328" s="14"/>
      <c r="K328" s="38"/>
      <c r="L328" s="38"/>
      <c r="M328" s="17"/>
    </row>
    <row r="329" spans="2:13" ht="14.45" customHeight="1" x14ac:dyDescent="0.25">
      <c r="B329" s="17"/>
      <c r="C329" s="14"/>
      <c r="D329" s="14"/>
      <c r="E329" s="18"/>
      <c r="F329" s="61"/>
      <c r="G329" s="73"/>
      <c r="H329" s="79"/>
      <c r="I329" s="79"/>
      <c r="J329" s="14"/>
      <c r="K329" s="38"/>
      <c r="L329" s="38"/>
      <c r="M329" s="17"/>
    </row>
    <row r="330" spans="2:13" ht="14.45" customHeight="1" x14ac:dyDescent="0.25">
      <c r="B330" s="17"/>
      <c r="C330" s="14"/>
      <c r="D330" s="14"/>
      <c r="E330" s="18"/>
      <c r="F330" s="61"/>
      <c r="G330" s="73"/>
      <c r="H330" s="79"/>
      <c r="I330" s="79"/>
      <c r="J330" s="14"/>
      <c r="K330" s="38"/>
      <c r="L330" s="38"/>
      <c r="M330" s="17"/>
    </row>
    <row r="331" spans="2:13" ht="14.45" customHeight="1" x14ac:dyDescent="0.25">
      <c r="B331" s="17"/>
      <c r="C331" s="14"/>
      <c r="D331" s="14"/>
      <c r="E331" s="18"/>
      <c r="F331" s="61"/>
      <c r="G331" s="73"/>
      <c r="H331" s="79"/>
      <c r="I331" s="79"/>
      <c r="J331" s="14"/>
      <c r="K331" s="38"/>
      <c r="L331" s="38"/>
      <c r="M331" s="17"/>
    </row>
    <row r="332" spans="2:13" ht="14.45" customHeight="1" x14ac:dyDescent="0.25">
      <c r="B332" s="17"/>
      <c r="C332" s="14"/>
      <c r="D332" s="14"/>
      <c r="E332" s="18"/>
      <c r="F332" s="61"/>
      <c r="G332" s="73"/>
      <c r="H332" s="79"/>
      <c r="I332" s="79"/>
      <c r="J332" s="14"/>
      <c r="K332" s="38"/>
      <c r="L332" s="38"/>
      <c r="M332" s="17"/>
    </row>
    <row r="333" spans="2:13" ht="14.45" customHeight="1" x14ac:dyDescent="0.25">
      <c r="B333" s="17"/>
      <c r="C333" s="14"/>
      <c r="D333" s="14"/>
      <c r="E333" s="18"/>
      <c r="F333" s="61"/>
      <c r="G333" s="73"/>
      <c r="H333" s="79"/>
      <c r="I333" s="79"/>
      <c r="J333" s="14"/>
      <c r="K333" s="38"/>
      <c r="L333" s="38"/>
      <c r="M333" s="17"/>
    </row>
    <row r="334" spans="2:13" ht="14.45" customHeight="1" x14ac:dyDescent="0.25">
      <c r="B334" s="17"/>
      <c r="C334" s="14"/>
      <c r="D334" s="14"/>
      <c r="E334" s="18"/>
      <c r="F334" s="61"/>
      <c r="G334" s="73"/>
      <c r="H334" s="79"/>
      <c r="I334" s="79"/>
      <c r="J334" s="14"/>
      <c r="K334" s="38"/>
      <c r="L334" s="38"/>
      <c r="M334" s="17"/>
    </row>
    <row r="335" spans="2:13" ht="14.45" customHeight="1" x14ac:dyDescent="0.25">
      <c r="B335" s="17"/>
      <c r="C335" s="14"/>
      <c r="D335" s="14"/>
      <c r="E335" s="18"/>
      <c r="F335" s="61"/>
      <c r="G335" s="73"/>
      <c r="H335" s="79"/>
      <c r="I335" s="79"/>
      <c r="J335" s="14"/>
      <c r="K335" s="38"/>
      <c r="L335" s="38"/>
      <c r="M335" s="17"/>
    </row>
    <row r="336" spans="2:13" ht="14.45" customHeight="1" x14ac:dyDescent="0.25">
      <c r="B336" s="17"/>
      <c r="C336" s="14"/>
      <c r="D336" s="14"/>
      <c r="E336" s="18"/>
      <c r="F336" s="61"/>
      <c r="G336" s="73"/>
      <c r="H336" s="79"/>
      <c r="I336" s="79"/>
      <c r="J336" s="14"/>
      <c r="K336" s="38"/>
      <c r="L336" s="38"/>
      <c r="M336" s="17"/>
    </row>
    <row r="337" spans="2:13" ht="14.45" customHeight="1" x14ac:dyDescent="0.25">
      <c r="B337" s="17"/>
      <c r="C337" s="14"/>
      <c r="D337" s="14"/>
      <c r="E337" s="18"/>
      <c r="F337" s="61"/>
      <c r="G337" s="73"/>
      <c r="H337" s="79"/>
      <c r="I337" s="79"/>
      <c r="J337" s="14"/>
      <c r="K337" s="38"/>
      <c r="L337" s="38"/>
      <c r="M337" s="17"/>
    </row>
    <row r="338" spans="2:13" ht="14.45" customHeight="1" x14ac:dyDescent="0.25">
      <c r="B338" s="17"/>
      <c r="C338" s="14"/>
      <c r="D338" s="14"/>
      <c r="E338" s="18"/>
      <c r="F338" s="61"/>
      <c r="G338" s="73"/>
      <c r="H338" s="79"/>
      <c r="I338" s="79"/>
      <c r="J338" s="14"/>
      <c r="K338" s="38"/>
      <c r="L338" s="38"/>
      <c r="M338" s="17"/>
    </row>
    <row r="339" spans="2:13" ht="14.45" customHeight="1" x14ac:dyDescent="0.25">
      <c r="B339" s="17"/>
      <c r="C339" s="14"/>
      <c r="D339" s="14"/>
      <c r="E339" s="18"/>
      <c r="F339" s="61"/>
      <c r="G339" s="73"/>
      <c r="H339" s="79"/>
      <c r="I339" s="79"/>
      <c r="J339" s="14"/>
      <c r="K339" s="38"/>
      <c r="L339" s="38"/>
      <c r="M339" s="17"/>
    </row>
    <row r="340" spans="2:13" ht="14.45" customHeight="1" x14ac:dyDescent="0.25">
      <c r="B340" s="17"/>
      <c r="C340" s="14"/>
      <c r="D340" s="14"/>
      <c r="E340" s="18"/>
      <c r="F340" s="61"/>
      <c r="G340" s="73"/>
      <c r="H340" s="79"/>
      <c r="I340" s="79"/>
      <c r="J340" s="14"/>
      <c r="K340" s="38"/>
      <c r="L340" s="38"/>
      <c r="M340" s="17"/>
    </row>
    <row r="341" spans="2:13" ht="14.45" customHeight="1" x14ac:dyDescent="0.25">
      <c r="B341" s="17"/>
      <c r="C341" s="14"/>
      <c r="D341" s="14"/>
      <c r="E341" s="18"/>
      <c r="F341" s="61"/>
      <c r="G341" s="73"/>
      <c r="H341" s="79"/>
      <c r="I341" s="79"/>
      <c r="J341" s="14"/>
      <c r="K341" s="38"/>
      <c r="L341" s="38"/>
      <c r="M341" s="17"/>
    </row>
    <row r="342" spans="2:13" ht="14.45" customHeight="1" x14ac:dyDescent="0.25">
      <c r="B342" s="17"/>
      <c r="C342" s="14"/>
      <c r="D342" s="14"/>
      <c r="E342" s="18"/>
      <c r="F342" s="61"/>
      <c r="G342" s="73"/>
      <c r="H342" s="79"/>
      <c r="I342" s="79"/>
      <c r="J342" s="14"/>
      <c r="K342" s="38"/>
      <c r="L342" s="38"/>
      <c r="M342" s="17"/>
    </row>
    <row r="343" spans="2:13" ht="14.45" customHeight="1" x14ac:dyDescent="0.25">
      <c r="B343" s="17"/>
      <c r="C343" s="14"/>
      <c r="D343" s="14"/>
      <c r="E343" s="18"/>
      <c r="F343" s="61"/>
      <c r="G343" s="73"/>
      <c r="H343" s="79"/>
      <c r="I343" s="79"/>
      <c r="J343" s="14"/>
      <c r="K343" s="38"/>
      <c r="L343" s="38"/>
      <c r="M343" s="17"/>
    </row>
    <row r="344" spans="2:13" ht="14.45" customHeight="1" x14ac:dyDescent="0.25">
      <c r="B344" s="17"/>
      <c r="C344" s="14"/>
      <c r="D344" s="14"/>
      <c r="E344" s="18"/>
      <c r="F344" s="61"/>
      <c r="G344" s="73"/>
      <c r="H344" s="79"/>
      <c r="I344" s="79"/>
      <c r="J344" s="14"/>
      <c r="K344" s="38"/>
      <c r="L344" s="38"/>
      <c r="M344" s="17"/>
    </row>
    <row r="345" spans="2:13" ht="14.45" customHeight="1" x14ac:dyDescent="0.25">
      <c r="B345" s="17"/>
      <c r="C345" s="14"/>
      <c r="D345" s="14"/>
      <c r="E345" s="18"/>
      <c r="F345" s="61"/>
      <c r="G345" s="73"/>
      <c r="H345" s="79"/>
      <c r="I345" s="79"/>
      <c r="J345" s="14"/>
      <c r="K345" s="38"/>
      <c r="L345" s="38"/>
      <c r="M345" s="17"/>
    </row>
    <row r="346" spans="2:13" ht="14.45" customHeight="1" x14ac:dyDescent="0.25">
      <c r="B346" s="17"/>
      <c r="C346" s="14"/>
      <c r="D346" s="14"/>
      <c r="E346" s="18"/>
      <c r="F346" s="61"/>
      <c r="G346" s="73"/>
      <c r="H346" s="79"/>
      <c r="I346" s="79"/>
      <c r="J346" s="14"/>
      <c r="K346" s="38"/>
      <c r="L346" s="38"/>
      <c r="M346" s="17"/>
    </row>
    <row r="347" spans="2:13" ht="14.45" customHeight="1" x14ac:dyDescent="0.25">
      <c r="B347" s="17"/>
      <c r="C347" s="14"/>
      <c r="D347" s="14"/>
      <c r="E347" s="18"/>
      <c r="F347" s="61"/>
      <c r="G347" s="73"/>
      <c r="H347" s="79"/>
      <c r="I347" s="79"/>
      <c r="J347" s="14"/>
      <c r="K347" s="38"/>
      <c r="L347" s="38"/>
      <c r="M347" s="17"/>
    </row>
    <row r="348" spans="2:13" ht="14.45" customHeight="1" x14ac:dyDescent="0.25">
      <c r="B348" s="17"/>
      <c r="C348" s="14"/>
      <c r="D348" s="14"/>
      <c r="E348" s="18"/>
      <c r="F348" s="61"/>
      <c r="G348" s="73"/>
      <c r="H348" s="79"/>
      <c r="I348" s="79"/>
      <c r="J348" s="14"/>
      <c r="K348" s="38"/>
      <c r="L348" s="38"/>
      <c r="M348" s="17"/>
    </row>
    <row r="349" spans="2:13" ht="14.45" customHeight="1" x14ac:dyDescent="0.25">
      <c r="B349" s="17"/>
      <c r="C349" s="14"/>
      <c r="D349" s="14"/>
      <c r="E349" s="18"/>
      <c r="F349" s="61"/>
      <c r="G349" s="73"/>
      <c r="H349" s="79"/>
      <c r="I349" s="79"/>
      <c r="J349" s="14"/>
      <c r="K349" s="38"/>
      <c r="L349" s="38"/>
      <c r="M349" s="17"/>
    </row>
    <row r="350" spans="2:13" ht="14.45" customHeight="1" x14ac:dyDescent="0.25">
      <c r="B350" s="17"/>
      <c r="C350" s="14"/>
      <c r="D350" s="14"/>
      <c r="E350" s="18"/>
      <c r="F350" s="61"/>
      <c r="G350" s="73"/>
      <c r="H350" s="79"/>
      <c r="I350" s="79"/>
      <c r="J350" s="14"/>
      <c r="K350" s="38"/>
      <c r="L350" s="38"/>
      <c r="M350" s="17"/>
    </row>
    <row r="351" spans="2:13" ht="14.45" customHeight="1" x14ac:dyDescent="0.25">
      <c r="B351" s="17"/>
      <c r="C351" s="14"/>
      <c r="D351" s="14"/>
      <c r="E351" s="18"/>
      <c r="F351" s="61"/>
      <c r="G351" s="73"/>
      <c r="H351" s="79"/>
      <c r="I351" s="79"/>
      <c r="J351" s="14"/>
      <c r="K351" s="38"/>
      <c r="L351" s="38"/>
      <c r="M351" s="17"/>
    </row>
    <row r="352" spans="2:13" ht="14.45" customHeight="1" x14ac:dyDescent="0.25">
      <c r="B352" s="17"/>
      <c r="C352" s="14"/>
      <c r="D352" s="14"/>
      <c r="E352" s="18"/>
      <c r="F352" s="61"/>
      <c r="G352" s="73"/>
      <c r="H352" s="79"/>
      <c r="I352" s="79"/>
      <c r="J352" s="14"/>
      <c r="K352" s="38"/>
      <c r="L352" s="38"/>
      <c r="M352" s="17"/>
    </row>
    <row r="353" spans="2:13" ht="14.45" customHeight="1" x14ac:dyDescent="0.25">
      <c r="B353" s="17"/>
      <c r="C353" s="14"/>
      <c r="D353" s="14"/>
      <c r="E353" s="18"/>
      <c r="F353" s="61"/>
      <c r="G353" s="73"/>
      <c r="H353" s="79"/>
      <c r="I353" s="79"/>
      <c r="J353" s="14"/>
      <c r="K353" s="38"/>
      <c r="L353" s="38"/>
      <c r="M353" s="17"/>
    </row>
    <row r="354" spans="2:13" ht="14.45" customHeight="1" x14ac:dyDescent="0.25">
      <c r="B354" s="17"/>
      <c r="C354" s="14"/>
      <c r="D354" s="14"/>
      <c r="E354" s="18"/>
      <c r="F354" s="61"/>
      <c r="G354" s="73"/>
      <c r="H354" s="79"/>
      <c r="I354" s="79"/>
      <c r="J354" s="14"/>
      <c r="K354" s="38"/>
      <c r="L354" s="38"/>
      <c r="M354" s="17"/>
    </row>
    <row r="355" spans="2:13" ht="14.45" customHeight="1" x14ac:dyDescent="0.25">
      <c r="B355" s="17"/>
      <c r="C355" s="14"/>
      <c r="D355" s="14"/>
      <c r="E355" s="18"/>
      <c r="F355" s="61"/>
      <c r="G355" s="73"/>
      <c r="H355" s="79"/>
      <c r="I355" s="79"/>
      <c r="J355" s="14"/>
      <c r="K355" s="38"/>
      <c r="L355" s="38"/>
      <c r="M355" s="17"/>
    </row>
    <row r="356" spans="2:13" ht="14.45" customHeight="1" x14ac:dyDescent="0.25">
      <c r="B356" s="17"/>
      <c r="C356" s="14"/>
      <c r="D356" s="14"/>
      <c r="E356" s="18"/>
      <c r="F356" s="61"/>
      <c r="G356" s="73"/>
      <c r="H356" s="79"/>
      <c r="I356" s="79"/>
      <c r="J356" s="14"/>
      <c r="K356" s="38"/>
      <c r="L356" s="38"/>
      <c r="M356" s="17"/>
    </row>
    <row r="357" spans="2:13" ht="14.45" customHeight="1" x14ac:dyDescent="0.25">
      <c r="B357" s="17"/>
      <c r="C357" s="14"/>
      <c r="D357" s="14"/>
      <c r="E357" s="18"/>
      <c r="F357" s="61"/>
      <c r="G357" s="73"/>
      <c r="H357" s="79"/>
      <c r="I357" s="79"/>
      <c r="J357" s="14"/>
      <c r="K357" s="38"/>
      <c r="L357" s="38"/>
      <c r="M357" s="17"/>
    </row>
    <row r="358" spans="2:13" ht="14.45" customHeight="1" x14ac:dyDescent="0.25">
      <c r="B358" s="17"/>
      <c r="C358" s="14"/>
      <c r="D358" s="14"/>
      <c r="E358" s="18"/>
      <c r="F358" s="61"/>
      <c r="G358" s="73"/>
      <c r="H358" s="79"/>
      <c r="I358" s="79"/>
      <c r="J358" s="14"/>
      <c r="K358" s="38"/>
      <c r="L358" s="38"/>
      <c r="M358" s="17"/>
    </row>
    <row r="359" spans="2:13" ht="14.45" customHeight="1" x14ac:dyDescent="0.25">
      <c r="B359" s="17"/>
      <c r="C359" s="14"/>
      <c r="D359" s="14"/>
      <c r="E359" s="18"/>
      <c r="F359" s="61"/>
      <c r="G359" s="73"/>
      <c r="H359" s="79"/>
      <c r="I359" s="79"/>
      <c r="J359" s="14"/>
      <c r="K359" s="38"/>
      <c r="L359" s="38"/>
      <c r="M359" s="17"/>
    </row>
    <row r="360" spans="2:13" ht="14.45" customHeight="1" x14ac:dyDescent="0.25">
      <c r="B360" s="17"/>
      <c r="C360" s="14"/>
      <c r="D360" s="14"/>
      <c r="E360" s="18"/>
      <c r="F360" s="61"/>
      <c r="G360" s="73"/>
      <c r="H360" s="79"/>
      <c r="I360" s="79"/>
      <c r="J360" s="14"/>
      <c r="K360" s="38"/>
      <c r="L360" s="38"/>
      <c r="M360" s="17"/>
    </row>
    <row r="361" spans="2:13" ht="14.45" customHeight="1" x14ac:dyDescent="0.25">
      <c r="B361" s="17"/>
      <c r="C361" s="14"/>
      <c r="D361" s="14"/>
      <c r="E361" s="18"/>
      <c r="F361" s="61"/>
      <c r="G361" s="73"/>
      <c r="H361" s="79"/>
      <c r="I361" s="79"/>
      <c r="J361" s="14"/>
      <c r="K361" s="38"/>
      <c r="L361" s="38"/>
      <c r="M361" s="17"/>
    </row>
    <row r="362" spans="2:13" ht="14.45" customHeight="1" x14ac:dyDescent="0.25">
      <c r="B362" s="17"/>
      <c r="C362" s="14"/>
      <c r="D362" s="14"/>
      <c r="E362" s="18"/>
      <c r="F362" s="61"/>
      <c r="G362" s="73"/>
      <c r="H362" s="79"/>
      <c r="I362" s="79"/>
      <c r="J362" s="14"/>
      <c r="K362" s="38"/>
      <c r="L362" s="38"/>
      <c r="M362" s="17"/>
    </row>
    <row r="363" spans="2:13" ht="14.45" customHeight="1" x14ac:dyDescent="0.25">
      <c r="B363" s="17"/>
      <c r="C363" s="14"/>
      <c r="D363" s="14"/>
      <c r="E363" s="18"/>
      <c r="F363" s="61"/>
      <c r="G363" s="73"/>
      <c r="H363" s="79"/>
      <c r="I363" s="79"/>
      <c r="J363" s="14"/>
      <c r="K363" s="38"/>
      <c r="L363" s="38"/>
      <c r="M363" s="17"/>
    </row>
    <row r="364" spans="2:13" ht="14.45" customHeight="1" x14ac:dyDescent="0.25">
      <c r="B364" s="17"/>
      <c r="C364" s="14"/>
      <c r="D364" s="14"/>
      <c r="E364" s="18"/>
      <c r="F364" s="61"/>
      <c r="G364" s="73"/>
      <c r="H364" s="79"/>
      <c r="I364" s="79"/>
      <c r="J364" s="14"/>
      <c r="K364" s="38"/>
      <c r="L364" s="38"/>
      <c r="M364" s="17"/>
    </row>
    <row r="365" spans="2:13" ht="14.45" customHeight="1" x14ac:dyDescent="0.25">
      <c r="B365" s="17"/>
      <c r="C365" s="14"/>
      <c r="D365" s="14"/>
      <c r="E365" s="18"/>
      <c r="F365" s="61"/>
      <c r="G365" s="73"/>
      <c r="H365" s="79"/>
      <c r="I365" s="79"/>
      <c r="J365" s="14"/>
      <c r="K365" s="38"/>
      <c r="L365" s="38"/>
      <c r="M365" s="17"/>
    </row>
    <row r="366" spans="2:13" ht="14.45" customHeight="1" x14ac:dyDescent="0.25">
      <c r="B366" s="17"/>
      <c r="C366" s="14"/>
      <c r="D366" s="14"/>
      <c r="E366" s="18"/>
      <c r="F366" s="61"/>
      <c r="G366" s="73"/>
      <c r="H366" s="79"/>
      <c r="I366" s="79"/>
      <c r="J366" s="14"/>
      <c r="K366" s="38"/>
      <c r="L366" s="38"/>
      <c r="M366" s="17"/>
    </row>
    <row r="367" spans="2:13" ht="14.45" customHeight="1" x14ac:dyDescent="0.25">
      <c r="B367" s="17"/>
      <c r="C367" s="14"/>
      <c r="D367" s="14"/>
      <c r="E367" s="18"/>
      <c r="F367" s="61"/>
      <c r="G367" s="73"/>
      <c r="H367" s="79"/>
      <c r="I367" s="79"/>
      <c r="J367" s="14"/>
      <c r="K367" s="38"/>
      <c r="L367" s="38"/>
      <c r="M367" s="17"/>
    </row>
    <row r="368" spans="2:13" ht="14.45" customHeight="1" x14ac:dyDescent="0.25">
      <c r="B368" s="17"/>
      <c r="C368" s="14"/>
      <c r="D368" s="14"/>
      <c r="E368" s="18"/>
      <c r="F368" s="61"/>
      <c r="G368" s="73"/>
      <c r="H368" s="79"/>
      <c r="I368" s="79"/>
      <c r="J368" s="14"/>
      <c r="K368" s="38"/>
      <c r="L368" s="38"/>
      <c r="M368" s="17"/>
    </row>
    <row r="369" spans="2:13" ht="14.45" customHeight="1" x14ac:dyDescent="0.25">
      <c r="B369" s="17"/>
      <c r="C369" s="14"/>
      <c r="D369" s="14"/>
      <c r="E369" s="18"/>
      <c r="F369" s="61"/>
      <c r="G369" s="73"/>
      <c r="H369" s="79"/>
      <c r="I369" s="79"/>
      <c r="J369" s="14"/>
      <c r="K369" s="38"/>
      <c r="L369" s="38"/>
      <c r="M369" s="17"/>
    </row>
    <row r="370" spans="2:13" ht="14.45" customHeight="1" x14ac:dyDescent="0.25">
      <c r="B370" s="17"/>
      <c r="C370" s="14"/>
      <c r="D370" s="14"/>
      <c r="E370" s="18"/>
      <c r="F370" s="61"/>
      <c r="G370" s="73"/>
      <c r="H370" s="79"/>
      <c r="I370" s="79"/>
      <c r="J370" s="14"/>
      <c r="K370" s="38"/>
      <c r="L370" s="38"/>
      <c r="M370" s="17"/>
    </row>
    <row r="371" spans="2:13" ht="14.45" customHeight="1" x14ac:dyDescent="0.25">
      <c r="B371" s="17"/>
      <c r="C371" s="14"/>
      <c r="D371" s="14"/>
      <c r="E371" s="18"/>
      <c r="F371" s="61"/>
      <c r="G371" s="73"/>
      <c r="H371" s="79"/>
      <c r="I371" s="79"/>
      <c r="J371" s="14"/>
      <c r="K371" s="38"/>
      <c r="L371" s="38"/>
      <c r="M371" s="17"/>
    </row>
    <row r="372" spans="2:13" ht="14.45" customHeight="1" x14ac:dyDescent="0.25">
      <c r="B372" s="17"/>
      <c r="C372" s="14"/>
      <c r="D372" s="14"/>
      <c r="E372" s="18"/>
      <c r="F372" s="61"/>
      <c r="G372" s="73"/>
      <c r="H372" s="79"/>
      <c r="I372" s="79"/>
      <c r="J372" s="14"/>
      <c r="K372" s="38"/>
      <c r="L372" s="38"/>
      <c r="M372" s="17"/>
    </row>
    <row r="373" spans="2:13" ht="14.45" customHeight="1" x14ac:dyDescent="0.25">
      <c r="B373" s="17"/>
      <c r="C373" s="14"/>
      <c r="D373" s="14"/>
      <c r="E373" s="18"/>
      <c r="F373" s="61"/>
      <c r="G373" s="73"/>
      <c r="H373" s="79"/>
      <c r="I373" s="79"/>
      <c r="J373" s="14"/>
      <c r="K373" s="38"/>
      <c r="L373" s="38"/>
      <c r="M373" s="17"/>
    </row>
    <row r="374" spans="2:13" ht="14.45" customHeight="1" x14ac:dyDescent="0.25">
      <c r="B374" s="17"/>
      <c r="C374" s="14"/>
      <c r="D374" s="14"/>
      <c r="E374" s="18"/>
      <c r="F374" s="61"/>
      <c r="G374" s="73"/>
      <c r="H374" s="79"/>
      <c r="I374" s="79"/>
      <c r="J374" s="14"/>
      <c r="K374" s="38"/>
      <c r="L374" s="38"/>
      <c r="M374" s="17"/>
    </row>
    <row r="375" spans="2:13" ht="14.45" customHeight="1" x14ac:dyDescent="0.25">
      <c r="B375" s="17"/>
      <c r="C375" s="14"/>
      <c r="D375" s="14"/>
      <c r="E375" s="18"/>
      <c r="F375" s="61"/>
      <c r="G375" s="73"/>
      <c r="H375" s="79"/>
      <c r="I375" s="79"/>
      <c r="J375" s="14"/>
      <c r="K375" s="38"/>
      <c r="L375" s="38"/>
      <c r="M375" s="17"/>
    </row>
    <row r="376" spans="2:13" ht="14.45" customHeight="1" x14ac:dyDescent="0.25">
      <c r="B376" s="17"/>
      <c r="C376" s="14"/>
      <c r="D376" s="14"/>
      <c r="E376" s="18"/>
      <c r="F376" s="61"/>
      <c r="G376" s="73"/>
      <c r="H376" s="79"/>
      <c r="I376" s="79"/>
      <c r="J376" s="14"/>
      <c r="K376" s="38"/>
      <c r="L376" s="38"/>
      <c r="M376" s="17"/>
    </row>
    <row r="377" spans="2:13" ht="14.45" customHeight="1" x14ac:dyDescent="0.25">
      <c r="B377" s="17"/>
      <c r="C377" s="14"/>
      <c r="D377" s="14"/>
      <c r="E377" s="18"/>
      <c r="F377" s="61"/>
      <c r="G377" s="73"/>
      <c r="H377" s="79"/>
      <c r="I377" s="79"/>
      <c r="J377" s="14"/>
      <c r="K377" s="38"/>
      <c r="L377" s="38"/>
      <c r="M377" s="17"/>
    </row>
    <row r="378" spans="2:13" ht="14.45" customHeight="1" x14ac:dyDescent="0.25">
      <c r="B378" s="17"/>
      <c r="C378" s="14"/>
      <c r="D378" s="14"/>
      <c r="E378" s="18"/>
      <c r="F378" s="61"/>
      <c r="G378" s="73"/>
      <c r="H378" s="79"/>
      <c r="I378" s="79"/>
      <c r="J378" s="14"/>
      <c r="K378" s="38"/>
      <c r="L378" s="38"/>
      <c r="M378" s="17"/>
    </row>
    <row r="379" spans="2:13" ht="14.45" customHeight="1" x14ac:dyDescent="0.25">
      <c r="B379" s="17"/>
      <c r="C379" s="14"/>
      <c r="D379" s="14"/>
      <c r="E379" s="18"/>
      <c r="F379" s="61"/>
      <c r="G379" s="73"/>
      <c r="H379" s="79"/>
      <c r="I379" s="79"/>
      <c r="J379" s="14"/>
      <c r="K379" s="38"/>
      <c r="L379" s="38"/>
      <c r="M379" s="17"/>
    </row>
    <row r="380" spans="2:13" ht="14.45" customHeight="1" x14ac:dyDescent="0.25">
      <c r="B380" s="17"/>
      <c r="C380" s="14"/>
      <c r="D380" s="14"/>
      <c r="E380" s="18"/>
      <c r="F380" s="61"/>
      <c r="G380" s="73"/>
      <c r="H380" s="79"/>
      <c r="I380" s="79"/>
      <c r="J380" s="14"/>
      <c r="K380" s="38"/>
      <c r="L380" s="38"/>
      <c r="M380" s="17"/>
    </row>
    <row r="381" spans="2:13" ht="14.45" customHeight="1" x14ac:dyDescent="0.25">
      <c r="B381" s="17"/>
      <c r="C381" s="14"/>
      <c r="D381" s="14"/>
      <c r="E381" s="18"/>
      <c r="F381" s="61"/>
      <c r="G381" s="73"/>
      <c r="H381" s="79"/>
      <c r="I381" s="79"/>
      <c r="J381" s="14"/>
      <c r="K381" s="38"/>
      <c r="L381" s="38"/>
      <c r="M381" s="17"/>
    </row>
    <row r="382" spans="2:13" ht="14.45" customHeight="1" x14ac:dyDescent="0.25">
      <c r="B382" s="17"/>
      <c r="C382" s="14"/>
      <c r="D382" s="14"/>
      <c r="E382" s="18"/>
      <c r="F382" s="61"/>
      <c r="G382" s="73"/>
      <c r="H382" s="79"/>
      <c r="I382" s="79"/>
      <c r="J382" s="14"/>
      <c r="K382" s="38"/>
      <c r="L382" s="38"/>
      <c r="M382" s="17"/>
    </row>
    <row r="383" spans="2:13" ht="14.45" customHeight="1" x14ac:dyDescent="0.25">
      <c r="B383" s="17"/>
      <c r="C383" s="14"/>
      <c r="D383" s="14"/>
      <c r="E383" s="18"/>
      <c r="F383" s="61"/>
      <c r="G383" s="73"/>
      <c r="H383" s="79"/>
      <c r="I383" s="79"/>
      <c r="J383" s="14"/>
      <c r="K383" s="38"/>
      <c r="L383" s="38"/>
      <c r="M383" s="17"/>
    </row>
    <row r="384" spans="2:13" ht="14.45" customHeight="1" x14ac:dyDescent="0.25">
      <c r="B384" s="17"/>
      <c r="C384" s="14"/>
      <c r="D384" s="14"/>
      <c r="E384" s="18"/>
      <c r="F384" s="61"/>
      <c r="G384" s="73"/>
      <c r="H384" s="79"/>
      <c r="I384" s="79"/>
      <c r="J384" s="14"/>
      <c r="K384" s="38"/>
      <c r="L384" s="38"/>
      <c r="M384" s="17"/>
    </row>
    <row r="385" spans="2:13" ht="14.45" customHeight="1" x14ac:dyDescent="0.25">
      <c r="B385" s="17"/>
      <c r="C385" s="14"/>
      <c r="D385" s="14"/>
      <c r="E385" s="18"/>
      <c r="F385" s="61"/>
      <c r="G385" s="73"/>
      <c r="H385" s="79"/>
      <c r="I385" s="79"/>
      <c r="J385" s="14"/>
      <c r="K385" s="38"/>
      <c r="L385" s="38"/>
      <c r="M385" s="17"/>
    </row>
    <row r="386" spans="2:13" ht="14.45" customHeight="1" x14ac:dyDescent="0.25">
      <c r="B386" s="17"/>
      <c r="C386" s="14"/>
      <c r="D386" s="14"/>
      <c r="E386" s="18"/>
      <c r="F386" s="61"/>
      <c r="G386" s="73"/>
      <c r="H386" s="79"/>
      <c r="I386" s="79"/>
      <c r="J386" s="14"/>
      <c r="K386" s="38"/>
      <c r="L386" s="38"/>
      <c r="M386" s="17"/>
    </row>
    <row r="387" spans="2:13" ht="14.45" customHeight="1" x14ac:dyDescent="0.25">
      <c r="B387" s="17"/>
      <c r="C387" s="14"/>
      <c r="D387" s="14"/>
      <c r="E387" s="18"/>
      <c r="F387" s="61"/>
      <c r="G387" s="73"/>
      <c r="H387" s="79"/>
      <c r="I387" s="79"/>
      <c r="J387" s="14"/>
      <c r="K387" s="38"/>
      <c r="L387" s="38"/>
      <c r="M387" s="17"/>
    </row>
    <row r="388" spans="2:13" ht="14.45" customHeight="1" x14ac:dyDescent="0.25">
      <c r="B388" s="17"/>
      <c r="C388" s="14"/>
      <c r="D388" s="14"/>
      <c r="E388" s="18"/>
      <c r="F388" s="61"/>
      <c r="G388" s="73"/>
      <c r="H388" s="79"/>
      <c r="I388" s="79"/>
      <c r="J388" s="14"/>
      <c r="K388" s="38"/>
      <c r="L388" s="38"/>
      <c r="M388" s="17"/>
    </row>
    <row r="389" spans="2:13" ht="14.45" customHeight="1" x14ac:dyDescent="0.25">
      <c r="B389" s="17"/>
      <c r="C389" s="14"/>
      <c r="D389" s="14"/>
      <c r="E389" s="18"/>
      <c r="F389" s="61"/>
      <c r="G389" s="73"/>
      <c r="H389" s="79"/>
      <c r="I389" s="79"/>
      <c r="J389" s="14"/>
      <c r="K389" s="38"/>
      <c r="L389" s="38"/>
      <c r="M389" s="17"/>
    </row>
    <row r="390" spans="2:13" ht="14.45" customHeight="1" x14ac:dyDescent="0.25">
      <c r="B390" s="17"/>
      <c r="C390" s="14"/>
      <c r="D390" s="14"/>
      <c r="E390" s="18"/>
      <c r="F390" s="61"/>
      <c r="G390" s="73"/>
      <c r="H390" s="79"/>
      <c r="I390" s="79"/>
      <c r="J390" s="14"/>
      <c r="K390" s="38"/>
      <c r="L390" s="38"/>
      <c r="M390" s="17"/>
    </row>
    <row r="391" spans="2:13" ht="14.45" customHeight="1" x14ac:dyDescent="0.25">
      <c r="B391" s="17"/>
      <c r="C391" s="14"/>
      <c r="D391" s="14"/>
      <c r="E391" s="18"/>
      <c r="F391" s="61"/>
      <c r="G391" s="73"/>
      <c r="H391" s="79"/>
      <c r="I391" s="79"/>
      <c r="J391" s="14"/>
      <c r="K391" s="38"/>
      <c r="L391" s="38"/>
      <c r="M391" s="17"/>
    </row>
    <row r="392" spans="2:13" ht="14.45" customHeight="1" x14ac:dyDescent="0.25">
      <c r="B392" s="17"/>
      <c r="C392" s="14"/>
      <c r="D392" s="14"/>
      <c r="E392" s="18"/>
      <c r="F392" s="61"/>
      <c r="G392" s="73"/>
      <c r="H392" s="79"/>
      <c r="I392" s="79"/>
      <c r="J392" s="14"/>
      <c r="K392" s="38"/>
      <c r="L392" s="38"/>
      <c r="M392" s="17"/>
    </row>
    <row r="393" spans="2:13" ht="14.45" customHeight="1" x14ac:dyDescent="0.25">
      <c r="B393" s="17"/>
      <c r="C393" s="14"/>
      <c r="D393" s="14"/>
      <c r="E393" s="18"/>
      <c r="F393" s="61"/>
      <c r="G393" s="73"/>
      <c r="H393" s="79"/>
      <c r="I393" s="79"/>
      <c r="J393" s="14"/>
      <c r="K393" s="38"/>
      <c r="L393" s="38"/>
      <c r="M393" s="17"/>
    </row>
    <row r="394" spans="2:13" ht="14.45" customHeight="1" x14ac:dyDescent="0.25">
      <c r="B394" s="17"/>
      <c r="C394" s="14"/>
      <c r="D394" s="14"/>
      <c r="E394" s="18"/>
      <c r="F394" s="61"/>
      <c r="G394" s="73"/>
      <c r="H394" s="79"/>
      <c r="I394" s="79"/>
      <c r="J394" s="14"/>
      <c r="K394" s="38"/>
      <c r="L394" s="38"/>
      <c r="M394" s="17"/>
    </row>
    <row r="395" spans="2:13" ht="14.45" customHeight="1" x14ac:dyDescent="0.25">
      <c r="B395" s="17"/>
      <c r="C395" s="14"/>
      <c r="D395" s="14"/>
      <c r="E395" s="18"/>
      <c r="F395" s="61"/>
      <c r="G395" s="73"/>
      <c r="H395" s="79"/>
      <c r="I395" s="79"/>
      <c r="J395" s="14"/>
      <c r="K395" s="38"/>
      <c r="L395" s="38"/>
      <c r="M395" s="17"/>
    </row>
    <row r="396" spans="2:13" ht="14.45" customHeight="1" x14ac:dyDescent="0.25">
      <c r="B396" s="17"/>
      <c r="C396" s="14"/>
      <c r="D396" s="14"/>
      <c r="E396" s="18"/>
      <c r="F396" s="61"/>
      <c r="G396" s="73"/>
      <c r="H396" s="79"/>
      <c r="I396" s="79"/>
      <c r="J396" s="14"/>
      <c r="K396" s="38"/>
      <c r="L396" s="38"/>
      <c r="M396" s="17"/>
    </row>
    <row r="397" spans="2:13" ht="14.45" customHeight="1" x14ac:dyDescent="0.25">
      <c r="B397" s="17"/>
      <c r="C397" s="14"/>
      <c r="D397" s="14"/>
      <c r="E397" s="18"/>
      <c r="F397" s="61"/>
      <c r="G397" s="73"/>
      <c r="H397" s="79"/>
      <c r="I397" s="79"/>
      <c r="J397" s="14"/>
      <c r="K397" s="38"/>
      <c r="L397" s="38"/>
      <c r="M397" s="17"/>
    </row>
    <row r="398" spans="2:13" ht="14.45" customHeight="1" x14ac:dyDescent="0.25">
      <c r="B398" s="17"/>
      <c r="C398" s="14"/>
      <c r="D398" s="14"/>
      <c r="E398" s="18"/>
      <c r="F398" s="61"/>
      <c r="G398" s="73"/>
      <c r="H398" s="79"/>
      <c r="I398" s="79"/>
      <c r="J398" s="14"/>
      <c r="K398" s="38"/>
      <c r="L398" s="38"/>
      <c r="M398" s="17"/>
    </row>
    <row r="399" spans="2:13" ht="14.45" customHeight="1" x14ac:dyDescent="0.25">
      <c r="B399" s="17"/>
      <c r="C399" s="14"/>
      <c r="D399" s="14"/>
      <c r="E399" s="18"/>
      <c r="F399" s="61"/>
      <c r="G399" s="73"/>
      <c r="H399" s="79"/>
      <c r="I399" s="79"/>
      <c r="J399" s="14"/>
      <c r="K399" s="38"/>
      <c r="L399" s="38"/>
      <c r="M399" s="17"/>
    </row>
    <row r="400" spans="2:13" ht="14.45" customHeight="1" x14ac:dyDescent="0.25">
      <c r="B400" s="17"/>
      <c r="C400" s="14"/>
      <c r="D400" s="14"/>
      <c r="E400" s="18"/>
      <c r="F400" s="61"/>
      <c r="G400" s="73"/>
      <c r="H400" s="79"/>
      <c r="I400" s="79"/>
      <c r="J400" s="14"/>
      <c r="K400" s="38"/>
      <c r="L400" s="38"/>
      <c r="M400" s="17"/>
    </row>
    <row r="401" spans="2:13" ht="14.45" customHeight="1" x14ac:dyDescent="0.25">
      <c r="B401" s="17"/>
      <c r="C401" s="14"/>
      <c r="D401" s="14"/>
      <c r="E401" s="18"/>
      <c r="F401" s="61"/>
      <c r="G401" s="73"/>
      <c r="H401" s="79"/>
      <c r="I401" s="79"/>
      <c r="J401" s="14"/>
      <c r="K401" s="38"/>
      <c r="L401" s="38"/>
      <c r="M401" s="17"/>
    </row>
    <row r="402" spans="2:13" ht="14.45" customHeight="1" x14ac:dyDescent="0.25">
      <c r="B402" s="17"/>
      <c r="C402" s="14"/>
      <c r="D402" s="14"/>
      <c r="E402" s="18"/>
      <c r="F402" s="61"/>
      <c r="G402" s="73"/>
      <c r="H402" s="79"/>
      <c r="I402" s="79"/>
      <c r="J402" s="14"/>
      <c r="K402" s="38"/>
      <c r="L402" s="38"/>
      <c r="M402" s="17"/>
    </row>
    <row r="403" spans="2:13" ht="14.45" customHeight="1" x14ac:dyDescent="0.25">
      <c r="B403" s="17"/>
      <c r="C403" s="14"/>
      <c r="D403" s="14"/>
      <c r="E403" s="18"/>
      <c r="F403" s="61"/>
      <c r="G403" s="73"/>
      <c r="H403" s="79"/>
      <c r="I403" s="79"/>
      <c r="J403" s="14"/>
      <c r="K403" s="38"/>
      <c r="L403" s="38"/>
      <c r="M403" s="17"/>
    </row>
    <row r="404" spans="2:13" ht="14.45" customHeight="1" x14ac:dyDescent="0.25">
      <c r="B404" s="17"/>
      <c r="C404" s="14"/>
      <c r="D404" s="14"/>
      <c r="E404" s="18"/>
      <c r="F404" s="61"/>
      <c r="G404" s="73"/>
      <c r="H404" s="79"/>
      <c r="I404" s="79"/>
      <c r="J404" s="14"/>
      <c r="K404" s="38"/>
      <c r="L404" s="38"/>
      <c r="M404" s="17"/>
    </row>
    <row r="405" spans="2:13" ht="14.45" customHeight="1" x14ac:dyDescent="0.25">
      <c r="B405" s="17"/>
      <c r="C405" s="14"/>
      <c r="D405" s="14"/>
      <c r="E405" s="18"/>
      <c r="F405" s="61"/>
      <c r="G405" s="73"/>
      <c r="H405" s="79"/>
      <c r="I405" s="79"/>
      <c r="J405" s="14"/>
      <c r="K405" s="38"/>
      <c r="L405" s="38"/>
      <c r="M405" s="17"/>
    </row>
    <row r="406" spans="2:13" ht="14.45" customHeight="1" x14ac:dyDescent="0.25">
      <c r="B406" s="17"/>
      <c r="C406" s="14"/>
      <c r="D406" s="14"/>
      <c r="E406" s="18"/>
      <c r="F406" s="61"/>
      <c r="G406" s="73"/>
      <c r="H406" s="79"/>
      <c r="I406" s="79"/>
      <c r="J406" s="14"/>
      <c r="K406" s="38"/>
      <c r="L406" s="38"/>
      <c r="M406" s="17"/>
    </row>
    <row r="407" spans="2:13" ht="14.45" customHeight="1" x14ac:dyDescent="0.25">
      <c r="B407" s="17"/>
      <c r="C407" s="14"/>
      <c r="D407" s="14"/>
      <c r="E407" s="18"/>
      <c r="F407" s="61"/>
      <c r="G407" s="73"/>
      <c r="H407" s="79"/>
      <c r="I407" s="79"/>
      <c r="J407" s="14"/>
      <c r="K407" s="38"/>
      <c r="L407" s="38"/>
      <c r="M407" s="17"/>
    </row>
    <row r="408" spans="2:13" ht="14.45" customHeight="1" x14ac:dyDescent="0.25">
      <c r="B408" s="17"/>
      <c r="C408" s="14"/>
      <c r="D408" s="14"/>
      <c r="E408" s="18"/>
      <c r="F408" s="61"/>
      <c r="G408" s="73"/>
      <c r="H408" s="79"/>
      <c r="I408" s="79"/>
      <c r="J408" s="14"/>
      <c r="K408" s="38"/>
      <c r="L408" s="38"/>
      <c r="M408" s="17"/>
    </row>
    <row r="409" spans="2:13" ht="14.45" customHeight="1" x14ac:dyDescent="0.25">
      <c r="B409" s="17"/>
      <c r="C409" s="14"/>
      <c r="D409" s="14"/>
      <c r="E409" s="18"/>
      <c r="F409" s="61"/>
      <c r="G409" s="73"/>
      <c r="H409" s="79"/>
      <c r="I409" s="79"/>
      <c r="J409" s="14"/>
      <c r="K409" s="38"/>
      <c r="L409" s="38"/>
      <c r="M409" s="17"/>
    </row>
    <row r="410" spans="2:13" ht="14.45" customHeight="1" x14ac:dyDescent="0.25">
      <c r="B410" s="17"/>
      <c r="C410" s="14"/>
      <c r="D410" s="14"/>
      <c r="E410" s="18"/>
      <c r="F410" s="61"/>
      <c r="G410" s="73"/>
      <c r="H410" s="79"/>
      <c r="I410" s="79"/>
      <c r="J410" s="14"/>
      <c r="K410" s="38"/>
      <c r="L410" s="38"/>
      <c r="M410" s="17"/>
    </row>
    <row r="411" spans="2:13" ht="14.45" customHeight="1" x14ac:dyDescent="0.25">
      <c r="B411" s="17"/>
      <c r="C411" s="14"/>
      <c r="D411" s="14"/>
      <c r="E411" s="18"/>
      <c r="F411" s="61"/>
      <c r="G411" s="73"/>
      <c r="H411" s="79"/>
      <c r="I411" s="79"/>
      <c r="J411" s="14"/>
      <c r="K411" s="38"/>
      <c r="L411" s="38"/>
      <c r="M411" s="17"/>
    </row>
    <row r="412" spans="2:13" ht="14.45" customHeight="1" x14ac:dyDescent="0.25">
      <c r="B412" s="17"/>
      <c r="C412" s="14"/>
      <c r="D412" s="14"/>
      <c r="E412" s="18"/>
      <c r="F412" s="61"/>
      <c r="G412" s="73"/>
      <c r="H412" s="79"/>
      <c r="I412" s="79"/>
      <c r="J412" s="14"/>
      <c r="K412" s="38"/>
      <c r="L412" s="38"/>
      <c r="M412" s="17"/>
    </row>
    <row r="413" spans="2:13" ht="14.45" customHeight="1" x14ac:dyDescent="0.25">
      <c r="B413" s="17"/>
      <c r="C413" s="14"/>
      <c r="D413" s="14"/>
      <c r="E413" s="18"/>
      <c r="F413" s="61"/>
      <c r="G413" s="73"/>
      <c r="H413" s="79"/>
      <c r="I413" s="79"/>
      <c r="J413" s="14"/>
      <c r="K413" s="38"/>
      <c r="L413" s="38"/>
      <c r="M413" s="17"/>
    </row>
    <row r="414" spans="2:13" ht="14.45" customHeight="1" x14ac:dyDescent="0.25">
      <c r="B414" s="17"/>
      <c r="C414" s="14"/>
      <c r="D414" s="14"/>
      <c r="E414" s="18"/>
      <c r="F414" s="61"/>
      <c r="G414" s="73"/>
      <c r="H414" s="79"/>
      <c r="I414" s="79"/>
      <c r="J414" s="14"/>
      <c r="K414" s="38"/>
      <c r="L414" s="38"/>
      <c r="M414" s="17"/>
    </row>
    <row r="415" spans="2:13" ht="14.45" customHeight="1" x14ac:dyDescent="0.25">
      <c r="B415" s="17"/>
      <c r="C415" s="14"/>
      <c r="D415" s="14"/>
      <c r="E415" s="18"/>
      <c r="F415" s="61"/>
      <c r="G415" s="73"/>
      <c r="H415" s="79"/>
      <c r="I415" s="79"/>
      <c r="J415" s="14"/>
      <c r="K415" s="38"/>
      <c r="L415" s="38"/>
      <c r="M415" s="17"/>
    </row>
    <row r="416" spans="2:13" ht="14.45" customHeight="1" x14ac:dyDescent="0.25">
      <c r="B416" s="17"/>
      <c r="C416" s="14"/>
      <c r="D416" s="14"/>
      <c r="E416" s="18"/>
      <c r="F416" s="61"/>
      <c r="G416" s="73"/>
      <c r="H416" s="79"/>
      <c r="I416" s="79"/>
      <c r="J416" s="14"/>
      <c r="K416" s="38"/>
      <c r="L416" s="38"/>
      <c r="M416" s="17"/>
    </row>
    <row r="417" spans="2:13" ht="14.45" customHeight="1" x14ac:dyDescent="0.25">
      <c r="B417" s="17"/>
      <c r="C417" s="14"/>
      <c r="D417" s="14"/>
      <c r="E417" s="18"/>
      <c r="F417" s="61"/>
      <c r="G417" s="73"/>
      <c r="H417" s="79"/>
      <c r="I417" s="79"/>
      <c r="J417" s="14"/>
      <c r="K417" s="38"/>
      <c r="L417" s="38"/>
      <c r="M417" s="17"/>
    </row>
    <row r="418" spans="2:13" ht="14.45" customHeight="1" x14ac:dyDescent="0.25">
      <c r="B418" s="17"/>
      <c r="C418" s="14"/>
      <c r="D418" s="14"/>
      <c r="E418" s="18"/>
      <c r="F418" s="61"/>
      <c r="G418" s="73"/>
      <c r="H418" s="79"/>
      <c r="I418" s="79"/>
      <c r="J418" s="14"/>
      <c r="K418" s="38"/>
      <c r="L418" s="38"/>
      <c r="M418" s="17"/>
    </row>
    <row r="419" spans="2:13" ht="14.45" customHeight="1" x14ac:dyDescent="0.25">
      <c r="B419" s="17"/>
      <c r="C419" s="14"/>
      <c r="D419" s="14"/>
      <c r="E419" s="18"/>
      <c r="F419" s="61"/>
      <c r="G419" s="73"/>
      <c r="H419" s="79"/>
      <c r="I419" s="79"/>
      <c r="J419" s="14"/>
      <c r="K419" s="38"/>
      <c r="L419" s="38"/>
      <c r="M419" s="17"/>
    </row>
    <row r="420" spans="2:13" ht="14.45" customHeight="1" x14ac:dyDescent="0.25">
      <c r="B420" s="17"/>
      <c r="C420" s="14"/>
      <c r="D420" s="14"/>
      <c r="E420" s="18"/>
      <c r="F420" s="61"/>
      <c r="G420" s="73"/>
      <c r="H420" s="79"/>
      <c r="I420" s="79"/>
      <c r="J420" s="14"/>
      <c r="K420" s="38"/>
      <c r="L420" s="38"/>
      <c r="M420" s="17"/>
    </row>
    <row r="421" spans="2:13" ht="14.45" customHeight="1" x14ac:dyDescent="0.25">
      <c r="B421" s="17"/>
      <c r="C421" s="14"/>
      <c r="D421" s="14"/>
      <c r="E421" s="18"/>
      <c r="F421" s="61"/>
      <c r="G421" s="73"/>
      <c r="H421" s="79"/>
      <c r="I421" s="79"/>
      <c r="J421" s="14"/>
      <c r="K421" s="38"/>
      <c r="L421" s="38"/>
      <c r="M421" s="17"/>
    </row>
    <row r="422" spans="2:13" ht="14.45" customHeight="1" x14ac:dyDescent="0.25">
      <c r="B422" s="17"/>
      <c r="C422" s="14"/>
      <c r="D422" s="14"/>
      <c r="E422" s="18"/>
      <c r="F422" s="61"/>
      <c r="G422" s="73"/>
      <c r="H422" s="79"/>
      <c r="I422" s="79"/>
      <c r="J422" s="14"/>
      <c r="K422" s="38"/>
      <c r="L422" s="38"/>
      <c r="M422" s="17"/>
    </row>
    <row r="423" spans="2:13" ht="14.45" customHeight="1" x14ac:dyDescent="0.25">
      <c r="B423" s="17"/>
      <c r="C423" s="14"/>
      <c r="D423" s="14"/>
      <c r="E423" s="18"/>
      <c r="F423" s="61"/>
      <c r="G423" s="73"/>
      <c r="H423" s="79"/>
      <c r="I423" s="79"/>
      <c r="J423" s="14"/>
      <c r="K423" s="38"/>
      <c r="L423" s="38"/>
      <c r="M423" s="17"/>
    </row>
    <row r="424" spans="2:13" ht="14.45" customHeight="1" x14ac:dyDescent="0.25">
      <c r="B424" s="17"/>
      <c r="C424" s="14"/>
      <c r="D424" s="14"/>
      <c r="E424" s="18"/>
      <c r="F424" s="61"/>
      <c r="G424" s="73"/>
      <c r="H424" s="79"/>
      <c r="I424" s="79"/>
      <c r="J424" s="14"/>
      <c r="K424" s="38"/>
      <c r="L424" s="38"/>
      <c r="M424" s="17"/>
    </row>
    <row r="425" spans="2:13" ht="14.45" customHeight="1" x14ac:dyDescent="0.25">
      <c r="B425" s="17"/>
      <c r="C425" s="14"/>
      <c r="D425" s="14"/>
      <c r="E425" s="18"/>
      <c r="F425" s="61"/>
      <c r="G425" s="73"/>
      <c r="H425" s="79"/>
      <c r="I425" s="79"/>
      <c r="J425" s="14"/>
      <c r="K425" s="38"/>
      <c r="L425" s="38"/>
      <c r="M425" s="17"/>
    </row>
    <row r="426" spans="2:13" ht="14.45" customHeight="1" x14ac:dyDescent="0.25">
      <c r="B426" s="17"/>
      <c r="C426" s="14"/>
      <c r="D426" s="14"/>
      <c r="E426" s="18"/>
      <c r="F426" s="61"/>
      <c r="G426" s="73"/>
      <c r="H426" s="79"/>
      <c r="I426" s="79"/>
      <c r="J426" s="14"/>
      <c r="K426" s="38"/>
      <c r="L426" s="38"/>
      <c r="M426" s="17"/>
    </row>
    <row r="427" spans="2:13" ht="14.45" customHeight="1" x14ac:dyDescent="0.25">
      <c r="B427" s="17"/>
      <c r="C427" s="14"/>
      <c r="D427" s="14"/>
      <c r="E427" s="18"/>
      <c r="F427" s="61"/>
      <c r="G427" s="73"/>
      <c r="H427" s="79"/>
      <c r="I427" s="79"/>
      <c r="J427" s="14"/>
      <c r="K427" s="38"/>
      <c r="L427" s="38"/>
      <c r="M427" s="17"/>
    </row>
    <row r="428" spans="2:13" ht="14.45" customHeight="1" x14ac:dyDescent="0.25">
      <c r="B428" s="17"/>
      <c r="C428" s="14"/>
      <c r="D428" s="14"/>
      <c r="E428" s="18"/>
      <c r="F428" s="61"/>
      <c r="G428" s="73"/>
      <c r="H428" s="79"/>
      <c r="I428" s="79"/>
      <c r="J428" s="14"/>
      <c r="K428" s="38"/>
      <c r="L428" s="38"/>
      <c r="M428" s="17"/>
    </row>
    <row r="429" spans="2:13" ht="14.45" customHeight="1" x14ac:dyDescent="0.25">
      <c r="B429" s="17"/>
      <c r="C429" s="14"/>
      <c r="D429" s="14"/>
      <c r="E429" s="18"/>
      <c r="F429" s="61"/>
      <c r="G429" s="73"/>
      <c r="H429" s="79"/>
      <c r="I429" s="79"/>
      <c r="J429" s="14"/>
      <c r="K429" s="38"/>
      <c r="L429" s="38"/>
      <c r="M429" s="17"/>
    </row>
    <row r="430" spans="2:13" ht="14.45" customHeight="1" x14ac:dyDescent="0.25">
      <c r="B430" s="17"/>
      <c r="C430" s="14"/>
      <c r="D430" s="14"/>
      <c r="E430" s="18"/>
      <c r="F430" s="61"/>
      <c r="G430" s="73"/>
      <c r="H430" s="79"/>
      <c r="I430" s="79"/>
      <c r="J430" s="14"/>
      <c r="K430" s="38"/>
      <c r="L430" s="38"/>
      <c r="M430" s="17"/>
    </row>
    <row r="431" spans="2:13" ht="14.45" customHeight="1" x14ac:dyDescent="0.25">
      <c r="B431" s="17"/>
      <c r="C431" s="14"/>
      <c r="D431" s="14"/>
      <c r="E431" s="18"/>
      <c r="F431" s="61"/>
      <c r="G431" s="73"/>
      <c r="H431" s="79"/>
      <c r="I431" s="79"/>
      <c r="J431" s="14"/>
      <c r="K431" s="38"/>
      <c r="L431" s="38"/>
      <c r="M431" s="17"/>
    </row>
    <row r="432" spans="2:13" ht="14.45" customHeight="1" x14ac:dyDescent="0.25">
      <c r="B432" s="17"/>
      <c r="C432" s="14"/>
      <c r="D432" s="14"/>
      <c r="E432" s="18"/>
      <c r="F432" s="61"/>
      <c r="G432" s="73"/>
      <c r="H432" s="79"/>
      <c r="I432" s="79"/>
      <c r="J432" s="14"/>
      <c r="K432" s="38"/>
      <c r="L432" s="38"/>
      <c r="M432" s="17"/>
    </row>
    <row r="433" spans="2:13" ht="14.45" customHeight="1" x14ac:dyDescent="0.25">
      <c r="B433" s="17"/>
      <c r="C433" s="14"/>
      <c r="D433" s="14"/>
      <c r="E433" s="18"/>
      <c r="F433" s="61"/>
      <c r="G433" s="73"/>
      <c r="H433" s="79"/>
      <c r="I433" s="79"/>
      <c r="J433" s="14"/>
      <c r="K433" s="38"/>
      <c r="L433" s="38"/>
      <c r="M433" s="17"/>
    </row>
    <row r="434" spans="2:13" ht="14.45" customHeight="1" x14ac:dyDescent="0.25">
      <c r="B434" s="17"/>
      <c r="C434" s="14"/>
      <c r="D434" s="14"/>
      <c r="E434" s="18"/>
      <c r="F434" s="61"/>
      <c r="G434" s="73"/>
      <c r="H434" s="79"/>
      <c r="I434" s="79"/>
      <c r="J434" s="14"/>
      <c r="K434" s="38"/>
      <c r="L434" s="38"/>
      <c r="M434" s="17"/>
    </row>
    <row r="435" spans="2:13" ht="14.45" customHeight="1" x14ac:dyDescent="0.25">
      <c r="B435" s="17"/>
      <c r="C435" s="14"/>
      <c r="D435" s="14"/>
      <c r="E435" s="18"/>
      <c r="F435" s="61"/>
      <c r="G435" s="73"/>
      <c r="H435" s="79"/>
      <c r="I435" s="79"/>
      <c r="J435" s="14"/>
      <c r="K435" s="38"/>
      <c r="L435" s="38"/>
      <c r="M435" s="17"/>
    </row>
    <row r="436" spans="2:13" ht="14.45" customHeight="1" x14ac:dyDescent="0.25">
      <c r="B436" s="17"/>
      <c r="C436" s="14"/>
      <c r="D436" s="14"/>
      <c r="E436" s="18"/>
      <c r="F436" s="61"/>
      <c r="G436" s="73"/>
      <c r="H436" s="79"/>
      <c r="I436" s="79"/>
      <c r="J436" s="14"/>
      <c r="K436" s="38"/>
      <c r="L436" s="38"/>
      <c r="M436" s="17"/>
    </row>
    <row r="437" spans="2:13" ht="14.45" customHeight="1" x14ac:dyDescent="0.25">
      <c r="B437" s="17"/>
      <c r="C437" s="14"/>
      <c r="D437" s="14"/>
      <c r="E437" s="18"/>
      <c r="F437" s="61"/>
      <c r="G437" s="73"/>
      <c r="H437" s="79"/>
      <c r="I437" s="79"/>
      <c r="J437" s="14"/>
      <c r="K437" s="38"/>
      <c r="L437" s="38"/>
      <c r="M437" s="17"/>
    </row>
    <row r="438" spans="2:13" ht="14.45" customHeight="1" x14ac:dyDescent="0.25">
      <c r="B438" s="17"/>
      <c r="C438" s="14"/>
      <c r="D438" s="14"/>
      <c r="E438" s="18"/>
      <c r="F438" s="61"/>
      <c r="G438" s="73"/>
      <c r="H438" s="79"/>
      <c r="I438" s="79"/>
      <c r="J438" s="14"/>
      <c r="K438" s="38"/>
      <c r="L438" s="38"/>
      <c r="M438" s="17"/>
    </row>
    <row r="439" spans="2:13" ht="14.45" customHeight="1" x14ac:dyDescent="0.25">
      <c r="B439" s="17"/>
      <c r="C439" s="14"/>
      <c r="D439" s="14"/>
      <c r="E439" s="18"/>
      <c r="F439" s="61"/>
      <c r="G439" s="73"/>
      <c r="H439" s="79"/>
      <c r="I439" s="79"/>
      <c r="J439" s="14"/>
      <c r="K439" s="38"/>
      <c r="L439" s="38"/>
      <c r="M439" s="17"/>
    </row>
    <row r="440" spans="2:13" ht="14.45" customHeight="1" x14ac:dyDescent="0.25">
      <c r="B440" s="17"/>
      <c r="C440" s="14"/>
      <c r="D440" s="14"/>
      <c r="E440" s="18"/>
      <c r="F440" s="61"/>
      <c r="G440" s="73"/>
      <c r="H440" s="79"/>
      <c r="I440" s="79"/>
      <c r="J440" s="14"/>
      <c r="K440" s="38"/>
      <c r="L440" s="38"/>
      <c r="M440" s="17"/>
    </row>
    <row r="441" spans="2:13" ht="14.45" customHeight="1" x14ac:dyDescent="0.25">
      <c r="B441" s="17"/>
      <c r="C441" s="14"/>
      <c r="D441" s="14"/>
      <c r="E441" s="18"/>
      <c r="F441" s="61"/>
      <c r="G441" s="73"/>
      <c r="H441" s="79"/>
      <c r="I441" s="79"/>
      <c r="J441" s="14"/>
      <c r="K441" s="38"/>
      <c r="L441" s="38"/>
      <c r="M441" s="17"/>
    </row>
    <row r="442" spans="2:13" ht="14.45" customHeight="1" x14ac:dyDescent="0.25">
      <c r="B442" s="17"/>
      <c r="C442" s="14"/>
      <c r="D442" s="14"/>
      <c r="E442" s="18"/>
      <c r="F442" s="61"/>
      <c r="G442" s="73"/>
      <c r="H442" s="79"/>
      <c r="I442" s="79"/>
      <c r="J442" s="14"/>
      <c r="K442" s="38"/>
      <c r="L442" s="38"/>
      <c r="M442" s="17"/>
    </row>
    <row r="443" spans="2:13" ht="14.45" customHeight="1" x14ac:dyDescent="0.25">
      <c r="B443" s="17"/>
      <c r="C443" s="14"/>
      <c r="D443" s="14"/>
      <c r="E443" s="18"/>
      <c r="F443" s="61"/>
      <c r="G443" s="73"/>
      <c r="H443" s="79"/>
      <c r="I443" s="79"/>
      <c r="J443" s="14"/>
      <c r="K443" s="38"/>
      <c r="L443" s="38"/>
      <c r="M443" s="17"/>
    </row>
    <row r="444" spans="2:13" ht="14.45" customHeight="1" x14ac:dyDescent="0.25">
      <c r="B444" s="17"/>
      <c r="C444" s="14"/>
      <c r="D444" s="14"/>
      <c r="E444" s="18"/>
      <c r="F444" s="61"/>
      <c r="G444" s="73"/>
      <c r="H444" s="79"/>
      <c r="I444" s="79"/>
      <c r="J444" s="14"/>
      <c r="K444" s="38"/>
      <c r="L444" s="38"/>
      <c r="M444" s="17"/>
    </row>
    <row r="445" spans="2:13" ht="14.45" customHeight="1" x14ac:dyDescent="0.25">
      <c r="B445" s="17"/>
      <c r="C445" s="14"/>
      <c r="D445" s="14"/>
      <c r="E445" s="18"/>
      <c r="F445" s="61"/>
      <c r="G445" s="73"/>
      <c r="H445" s="79"/>
      <c r="I445" s="79"/>
      <c r="J445" s="14"/>
      <c r="K445" s="38"/>
      <c r="L445" s="38"/>
      <c r="M445" s="17"/>
    </row>
    <row r="446" spans="2:13" ht="14.45" customHeight="1" x14ac:dyDescent="0.25">
      <c r="B446" s="17"/>
      <c r="C446" s="14"/>
      <c r="D446" s="14"/>
      <c r="E446" s="18"/>
      <c r="F446" s="61"/>
      <c r="G446" s="73"/>
      <c r="H446" s="79"/>
      <c r="I446" s="79"/>
      <c r="J446" s="14"/>
      <c r="K446" s="38"/>
      <c r="L446" s="38"/>
      <c r="M446" s="17"/>
    </row>
    <row r="447" spans="2:13" ht="14.45" customHeight="1" x14ac:dyDescent="0.25">
      <c r="B447" s="17"/>
      <c r="C447" s="14"/>
      <c r="D447" s="14"/>
      <c r="E447" s="18"/>
      <c r="F447" s="61"/>
      <c r="G447" s="73"/>
      <c r="H447" s="79"/>
      <c r="I447" s="79"/>
      <c r="J447" s="14"/>
      <c r="K447" s="38"/>
      <c r="L447" s="38"/>
      <c r="M447" s="17"/>
    </row>
    <row r="448" spans="2:13" ht="14.45" customHeight="1" x14ac:dyDescent="0.25">
      <c r="B448" s="17"/>
      <c r="C448" s="14"/>
      <c r="D448" s="14"/>
      <c r="E448" s="18"/>
      <c r="F448" s="61"/>
      <c r="G448" s="73"/>
      <c r="H448" s="79"/>
      <c r="I448" s="79"/>
      <c r="J448" s="14"/>
      <c r="K448" s="38"/>
      <c r="L448" s="38"/>
      <c r="M448" s="17"/>
    </row>
    <row r="449" spans="2:13" ht="14.45" customHeight="1" x14ac:dyDescent="0.25">
      <c r="B449" s="17"/>
      <c r="C449" s="14"/>
      <c r="D449" s="14"/>
      <c r="E449" s="18"/>
      <c r="F449" s="61"/>
      <c r="G449" s="73"/>
      <c r="H449" s="79"/>
      <c r="I449" s="79"/>
      <c r="J449" s="14"/>
      <c r="K449" s="38"/>
      <c r="L449" s="38"/>
      <c r="M449" s="17"/>
    </row>
    <row r="450" spans="2:13" ht="14.45" customHeight="1" x14ac:dyDescent="0.25">
      <c r="B450" s="17"/>
      <c r="C450" s="14"/>
      <c r="D450" s="14"/>
      <c r="E450" s="18"/>
      <c r="F450" s="61"/>
      <c r="G450" s="73"/>
      <c r="H450" s="79"/>
      <c r="I450" s="79"/>
      <c r="J450" s="14"/>
      <c r="K450" s="38"/>
      <c r="L450" s="38"/>
      <c r="M450" s="17"/>
    </row>
    <row r="451" spans="2:13" ht="14.45" customHeight="1" x14ac:dyDescent="0.25">
      <c r="B451" s="17"/>
      <c r="C451" s="14"/>
      <c r="D451" s="14"/>
      <c r="E451" s="18"/>
      <c r="F451" s="61"/>
      <c r="G451" s="73"/>
      <c r="H451" s="79"/>
      <c r="I451" s="79"/>
      <c r="J451" s="14"/>
      <c r="K451" s="38"/>
      <c r="L451" s="38"/>
      <c r="M451" s="17"/>
    </row>
    <row r="452" spans="2:13" ht="14.45" customHeight="1" x14ac:dyDescent="0.25">
      <c r="B452" s="17"/>
      <c r="C452" s="14"/>
      <c r="D452" s="14"/>
      <c r="E452" s="18"/>
      <c r="F452" s="61"/>
      <c r="G452" s="73"/>
      <c r="H452" s="79"/>
      <c r="I452" s="79"/>
      <c r="J452" s="14"/>
      <c r="K452" s="38"/>
      <c r="L452" s="38"/>
      <c r="M452" s="17"/>
    </row>
    <row r="453" spans="2:13" ht="14.45" customHeight="1" x14ac:dyDescent="0.25">
      <c r="B453" s="17"/>
      <c r="C453" s="14"/>
      <c r="D453" s="14"/>
      <c r="E453" s="18"/>
      <c r="F453" s="61"/>
      <c r="G453" s="73"/>
      <c r="H453" s="79"/>
      <c r="I453" s="79"/>
      <c r="J453" s="14"/>
      <c r="K453" s="38"/>
      <c r="L453" s="38"/>
      <c r="M453" s="17"/>
    </row>
    <row r="454" spans="2:13" ht="14.45" customHeight="1" x14ac:dyDescent="0.25">
      <c r="B454" s="17"/>
      <c r="C454" s="14"/>
      <c r="D454" s="14"/>
      <c r="E454" s="18"/>
      <c r="F454" s="61"/>
      <c r="G454" s="73"/>
      <c r="H454" s="79"/>
      <c r="I454" s="79"/>
      <c r="J454" s="14"/>
      <c r="K454" s="38"/>
      <c r="L454" s="38"/>
      <c r="M454" s="17"/>
    </row>
    <row r="455" spans="2:13" ht="14.45" customHeight="1" x14ac:dyDescent="0.25">
      <c r="B455" s="17"/>
      <c r="C455" s="14"/>
      <c r="D455" s="14"/>
      <c r="E455" s="18"/>
      <c r="F455" s="61"/>
      <c r="G455" s="73"/>
      <c r="H455" s="79"/>
      <c r="I455" s="79"/>
      <c r="J455" s="14"/>
      <c r="K455" s="38"/>
      <c r="L455" s="38"/>
      <c r="M455" s="17"/>
    </row>
    <row r="456" spans="2:13" ht="14.45" customHeight="1" x14ac:dyDescent="0.25">
      <c r="B456" s="17"/>
      <c r="C456" s="14"/>
      <c r="D456" s="14"/>
      <c r="E456" s="18"/>
      <c r="F456" s="61"/>
      <c r="G456" s="73"/>
      <c r="H456" s="79"/>
      <c r="I456" s="79"/>
      <c r="J456" s="14"/>
      <c r="K456" s="38"/>
      <c r="L456" s="38"/>
      <c r="M456" s="17"/>
    </row>
    <row r="457" spans="2:13" ht="14.45" customHeight="1" x14ac:dyDescent="0.25">
      <c r="B457" s="17"/>
      <c r="C457" s="14"/>
      <c r="D457" s="14"/>
      <c r="E457" s="18"/>
      <c r="F457" s="61"/>
      <c r="G457" s="73"/>
      <c r="H457" s="79"/>
      <c r="I457" s="79"/>
      <c r="J457" s="14"/>
      <c r="K457" s="38"/>
      <c r="L457" s="38"/>
      <c r="M457" s="17"/>
    </row>
    <row r="458" spans="2:13" ht="14.45" customHeight="1" x14ac:dyDescent="0.25">
      <c r="B458" s="17"/>
      <c r="C458" s="14"/>
      <c r="D458" s="14"/>
      <c r="E458" s="18"/>
      <c r="F458" s="61"/>
      <c r="G458" s="73"/>
      <c r="H458" s="79"/>
      <c r="I458" s="79"/>
      <c r="J458" s="14"/>
      <c r="K458" s="38"/>
      <c r="L458" s="38"/>
      <c r="M458" s="17"/>
    </row>
    <row r="459" spans="2:13" ht="14.45" customHeight="1" x14ac:dyDescent="0.25">
      <c r="B459" s="17"/>
      <c r="C459" s="14"/>
      <c r="D459" s="14"/>
      <c r="E459" s="18"/>
      <c r="F459" s="61"/>
      <c r="G459" s="73"/>
      <c r="H459" s="79"/>
      <c r="I459" s="79"/>
      <c r="J459" s="14"/>
      <c r="K459" s="38"/>
      <c r="L459" s="38"/>
      <c r="M459" s="17"/>
    </row>
    <row r="460" spans="2:13" ht="14.45" customHeight="1" x14ac:dyDescent="0.25">
      <c r="B460" s="17"/>
      <c r="C460" s="14"/>
      <c r="D460" s="14"/>
      <c r="E460" s="18"/>
      <c r="F460" s="61"/>
      <c r="G460" s="73"/>
      <c r="H460" s="79"/>
      <c r="I460" s="79"/>
      <c r="J460" s="14"/>
      <c r="K460" s="38"/>
      <c r="L460" s="38"/>
      <c r="M460" s="17"/>
    </row>
    <row r="461" spans="2:13" ht="14.45" customHeight="1" x14ac:dyDescent="0.25">
      <c r="B461" s="17"/>
      <c r="C461" s="14"/>
      <c r="D461" s="14"/>
      <c r="E461" s="18"/>
      <c r="F461" s="61"/>
      <c r="G461" s="73"/>
      <c r="H461" s="79"/>
      <c r="I461" s="79"/>
      <c r="J461" s="14"/>
      <c r="K461" s="38"/>
      <c r="L461" s="38"/>
      <c r="M461" s="17"/>
    </row>
    <row r="462" spans="2:13" ht="14.45" customHeight="1" x14ac:dyDescent="0.25">
      <c r="B462" s="17"/>
      <c r="C462" s="14"/>
      <c r="D462" s="14"/>
      <c r="E462" s="18"/>
      <c r="F462" s="61"/>
      <c r="G462" s="73"/>
      <c r="H462" s="79"/>
      <c r="I462" s="79"/>
      <c r="J462" s="14"/>
      <c r="K462" s="38"/>
      <c r="L462" s="38"/>
      <c r="M462" s="17"/>
    </row>
    <row r="463" spans="2:13" ht="14.45" customHeight="1" x14ac:dyDescent="0.25">
      <c r="B463" s="17"/>
      <c r="C463" s="14"/>
      <c r="D463" s="14"/>
      <c r="E463" s="18"/>
      <c r="F463" s="61"/>
      <c r="G463" s="73"/>
      <c r="H463" s="79"/>
      <c r="I463" s="79"/>
      <c r="J463" s="14"/>
      <c r="K463" s="38"/>
      <c r="L463" s="38"/>
      <c r="M463" s="17"/>
    </row>
    <row r="464" spans="2:13" ht="14.45" customHeight="1" x14ac:dyDescent="0.25">
      <c r="B464" s="17"/>
      <c r="C464" s="14"/>
      <c r="D464" s="14"/>
      <c r="E464" s="18"/>
      <c r="F464" s="61"/>
      <c r="G464" s="73"/>
      <c r="H464" s="79"/>
      <c r="I464" s="79"/>
      <c r="J464" s="14"/>
      <c r="K464" s="38"/>
      <c r="L464" s="38"/>
      <c r="M464" s="17"/>
    </row>
    <row r="465" spans="2:13" ht="14.45" customHeight="1" x14ac:dyDescent="0.25">
      <c r="B465" s="17"/>
      <c r="C465" s="14"/>
      <c r="D465" s="14"/>
      <c r="E465" s="18"/>
      <c r="F465" s="61"/>
      <c r="G465" s="73"/>
      <c r="H465" s="79"/>
      <c r="I465" s="79"/>
      <c r="J465" s="14"/>
      <c r="K465" s="38"/>
      <c r="L465" s="38"/>
      <c r="M465" s="17"/>
    </row>
    <row r="466" spans="2:13" ht="14.45" customHeight="1" x14ac:dyDescent="0.25">
      <c r="B466" s="17"/>
      <c r="C466" s="14"/>
      <c r="D466" s="14"/>
      <c r="E466" s="18"/>
      <c r="F466" s="61"/>
      <c r="G466" s="73"/>
      <c r="H466" s="79"/>
      <c r="I466" s="79"/>
      <c r="J466" s="14"/>
      <c r="K466" s="38"/>
      <c r="L466" s="38"/>
      <c r="M466" s="17"/>
    </row>
    <row r="467" spans="2:13" ht="14.45" customHeight="1" x14ac:dyDescent="0.25">
      <c r="B467" s="17"/>
      <c r="C467" s="14"/>
      <c r="D467" s="14"/>
      <c r="E467" s="18"/>
      <c r="F467" s="61"/>
      <c r="G467" s="73"/>
      <c r="H467" s="79"/>
      <c r="I467" s="79"/>
      <c r="J467" s="14"/>
      <c r="K467" s="38"/>
      <c r="L467" s="38"/>
      <c r="M467" s="17"/>
    </row>
    <row r="468" spans="2:13" ht="14.45" customHeight="1" x14ac:dyDescent="0.25">
      <c r="B468" s="17"/>
      <c r="C468" s="14"/>
      <c r="D468" s="14"/>
      <c r="E468" s="18"/>
      <c r="F468" s="61"/>
      <c r="G468" s="73"/>
      <c r="H468" s="79"/>
      <c r="I468" s="79"/>
      <c r="J468" s="14"/>
      <c r="K468" s="38"/>
      <c r="L468" s="38"/>
      <c r="M468" s="17"/>
    </row>
    <row r="469" spans="2:13" ht="14.45" customHeight="1" x14ac:dyDescent="0.25">
      <c r="B469" s="17"/>
      <c r="C469" s="14"/>
      <c r="D469" s="14"/>
      <c r="E469" s="18"/>
      <c r="F469" s="61"/>
      <c r="G469" s="73"/>
      <c r="H469" s="79"/>
      <c r="I469" s="79"/>
      <c r="J469" s="14"/>
      <c r="K469" s="38"/>
      <c r="L469" s="38"/>
      <c r="M469" s="17"/>
    </row>
    <row r="470" spans="2:13" ht="14.45" customHeight="1" x14ac:dyDescent="0.25">
      <c r="B470" s="17"/>
      <c r="C470" s="14"/>
      <c r="D470" s="14"/>
      <c r="E470" s="18"/>
      <c r="F470" s="61"/>
      <c r="G470" s="73"/>
      <c r="H470" s="79"/>
      <c r="I470" s="79"/>
      <c r="J470" s="14"/>
      <c r="K470" s="38"/>
      <c r="L470" s="38"/>
      <c r="M470" s="17"/>
    </row>
    <row r="471" spans="2:13" ht="14.45" customHeight="1" x14ac:dyDescent="0.25">
      <c r="B471" s="17"/>
      <c r="C471" s="14"/>
      <c r="D471" s="14"/>
      <c r="E471" s="18"/>
      <c r="F471" s="61"/>
      <c r="G471" s="73"/>
      <c r="H471" s="79"/>
      <c r="I471" s="79"/>
      <c r="J471" s="14"/>
      <c r="K471" s="38"/>
      <c r="L471" s="38"/>
      <c r="M471" s="17"/>
    </row>
    <row r="472" spans="2:13" ht="14.45" customHeight="1" x14ac:dyDescent="0.25">
      <c r="B472" s="17"/>
      <c r="C472" s="14"/>
      <c r="D472" s="14"/>
      <c r="E472" s="18"/>
      <c r="F472" s="61"/>
      <c r="G472" s="73"/>
      <c r="H472" s="79"/>
      <c r="I472" s="79"/>
      <c r="J472" s="14"/>
      <c r="K472" s="38"/>
      <c r="L472" s="38"/>
      <c r="M472" s="17"/>
    </row>
    <row r="473" spans="2:13" ht="14.45" customHeight="1" x14ac:dyDescent="0.25">
      <c r="B473" s="17"/>
      <c r="C473" s="14"/>
      <c r="D473" s="14"/>
      <c r="E473" s="18"/>
      <c r="F473" s="61"/>
      <c r="G473" s="73"/>
      <c r="H473" s="79"/>
      <c r="I473" s="79"/>
      <c r="J473" s="14"/>
      <c r="K473" s="38"/>
      <c r="L473" s="38"/>
      <c r="M473" s="17"/>
    </row>
    <row r="474" spans="2:13" ht="14.45" customHeight="1" x14ac:dyDescent="0.25">
      <c r="B474" s="17"/>
      <c r="C474" s="14"/>
      <c r="D474" s="14"/>
      <c r="E474" s="18"/>
      <c r="F474" s="61"/>
      <c r="G474" s="73"/>
      <c r="H474" s="79"/>
      <c r="I474" s="79"/>
      <c r="J474" s="14"/>
      <c r="K474" s="38"/>
      <c r="L474" s="38"/>
      <c r="M474" s="17"/>
    </row>
    <row r="475" spans="2:13" ht="14.45" customHeight="1" x14ac:dyDescent="0.25">
      <c r="B475" s="17"/>
      <c r="C475" s="14"/>
      <c r="D475" s="14"/>
      <c r="E475" s="18"/>
      <c r="F475" s="61"/>
      <c r="G475" s="73"/>
      <c r="H475" s="79"/>
      <c r="I475" s="79"/>
      <c r="J475" s="14"/>
      <c r="K475" s="38"/>
      <c r="L475" s="38"/>
      <c r="M475" s="17"/>
    </row>
    <row r="476" spans="2:13" ht="14.45" customHeight="1" x14ac:dyDescent="0.25">
      <c r="B476" s="17"/>
      <c r="C476" s="14"/>
      <c r="D476" s="14"/>
      <c r="E476" s="18"/>
      <c r="F476" s="61"/>
      <c r="G476" s="73"/>
      <c r="H476" s="79"/>
      <c r="I476" s="79"/>
      <c r="J476" s="14"/>
      <c r="K476" s="38"/>
      <c r="L476" s="38"/>
      <c r="M476" s="17"/>
    </row>
    <row r="477" spans="2:13" ht="14.45" customHeight="1" x14ac:dyDescent="0.25">
      <c r="B477" s="17"/>
      <c r="C477" s="14"/>
      <c r="D477" s="14"/>
      <c r="E477" s="18"/>
      <c r="F477" s="61"/>
      <c r="G477" s="73"/>
      <c r="H477" s="79"/>
      <c r="I477" s="79"/>
      <c r="J477" s="14"/>
      <c r="K477" s="38"/>
      <c r="L477" s="38"/>
      <c r="M477" s="17"/>
    </row>
    <row r="478" spans="2:13" ht="14.45" customHeight="1" x14ac:dyDescent="0.25">
      <c r="B478" s="17"/>
      <c r="C478" s="14"/>
      <c r="D478" s="14"/>
      <c r="E478" s="18"/>
      <c r="F478" s="61"/>
      <c r="G478" s="73"/>
      <c r="H478" s="79"/>
      <c r="I478" s="79"/>
      <c r="J478" s="14"/>
      <c r="K478" s="38"/>
      <c r="L478" s="38"/>
      <c r="M478" s="17"/>
    </row>
    <row r="479" spans="2:13" ht="14.45" customHeight="1" x14ac:dyDescent="0.25">
      <c r="B479" s="17"/>
      <c r="C479" s="14"/>
      <c r="D479" s="14"/>
      <c r="E479" s="18"/>
      <c r="F479" s="61"/>
      <c r="G479" s="73"/>
      <c r="H479" s="79"/>
      <c r="I479" s="79"/>
      <c r="J479" s="14"/>
      <c r="K479" s="38"/>
      <c r="L479" s="38"/>
      <c r="M479" s="17"/>
    </row>
    <row r="480" spans="2:13" ht="14.45" customHeight="1" x14ac:dyDescent="0.25">
      <c r="B480" s="17"/>
      <c r="C480" s="14"/>
      <c r="D480" s="14"/>
      <c r="E480" s="18"/>
      <c r="F480" s="61"/>
      <c r="G480" s="73"/>
      <c r="H480" s="79"/>
      <c r="I480" s="79"/>
      <c r="J480" s="14"/>
      <c r="K480" s="38"/>
      <c r="L480" s="38"/>
      <c r="M480" s="17"/>
    </row>
    <row r="481" spans="2:13" ht="14.45" customHeight="1" x14ac:dyDescent="0.25">
      <c r="B481" s="17"/>
      <c r="C481" s="14"/>
      <c r="D481" s="14"/>
      <c r="E481" s="18"/>
      <c r="F481" s="61"/>
      <c r="G481" s="73"/>
      <c r="H481" s="79"/>
      <c r="I481" s="79"/>
      <c r="J481" s="14"/>
      <c r="K481" s="38"/>
      <c r="L481" s="38"/>
      <c r="M481" s="17"/>
    </row>
    <row r="482" spans="2:13" ht="14.45" customHeight="1" x14ac:dyDescent="0.25">
      <c r="B482" s="17"/>
      <c r="C482" s="14"/>
      <c r="D482" s="14"/>
      <c r="E482" s="18"/>
      <c r="F482" s="61"/>
      <c r="G482" s="73"/>
      <c r="H482" s="79"/>
      <c r="I482" s="79"/>
      <c r="J482" s="14"/>
      <c r="K482" s="38"/>
      <c r="L482" s="38"/>
      <c r="M482" s="17"/>
    </row>
    <row r="483" spans="2:13" ht="14.45" customHeight="1" x14ac:dyDescent="0.25">
      <c r="B483" s="17"/>
      <c r="C483" s="14"/>
      <c r="D483" s="14"/>
      <c r="E483" s="18"/>
      <c r="F483" s="61"/>
      <c r="G483" s="73"/>
      <c r="H483" s="79"/>
      <c r="I483" s="79"/>
      <c r="J483" s="14"/>
      <c r="K483" s="38"/>
      <c r="L483" s="38"/>
      <c r="M483" s="17"/>
    </row>
    <row r="484" spans="2:13" ht="14.45" customHeight="1" x14ac:dyDescent="0.25">
      <c r="B484" s="17"/>
      <c r="C484" s="14"/>
      <c r="D484" s="14"/>
      <c r="E484" s="18"/>
      <c r="F484" s="61"/>
      <c r="G484" s="73"/>
      <c r="H484" s="79"/>
      <c r="I484" s="79"/>
      <c r="J484" s="14"/>
      <c r="K484" s="38"/>
      <c r="L484" s="38"/>
      <c r="M484" s="17"/>
    </row>
    <row r="485" spans="2:13" ht="14.45" customHeight="1" x14ac:dyDescent="0.25">
      <c r="B485" s="17"/>
      <c r="C485" s="14"/>
      <c r="D485" s="14"/>
      <c r="E485" s="18"/>
      <c r="F485" s="61"/>
      <c r="G485" s="73"/>
      <c r="H485" s="79"/>
      <c r="I485" s="79"/>
      <c r="J485" s="14"/>
      <c r="K485" s="38"/>
      <c r="L485" s="38"/>
      <c r="M485" s="17"/>
    </row>
    <row r="486" spans="2:13" ht="14.45" customHeight="1" x14ac:dyDescent="0.25">
      <c r="B486" s="17"/>
      <c r="C486" s="14"/>
      <c r="D486" s="14"/>
      <c r="E486" s="18"/>
      <c r="F486" s="61"/>
      <c r="G486" s="73"/>
      <c r="H486" s="79"/>
      <c r="I486" s="79"/>
      <c r="J486" s="14"/>
      <c r="K486" s="38"/>
      <c r="L486" s="38"/>
      <c r="M486" s="17"/>
    </row>
    <row r="487" spans="2:13" ht="14.45" customHeight="1" x14ac:dyDescent="0.25">
      <c r="B487" s="17"/>
      <c r="C487" s="14"/>
      <c r="D487" s="14"/>
      <c r="E487" s="18"/>
      <c r="F487" s="61"/>
      <c r="G487" s="73"/>
      <c r="H487" s="79"/>
      <c r="I487" s="79"/>
      <c r="J487" s="14"/>
      <c r="K487" s="38"/>
      <c r="L487" s="38"/>
      <c r="M487" s="17"/>
    </row>
    <row r="488" spans="2:13" ht="14.45" customHeight="1" x14ac:dyDescent="0.25">
      <c r="B488" s="17"/>
      <c r="C488" s="14"/>
      <c r="D488" s="14"/>
      <c r="E488" s="18"/>
      <c r="F488" s="61"/>
      <c r="G488" s="73"/>
      <c r="H488" s="79"/>
      <c r="I488" s="79"/>
      <c r="J488" s="14"/>
      <c r="K488" s="38"/>
      <c r="L488" s="38"/>
      <c r="M488" s="17"/>
    </row>
    <row r="489" spans="2:13" ht="14.45" customHeight="1" x14ac:dyDescent="0.25">
      <c r="B489" s="17"/>
      <c r="C489" s="14"/>
      <c r="D489" s="14"/>
      <c r="E489" s="18"/>
      <c r="F489" s="61"/>
      <c r="G489" s="73"/>
      <c r="H489" s="79"/>
      <c r="I489" s="79"/>
      <c r="J489" s="14"/>
      <c r="K489" s="38"/>
      <c r="L489" s="38"/>
      <c r="M489" s="17"/>
    </row>
    <row r="490" spans="2:13" ht="14.45" customHeight="1" x14ac:dyDescent="0.25">
      <c r="B490" s="17"/>
      <c r="C490" s="14"/>
      <c r="D490" s="14"/>
      <c r="E490" s="18"/>
      <c r="F490" s="61"/>
      <c r="G490" s="73"/>
      <c r="H490" s="79"/>
      <c r="I490" s="79"/>
      <c r="J490" s="14"/>
      <c r="K490" s="38"/>
      <c r="L490" s="38"/>
      <c r="M490" s="17"/>
    </row>
    <row r="491" spans="2:13" ht="14.45" customHeight="1" x14ac:dyDescent="0.25">
      <c r="B491" s="17"/>
      <c r="C491" s="14"/>
      <c r="D491" s="14"/>
      <c r="E491" s="18"/>
      <c r="F491" s="61"/>
      <c r="G491" s="73"/>
      <c r="H491" s="79"/>
      <c r="I491" s="79"/>
      <c r="J491" s="14"/>
      <c r="K491" s="38"/>
      <c r="L491" s="38"/>
      <c r="M491" s="17"/>
    </row>
    <row r="492" spans="2:13" ht="14.45" customHeight="1" x14ac:dyDescent="0.25">
      <c r="B492" s="17"/>
      <c r="C492" s="14"/>
      <c r="D492" s="14"/>
      <c r="E492" s="18"/>
      <c r="F492" s="61"/>
      <c r="G492" s="73"/>
      <c r="H492" s="79"/>
      <c r="I492" s="79"/>
      <c r="J492" s="14"/>
      <c r="K492" s="38"/>
      <c r="L492" s="38"/>
      <c r="M492" s="17"/>
    </row>
    <row r="493" spans="2:13" ht="14.45" customHeight="1" x14ac:dyDescent="0.25">
      <c r="B493" s="17"/>
      <c r="C493" s="14"/>
      <c r="D493" s="14"/>
      <c r="E493" s="18"/>
      <c r="F493" s="61"/>
      <c r="G493" s="73"/>
      <c r="H493" s="79"/>
      <c r="I493" s="79"/>
      <c r="J493" s="14"/>
      <c r="K493" s="38"/>
      <c r="L493" s="38"/>
      <c r="M493" s="17"/>
    </row>
    <row r="494" spans="2:13" ht="14.45" customHeight="1" x14ac:dyDescent="0.25">
      <c r="B494" s="17"/>
      <c r="C494" s="14"/>
      <c r="D494" s="14"/>
      <c r="E494" s="18"/>
      <c r="F494" s="61"/>
      <c r="G494" s="73"/>
      <c r="H494" s="79"/>
      <c r="I494" s="79"/>
      <c r="J494" s="14"/>
      <c r="K494" s="38"/>
      <c r="L494" s="38"/>
      <c r="M494" s="17"/>
    </row>
    <row r="495" spans="2:13" ht="14.45" customHeight="1" x14ac:dyDescent="0.25">
      <c r="B495" s="17"/>
      <c r="C495" s="14"/>
      <c r="D495" s="14"/>
      <c r="E495" s="18"/>
      <c r="F495" s="61"/>
      <c r="G495" s="73"/>
      <c r="H495" s="79"/>
      <c r="I495" s="79"/>
      <c r="J495" s="14"/>
      <c r="K495" s="38"/>
      <c r="L495" s="38"/>
      <c r="M495" s="17"/>
    </row>
    <row r="496" spans="2:13" ht="14.45" customHeight="1" x14ac:dyDescent="0.25">
      <c r="B496" s="17"/>
      <c r="C496" s="14"/>
      <c r="D496" s="14"/>
      <c r="E496" s="18"/>
      <c r="F496" s="61"/>
      <c r="G496" s="73"/>
      <c r="H496" s="79"/>
      <c r="I496" s="79"/>
      <c r="J496" s="14"/>
      <c r="K496" s="38"/>
      <c r="L496" s="38"/>
      <c r="M496" s="17"/>
    </row>
    <row r="497" spans="2:13" ht="14.45" customHeight="1" x14ac:dyDescent="0.25">
      <c r="B497" s="17"/>
      <c r="C497" s="14"/>
      <c r="D497" s="14"/>
      <c r="E497" s="18"/>
      <c r="F497" s="61"/>
      <c r="G497" s="73"/>
      <c r="H497" s="79"/>
      <c r="I497" s="79"/>
      <c r="J497" s="14"/>
      <c r="K497" s="38"/>
      <c r="L497" s="38"/>
      <c r="M497" s="17"/>
    </row>
    <row r="498" spans="2:13" ht="14.45" customHeight="1" x14ac:dyDescent="0.25">
      <c r="B498" s="17"/>
      <c r="C498" s="14"/>
      <c r="D498" s="14"/>
      <c r="E498" s="18"/>
      <c r="F498" s="61"/>
      <c r="G498" s="73"/>
      <c r="H498" s="79"/>
      <c r="I498" s="79"/>
      <c r="J498" s="14"/>
      <c r="K498" s="38"/>
      <c r="L498" s="38"/>
      <c r="M498" s="17"/>
    </row>
    <row r="499" spans="2:13" ht="14.45" customHeight="1" x14ac:dyDescent="0.25">
      <c r="B499" s="17"/>
      <c r="C499" s="14"/>
      <c r="D499" s="14"/>
      <c r="E499" s="18"/>
      <c r="F499" s="61"/>
      <c r="G499" s="73"/>
      <c r="H499" s="79"/>
      <c r="I499" s="79"/>
      <c r="J499" s="14"/>
      <c r="K499" s="38"/>
      <c r="L499" s="38"/>
      <c r="M499" s="17"/>
    </row>
    <row r="500" spans="2:13" ht="14.45" customHeight="1" x14ac:dyDescent="0.25">
      <c r="B500" s="17"/>
      <c r="C500" s="14"/>
      <c r="D500" s="14"/>
      <c r="E500" s="18"/>
      <c r="F500" s="61"/>
      <c r="G500" s="73"/>
      <c r="H500" s="79"/>
      <c r="I500" s="79"/>
      <c r="J500" s="14"/>
      <c r="K500" s="38"/>
      <c r="L500" s="38"/>
      <c r="M500" s="17"/>
    </row>
    <row r="501" spans="2:13" ht="14.45" customHeight="1" x14ac:dyDescent="0.25">
      <c r="B501" s="17"/>
      <c r="C501" s="14"/>
      <c r="D501" s="14"/>
      <c r="E501" s="18"/>
      <c r="F501" s="61"/>
      <c r="G501" s="73"/>
      <c r="H501" s="79"/>
      <c r="I501" s="79"/>
      <c r="J501" s="14"/>
      <c r="K501" s="38"/>
      <c r="L501" s="38"/>
      <c r="M501" s="17"/>
    </row>
    <row r="502" spans="2:13" ht="14.45" customHeight="1" x14ac:dyDescent="0.25">
      <c r="B502" s="17"/>
      <c r="C502" s="14"/>
      <c r="D502" s="14"/>
      <c r="E502" s="18"/>
      <c r="F502" s="61"/>
      <c r="G502" s="73"/>
      <c r="H502" s="79"/>
      <c r="I502" s="79"/>
      <c r="J502" s="14"/>
      <c r="K502" s="38"/>
      <c r="L502" s="38"/>
      <c r="M502" s="17"/>
    </row>
    <row r="503" spans="2:13" ht="14.45" customHeight="1" x14ac:dyDescent="0.25">
      <c r="B503" s="17"/>
      <c r="C503" s="14"/>
      <c r="D503" s="14"/>
      <c r="E503" s="18"/>
      <c r="F503" s="61"/>
      <c r="G503" s="73"/>
      <c r="H503" s="79"/>
      <c r="I503" s="79"/>
      <c r="J503" s="14"/>
      <c r="K503" s="38"/>
      <c r="L503" s="38"/>
      <c r="M503" s="17"/>
    </row>
    <row r="504" spans="2:13" ht="14.45" customHeight="1" x14ac:dyDescent="0.25">
      <c r="B504" s="17"/>
      <c r="C504" s="14"/>
      <c r="D504" s="14"/>
      <c r="E504" s="18"/>
      <c r="F504" s="61"/>
      <c r="G504" s="73"/>
      <c r="H504" s="79"/>
      <c r="I504" s="79"/>
      <c r="J504" s="14"/>
      <c r="K504" s="38"/>
      <c r="L504" s="38"/>
      <c r="M504" s="17"/>
    </row>
    <row r="505" spans="2:13" ht="14.45" customHeight="1" x14ac:dyDescent="0.25">
      <c r="B505" s="17"/>
      <c r="C505" s="14"/>
      <c r="D505" s="14"/>
      <c r="E505" s="18"/>
      <c r="F505" s="61"/>
      <c r="G505" s="73"/>
      <c r="H505" s="79"/>
      <c r="I505" s="79"/>
      <c r="J505" s="14"/>
      <c r="K505" s="38"/>
      <c r="L505" s="38"/>
      <c r="M505" s="17"/>
    </row>
    <row r="506" spans="2:13" ht="14.45" customHeight="1" x14ac:dyDescent="0.25">
      <c r="B506" s="17"/>
      <c r="C506" s="14"/>
      <c r="D506" s="14"/>
      <c r="E506" s="18"/>
      <c r="F506" s="61"/>
      <c r="G506" s="73"/>
      <c r="H506" s="79"/>
      <c r="I506" s="79"/>
      <c r="J506" s="14"/>
      <c r="K506" s="38"/>
      <c r="L506" s="38"/>
      <c r="M506" s="17"/>
    </row>
    <row r="507" spans="2:13" ht="14.45" customHeight="1" x14ac:dyDescent="0.25">
      <c r="B507" s="17"/>
      <c r="C507" s="14"/>
      <c r="D507" s="14"/>
      <c r="E507" s="18"/>
      <c r="F507" s="61"/>
      <c r="G507" s="73"/>
      <c r="H507" s="79"/>
      <c r="I507" s="79"/>
      <c r="J507" s="14"/>
      <c r="K507" s="38"/>
      <c r="L507" s="38"/>
      <c r="M507" s="17"/>
    </row>
    <row r="508" spans="2:13" ht="14.45" customHeight="1" x14ac:dyDescent="0.25">
      <c r="B508" s="17"/>
      <c r="C508" s="14"/>
      <c r="D508" s="14"/>
      <c r="E508" s="18"/>
      <c r="F508" s="61"/>
      <c r="G508" s="73"/>
      <c r="H508" s="79"/>
      <c r="I508" s="79"/>
      <c r="J508" s="14"/>
      <c r="K508" s="38"/>
      <c r="L508" s="38"/>
      <c r="M508" s="17"/>
    </row>
    <row r="509" spans="2:13" ht="14.45" customHeight="1" x14ac:dyDescent="0.25">
      <c r="B509" s="17"/>
      <c r="C509" s="14"/>
      <c r="D509" s="14"/>
      <c r="E509" s="18"/>
      <c r="F509" s="61"/>
      <c r="G509" s="73"/>
      <c r="H509" s="79"/>
      <c r="I509" s="79"/>
      <c r="J509" s="14"/>
      <c r="K509" s="38"/>
      <c r="L509" s="38"/>
      <c r="M509" s="17"/>
    </row>
    <row r="510" spans="2:13" ht="14.45" customHeight="1" x14ac:dyDescent="0.25">
      <c r="B510" s="17"/>
      <c r="C510" s="14"/>
      <c r="D510" s="14"/>
      <c r="E510" s="18"/>
      <c r="F510" s="61"/>
      <c r="G510" s="73"/>
      <c r="H510" s="79"/>
      <c r="I510" s="79"/>
      <c r="J510" s="14"/>
      <c r="K510" s="38"/>
      <c r="L510" s="38"/>
      <c r="M510" s="17"/>
    </row>
    <row r="511" spans="2:13" ht="14.45" customHeight="1" x14ac:dyDescent="0.25">
      <c r="B511" s="17"/>
      <c r="C511" s="14"/>
      <c r="D511" s="14"/>
      <c r="E511" s="18"/>
      <c r="F511" s="61"/>
      <c r="G511" s="73"/>
      <c r="H511" s="79"/>
      <c r="I511" s="79"/>
      <c r="J511" s="14"/>
      <c r="K511" s="38"/>
      <c r="L511" s="38"/>
      <c r="M511" s="17"/>
    </row>
    <row r="512" spans="2:13" ht="14.45" customHeight="1" x14ac:dyDescent="0.25">
      <c r="B512" s="17"/>
      <c r="C512" s="14"/>
      <c r="D512" s="14"/>
      <c r="E512" s="18"/>
      <c r="F512" s="61"/>
      <c r="G512" s="73"/>
      <c r="H512" s="79"/>
      <c r="I512" s="79"/>
      <c r="J512" s="14"/>
      <c r="K512" s="38"/>
      <c r="L512" s="38"/>
      <c r="M512" s="17"/>
    </row>
    <row r="513" spans="2:13" ht="14.45" customHeight="1" x14ac:dyDescent="0.25">
      <c r="B513" s="17"/>
      <c r="C513" s="14"/>
      <c r="D513" s="14"/>
      <c r="E513" s="18"/>
      <c r="F513" s="61"/>
      <c r="G513" s="73"/>
      <c r="H513" s="79"/>
      <c r="I513" s="79"/>
      <c r="J513" s="14"/>
      <c r="K513" s="38"/>
      <c r="L513" s="38"/>
      <c r="M513" s="17"/>
    </row>
    <row r="514" spans="2:13" ht="14.45" customHeight="1" x14ac:dyDescent="0.25">
      <c r="B514" s="17"/>
      <c r="C514" s="14"/>
      <c r="D514" s="14"/>
      <c r="E514" s="18"/>
      <c r="F514" s="61"/>
      <c r="G514" s="73"/>
      <c r="H514" s="79"/>
      <c r="I514" s="79"/>
      <c r="J514" s="14"/>
      <c r="K514" s="38"/>
      <c r="L514" s="38"/>
      <c r="M514" s="17"/>
    </row>
    <row r="515" spans="2:13" ht="14.45" customHeight="1" x14ac:dyDescent="0.25">
      <c r="B515" s="17"/>
      <c r="C515" s="14"/>
      <c r="D515" s="14"/>
      <c r="E515" s="18"/>
      <c r="F515" s="61"/>
      <c r="G515" s="73"/>
      <c r="H515" s="79"/>
      <c r="I515" s="79"/>
      <c r="J515" s="14"/>
      <c r="K515" s="38"/>
      <c r="L515" s="38"/>
      <c r="M515" s="17"/>
    </row>
    <row r="516" spans="2:13" ht="14.45" customHeight="1" x14ac:dyDescent="0.25">
      <c r="B516" s="17"/>
      <c r="C516" s="14"/>
      <c r="D516" s="14"/>
      <c r="E516" s="18"/>
      <c r="F516" s="61"/>
      <c r="G516" s="73"/>
      <c r="H516" s="79"/>
      <c r="I516" s="79"/>
      <c r="J516" s="14"/>
      <c r="K516" s="38"/>
      <c r="L516" s="38"/>
      <c r="M516" s="17"/>
    </row>
    <row r="517" spans="2:13" ht="14.45" customHeight="1" x14ac:dyDescent="0.25">
      <c r="B517" s="17"/>
      <c r="C517" s="14"/>
      <c r="D517" s="14"/>
      <c r="E517" s="18"/>
      <c r="F517" s="61"/>
      <c r="G517" s="73"/>
      <c r="H517" s="79"/>
      <c r="I517" s="79"/>
      <c r="J517" s="14"/>
      <c r="K517" s="38"/>
      <c r="L517" s="38"/>
      <c r="M517" s="17"/>
    </row>
    <row r="518" spans="2:13" ht="14.45" customHeight="1" x14ac:dyDescent="0.25">
      <c r="B518" s="17"/>
      <c r="C518" s="14"/>
      <c r="D518" s="14"/>
      <c r="E518" s="18"/>
      <c r="F518" s="61"/>
      <c r="G518" s="73"/>
      <c r="H518" s="79"/>
      <c r="I518" s="79"/>
      <c r="J518" s="14"/>
      <c r="K518" s="38"/>
      <c r="L518" s="38"/>
      <c r="M518" s="17"/>
    </row>
    <row r="519" spans="2:13" ht="14.45" customHeight="1" x14ac:dyDescent="0.25">
      <c r="B519" s="17"/>
      <c r="C519" s="14"/>
      <c r="D519" s="14"/>
      <c r="E519" s="18"/>
      <c r="F519" s="61"/>
      <c r="G519" s="73"/>
      <c r="H519" s="79"/>
      <c r="I519" s="79"/>
      <c r="J519" s="14"/>
      <c r="K519" s="38"/>
      <c r="L519" s="38"/>
      <c r="M519" s="17"/>
    </row>
    <row r="520" spans="2:13" ht="14.45" customHeight="1" x14ac:dyDescent="0.25">
      <c r="B520" s="17"/>
      <c r="C520" s="14"/>
      <c r="D520" s="14"/>
      <c r="E520" s="18"/>
      <c r="F520" s="61"/>
      <c r="G520" s="73"/>
      <c r="H520" s="79"/>
      <c r="I520" s="79"/>
      <c r="J520" s="14"/>
      <c r="K520" s="38"/>
      <c r="L520" s="38"/>
      <c r="M520" s="17"/>
    </row>
    <row r="521" spans="2:13" ht="14.45" customHeight="1" x14ac:dyDescent="0.25">
      <c r="B521" s="17"/>
      <c r="C521" s="14"/>
      <c r="D521" s="14"/>
      <c r="E521" s="18"/>
      <c r="F521" s="61"/>
      <c r="G521" s="73"/>
      <c r="H521" s="79"/>
      <c r="I521" s="79"/>
      <c r="J521" s="14"/>
      <c r="K521" s="38"/>
      <c r="L521" s="38"/>
      <c r="M521" s="17"/>
    </row>
    <row r="522" spans="2:13" ht="14.45" customHeight="1" x14ac:dyDescent="0.25">
      <c r="B522" s="17"/>
      <c r="C522" s="14"/>
      <c r="D522" s="14"/>
      <c r="E522" s="18"/>
      <c r="F522" s="61"/>
      <c r="G522" s="73"/>
      <c r="H522" s="79"/>
      <c r="I522" s="79"/>
      <c r="J522" s="14"/>
      <c r="K522" s="38"/>
      <c r="L522" s="38"/>
      <c r="M522" s="17"/>
    </row>
    <row r="523" spans="2:13" ht="14.45" customHeight="1" x14ac:dyDescent="0.25">
      <c r="B523" s="17"/>
      <c r="C523" s="14"/>
      <c r="D523" s="14"/>
      <c r="E523" s="18"/>
      <c r="F523" s="61"/>
      <c r="G523" s="73"/>
      <c r="H523" s="79"/>
      <c r="I523" s="79"/>
      <c r="J523" s="14"/>
      <c r="K523" s="38"/>
      <c r="L523" s="38"/>
      <c r="M523" s="17"/>
    </row>
    <row r="524" spans="2:13" ht="14.45" customHeight="1" x14ac:dyDescent="0.25">
      <c r="B524" s="17"/>
      <c r="C524" s="14"/>
      <c r="D524" s="14"/>
      <c r="E524" s="18"/>
      <c r="F524" s="61"/>
      <c r="G524" s="73"/>
      <c r="H524" s="79"/>
      <c r="I524" s="79"/>
      <c r="J524" s="14"/>
      <c r="K524" s="38"/>
      <c r="L524" s="38"/>
      <c r="M524" s="17"/>
    </row>
    <row r="525" spans="2:13" ht="14.45" customHeight="1" x14ac:dyDescent="0.25">
      <c r="B525" s="17"/>
      <c r="C525" s="14"/>
      <c r="D525" s="14"/>
      <c r="E525" s="18"/>
      <c r="F525" s="61"/>
      <c r="G525" s="73"/>
      <c r="H525" s="79"/>
      <c r="I525" s="79"/>
      <c r="J525" s="14"/>
      <c r="K525" s="38"/>
      <c r="L525" s="38"/>
      <c r="M525" s="17"/>
    </row>
    <row r="526" spans="2:13" ht="14.45" customHeight="1" x14ac:dyDescent="0.25">
      <c r="B526" s="17"/>
      <c r="C526" s="14"/>
      <c r="D526" s="14"/>
      <c r="E526" s="18"/>
      <c r="F526" s="61"/>
      <c r="G526" s="73"/>
      <c r="H526" s="79"/>
      <c r="I526" s="79"/>
      <c r="J526" s="14"/>
      <c r="K526" s="38"/>
      <c r="L526" s="38"/>
      <c r="M526" s="17"/>
    </row>
    <row r="527" spans="2:13" ht="14.45" customHeight="1" x14ac:dyDescent="0.25">
      <c r="B527" s="17"/>
      <c r="C527" s="14"/>
      <c r="D527" s="14"/>
      <c r="E527" s="18"/>
      <c r="F527" s="61"/>
      <c r="G527" s="73"/>
      <c r="H527" s="79"/>
      <c r="I527" s="79"/>
      <c r="J527" s="14"/>
      <c r="K527" s="38"/>
      <c r="L527" s="38"/>
      <c r="M527" s="17"/>
    </row>
    <row r="528" spans="2:13" ht="14.45" customHeight="1" x14ac:dyDescent="0.25">
      <c r="B528" s="17"/>
      <c r="C528" s="14"/>
      <c r="D528" s="14"/>
      <c r="E528" s="18"/>
      <c r="F528" s="61"/>
      <c r="G528" s="73"/>
      <c r="H528" s="79"/>
      <c r="I528" s="79"/>
      <c r="J528" s="14"/>
      <c r="K528" s="38"/>
      <c r="L528" s="38"/>
      <c r="M528" s="17"/>
    </row>
    <row r="529" spans="2:13" ht="14.45" customHeight="1" x14ac:dyDescent="0.25">
      <c r="B529" s="17"/>
      <c r="C529" s="14"/>
      <c r="D529" s="14"/>
      <c r="E529" s="18"/>
      <c r="F529" s="61"/>
      <c r="G529" s="73"/>
      <c r="H529" s="79"/>
      <c r="I529" s="79"/>
      <c r="J529" s="14"/>
      <c r="K529" s="38"/>
      <c r="L529" s="38"/>
      <c r="M529" s="17"/>
    </row>
    <row r="530" spans="2:13" ht="14.45" customHeight="1" x14ac:dyDescent="0.25">
      <c r="B530" s="17"/>
      <c r="C530" s="14"/>
      <c r="D530" s="14"/>
      <c r="E530" s="18"/>
      <c r="F530" s="61"/>
      <c r="G530" s="73"/>
      <c r="H530" s="79"/>
      <c r="I530" s="79"/>
      <c r="J530" s="14"/>
      <c r="K530" s="38"/>
      <c r="L530" s="38"/>
      <c r="M530" s="17"/>
    </row>
    <row r="531" spans="2:13" ht="14.45" customHeight="1" x14ac:dyDescent="0.25">
      <c r="B531" s="17"/>
      <c r="C531" s="14"/>
      <c r="D531" s="14"/>
      <c r="E531" s="18"/>
      <c r="F531" s="61"/>
      <c r="G531" s="73"/>
      <c r="H531" s="79"/>
      <c r="I531" s="79"/>
      <c r="J531" s="14"/>
      <c r="K531" s="38"/>
      <c r="L531" s="38"/>
      <c r="M531" s="17"/>
    </row>
    <row r="532" spans="2:13" ht="14.45" customHeight="1" x14ac:dyDescent="0.25">
      <c r="B532" s="17"/>
      <c r="C532" s="14"/>
      <c r="D532" s="14"/>
      <c r="E532" s="18"/>
      <c r="F532" s="61"/>
      <c r="G532" s="73"/>
      <c r="H532" s="79"/>
      <c r="I532" s="79"/>
      <c r="J532" s="14"/>
      <c r="K532" s="38"/>
      <c r="L532" s="38"/>
      <c r="M532" s="17"/>
    </row>
    <row r="533" spans="2:13" ht="14.45" customHeight="1" x14ac:dyDescent="0.25">
      <c r="B533" s="17"/>
      <c r="C533" s="14"/>
      <c r="D533" s="14"/>
      <c r="E533" s="18"/>
      <c r="F533" s="61"/>
      <c r="G533" s="73"/>
      <c r="H533" s="79"/>
      <c r="I533" s="79"/>
      <c r="J533" s="14"/>
      <c r="K533" s="38"/>
      <c r="L533" s="38"/>
      <c r="M533" s="17"/>
    </row>
    <row r="534" spans="2:13" ht="14.45" customHeight="1" x14ac:dyDescent="0.25">
      <c r="B534" s="17"/>
      <c r="C534" s="14"/>
      <c r="D534" s="14"/>
      <c r="E534" s="18"/>
      <c r="F534" s="61"/>
      <c r="G534" s="73"/>
      <c r="H534" s="79"/>
      <c r="I534" s="79"/>
      <c r="J534" s="14"/>
      <c r="K534" s="38"/>
      <c r="L534" s="38"/>
      <c r="M534" s="17"/>
    </row>
    <row r="535" spans="2:13" ht="14.45" customHeight="1" x14ac:dyDescent="0.25">
      <c r="B535" s="17"/>
      <c r="C535" s="14"/>
      <c r="D535" s="14"/>
      <c r="E535" s="18"/>
      <c r="F535" s="61"/>
      <c r="G535" s="73"/>
      <c r="H535" s="79"/>
      <c r="I535" s="79"/>
      <c r="J535" s="14"/>
      <c r="K535" s="38"/>
      <c r="L535" s="38"/>
      <c r="M535" s="17"/>
    </row>
    <row r="536" spans="2:13" ht="14.45" customHeight="1" x14ac:dyDescent="0.25">
      <c r="B536" s="17"/>
      <c r="C536" s="14"/>
      <c r="D536" s="14"/>
      <c r="E536" s="18"/>
      <c r="F536" s="61"/>
      <c r="G536" s="73"/>
      <c r="H536" s="79"/>
      <c r="I536" s="79"/>
      <c r="J536" s="14"/>
      <c r="K536" s="38"/>
      <c r="L536" s="38"/>
      <c r="M536" s="17"/>
    </row>
    <row r="537" spans="2:13" ht="14.45" customHeight="1" x14ac:dyDescent="0.25">
      <c r="B537" s="17"/>
      <c r="C537" s="14"/>
      <c r="D537" s="14"/>
      <c r="E537" s="18"/>
      <c r="F537" s="61"/>
      <c r="G537" s="73"/>
      <c r="H537" s="79"/>
      <c r="I537" s="79"/>
      <c r="J537" s="14"/>
      <c r="K537" s="38"/>
      <c r="L537" s="38"/>
      <c r="M537" s="17"/>
    </row>
    <row r="538" spans="2:13" ht="14.45" customHeight="1" x14ac:dyDescent="0.25">
      <c r="B538" s="17"/>
      <c r="C538" s="14"/>
      <c r="D538" s="14"/>
      <c r="E538" s="18"/>
      <c r="F538" s="61"/>
      <c r="G538" s="73"/>
      <c r="H538" s="79"/>
      <c r="I538" s="79"/>
      <c r="J538" s="14"/>
      <c r="K538" s="38"/>
      <c r="L538" s="38"/>
      <c r="M538" s="17"/>
    </row>
    <row r="539" spans="2:13" ht="14.45" customHeight="1" x14ac:dyDescent="0.25">
      <c r="B539" s="17"/>
      <c r="C539" s="14"/>
      <c r="D539" s="14"/>
      <c r="E539" s="18"/>
      <c r="F539" s="61"/>
      <c r="G539" s="73"/>
      <c r="H539" s="79"/>
      <c r="I539" s="79"/>
      <c r="J539" s="14"/>
      <c r="K539" s="38"/>
      <c r="L539" s="38"/>
      <c r="M539" s="17"/>
    </row>
    <row r="540" spans="2:13" ht="14.45" customHeight="1" x14ac:dyDescent="0.25">
      <c r="B540" s="17"/>
      <c r="C540" s="14"/>
      <c r="D540" s="14"/>
      <c r="E540" s="18"/>
      <c r="F540" s="61"/>
      <c r="G540" s="73"/>
      <c r="H540" s="79"/>
      <c r="I540" s="79"/>
      <c r="J540" s="14"/>
      <c r="K540" s="38"/>
      <c r="L540" s="38"/>
      <c r="M540" s="17"/>
    </row>
    <row r="541" spans="2:13" ht="14.45" customHeight="1" x14ac:dyDescent="0.25">
      <c r="B541" s="17"/>
      <c r="C541" s="14"/>
      <c r="D541" s="14"/>
      <c r="E541" s="18"/>
      <c r="F541" s="61"/>
      <c r="G541" s="73"/>
      <c r="H541" s="79"/>
      <c r="I541" s="79"/>
      <c r="J541" s="14"/>
      <c r="K541" s="38"/>
      <c r="L541" s="38"/>
      <c r="M541" s="17"/>
    </row>
    <row r="542" spans="2:13" ht="14.45" customHeight="1" x14ac:dyDescent="0.25">
      <c r="B542" s="17"/>
      <c r="C542" s="14"/>
      <c r="D542" s="14"/>
      <c r="E542" s="18"/>
      <c r="F542" s="61"/>
      <c r="G542" s="73"/>
      <c r="H542" s="79"/>
      <c r="I542" s="79"/>
      <c r="J542" s="14"/>
      <c r="K542" s="38"/>
      <c r="L542" s="38"/>
      <c r="M542" s="17"/>
    </row>
    <row r="543" spans="2:13" ht="14.45" customHeight="1" x14ac:dyDescent="0.25">
      <c r="B543" s="17"/>
      <c r="C543" s="14"/>
      <c r="D543" s="14"/>
      <c r="E543" s="18"/>
      <c r="F543" s="61"/>
      <c r="G543" s="73"/>
      <c r="H543" s="79"/>
      <c r="I543" s="79"/>
      <c r="J543" s="14"/>
      <c r="K543" s="38"/>
      <c r="L543" s="38"/>
      <c r="M543" s="17"/>
    </row>
    <row r="544" spans="2:13" ht="14.45" customHeight="1" x14ac:dyDescent="0.25">
      <c r="B544" s="17"/>
      <c r="C544" s="14"/>
      <c r="D544" s="14"/>
      <c r="E544" s="18"/>
      <c r="F544" s="61"/>
      <c r="G544" s="73"/>
      <c r="H544" s="79"/>
      <c r="I544" s="79"/>
      <c r="J544" s="14"/>
      <c r="K544" s="38"/>
      <c r="L544" s="38"/>
      <c r="M544" s="17"/>
    </row>
    <row r="545" spans="2:13" ht="14.45" customHeight="1" x14ac:dyDescent="0.25">
      <c r="B545" s="17"/>
      <c r="C545" s="14"/>
      <c r="D545" s="14"/>
      <c r="E545" s="18"/>
      <c r="F545" s="61"/>
      <c r="G545" s="73"/>
      <c r="H545" s="79"/>
      <c r="I545" s="79"/>
      <c r="J545" s="14"/>
      <c r="K545" s="38"/>
      <c r="L545" s="38"/>
      <c r="M545" s="17"/>
    </row>
    <row r="546" spans="2:13" ht="14.45" customHeight="1" x14ac:dyDescent="0.25">
      <c r="B546" s="17"/>
      <c r="C546" s="14"/>
      <c r="D546" s="14"/>
      <c r="E546" s="18"/>
      <c r="F546" s="61"/>
      <c r="G546" s="73"/>
      <c r="H546" s="79"/>
      <c r="I546" s="79"/>
      <c r="J546" s="14"/>
      <c r="K546" s="38"/>
      <c r="L546" s="38"/>
      <c r="M546" s="17"/>
    </row>
    <row r="547" spans="2:13" ht="14.45" customHeight="1" x14ac:dyDescent="0.25">
      <c r="B547" s="17"/>
      <c r="C547" s="14"/>
      <c r="D547" s="14"/>
      <c r="E547" s="18"/>
      <c r="F547" s="61"/>
      <c r="G547" s="73"/>
      <c r="H547" s="79"/>
      <c r="I547" s="79"/>
      <c r="J547" s="14"/>
      <c r="K547" s="38"/>
      <c r="L547" s="38"/>
      <c r="M547" s="17"/>
    </row>
    <row r="548" spans="2:13" ht="14.45" customHeight="1" x14ac:dyDescent="0.25">
      <c r="B548" s="17"/>
      <c r="C548" s="14"/>
      <c r="D548" s="14"/>
      <c r="E548" s="18"/>
      <c r="F548" s="61"/>
      <c r="G548" s="73"/>
      <c r="H548" s="79"/>
      <c r="I548" s="79"/>
      <c r="J548" s="14"/>
      <c r="K548" s="38"/>
      <c r="L548" s="38"/>
      <c r="M548" s="17"/>
    </row>
    <row r="549" spans="2:13" ht="14.45" customHeight="1" x14ac:dyDescent="0.25">
      <c r="B549" s="17"/>
      <c r="C549" s="14"/>
      <c r="D549" s="14"/>
      <c r="E549" s="18"/>
      <c r="F549" s="61"/>
      <c r="G549" s="73"/>
      <c r="H549" s="79"/>
      <c r="I549" s="79"/>
      <c r="J549" s="14"/>
      <c r="K549" s="38"/>
      <c r="L549" s="38"/>
      <c r="M549" s="17"/>
    </row>
    <row r="550" spans="2:13" ht="14.45" customHeight="1" x14ac:dyDescent="0.25">
      <c r="B550" s="17"/>
      <c r="C550" s="14"/>
      <c r="D550" s="14"/>
      <c r="E550" s="18"/>
      <c r="F550" s="61"/>
      <c r="G550" s="73"/>
      <c r="H550" s="79"/>
      <c r="I550" s="79"/>
      <c r="J550" s="14"/>
      <c r="K550" s="38"/>
      <c r="L550" s="38"/>
      <c r="M550" s="17"/>
    </row>
    <row r="551" spans="2:13" ht="14.45" customHeight="1" x14ac:dyDescent="0.25">
      <c r="B551" s="17"/>
      <c r="C551" s="14"/>
      <c r="D551" s="14"/>
      <c r="E551" s="18"/>
      <c r="F551" s="61"/>
      <c r="G551" s="73"/>
      <c r="H551" s="79"/>
      <c r="I551" s="79"/>
      <c r="J551" s="14"/>
      <c r="K551" s="38"/>
      <c r="L551" s="38"/>
      <c r="M551" s="17"/>
    </row>
    <row r="552" spans="2:13" ht="14.45" customHeight="1" x14ac:dyDescent="0.25">
      <c r="B552" s="17"/>
      <c r="C552" s="14"/>
      <c r="D552" s="14"/>
      <c r="E552" s="18"/>
      <c r="F552" s="61"/>
      <c r="G552" s="73"/>
      <c r="H552" s="79"/>
      <c r="I552" s="79"/>
      <c r="J552" s="14"/>
      <c r="K552" s="38"/>
      <c r="L552" s="38"/>
      <c r="M552" s="17"/>
    </row>
    <row r="553" spans="2:13" ht="14.45" customHeight="1" x14ac:dyDescent="0.25">
      <c r="B553" s="17"/>
      <c r="C553" s="14"/>
      <c r="D553" s="14"/>
      <c r="E553" s="18"/>
      <c r="F553" s="61"/>
      <c r="G553" s="73"/>
      <c r="H553" s="79"/>
      <c r="I553" s="79"/>
      <c r="J553" s="14"/>
      <c r="K553" s="38"/>
      <c r="L553" s="38"/>
      <c r="M553" s="17"/>
    </row>
    <row r="554" spans="2:13" ht="14.45" customHeight="1" x14ac:dyDescent="0.25">
      <c r="B554" s="17"/>
      <c r="C554" s="14"/>
      <c r="D554" s="14"/>
      <c r="E554" s="18"/>
      <c r="F554" s="61"/>
      <c r="G554" s="73"/>
      <c r="H554" s="79"/>
      <c r="I554" s="79"/>
      <c r="J554" s="14"/>
      <c r="K554" s="38"/>
      <c r="L554" s="38"/>
      <c r="M554" s="17"/>
    </row>
    <row r="555" spans="2:13" ht="14.45" customHeight="1" x14ac:dyDescent="0.25">
      <c r="B555" s="17"/>
      <c r="C555" s="14"/>
      <c r="D555" s="14"/>
      <c r="E555" s="18"/>
      <c r="F555" s="61"/>
      <c r="G555" s="73"/>
      <c r="H555" s="79"/>
      <c r="I555" s="79"/>
      <c r="J555" s="14"/>
      <c r="K555" s="38"/>
      <c r="L555" s="38"/>
      <c r="M555" s="17"/>
    </row>
    <row r="556" spans="2:13" ht="14.45" customHeight="1" x14ac:dyDescent="0.25">
      <c r="B556" s="17"/>
      <c r="C556" s="14"/>
      <c r="D556" s="14"/>
      <c r="E556" s="18"/>
      <c r="F556" s="61"/>
      <c r="G556" s="73"/>
      <c r="H556" s="79"/>
      <c r="I556" s="79"/>
      <c r="J556" s="14"/>
      <c r="K556" s="38"/>
      <c r="L556" s="38"/>
      <c r="M556" s="17"/>
    </row>
    <row r="557" spans="2:13" ht="14.45" customHeight="1" x14ac:dyDescent="0.25">
      <c r="B557" s="17"/>
      <c r="C557" s="14"/>
      <c r="D557" s="14"/>
      <c r="E557" s="18"/>
      <c r="F557" s="61"/>
      <c r="G557" s="73"/>
      <c r="H557" s="79"/>
      <c r="I557" s="79"/>
      <c r="J557" s="14"/>
      <c r="K557" s="38"/>
      <c r="L557" s="38"/>
      <c r="M557" s="17"/>
    </row>
    <row r="558" spans="2:13" ht="14.45" customHeight="1" x14ac:dyDescent="0.25">
      <c r="B558" s="17"/>
      <c r="C558" s="14"/>
      <c r="D558" s="14"/>
      <c r="E558" s="18"/>
      <c r="F558" s="61"/>
      <c r="G558" s="73"/>
      <c r="H558" s="79"/>
      <c r="I558" s="79"/>
      <c r="J558" s="14"/>
      <c r="K558" s="38"/>
      <c r="L558" s="38"/>
      <c r="M558" s="17"/>
    </row>
    <row r="559" spans="2:13" ht="14.45" customHeight="1" x14ac:dyDescent="0.25">
      <c r="B559" s="17"/>
      <c r="C559" s="14"/>
      <c r="D559" s="14"/>
      <c r="E559" s="18"/>
      <c r="F559" s="61"/>
      <c r="G559" s="73"/>
      <c r="H559" s="79"/>
      <c r="I559" s="79"/>
      <c r="J559" s="14"/>
      <c r="K559" s="38"/>
      <c r="L559" s="38"/>
      <c r="M559" s="17"/>
    </row>
    <row r="560" spans="2:13" ht="14.45" customHeight="1" x14ac:dyDescent="0.25">
      <c r="B560" s="17"/>
      <c r="C560" s="14"/>
      <c r="D560" s="14"/>
      <c r="E560" s="18"/>
      <c r="F560" s="61"/>
      <c r="G560" s="73"/>
      <c r="H560" s="79"/>
      <c r="I560" s="79"/>
      <c r="J560" s="14"/>
      <c r="K560" s="38"/>
      <c r="L560" s="38"/>
      <c r="M560" s="17"/>
    </row>
    <row r="561" spans="2:13" ht="14.45" customHeight="1" x14ac:dyDescent="0.25">
      <c r="B561" s="17"/>
      <c r="C561" s="14"/>
      <c r="D561" s="14"/>
      <c r="E561" s="18"/>
      <c r="F561" s="61"/>
      <c r="G561" s="73"/>
      <c r="H561" s="79"/>
      <c r="I561" s="79"/>
      <c r="J561" s="14"/>
      <c r="K561" s="38"/>
      <c r="L561" s="38"/>
      <c r="M561" s="17"/>
    </row>
    <row r="562" spans="2:13" ht="14.45" customHeight="1" x14ac:dyDescent="0.25">
      <c r="B562" s="17"/>
      <c r="C562" s="14"/>
      <c r="D562" s="14"/>
      <c r="E562" s="18"/>
      <c r="F562" s="61"/>
      <c r="G562" s="73"/>
      <c r="H562" s="79"/>
      <c r="I562" s="79"/>
      <c r="J562" s="14"/>
      <c r="K562" s="38"/>
      <c r="L562" s="38"/>
      <c r="M562" s="17"/>
    </row>
    <row r="563" spans="2:13" ht="14.45" customHeight="1" x14ac:dyDescent="0.25">
      <c r="B563" s="17"/>
      <c r="C563" s="14"/>
      <c r="D563" s="14"/>
      <c r="E563" s="18"/>
      <c r="F563" s="61"/>
      <c r="G563" s="73"/>
      <c r="H563" s="79"/>
      <c r="I563" s="79"/>
      <c r="J563" s="14"/>
      <c r="K563" s="38"/>
      <c r="L563" s="38"/>
      <c r="M563" s="17"/>
    </row>
    <row r="564" spans="2:13" ht="14.45" customHeight="1" x14ac:dyDescent="0.25">
      <c r="B564" s="17"/>
      <c r="C564" s="14"/>
      <c r="D564" s="14"/>
      <c r="E564" s="18"/>
      <c r="F564" s="61"/>
      <c r="G564" s="73"/>
      <c r="H564" s="79"/>
      <c r="I564" s="79"/>
      <c r="J564" s="14"/>
      <c r="K564" s="38"/>
      <c r="L564" s="38"/>
      <c r="M564" s="17"/>
    </row>
    <row r="565" spans="2:13" ht="14.45" customHeight="1" x14ac:dyDescent="0.25">
      <c r="B565" s="17"/>
      <c r="C565" s="14"/>
      <c r="D565" s="14"/>
      <c r="E565" s="18"/>
      <c r="F565" s="61"/>
      <c r="G565" s="73"/>
      <c r="H565" s="79"/>
      <c r="I565" s="79"/>
      <c r="J565" s="14"/>
      <c r="K565" s="38"/>
      <c r="L565" s="38"/>
      <c r="M565" s="17"/>
    </row>
    <row r="566" spans="2:13" ht="14.45" customHeight="1" x14ac:dyDescent="0.25">
      <c r="B566" s="17"/>
      <c r="C566" s="14"/>
      <c r="D566" s="14"/>
      <c r="E566" s="18"/>
      <c r="F566" s="61"/>
      <c r="G566" s="73"/>
      <c r="H566" s="79"/>
      <c r="I566" s="79"/>
      <c r="J566" s="14"/>
      <c r="K566" s="38"/>
      <c r="L566" s="38"/>
      <c r="M566" s="17"/>
    </row>
    <row r="567" spans="2:13" ht="14.45" customHeight="1" x14ac:dyDescent="0.25">
      <c r="B567" s="17"/>
      <c r="C567" s="14"/>
      <c r="D567" s="14"/>
      <c r="E567" s="18"/>
      <c r="F567" s="61"/>
      <c r="G567" s="73"/>
      <c r="H567" s="79"/>
      <c r="I567" s="79"/>
      <c r="J567" s="14"/>
      <c r="K567" s="38"/>
      <c r="L567" s="38"/>
      <c r="M567" s="17"/>
    </row>
    <row r="568" spans="2:13" ht="14.45" customHeight="1" x14ac:dyDescent="0.25">
      <c r="B568" s="17"/>
      <c r="C568" s="14"/>
      <c r="D568" s="14"/>
      <c r="E568" s="18"/>
      <c r="F568" s="61"/>
      <c r="G568" s="73"/>
      <c r="H568" s="79"/>
      <c r="I568" s="79"/>
      <c r="J568" s="14"/>
      <c r="K568" s="38"/>
      <c r="L568" s="38"/>
      <c r="M568" s="17"/>
    </row>
    <row r="569" spans="2:13" ht="14.45" customHeight="1" x14ac:dyDescent="0.25">
      <c r="B569" s="17"/>
      <c r="C569" s="14"/>
      <c r="D569" s="14"/>
      <c r="E569" s="18"/>
      <c r="F569" s="61"/>
      <c r="G569" s="73"/>
      <c r="H569" s="79"/>
      <c r="I569" s="79"/>
      <c r="J569" s="14"/>
      <c r="K569" s="38"/>
      <c r="L569" s="38"/>
      <c r="M569" s="17"/>
    </row>
    <row r="570" spans="2:13" ht="14.45" customHeight="1" x14ac:dyDescent="0.25">
      <c r="B570" s="17"/>
      <c r="C570" s="14"/>
      <c r="D570" s="14"/>
      <c r="E570" s="18"/>
      <c r="F570" s="61"/>
      <c r="G570" s="73"/>
      <c r="H570" s="79"/>
      <c r="I570" s="79"/>
      <c r="J570" s="14"/>
      <c r="K570" s="38"/>
      <c r="L570" s="38"/>
      <c r="M570" s="17"/>
    </row>
    <row r="571" spans="2:13" ht="14.45" customHeight="1" x14ac:dyDescent="0.25">
      <c r="B571" s="17"/>
      <c r="C571" s="14"/>
      <c r="D571" s="14"/>
      <c r="E571" s="18"/>
      <c r="F571" s="61"/>
      <c r="G571" s="73"/>
      <c r="H571" s="79"/>
      <c r="I571" s="79"/>
      <c r="J571" s="14"/>
      <c r="K571" s="38"/>
      <c r="L571" s="38"/>
      <c r="M571" s="17"/>
    </row>
    <row r="572" spans="2:13" ht="14.45" customHeight="1" x14ac:dyDescent="0.25">
      <c r="B572" s="17"/>
      <c r="C572" s="14"/>
      <c r="D572" s="14"/>
      <c r="E572" s="18"/>
      <c r="F572" s="61"/>
      <c r="G572" s="73"/>
      <c r="H572" s="79"/>
      <c r="I572" s="79"/>
      <c r="J572" s="14"/>
      <c r="K572" s="38"/>
      <c r="L572" s="38"/>
      <c r="M572" s="17"/>
    </row>
    <row r="573" spans="2:13" ht="14.45" customHeight="1" x14ac:dyDescent="0.25">
      <c r="B573" s="17"/>
      <c r="C573" s="14"/>
      <c r="D573" s="14"/>
      <c r="E573" s="18"/>
      <c r="F573" s="61"/>
      <c r="G573" s="73"/>
      <c r="H573" s="79"/>
      <c r="I573" s="79"/>
      <c r="J573" s="14"/>
      <c r="K573" s="38"/>
      <c r="L573" s="38"/>
      <c r="M573" s="17"/>
    </row>
    <row r="574" spans="2:13" ht="14.45" customHeight="1" x14ac:dyDescent="0.25">
      <c r="B574" s="17"/>
      <c r="C574" s="14"/>
      <c r="D574" s="14"/>
      <c r="E574" s="18"/>
      <c r="F574" s="61"/>
      <c r="G574" s="73"/>
      <c r="H574" s="79"/>
      <c r="I574" s="79"/>
      <c r="J574" s="14"/>
      <c r="K574" s="38"/>
      <c r="L574" s="38"/>
      <c r="M574" s="17"/>
    </row>
    <row r="575" spans="2:13" ht="14.45" customHeight="1" x14ac:dyDescent="0.25">
      <c r="B575" s="17"/>
      <c r="C575" s="14"/>
      <c r="D575" s="14"/>
      <c r="E575" s="18"/>
      <c r="F575" s="61"/>
      <c r="G575" s="73"/>
      <c r="H575" s="79"/>
      <c r="I575" s="79"/>
      <c r="J575" s="14"/>
      <c r="K575" s="38"/>
      <c r="L575" s="38"/>
      <c r="M575" s="17"/>
    </row>
    <row r="576" spans="2:13" ht="14.45" customHeight="1" x14ac:dyDescent="0.25">
      <c r="B576" s="17"/>
      <c r="C576" s="14"/>
      <c r="D576" s="14"/>
      <c r="E576" s="18"/>
      <c r="F576" s="61"/>
      <c r="G576" s="73"/>
      <c r="H576" s="79"/>
      <c r="I576" s="79"/>
      <c r="J576" s="14"/>
      <c r="K576" s="38"/>
      <c r="L576" s="38"/>
      <c r="M576" s="17"/>
    </row>
    <row r="577" spans="2:13" ht="14.45" customHeight="1" x14ac:dyDescent="0.25">
      <c r="B577" s="17"/>
      <c r="C577" s="14"/>
      <c r="D577" s="14"/>
      <c r="E577" s="18"/>
      <c r="F577" s="61"/>
      <c r="G577" s="73"/>
      <c r="H577" s="79"/>
      <c r="I577" s="79"/>
      <c r="J577" s="14"/>
      <c r="K577" s="38"/>
      <c r="L577" s="38"/>
      <c r="M577" s="17"/>
    </row>
    <row r="578" spans="2:13" ht="14.45" customHeight="1" x14ac:dyDescent="0.25">
      <c r="B578" s="17"/>
      <c r="C578" s="14"/>
      <c r="D578" s="14"/>
      <c r="E578" s="18"/>
      <c r="F578" s="61"/>
      <c r="G578" s="73"/>
      <c r="H578" s="79"/>
      <c r="I578" s="79"/>
      <c r="J578" s="14"/>
      <c r="K578" s="38"/>
      <c r="L578" s="38"/>
      <c r="M578" s="17"/>
    </row>
    <row r="579" spans="2:13" ht="14.45" customHeight="1" x14ac:dyDescent="0.25">
      <c r="B579" s="17"/>
      <c r="C579" s="14"/>
      <c r="D579" s="14"/>
      <c r="E579" s="18"/>
      <c r="F579" s="61"/>
      <c r="G579" s="73"/>
      <c r="H579" s="79"/>
      <c r="I579" s="79"/>
      <c r="J579" s="14"/>
      <c r="K579" s="38"/>
      <c r="L579" s="38"/>
      <c r="M579" s="17"/>
    </row>
    <row r="580" spans="2:13" ht="14.45" customHeight="1" x14ac:dyDescent="0.25">
      <c r="B580" s="17"/>
      <c r="C580" s="14"/>
      <c r="D580" s="14"/>
      <c r="E580" s="18"/>
      <c r="F580" s="61"/>
      <c r="G580" s="73"/>
      <c r="H580" s="79"/>
      <c r="I580" s="79"/>
      <c r="J580" s="14"/>
      <c r="K580" s="38"/>
      <c r="L580" s="38"/>
      <c r="M580" s="17"/>
    </row>
    <row r="581" spans="2:13" ht="14.45" customHeight="1" x14ac:dyDescent="0.25">
      <c r="B581" s="17"/>
      <c r="C581" s="14"/>
      <c r="D581" s="14"/>
      <c r="E581" s="18"/>
      <c r="F581" s="61"/>
      <c r="G581" s="73"/>
      <c r="H581" s="79"/>
      <c r="I581" s="79"/>
      <c r="J581" s="14"/>
      <c r="K581" s="38"/>
      <c r="L581" s="38"/>
      <c r="M581" s="17"/>
    </row>
    <row r="582" spans="2:13" ht="14.45" customHeight="1" x14ac:dyDescent="0.25">
      <c r="B582" s="17"/>
      <c r="C582" s="14"/>
      <c r="D582" s="14"/>
      <c r="E582" s="18"/>
      <c r="F582" s="61"/>
      <c r="G582" s="73"/>
      <c r="H582" s="79"/>
      <c r="I582" s="79"/>
      <c r="J582" s="14"/>
      <c r="K582" s="38"/>
      <c r="L582" s="38"/>
      <c r="M582" s="17"/>
    </row>
    <row r="583" spans="2:13" ht="14.45" customHeight="1" x14ac:dyDescent="0.25">
      <c r="B583" s="17"/>
      <c r="C583" s="14"/>
      <c r="D583" s="14"/>
      <c r="E583" s="18"/>
      <c r="F583" s="61"/>
      <c r="G583" s="73"/>
      <c r="H583" s="79"/>
      <c r="I583" s="79"/>
      <c r="J583" s="14"/>
      <c r="K583" s="38"/>
      <c r="L583" s="38"/>
      <c r="M583" s="17"/>
    </row>
    <row r="584" spans="2:13" ht="14.45" customHeight="1" x14ac:dyDescent="0.25">
      <c r="B584" s="17"/>
      <c r="C584" s="14"/>
      <c r="D584" s="14"/>
      <c r="E584" s="18"/>
      <c r="F584" s="61"/>
      <c r="G584" s="73"/>
      <c r="H584" s="79"/>
      <c r="I584" s="79"/>
      <c r="J584" s="14"/>
      <c r="K584" s="38"/>
      <c r="L584" s="38"/>
      <c r="M584" s="17"/>
    </row>
    <row r="585" spans="2:13" ht="14.45" customHeight="1" x14ac:dyDescent="0.25">
      <c r="B585" s="17"/>
      <c r="C585" s="14"/>
      <c r="D585" s="14"/>
      <c r="E585" s="18"/>
      <c r="F585" s="61"/>
      <c r="G585" s="73"/>
      <c r="H585" s="79"/>
      <c r="I585" s="79"/>
      <c r="J585" s="14"/>
      <c r="K585" s="38"/>
      <c r="L585" s="38"/>
      <c r="M585" s="17"/>
    </row>
    <row r="586" spans="2:13" ht="14.45" customHeight="1" x14ac:dyDescent="0.25">
      <c r="B586" s="17"/>
      <c r="C586" s="14"/>
      <c r="D586" s="14"/>
      <c r="E586" s="18"/>
      <c r="F586" s="61"/>
      <c r="G586" s="73"/>
      <c r="H586" s="79"/>
      <c r="I586" s="79"/>
      <c r="J586" s="14"/>
      <c r="K586" s="38"/>
      <c r="L586" s="38"/>
      <c r="M586" s="17"/>
    </row>
    <row r="587" spans="2:13" ht="14.45" customHeight="1" x14ac:dyDescent="0.25">
      <c r="B587" s="17"/>
      <c r="C587" s="14"/>
      <c r="D587" s="14"/>
      <c r="E587" s="18"/>
      <c r="F587" s="61"/>
      <c r="G587" s="73"/>
      <c r="H587" s="79"/>
      <c r="I587" s="79"/>
      <c r="J587" s="14"/>
      <c r="K587" s="38"/>
      <c r="L587" s="38"/>
      <c r="M587" s="17"/>
    </row>
    <row r="588" spans="2:13" ht="14.45" customHeight="1" x14ac:dyDescent="0.25">
      <c r="B588" s="17"/>
      <c r="C588" s="14"/>
      <c r="D588" s="14"/>
      <c r="E588" s="18"/>
      <c r="F588" s="61"/>
      <c r="G588" s="73"/>
      <c r="H588" s="79"/>
      <c r="I588" s="79"/>
      <c r="J588" s="14"/>
      <c r="K588" s="38"/>
      <c r="L588" s="38"/>
      <c r="M588" s="17"/>
    </row>
    <row r="589" spans="2:13" ht="14.45" customHeight="1" x14ac:dyDescent="0.25">
      <c r="B589" s="17"/>
      <c r="C589" s="14"/>
      <c r="D589" s="14"/>
      <c r="E589" s="18"/>
      <c r="F589" s="61"/>
      <c r="G589" s="73"/>
      <c r="H589" s="79"/>
      <c r="I589" s="79"/>
      <c r="J589" s="14"/>
      <c r="K589" s="38"/>
      <c r="L589" s="38"/>
      <c r="M589" s="17"/>
    </row>
    <row r="590" spans="2:13" ht="14.45" customHeight="1" x14ac:dyDescent="0.25">
      <c r="B590" s="17"/>
      <c r="C590" s="14"/>
      <c r="D590" s="14"/>
      <c r="E590" s="18"/>
      <c r="F590" s="61"/>
      <c r="G590" s="73"/>
      <c r="H590" s="79"/>
      <c r="I590" s="79"/>
      <c r="J590" s="14"/>
      <c r="K590" s="38"/>
      <c r="L590" s="38"/>
      <c r="M590" s="17"/>
    </row>
    <row r="591" spans="2:13" ht="14.45" customHeight="1" x14ac:dyDescent="0.25">
      <c r="B591" s="17"/>
      <c r="C591" s="14"/>
      <c r="D591" s="14"/>
      <c r="E591" s="18"/>
      <c r="F591" s="61"/>
      <c r="G591" s="73"/>
      <c r="H591" s="79"/>
      <c r="I591" s="79"/>
      <c r="J591" s="14"/>
      <c r="K591" s="38"/>
      <c r="L591" s="38"/>
      <c r="M591" s="17"/>
    </row>
    <row r="592" spans="2:13" ht="14.45" customHeight="1" x14ac:dyDescent="0.25">
      <c r="B592" s="17"/>
      <c r="C592" s="14"/>
      <c r="D592" s="14"/>
      <c r="E592" s="18"/>
      <c r="F592" s="61"/>
      <c r="G592" s="73"/>
      <c r="H592" s="79"/>
      <c r="I592" s="79"/>
      <c r="J592" s="14"/>
      <c r="K592" s="38"/>
      <c r="L592" s="38"/>
      <c r="M592" s="17"/>
    </row>
    <row r="593" spans="2:13" ht="14.45" customHeight="1" x14ac:dyDescent="0.25">
      <c r="B593" s="17"/>
      <c r="C593" s="14"/>
      <c r="D593" s="14"/>
      <c r="E593" s="18"/>
      <c r="F593" s="61"/>
      <c r="G593" s="73"/>
      <c r="H593" s="79"/>
      <c r="I593" s="79"/>
      <c r="J593" s="14"/>
      <c r="K593" s="38"/>
      <c r="L593" s="38"/>
      <c r="M593" s="17"/>
    </row>
    <row r="594" spans="2:13" ht="14.45" customHeight="1" x14ac:dyDescent="0.25">
      <c r="B594" s="17"/>
      <c r="C594" s="14"/>
      <c r="D594" s="14"/>
      <c r="E594" s="18"/>
      <c r="F594" s="61"/>
      <c r="G594" s="73"/>
      <c r="H594" s="79"/>
      <c r="I594" s="79"/>
      <c r="J594" s="14"/>
      <c r="K594" s="38"/>
      <c r="L594" s="38"/>
      <c r="M594" s="17"/>
    </row>
    <row r="595" spans="2:13" ht="14.45" customHeight="1" x14ac:dyDescent="0.25">
      <c r="B595" s="17"/>
      <c r="C595" s="14"/>
      <c r="D595" s="14"/>
      <c r="E595" s="18"/>
      <c r="F595" s="61"/>
      <c r="G595" s="73"/>
      <c r="H595" s="79"/>
      <c r="I595" s="79"/>
      <c r="J595" s="14"/>
      <c r="K595" s="38"/>
      <c r="L595" s="38"/>
      <c r="M595" s="17"/>
    </row>
    <row r="596" spans="2:13" ht="14.45" customHeight="1" x14ac:dyDescent="0.25">
      <c r="B596" s="17"/>
      <c r="C596" s="14"/>
      <c r="D596" s="14"/>
      <c r="E596" s="18"/>
      <c r="F596" s="61"/>
      <c r="G596" s="73"/>
      <c r="H596" s="79"/>
      <c r="I596" s="79"/>
      <c r="J596" s="14"/>
      <c r="K596" s="38"/>
      <c r="L596" s="38"/>
      <c r="M596" s="17"/>
    </row>
    <row r="597" spans="2:13" ht="14.45" customHeight="1" x14ac:dyDescent="0.25">
      <c r="B597" s="17"/>
      <c r="C597" s="14"/>
      <c r="D597" s="14"/>
      <c r="E597" s="18"/>
      <c r="F597" s="61"/>
      <c r="G597" s="73"/>
      <c r="H597" s="79"/>
      <c r="I597" s="79"/>
      <c r="J597" s="14"/>
      <c r="K597" s="38"/>
      <c r="L597" s="38"/>
      <c r="M597" s="17"/>
    </row>
    <row r="598" spans="2:13" ht="14.45" customHeight="1" x14ac:dyDescent="0.25">
      <c r="B598" s="17"/>
      <c r="C598" s="14"/>
      <c r="D598" s="14"/>
      <c r="E598" s="18"/>
      <c r="F598" s="61"/>
      <c r="G598" s="73"/>
      <c r="H598" s="79"/>
      <c r="I598" s="79"/>
      <c r="J598" s="14"/>
      <c r="K598" s="38"/>
      <c r="L598" s="38"/>
      <c r="M598" s="17"/>
    </row>
    <row r="599" spans="2:13" ht="14.45" customHeight="1" x14ac:dyDescent="0.25">
      <c r="B599" s="17"/>
      <c r="C599" s="14"/>
      <c r="D599" s="14"/>
      <c r="E599" s="18"/>
      <c r="F599" s="61"/>
      <c r="G599" s="73"/>
      <c r="H599" s="79"/>
      <c r="I599" s="79"/>
      <c r="J599" s="14"/>
      <c r="K599" s="38"/>
      <c r="L599" s="38"/>
      <c r="M599" s="17"/>
    </row>
    <row r="600" spans="2:13" ht="14.45" customHeight="1" x14ac:dyDescent="0.25">
      <c r="B600" s="17"/>
      <c r="C600" s="14"/>
      <c r="D600" s="14"/>
      <c r="E600" s="18"/>
      <c r="F600" s="61"/>
      <c r="G600" s="73"/>
      <c r="H600" s="79"/>
      <c r="I600" s="79"/>
      <c r="J600" s="14"/>
      <c r="K600" s="38"/>
      <c r="L600" s="38"/>
      <c r="M600" s="17"/>
    </row>
    <row r="601" spans="2:13" ht="14.45" customHeight="1" x14ac:dyDescent="0.25">
      <c r="B601" s="17"/>
      <c r="C601" s="14"/>
      <c r="D601" s="14"/>
      <c r="E601" s="18"/>
      <c r="F601" s="61"/>
      <c r="G601" s="73"/>
      <c r="H601" s="79"/>
      <c r="I601" s="79"/>
      <c r="J601" s="14"/>
      <c r="K601" s="38"/>
      <c r="L601" s="38"/>
      <c r="M601" s="17"/>
    </row>
    <row r="602" spans="2:13" ht="14.45" customHeight="1" x14ac:dyDescent="0.25">
      <c r="B602" s="17"/>
      <c r="C602" s="14"/>
      <c r="D602" s="14"/>
      <c r="E602" s="18"/>
      <c r="F602" s="61"/>
      <c r="G602" s="73"/>
      <c r="H602" s="79"/>
      <c r="I602" s="79"/>
      <c r="J602" s="14"/>
      <c r="K602" s="38"/>
      <c r="L602" s="38"/>
      <c r="M602" s="17"/>
    </row>
    <row r="603" spans="2:13" ht="14.45" customHeight="1" x14ac:dyDescent="0.25">
      <c r="B603" s="17"/>
      <c r="C603" s="14"/>
      <c r="D603" s="14"/>
      <c r="E603" s="18"/>
      <c r="F603" s="61"/>
      <c r="G603" s="73"/>
      <c r="H603" s="79"/>
      <c r="I603" s="79"/>
      <c r="J603" s="14"/>
      <c r="K603" s="38"/>
      <c r="L603" s="38"/>
      <c r="M603" s="17"/>
    </row>
    <row r="604" spans="2:13" ht="14.45" customHeight="1" x14ac:dyDescent="0.25">
      <c r="B604" s="17"/>
      <c r="C604" s="14"/>
      <c r="D604" s="14"/>
      <c r="E604" s="18"/>
      <c r="F604" s="61"/>
      <c r="G604" s="73"/>
      <c r="H604" s="79"/>
      <c r="I604" s="79"/>
      <c r="J604" s="14"/>
      <c r="K604" s="38"/>
      <c r="L604" s="38"/>
      <c r="M604" s="17"/>
    </row>
    <row r="605" spans="2:13" ht="14.45" customHeight="1" x14ac:dyDescent="0.25">
      <c r="B605" s="17"/>
      <c r="C605" s="14"/>
      <c r="D605" s="14"/>
      <c r="E605" s="18"/>
      <c r="F605" s="61"/>
      <c r="G605" s="73"/>
      <c r="H605" s="79"/>
      <c r="I605" s="79"/>
      <c r="J605" s="14"/>
      <c r="K605" s="38"/>
      <c r="L605" s="38"/>
      <c r="M605" s="17"/>
    </row>
    <row r="606" spans="2:13" ht="14.45" customHeight="1" x14ac:dyDescent="0.25">
      <c r="B606" s="17"/>
      <c r="C606" s="14"/>
      <c r="D606" s="14"/>
      <c r="E606" s="18"/>
      <c r="F606" s="61"/>
      <c r="G606" s="73"/>
      <c r="H606" s="79"/>
      <c r="I606" s="79"/>
      <c r="J606" s="14"/>
      <c r="K606" s="38"/>
      <c r="L606" s="38"/>
      <c r="M606" s="17"/>
    </row>
    <row r="607" spans="2:13" ht="14.45" customHeight="1" x14ac:dyDescent="0.25">
      <c r="B607" s="17"/>
      <c r="C607" s="14"/>
      <c r="D607" s="14"/>
      <c r="E607" s="18"/>
      <c r="F607" s="61"/>
      <c r="G607" s="73"/>
      <c r="H607" s="79"/>
      <c r="I607" s="79"/>
      <c r="J607" s="14"/>
      <c r="K607" s="38"/>
      <c r="L607" s="38"/>
      <c r="M607" s="17"/>
    </row>
    <row r="608" spans="2:13" ht="14.45" customHeight="1" x14ac:dyDescent="0.25">
      <c r="B608" s="17"/>
      <c r="C608" s="14"/>
      <c r="D608" s="14"/>
      <c r="E608" s="18"/>
      <c r="F608" s="61"/>
      <c r="G608" s="73"/>
      <c r="H608" s="79"/>
      <c r="I608" s="79"/>
      <c r="J608" s="14"/>
      <c r="K608" s="38"/>
      <c r="L608" s="38"/>
      <c r="M608" s="17"/>
    </row>
    <row r="609" spans="2:13" ht="14.45" customHeight="1" x14ac:dyDescent="0.25">
      <c r="B609" s="17"/>
      <c r="C609" s="14"/>
      <c r="D609" s="14"/>
      <c r="E609" s="18"/>
      <c r="F609" s="61"/>
      <c r="G609" s="73"/>
      <c r="H609" s="79"/>
      <c r="I609" s="79"/>
      <c r="J609" s="14"/>
      <c r="K609" s="38"/>
      <c r="L609" s="38"/>
      <c r="M609" s="17"/>
    </row>
    <row r="610" spans="2:13" ht="14.45" customHeight="1" x14ac:dyDescent="0.25">
      <c r="B610" s="17"/>
      <c r="C610" s="14"/>
      <c r="D610" s="14"/>
      <c r="E610" s="18"/>
      <c r="F610" s="61"/>
      <c r="G610" s="73"/>
      <c r="H610" s="79"/>
      <c r="I610" s="79"/>
      <c r="J610" s="14"/>
      <c r="K610" s="38"/>
      <c r="L610" s="38"/>
      <c r="M610" s="17"/>
    </row>
    <row r="611" spans="2:13" ht="14.45" customHeight="1" x14ac:dyDescent="0.25">
      <c r="B611" s="17"/>
      <c r="C611" s="14"/>
      <c r="D611" s="14"/>
      <c r="E611" s="18"/>
      <c r="F611" s="61"/>
      <c r="G611" s="73"/>
      <c r="H611" s="79"/>
      <c r="I611" s="79"/>
      <c r="J611" s="14"/>
      <c r="K611" s="38"/>
      <c r="L611" s="38"/>
      <c r="M611" s="17"/>
    </row>
    <row r="612" spans="2:13" ht="14.45" customHeight="1" x14ac:dyDescent="0.25">
      <c r="B612" s="17"/>
      <c r="C612" s="14"/>
      <c r="D612" s="14"/>
      <c r="E612" s="18"/>
      <c r="F612" s="61"/>
      <c r="G612" s="73"/>
      <c r="H612" s="79"/>
      <c r="I612" s="79"/>
      <c r="J612" s="14"/>
      <c r="K612" s="38"/>
      <c r="L612" s="38"/>
      <c r="M612" s="17"/>
    </row>
    <row r="613" spans="2:13" ht="14.45" customHeight="1" x14ac:dyDescent="0.25">
      <c r="B613" s="17"/>
      <c r="C613" s="14"/>
      <c r="D613" s="14"/>
      <c r="E613" s="18"/>
      <c r="F613" s="61"/>
      <c r="G613" s="73"/>
      <c r="H613" s="79"/>
      <c r="I613" s="79"/>
      <c r="J613" s="14"/>
      <c r="K613" s="38"/>
      <c r="L613" s="38"/>
      <c r="M613" s="17"/>
    </row>
    <row r="614" spans="2:13" ht="14.45" customHeight="1" x14ac:dyDescent="0.25">
      <c r="B614" s="17"/>
      <c r="C614" s="14"/>
      <c r="D614" s="14"/>
      <c r="E614" s="18"/>
      <c r="F614" s="61"/>
      <c r="G614" s="73"/>
      <c r="H614" s="79"/>
      <c r="I614" s="79"/>
      <c r="J614" s="14"/>
      <c r="K614" s="38"/>
      <c r="L614" s="38"/>
      <c r="M614" s="17"/>
    </row>
    <row r="615" spans="2:13" ht="14.45" customHeight="1" x14ac:dyDescent="0.25">
      <c r="B615" s="17"/>
      <c r="C615" s="14"/>
      <c r="D615" s="14"/>
      <c r="E615" s="18"/>
      <c r="F615" s="61"/>
      <c r="G615" s="73"/>
      <c r="H615" s="79"/>
      <c r="I615" s="79"/>
      <c r="J615" s="14"/>
      <c r="K615" s="38"/>
      <c r="L615" s="38"/>
      <c r="M615" s="17"/>
    </row>
    <row r="616" spans="2:13" ht="14.45" customHeight="1" x14ac:dyDescent="0.25">
      <c r="B616" s="17"/>
      <c r="C616" s="14"/>
      <c r="D616" s="14"/>
      <c r="E616" s="18"/>
      <c r="F616" s="61"/>
      <c r="G616" s="73"/>
      <c r="H616" s="79"/>
      <c r="I616" s="79"/>
      <c r="J616" s="14"/>
      <c r="K616" s="38"/>
      <c r="L616" s="38"/>
      <c r="M616" s="17"/>
    </row>
    <row r="617" spans="2:13" ht="14.45" customHeight="1" x14ac:dyDescent="0.25">
      <c r="B617" s="17"/>
      <c r="C617" s="14"/>
      <c r="D617" s="14"/>
      <c r="E617" s="18"/>
      <c r="F617" s="61"/>
      <c r="G617" s="73"/>
      <c r="H617" s="79"/>
      <c r="I617" s="79"/>
      <c r="J617" s="14"/>
      <c r="K617" s="38"/>
      <c r="L617" s="38"/>
      <c r="M617" s="17"/>
    </row>
    <row r="618" spans="2:13" ht="14.45" customHeight="1" x14ac:dyDescent="0.25">
      <c r="B618" s="17"/>
      <c r="C618" s="14"/>
      <c r="D618" s="14"/>
      <c r="E618" s="18"/>
      <c r="F618" s="61"/>
      <c r="G618" s="73"/>
      <c r="H618" s="79"/>
      <c r="I618" s="79"/>
      <c r="J618" s="14"/>
      <c r="K618" s="38"/>
      <c r="L618" s="38"/>
      <c r="M618" s="17"/>
    </row>
    <row r="619" spans="2:13" ht="14.45" customHeight="1" x14ac:dyDescent="0.25">
      <c r="B619" s="17"/>
      <c r="C619" s="14"/>
      <c r="D619" s="14"/>
      <c r="E619" s="18"/>
      <c r="F619" s="61"/>
      <c r="G619" s="73"/>
      <c r="H619" s="79"/>
      <c r="I619" s="79"/>
      <c r="J619" s="14"/>
      <c r="K619" s="38"/>
      <c r="L619" s="38"/>
      <c r="M619" s="17"/>
    </row>
    <row r="620" spans="2:13" ht="14.45" customHeight="1" x14ac:dyDescent="0.25">
      <c r="B620" s="17"/>
      <c r="C620" s="14"/>
      <c r="D620" s="14"/>
      <c r="E620" s="18"/>
      <c r="F620" s="61"/>
      <c r="G620" s="73"/>
      <c r="H620" s="79"/>
      <c r="I620" s="79"/>
      <c r="J620" s="14"/>
      <c r="K620" s="38"/>
      <c r="L620" s="38"/>
      <c r="M620" s="17"/>
    </row>
    <row r="621" spans="2:13" ht="14.45" customHeight="1" x14ac:dyDescent="0.25">
      <c r="B621" s="17"/>
      <c r="C621" s="14"/>
      <c r="D621" s="14"/>
      <c r="E621" s="18"/>
      <c r="F621" s="61"/>
      <c r="G621" s="73"/>
      <c r="H621" s="79"/>
      <c r="I621" s="79"/>
      <c r="J621" s="14"/>
      <c r="K621" s="38"/>
      <c r="L621" s="38"/>
      <c r="M621" s="17"/>
    </row>
    <row r="622" spans="2:13" ht="14.45" customHeight="1" x14ac:dyDescent="0.25">
      <c r="B622" s="17"/>
      <c r="C622" s="14"/>
      <c r="D622" s="14"/>
      <c r="E622" s="18"/>
      <c r="F622" s="61"/>
      <c r="G622" s="73"/>
      <c r="H622" s="79"/>
      <c r="I622" s="79"/>
      <c r="J622" s="14"/>
      <c r="K622" s="38"/>
      <c r="L622" s="38"/>
      <c r="M622" s="17"/>
    </row>
    <row r="623" spans="2:13" ht="14.45" customHeight="1" x14ac:dyDescent="0.25">
      <c r="B623" s="17"/>
      <c r="C623" s="14"/>
      <c r="D623" s="14"/>
      <c r="E623" s="18"/>
      <c r="F623" s="61"/>
      <c r="G623" s="73"/>
      <c r="H623" s="79"/>
      <c r="I623" s="79"/>
      <c r="J623" s="14"/>
      <c r="K623" s="38"/>
      <c r="L623" s="38"/>
      <c r="M623" s="17"/>
    </row>
    <row r="624" spans="2:13" ht="14.45" customHeight="1" x14ac:dyDescent="0.25">
      <c r="B624" s="17"/>
      <c r="C624" s="14"/>
      <c r="D624" s="14"/>
      <c r="E624" s="18"/>
      <c r="F624" s="61"/>
      <c r="G624" s="73"/>
      <c r="H624" s="79"/>
      <c r="I624" s="79"/>
      <c r="J624" s="14"/>
      <c r="K624" s="38"/>
      <c r="L624" s="38"/>
      <c r="M624" s="17"/>
    </row>
    <row r="625" spans="2:13" ht="14.45" customHeight="1" x14ac:dyDescent="0.25">
      <c r="B625" s="17"/>
      <c r="C625" s="14"/>
      <c r="D625" s="14"/>
      <c r="E625" s="18"/>
      <c r="F625" s="61"/>
      <c r="G625" s="73"/>
      <c r="H625" s="79"/>
      <c r="I625" s="79"/>
      <c r="J625" s="14"/>
      <c r="K625" s="38"/>
      <c r="L625" s="38"/>
      <c r="M625" s="17"/>
    </row>
    <row r="626" spans="2:13" ht="14.45" customHeight="1" x14ac:dyDescent="0.25">
      <c r="B626" s="17"/>
      <c r="C626" s="14"/>
      <c r="D626" s="14"/>
      <c r="E626" s="18"/>
      <c r="F626" s="61"/>
      <c r="G626" s="73"/>
      <c r="H626" s="79"/>
      <c r="I626" s="79"/>
      <c r="J626" s="14"/>
      <c r="K626" s="38"/>
      <c r="L626" s="38"/>
      <c r="M626" s="17"/>
    </row>
    <row r="627" spans="2:13" ht="14.45" customHeight="1" x14ac:dyDescent="0.25">
      <c r="B627" s="17"/>
      <c r="C627" s="14"/>
      <c r="D627" s="14"/>
      <c r="E627" s="18"/>
      <c r="F627" s="61"/>
      <c r="G627" s="73"/>
      <c r="H627" s="79"/>
      <c r="I627" s="79"/>
      <c r="J627" s="14"/>
      <c r="K627" s="38"/>
      <c r="L627" s="38"/>
      <c r="M627" s="17"/>
    </row>
    <row r="628" spans="2:13" ht="14.45" customHeight="1" x14ac:dyDescent="0.25">
      <c r="B628" s="17"/>
      <c r="C628" s="14"/>
      <c r="D628" s="14"/>
      <c r="E628" s="18"/>
      <c r="F628" s="61"/>
      <c r="G628" s="73"/>
      <c r="H628" s="79"/>
      <c r="I628" s="79"/>
      <c r="J628" s="14"/>
      <c r="K628" s="38"/>
      <c r="L628" s="38"/>
      <c r="M628" s="17"/>
    </row>
    <row r="629" spans="2:13" ht="14.45" customHeight="1" x14ac:dyDescent="0.25">
      <c r="B629" s="17"/>
      <c r="C629" s="14"/>
      <c r="D629" s="14"/>
      <c r="E629" s="18"/>
      <c r="F629" s="61"/>
      <c r="G629" s="73"/>
      <c r="H629" s="79"/>
      <c r="I629" s="79"/>
      <c r="J629" s="14"/>
      <c r="K629" s="38"/>
      <c r="L629" s="38"/>
      <c r="M629" s="17"/>
    </row>
    <row r="630" spans="2:13" ht="14.45" customHeight="1" x14ac:dyDescent="0.25">
      <c r="B630" s="17"/>
      <c r="C630" s="14"/>
      <c r="D630" s="14"/>
      <c r="E630" s="18"/>
      <c r="F630" s="61"/>
      <c r="G630" s="73"/>
      <c r="H630" s="79"/>
      <c r="I630" s="79"/>
      <c r="J630" s="14"/>
      <c r="K630" s="38"/>
      <c r="L630" s="38"/>
      <c r="M630" s="17"/>
    </row>
    <row r="631" spans="2:13" ht="14.45" customHeight="1" x14ac:dyDescent="0.25">
      <c r="B631" s="17"/>
      <c r="C631" s="14"/>
      <c r="D631" s="14"/>
      <c r="E631" s="18"/>
      <c r="F631" s="61"/>
      <c r="G631" s="73"/>
      <c r="H631" s="79"/>
      <c r="I631" s="79"/>
      <c r="J631" s="14"/>
      <c r="K631" s="38"/>
      <c r="L631" s="38"/>
      <c r="M631" s="17"/>
    </row>
    <row r="632" spans="2:13" ht="14.45" customHeight="1" x14ac:dyDescent="0.25">
      <c r="B632" s="17"/>
      <c r="C632" s="14"/>
      <c r="D632" s="14"/>
      <c r="E632" s="18"/>
      <c r="F632" s="61"/>
      <c r="G632" s="73"/>
      <c r="H632" s="79"/>
      <c r="I632" s="79"/>
      <c r="J632" s="14"/>
      <c r="K632" s="38"/>
      <c r="L632" s="38"/>
      <c r="M632" s="17"/>
    </row>
    <row r="633" spans="2:13" ht="14.45" customHeight="1" x14ac:dyDescent="0.25">
      <c r="B633" s="17"/>
      <c r="C633" s="14"/>
      <c r="D633" s="14"/>
      <c r="E633" s="18"/>
      <c r="F633" s="61"/>
      <c r="G633" s="73"/>
      <c r="H633" s="79"/>
      <c r="I633" s="79"/>
      <c r="J633" s="14"/>
      <c r="K633" s="38"/>
      <c r="L633" s="38"/>
      <c r="M633" s="17"/>
    </row>
    <row r="634" spans="2:13" ht="14.45" customHeight="1" x14ac:dyDescent="0.25">
      <c r="B634" s="17"/>
      <c r="C634" s="14"/>
      <c r="D634" s="14"/>
      <c r="E634" s="18"/>
      <c r="F634" s="61"/>
      <c r="G634" s="73"/>
      <c r="H634" s="79"/>
      <c r="I634" s="79"/>
      <c r="J634" s="14"/>
      <c r="K634" s="38"/>
      <c r="L634" s="38"/>
      <c r="M634" s="17"/>
    </row>
    <row r="635" spans="2:13" ht="14.45" customHeight="1" x14ac:dyDescent="0.25">
      <c r="B635" s="17"/>
      <c r="C635" s="14"/>
      <c r="D635" s="14"/>
      <c r="E635" s="18"/>
      <c r="F635" s="61"/>
      <c r="G635" s="73"/>
      <c r="H635" s="79"/>
      <c r="I635" s="79"/>
      <c r="J635" s="14"/>
      <c r="K635" s="38"/>
      <c r="L635" s="38"/>
      <c r="M635" s="17"/>
    </row>
    <row r="636" spans="2:13" ht="14.45" customHeight="1" x14ac:dyDescent="0.25">
      <c r="B636" s="17"/>
      <c r="C636" s="14"/>
      <c r="D636" s="14"/>
      <c r="E636" s="18"/>
      <c r="F636" s="61"/>
      <c r="G636" s="73"/>
      <c r="H636" s="79"/>
      <c r="I636" s="79"/>
      <c r="J636" s="14"/>
      <c r="K636" s="38"/>
      <c r="L636" s="38"/>
      <c r="M636" s="17"/>
    </row>
    <row r="637" spans="2:13" ht="14.45" customHeight="1" x14ac:dyDescent="0.25">
      <c r="B637" s="17"/>
      <c r="C637" s="14"/>
      <c r="D637" s="14"/>
      <c r="E637" s="18"/>
      <c r="F637" s="61"/>
      <c r="G637" s="73"/>
      <c r="H637" s="79"/>
      <c r="I637" s="79"/>
      <c r="J637" s="14"/>
      <c r="K637" s="38"/>
      <c r="L637" s="38"/>
      <c r="M637" s="17"/>
    </row>
    <row r="638" spans="2:13" ht="14.45" customHeight="1" x14ac:dyDescent="0.25">
      <c r="B638" s="17"/>
      <c r="C638" s="14"/>
      <c r="D638" s="14"/>
      <c r="E638" s="18"/>
      <c r="F638" s="61"/>
      <c r="G638" s="73"/>
      <c r="H638" s="79"/>
      <c r="I638" s="79"/>
      <c r="J638" s="14"/>
      <c r="K638" s="38"/>
      <c r="L638" s="38"/>
      <c r="M638" s="17"/>
    </row>
    <row r="639" spans="2:13" ht="14.45" customHeight="1" x14ac:dyDescent="0.25">
      <c r="B639" s="17"/>
      <c r="C639" s="14"/>
      <c r="D639" s="14"/>
      <c r="E639" s="18"/>
      <c r="F639" s="61"/>
      <c r="G639" s="73"/>
      <c r="H639" s="79"/>
      <c r="I639" s="79"/>
      <c r="J639" s="14"/>
      <c r="K639" s="38"/>
      <c r="L639" s="38"/>
      <c r="M639" s="17"/>
    </row>
    <row r="640" spans="2:13" ht="14.45" customHeight="1" x14ac:dyDescent="0.25">
      <c r="B640" s="17"/>
      <c r="C640" s="14"/>
      <c r="D640" s="14"/>
      <c r="E640" s="18"/>
      <c r="F640" s="61"/>
      <c r="G640" s="73"/>
      <c r="H640" s="79"/>
      <c r="I640" s="79"/>
      <c r="J640" s="14"/>
      <c r="K640" s="38"/>
      <c r="L640" s="38"/>
      <c r="M640" s="17"/>
    </row>
    <row r="641" spans="2:13" ht="14.45" customHeight="1" x14ac:dyDescent="0.25">
      <c r="B641" s="17"/>
      <c r="C641" s="14"/>
      <c r="D641" s="14"/>
      <c r="E641" s="18"/>
      <c r="F641" s="61"/>
      <c r="G641" s="73"/>
      <c r="H641" s="79"/>
      <c r="I641" s="79"/>
      <c r="J641" s="14"/>
      <c r="K641" s="38"/>
      <c r="L641" s="38"/>
      <c r="M641" s="17"/>
    </row>
    <row r="642" spans="2:13" ht="14.45" customHeight="1" x14ac:dyDescent="0.25">
      <c r="B642" s="17"/>
      <c r="C642" s="14"/>
      <c r="D642" s="14"/>
      <c r="E642" s="18"/>
      <c r="F642" s="61"/>
      <c r="G642" s="73"/>
      <c r="H642" s="79"/>
      <c r="I642" s="79"/>
      <c r="J642" s="14"/>
      <c r="K642" s="38"/>
      <c r="L642" s="38"/>
      <c r="M642" s="17"/>
    </row>
    <row r="643" spans="2:13" ht="14.45" customHeight="1" x14ac:dyDescent="0.25">
      <c r="B643" s="17"/>
      <c r="C643" s="14"/>
      <c r="D643" s="14"/>
      <c r="E643" s="18"/>
      <c r="F643" s="61"/>
      <c r="G643" s="73"/>
      <c r="H643" s="79"/>
      <c r="I643" s="79"/>
      <c r="J643" s="14"/>
      <c r="K643" s="38"/>
      <c r="L643" s="38"/>
      <c r="M643" s="17"/>
    </row>
    <row r="644" spans="2:13" ht="14.45" customHeight="1" x14ac:dyDescent="0.25">
      <c r="B644" s="17"/>
      <c r="C644" s="14"/>
      <c r="D644" s="14"/>
      <c r="E644" s="18"/>
      <c r="F644" s="61"/>
      <c r="G644" s="73"/>
      <c r="H644" s="79"/>
      <c r="I644" s="79"/>
      <c r="J644" s="14"/>
      <c r="K644" s="38"/>
      <c r="L644" s="38"/>
      <c r="M644" s="17"/>
    </row>
    <row r="645" spans="2:13" ht="14.45" customHeight="1" x14ac:dyDescent="0.25">
      <c r="B645" s="17"/>
      <c r="C645" s="14"/>
      <c r="D645" s="14"/>
      <c r="E645" s="18"/>
      <c r="F645" s="61"/>
      <c r="G645" s="73"/>
      <c r="H645" s="79"/>
      <c r="I645" s="79"/>
      <c r="J645" s="14"/>
      <c r="K645" s="38"/>
      <c r="L645" s="38"/>
      <c r="M645" s="17"/>
    </row>
    <row r="646" spans="2:13" ht="14.45" customHeight="1" x14ac:dyDescent="0.25">
      <c r="B646" s="17"/>
      <c r="C646" s="14"/>
      <c r="D646" s="14"/>
      <c r="E646" s="18"/>
      <c r="F646" s="61"/>
      <c r="G646" s="73"/>
      <c r="H646" s="79"/>
      <c r="I646" s="79"/>
      <c r="J646" s="14"/>
      <c r="K646" s="38"/>
      <c r="L646" s="38"/>
      <c r="M646" s="17"/>
    </row>
    <row r="647" spans="2:13" ht="14.45" customHeight="1" x14ac:dyDescent="0.25">
      <c r="B647" s="17"/>
      <c r="C647" s="14"/>
      <c r="D647" s="14"/>
      <c r="E647" s="18"/>
      <c r="F647" s="61"/>
      <c r="G647" s="73"/>
      <c r="H647" s="79"/>
      <c r="I647" s="79"/>
      <c r="J647" s="14"/>
      <c r="K647" s="38"/>
      <c r="L647" s="38"/>
      <c r="M647" s="17"/>
    </row>
    <row r="648" spans="2:13" ht="14.45" customHeight="1" x14ac:dyDescent="0.25">
      <c r="B648" s="17"/>
      <c r="C648" s="14"/>
      <c r="D648" s="14"/>
      <c r="E648" s="18"/>
      <c r="F648" s="61"/>
      <c r="G648" s="73"/>
      <c r="H648" s="79"/>
      <c r="I648" s="79"/>
      <c r="J648" s="14"/>
      <c r="K648" s="38"/>
      <c r="L648" s="38"/>
      <c r="M648" s="17"/>
    </row>
    <row r="649" spans="2:13" ht="14.45" customHeight="1" x14ac:dyDescent="0.25">
      <c r="B649" s="17"/>
      <c r="C649" s="14"/>
      <c r="D649" s="14"/>
      <c r="E649" s="18"/>
      <c r="F649" s="61"/>
      <c r="G649" s="73"/>
      <c r="H649" s="79"/>
      <c r="I649" s="79"/>
      <c r="J649" s="14"/>
      <c r="K649" s="38"/>
      <c r="L649" s="38"/>
      <c r="M649" s="17"/>
    </row>
    <row r="650" spans="2:13" ht="14.45" customHeight="1" x14ac:dyDescent="0.25">
      <c r="B650" s="17"/>
      <c r="C650" s="14"/>
      <c r="D650" s="14"/>
      <c r="E650" s="18"/>
      <c r="F650" s="61"/>
      <c r="G650" s="73"/>
      <c r="H650" s="79"/>
      <c r="I650" s="79"/>
      <c r="J650" s="14"/>
      <c r="K650" s="38"/>
      <c r="L650" s="38"/>
      <c r="M650" s="17"/>
    </row>
    <row r="651" spans="2:13" ht="14.45" customHeight="1" x14ac:dyDescent="0.25">
      <c r="B651" s="17"/>
      <c r="C651" s="14"/>
      <c r="D651" s="14"/>
      <c r="E651" s="18"/>
      <c r="F651" s="61"/>
      <c r="G651" s="73"/>
      <c r="H651" s="79"/>
      <c r="I651" s="79"/>
      <c r="J651" s="14"/>
      <c r="K651" s="38"/>
      <c r="L651" s="38"/>
      <c r="M651" s="17"/>
    </row>
    <row r="652" spans="2:13" ht="14.45" customHeight="1" x14ac:dyDescent="0.25">
      <c r="B652" s="17"/>
      <c r="C652" s="14"/>
      <c r="D652" s="14"/>
      <c r="E652" s="18"/>
      <c r="F652" s="61"/>
      <c r="G652" s="73"/>
      <c r="H652" s="79"/>
      <c r="I652" s="79"/>
      <c r="J652" s="14"/>
      <c r="K652" s="38"/>
      <c r="L652" s="38"/>
      <c r="M652" s="17"/>
    </row>
    <row r="653" spans="2:13" ht="14.45" customHeight="1" x14ac:dyDescent="0.25">
      <c r="B653" s="17"/>
      <c r="C653" s="14"/>
      <c r="D653" s="14"/>
      <c r="E653" s="18"/>
      <c r="F653" s="61"/>
      <c r="G653" s="73"/>
      <c r="H653" s="79"/>
      <c r="I653" s="79"/>
      <c r="J653" s="14"/>
      <c r="K653" s="38"/>
      <c r="L653" s="38"/>
      <c r="M653" s="17"/>
    </row>
    <row r="654" spans="2:13" ht="14.45" customHeight="1" x14ac:dyDescent="0.25">
      <c r="B654" s="17"/>
      <c r="C654" s="14"/>
      <c r="D654" s="14"/>
      <c r="E654" s="18"/>
      <c r="F654" s="61"/>
      <c r="G654" s="73"/>
      <c r="H654" s="79"/>
      <c r="I654" s="79"/>
      <c r="J654" s="14"/>
      <c r="K654" s="38"/>
      <c r="L654" s="38"/>
      <c r="M654" s="17"/>
    </row>
    <row r="655" spans="2:13" ht="14.45" customHeight="1" x14ac:dyDescent="0.25">
      <c r="B655" s="17"/>
      <c r="C655" s="14"/>
      <c r="D655" s="14"/>
      <c r="E655" s="18"/>
      <c r="F655" s="61"/>
      <c r="G655" s="73"/>
      <c r="H655" s="79"/>
      <c r="I655" s="79"/>
      <c r="J655" s="14"/>
      <c r="K655" s="38"/>
      <c r="L655" s="38"/>
      <c r="M655" s="17"/>
    </row>
    <row r="656" spans="2:13" ht="14.45" customHeight="1" x14ac:dyDescent="0.25">
      <c r="B656" s="17"/>
      <c r="C656" s="14"/>
      <c r="D656" s="14"/>
      <c r="E656" s="18"/>
      <c r="F656" s="61"/>
      <c r="G656" s="73"/>
      <c r="H656" s="79"/>
      <c r="I656" s="79"/>
      <c r="J656" s="14"/>
      <c r="K656" s="38"/>
      <c r="L656" s="38"/>
      <c r="M656" s="17"/>
    </row>
    <row r="657" spans="2:13" ht="14.45" customHeight="1" x14ac:dyDescent="0.25">
      <c r="B657" s="17"/>
      <c r="C657" s="14"/>
      <c r="D657" s="14"/>
      <c r="E657" s="18"/>
      <c r="F657" s="61"/>
      <c r="G657" s="73"/>
      <c r="H657" s="79"/>
      <c r="I657" s="79"/>
      <c r="J657" s="14"/>
      <c r="K657" s="38"/>
      <c r="L657" s="38"/>
      <c r="M657" s="17"/>
    </row>
    <row r="658" spans="2:13" ht="14.45" customHeight="1" x14ac:dyDescent="0.25">
      <c r="B658" s="17"/>
      <c r="C658" s="14"/>
      <c r="D658" s="14"/>
      <c r="E658" s="18"/>
      <c r="F658" s="61"/>
      <c r="G658" s="73"/>
      <c r="H658" s="79"/>
      <c r="I658" s="79"/>
      <c r="J658" s="14"/>
      <c r="K658" s="38"/>
      <c r="L658" s="38"/>
      <c r="M658" s="17"/>
    </row>
    <row r="659" spans="2:13" ht="14.45" customHeight="1" x14ac:dyDescent="0.25">
      <c r="B659" s="17"/>
      <c r="C659" s="14"/>
      <c r="D659" s="14"/>
      <c r="E659" s="18"/>
      <c r="F659" s="61"/>
      <c r="G659" s="73"/>
      <c r="H659" s="79"/>
      <c r="I659" s="79"/>
      <c r="J659" s="14"/>
      <c r="K659" s="38"/>
      <c r="L659" s="38"/>
      <c r="M659" s="17"/>
    </row>
    <row r="660" spans="2:13" ht="14.45" customHeight="1" x14ac:dyDescent="0.25">
      <c r="B660" s="17"/>
      <c r="C660" s="14"/>
      <c r="D660" s="14"/>
      <c r="E660" s="18"/>
      <c r="F660" s="61"/>
      <c r="G660" s="73"/>
      <c r="H660" s="79"/>
      <c r="I660" s="79"/>
      <c r="J660" s="14"/>
      <c r="K660" s="38"/>
      <c r="L660" s="38"/>
      <c r="M660" s="17"/>
    </row>
    <row r="661" spans="2:13" ht="14.45" customHeight="1" x14ac:dyDescent="0.25">
      <c r="B661" s="17"/>
      <c r="C661" s="14"/>
      <c r="D661" s="14"/>
      <c r="E661" s="18"/>
      <c r="F661" s="61"/>
      <c r="G661" s="73"/>
      <c r="H661" s="79"/>
      <c r="I661" s="79"/>
      <c r="J661" s="14"/>
      <c r="K661" s="38"/>
      <c r="L661" s="38"/>
      <c r="M661" s="17"/>
    </row>
    <row r="662" spans="2:13" ht="14.45" customHeight="1" x14ac:dyDescent="0.25">
      <c r="B662" s="17"/>
      <c r="C662" s="14"/>
      <c r="D662" s="14"/>
      <c r="E662" s="18"/>
      <c r="F662" s="61"/>
      <c r="G662" s="73"/>
      <c r="H662" s="79"/>
      <c r="I662" s="79"/>
      <c r="J662" s="14"/>
      <c r="K662" s="38"/>
      <c r="L662" s="38"/>
      <c r="M662" s="17"/>
    </row>
    <row r="663" spans="2:13" ht="14.45" customHeight="1" x14ac:dyDescent="0.25">
      <c r="B663" s="17"/>
      <c r="C663" s="14"/>
      <c r="D663" s="14"/>
      <c r="E663" s="18"/>
      <c r="F663" s="61"/>
      <c r="G663" s="73"/>
      <c r="H663" s="79"/>
      <c r="I663" s="79"/>
      <c r="J663" s="14"/>
      <c r="K663" s="38"/>
      <c r="L663" s="38"/>
      <c r="M663" s="17"/>
    </row>
    <row r="664" spans="2:13" ht="14.45" customHeight="1" x14ac:dyDescent="0.25">
      <c r="B664" s="17"/>
      <c r="C664" s="14"/>
      <c r="D664" s="14"/>
      <c r="E664" s="18"/>
      <c r="F664" s="61"/>
      <c r="G664" s="73"/>
      <c r="H664" s="79"/>
      <c r="I664" s="79"/>
      <c r="J664" s="14"/>
      <c r="K664" s="38"/>
      <c r="L664" s="38"/>
      <c r="M664" s="17"/>
    </row>
    <row r="665" spans="2:13" ht="14.45" customHeight="1" x14ac:dyDescent="0.25">
      <c r="B665" s="17"/>
      <c r="C665" s="14"/>
      <c r="D665" s="14"/>
      <c r="E665" s="18"/>
      <c r="F665" s="61"/>
      <c r="G665" s="73"/>
      <c r="H665" s="79"/>
      <c r="I665" s="79"/>
      <c r="J665" s="14"/>
      <c r="K665" s="38"/>
      <c r="L665" s="38"/>
      <c r="M665" s="17"/>
    </row>
    <row r="666" spans="2:13" ht="14.45" customHeight="1" x14ac:dyDescent="0.25">
      <c r="B666" s="17"/>
      <c r="C666" s="14"/>
      <c r="D666" s="14"/>
      <c r="E666" s="18"/>
      <c r="F666" s="61"/>
      <c r="G666" s="73"/>
      <c r="H666" s="79"/>
      <c r="I666" s="79"/>
      <c r="J666" s="14"/>
      <c r="K666" s="38"/>
      <c r="L666" s="38"/>
      <c r="M666" s="17"/>
    </row>
    <row r="667" spans="2:13" ht="14.45" customHeight="1" x14ac:dyDescent="0.25">
      <c r="B667" s="17"/>
      <c r="C667" s="14"/>
      <c r="D667" s="14"/>
      <c r="E667" s="18"/>
      <c r="F667" s="61"/>
      <c r="G667" s="73"/>
      <c r="H667" s="79"/>
      <c r="I667" s="79"/>
      <c r="J667" s="14"/>
      <c r="K667" s="38"/>
      <c r="L667" s="38"/>
      <c r="M667" s="17"/>
    </row>
    <row r="668" spans="2:13" ht="14.45" customHeight="1" x14ac:dyDescent="0.25">
      <c r="B668" s="17"/>
      <c r="C668" s="14"/>
      <c r="D668" s="14"/>
      <c r="E668" s="18"/>
      <c r="F668" s="61"/>
      <c r="G668" s="73"/>
      <c r="H668" s="79"/>
      <c r="I668" s="79"/>
      <c r="J668" s="14"/>
      <c r="K668" s="38"/>
      <c r="L668" s="38"/>
      <c r="M668" s="17"/>
    </row>
    <row r="669" spans="2:13" ht="14.45" customHeight="1" x14ac:dyDescent="0.25">
      <c r="B669" s="17"/>
      <c r="C669" s="14"/>
      <c r="D669" s="14"/>
      <c r="E669" s="18"/>
      <c r="F669" s="61"/>
      <c r="G669" s="73"/>
      <c r="H669" s="79"/>
      <c r="I669" s="79"/>
      <c r="J669" s="14"/>
      <c r="K669" s="38"/>
      <c r="L669" s="38"/>
      <c r="M669" s="17"/>
    </row>
    <row r="670" spans="2:13" ht="14.45" customHeight="1" x14ac:dyDescent="0.25">
      <c r="B670" s="17"/>
      <c r="C670" s="14"/>
      <c r="D670" s="14"/>
      <c r="E670" s="18"/>
      <c r="F670" s="61"/>
      <c r="G670" s="73"/>
      <c r="H670" s="79"/>
      <c r="I670" s="79"/>
      <c r="J670" s="14"/>
      <c r="K670" s="38"/>
      <c r="L670" s="38"/>
      <c r="M670" s="17"/>
    </row>
    <row r="671" spans="2:13" ht="14.45" customHeight="1" x14ac:dyDescent="0.25">
      <c r="B671" s="17"/>
      <c r="C671" s="14"/>
      <c r="D671" s="14"/>
      <c r="E671" s="18"/>
      <c r="F671" s="61"/>
      <c r="G671" s="73"/>
      <c r="H671" s="79"/>
      <c r="I671" s="79"/>
      <c r="J671" s="14"/>
      <c r="K671" s="38"/>
      <c r="L671" s="38"/>
      <c r="M671" s="17"/>
    </row>
    <row r="672" spans="2:13" ht="14.45" customHeight="1" x14ac:dyDescent="0.25">
      <c r="B672" s="17"/>
      <c r="C672" s="14"/>
      <c r="D672" s="14"/>
      <c r="E672" s="18"/>
      <c r="F672" s="61"/>
      <c r="G672" s="73"/>
      <c r="H672" s="79"/>
      <c r="I672" s="79"/>
      <c r="J672" s="14"/>
      <c r="K672" s="38"/>
      <c r="L672" s="38"/>
      <c r="M672" s="17"/>
    </row>
    <row r="673" spans="2:13" ht="14.45" customHeight="1" x14ac:dyDescent="0.25">
      <c r="B673" s="17"/>
      <c r="C673" s="14"/>
      <c r="D673" s="14"/>
      <c r="E673" s="18"/>
      <c r="F673" s="61"/>
      <c r="G673" s="73"/>
      <c r="H673" s="79"/>
      <c r="I673" s="79"/>
      <c r="J673" s="14"/>
      <c r="K673" s="38"/>
      <c r="L673" s="38"/>
      <c r="M673" s="17"/>
    </row>
    <row r="674" spans="2:13" ht="14.45" customHeight="1" x14ac:dyDescent="0.25">
      <c r="B674" s="17"/>
      <c r="C674" s="14"/>
      <c r="D674" s="14"/>
      <c r="E674" s="18"/>
      <c r="F674" s="61"/>
      <c r="G674" s="73"/>
      <c r="H674" s="79"/>
      <c r="I674" s="79"/>
      <c r="J674" s="14"/>
      <c r="K674" s="38"/>
      <c r="L674" s="38"/>
      <c r="M674" s="17"/>
    </row>
    <row r="675" spans="2:13" ht="14.45" customHeight="1" x14ac:dyDescent="0.25">
      <c r="B675" s="17"/>
      <c r="C675" s="14"/>
      <c r="D675" s="14"/>
      <c r="E675" s="18"/>
      <c r="F675" s="61"/>
      <c r="G675" s="73"/>
      <c r="H675" s="79"/>
      <c r="I675" s="79"/>
      <c r="J675" s="14"/>
      <c r="K675" s="38"/>
      <c r="L675" s="38"/>
      <c r="M675" s="17"/>
    </row>
    <row r="676" spans="2:13" ht="14.45" customHeight="1" x14ac:dyDescent="0.25">
      <c r="B676" s="17"/>
      <c r="C676" s="14"/>
      <c r="D676" s="14"/>
      <c r="E676" s="18"/>
      <c r="F676" s="61"/>
      <c r="G676" s="73"/>
      <c r="H676" s="79"/>
      <c r="I676" s="79"/>
      <c r="J676" s="14"/>
      <c r="K676" s="38"/>
      <c r="L676" s="38"/>
      <c r="M676" s="17"/>
    </row>
    <row r="677" spans="2:13" ht="14.45" customHeight="1" x14ac:dyDescent="0.25">
      <c r="B677" s="17"/>
      <c r="C677" s="14"/>
      <c r="D677" s="14"/>
      <c r="E677" s="18"/>
      <c r="F677" s="61"/>
      <c r="G677" s="73"/>
      <c r="H677" s="79"/>
      <c r="I677" s="79"/>
      <c r="J677" s="14"/>
      <c r="K677" s="38"/>
      <c r="L677" s="38"/>
      <c r="M677" s="17"/>
    </row>
    <row r="678" spans="2:13" ht="14.45" customHeight="1" x14ac:dyDescent="0.25">
      <c r="B678" s="17"/>
      <c r="C678" s="14"/>
      <c r="D678" s="14"/>
      <c r="E678" s="18"/>
      <c r="F678" s="61"/>
      <c r="G678" s="73"/>
      <c r="H678" s="79"/>
      <c r="I678" s="79"/>
      <c r="J678" s="14"/>
      <c r="K678" s="38"/>
      <c r="L678" s="38"/>
      <c r="M678" s="17"/>
    </row>
    <row r="679" spans="2:13" ht="14.45" customHeight="1" x14ac:dyDescent="0.25">
      <c r="B679" s="17"/>
      <c r="C679" s="14"/>
      <c r="D679" s="14"/>
      <c r="E679" s="18"/>
      <c r="F679" s="61"/>
      <c r="G679" s="73"/>
      <c r="H679" s="79"/>
      <c r="I679" s="79"/>
      <c r="J679" s="14"/>
      <c r="K679" s="38"/>
      <c r="L679" s="38"/>
      <c r="M679" s="17"/>
    </row>
    <row r="680" spans="2:13" ht="14.45" customHeight="1" x14ac:dyDescent="0.25">
      <c r="B680" s="17"/>
      <c r="C680" s="14"/>
      <c r="D680" s="14"/>
      <c r="E680" s="18"/>
      <c r="F680" s="61"/>
      <c r="G680" s="73"/>
      <c r="H680" s="79"/>
      <c r="I680" s="79"/>
      <c r="J680" s="14"/>
      <c r="K680" s="38"/>
      <c r="L680" s="38"/>
      <c r="M680" s="17"/>
    </row>
    <row r="681" spans="2:13" ht="14.45" customHeight="1" x14ac:dyDescent="0.25">
      <c r="B681" s="17"/>
      <c r="C681" s="14"/>
      <c r="D681" s="14"/>
      <c r="E681" s="18"/>
      <c r="F681" s="61"/>
      <c r="G681" s="73"/>
      <c r="H681" s="79"/>
      <c r="I681" s="79"/>
      <c r="J681" s="14"/>
      <c r="K681" s="38"/>
      <c r="L681" s="38"/>
      <c r="M681" s="17"/>
    </row>
    <row r="682" spans="2:13" ht="14.45" customHeight="1" x14ac:dyDescent="0.25">
      <c r="B682" s="17"/>
      <c r="C682" s="14"/>
      <c r="D682" s="14"/>
      <c r="E682" s="18"/>
      <c r="F682" s="61"/>
      <c r="G682" s="73"/>
      <c r="H682" s="79"/>
      <c r="I682" s="79"/>
      <c r="J682" s="14"/>
      <c r="K682" s="38"/>
      <c r="L682" s="38"/>
      <c r="M682" s="17"/>
    </row>
    <row r="683" spans="2:13" ht="14.45" customHeight="1" x14ac:dyDescent="0.25">
      <c r="B683" s="17"/>
      <c r="C683" s="14"/>
      <c r="D683" s="14"/>
      <c r="E683" s="18"/>
      <c r="F683" s="61"/>
      <c r="G683" s="73"/>
      <c r="H683" s="79"/>
      <c r="I683" s="79"/>
      <c r="J683" s="14"/>
      <c r="K683" s="38"/>
      <c r="L683" s="38"/>
      <c r="M683" s="17"/>
    </row>
    <row r="684" spans="2:13" ht="14.45" customHeight="1" x14ac:dyDescent="0.25">
      <c r="B684" s="17"/>
      <c r="C684" s="14"/>
      <c r="D684" s="14"/>
      <c r="E684" s="18"/>
      <c r="F684" s="61"/>
      <c r="G684" s="73"/>
      <c r="H684" s="79"/>
      <c r="I684" s="79"/>
      <c r="J684" s="14"/>
      <c r="K684" s="38"/>
      <c r="L684" s="38"/>
      <c r="M684" s="17"/>
    </row>
    <row r="685" spans="2:13" ht="14.45" customHeight="1" x14ac:dyDescent="0.25">
      <c r="B685" s="17"/>
      <c r="C685" s="14"/>
      <c r="D685" s="14"/>
      <c r="E685" s="18"/>
      <c r="F685" s="61"/>
      <c r="G685" s="73"/>
      <c r="H685" s="79"/>
      <c r="I685" s="79"/>
      <c r="J685" s="14"/>
      <c r="K685" s="38"/>
      <c r="L685" s="38"/>
      <c r="M685" s="17"/>
    </row>
    <row r="686" spans="2:13" ht="14.45" customHeight="1" x14ac:dyDescent="0.25">
      <c r="B686" s="17"/>
      <c r="C686" s="14"/>
      <c r="D686" s="14"/>
      <c r="E686" s="18"/>
      <c r="F686" s="61"/>
      <c r="G686" s="73"/>
      <c r="H686" s="79"/>
      <c r="I686" s="79"/>
      <c r="J686" s="14"/>
      <c r="K686" s="38"/>
      <c r="L686" s="38"/>
      <c r="M686" s="17"/>
    </row>
    <row r="687" spans="2:13" ht="14.45" customHeight="1" x14ac:dyDescent="0.25">
      <c r="B687" s="17"/>
      <c r="C687" s="14"/>
      <c r="D687" s="14"/>
      <c r="E687" s="18"/>
      <c r="F687" s="61"/>
      <c r="G687" s="73"/>
      <c r="H687" s="79"/>
      <c r="I687" s="79"/>
      <c r="J687" s="14"/>
      <c r="K687" s="38"/>
      <c r="L687" s="38"/>
      <c r="M687" s="17"/>
    </row>
    <row r="688" spans="2:13" ht="14.45" customHeight="1" x14ac:dyDescent="0.25">
      <c r="B688" s="17"/>
      <c r="C688" s="14"/>
      <c r="D688" s="14"/>
      <c r="E688" s="18"/>
      <c r="F688" s="61"/>
      <c r="G688" s="73"/>
      <c r="H688" s="79"/>
      <c r="I688" s="79"/>
      <c r="J688" s="14"/>
      <c r="K688" s="38"/>
      <c r="L688" s="38"/>
      <c r="M688" s="17"/>
    </row>
    <row r="689" spans="2:13" ht="14.45" customHeight="1" x14ac:dyDescent="0.25">
      <c r="B689" s="17"/>
      <c r="C689" s="14"/>
      <c r="D689" s="14"/>
      <c r="E689" s="18"/>
      <c r="F689" s="61"/>
      <c r="G689" s="73"/>
      <c r="H689" s="79"/>
      <c r="I689" s="79"/>
      <c r="J689" s="14"/>
      <c r="K689" s="38"/>
      <c r="L689" s="38"/>
      <c r="M689" s="17"/>
    </row>
    <row r="690" spans="2:13" ht="14.45" customHeight="1" x14ac:dyDescent="0.25">
      <c r="B690" s="17"/>
      <c r="C690" s="14"/>
      <c r="D690" s="14"/>
      <c r="E690" s="18"/>
      <c r="F690" s="61"/>
      <c r="G690" s="73"/>
      <c r="H690" s="79"/>
      <c r="I690" s="79"/>
      <c r="J690" s="14"/>
      <c r="K690" s="38"/>
      <c r="L690" s="38"/>
      <c r="M690" s="17"/>
    </row>
    <row r="691" spans="2:13" ht="14.45" customHeight="1" x14ac:dyDescent="0.25">
      <c r="B691" s="17"/>
      <c r="C691" s="14"/>
      <c r="D691" s="14"/>
      <c r="E691" s="18"/>
      <c r="F691" s="61"/>
      <c r="G691" s="73"/>
      <c r="H691" s="79"/>
      <c r="I691" s="79"/>
      <c r="J691" s="14"/>
      <c r="K691" s="38"/>
      <c r="L691" s="38"/>
      <c r="M691" s="17"/>
    </row>
    <row r="692" spans="2:13" ht="14.45" customHeight="1" x14ac:dyDescent="0.25">
      <c r="B692" s="17"/>
      <c r="C692" s="14"/>
      <c r="D692" s="14"/>
      <c r="E692" s="18"/>
      <c r="F692" s="61"/>
      <c r="G692" s="73"/>
      <c r="H692" s="79"/>
      <c r="I692" s="79"/>
      <c r="J692" s="14"/>
      <c r="K692" s="38"/>
      <c r="L692" s="38"/>
      <c r="M692" s="17"/>
    </row>
    <row r="693" spans="2:13" ht="14.45" customHeight="1" x14ac:dyDescent="0.25">
      <c r="B693" s="17"/>
      <c r="C693" s="14"/>
      <c r="D693" s="14"/>
      <c r="E693" s="18"/>
      <c r="F693" s="61"/>
      <c r="G693" s="73"/>
      <c r="H693" s="79"/>
      <c r="I693" s="79"/>
      <c r="J693" s="14"/>
      <c r="K693" s="38"/>
      <c r="L693" s="38"/>
      <c r="M693" s="17"/>
    </row>
    <row r="694" spans="2:13" ht="14.45" customHeight="1" x14ac:dyDescent="0.25">
      <c r="B694" s="17"/>
      <c r="C694" s="14"/>
      <c r="D694" s="14"/>
      <c r="E694" s="18"/>
      <c r="F694" s="61"/>
      <c r="G694" s="73"/>
      <c r="H694" s="79"/>
      <c r="I694" s="79"/>
      <c r="J694" s="14"/>
      <c r="K694" s="38"/>
      <c r="L694" s="38"/>
      <c r="M694" s="17"/>
    </row>
    <row r="695" spans="2:13" ht="14.45" customHeight="1" x14ac:dyDescent="0.25">
      <c r="B695" s="17"/>
      <c r="C695" s="14"/>
      <c r="D695" s="14"/>
      <c r="E695" s="18"/>
      <c r="F695" s="61"/>
      <c r="G695" s="73"/>
      <c r="H695" s="79"/>
      <c r="I695" s="79"/>
      <c r="J695" s="14"/>
      <c r="K695" s="38"/>
      <c r="L695" s="38"/>
      <c r="M695" s="17"/>
    </row>
    <row r="696" spans="2:13" ht="14.45" customHeight="1" x14ac:dyDescent="0.25">
      <c r="B696" s="17"/>
      <c r="C696" s="14"/>
      <c r="D696" s="14"/>
      <c r="E696" s="18"/>
      <c r="F696" s="61"/>
      <c r="G696" s="73"/>
      <c r="H696" s="79"/>
      <c r="I696" s="79"/>
      <c r="J696" s="14"/>
      <c r="K696" s="38"/>
      <c r="L696" s="38"/>
      <c r="M696" s="17"/>
    </row>
    <row r="697" spans="2:13" ht="14.45" customHeight="1" x14ac:dyDescent="0.25">
      <c r="B697" s="17"/>
      <c r="C697" s="14"/>
      <c r="D697" s="14"/>
      <c r="E697" s="18"/>
      <c r="F697" s="61"/>
      <c r="G697" s="73"/>
      <c r="H697" s="79"/>
      <c r="I697" s="79"/>
      <c r="J697" s="14"/>
      <c r="K697" s="38"/>
      <c r="L697" s="38"/>
      <c r="M697" s="17"/>
    </row>
    <row r="698" spans="2:13" ht="14.45" customHeight="1" x14ac:dyDescent="0.25">
      <c r="B698" s="17"/>
      <c r="C698" s="14"/>
      <c r="D698" s="14"/>
      <c r="E698" s="18"/>
      <c r="F698" s="61"/>
      <c r="G698" s="73"/>
      <c r="H698" s="79"/>
      <c r="I698" s="79"/>
      <c r="J698" s="14"/>
      <c r="K698" s="38"/>
      <c r="L698" s="38"/>
      <c r="M698" s="17"/>
    </row>
    <row r="699" spans="2:13" ht="14.45" customHeight="1" x14ac:dyDescent="0.25">
      <c r="B699" s="17"/>
      <c r="C699" s="14"/>
      <c r="D699" s="14"/>
      <c r="E699" s="18"/>
      <c r="F699" s="61"/>
      <c r="G699" s="73"/>
      <c r="H699" s="79"/>
      <c r="I699" s="79"/>
      <c r="J699" s="14"/>
      <c r="K699" s="38"/>
      <c r="L699" s="38"/>
      <c r="M699" s="17"/>
    </row>
    <row r="700" spans="2:13" ht="14.45" customHeight="1" x14ac:dyDescent="0.25">
      <c r="B700" s="17"/>
      <c r="C700" s="14"/>
      <c r="D700" s="14"/>
      <c r="E700" s="18"/>
      <c r="F700" s="61"/>
      <c r="G700" s="73"/>
      <c r="H700" s="79"/>
      <c r="I700" s="79"/>
      <c r="J700" s="14"/>
      <c r="K700" s="38"/>
      <c r="L700" s="38"/>
      <c r="M700" s="17"/>
    </row>
    <row r="701" spans="2:13" ht="14.45" customHeight="1" x14ac:dyDescent="0.25">
      <c r="B701" s="17"/>
      <c r="C701" s="14"/>
      <c r="D701" s="14"/>
      <c r="E701" s="18"/>
      <c r="F701" s="61"/>
      <c r="G701" s="73"/>
      <c r="H701" s="79"/>
      <c r="I701" s="79"/>
      <c r="J701" s="14"/>
      <c r="K701" s="38"/>
      <c r="L701" s="38"/>
      <c r="M701" s="17"/>
    </row>
    <row r="702" spans="2:13" ht="14.45" customHeight="1" x14ac:dyDescent="0.25">
      <c r="B702" s="17"/>
      <c r="C702" s="14"/>
      <c r="D702" s="14"/>
      <c r="E702" s="18"/>
      <c r="F702" s="61"/>
      <c r="G702" s="73"/>
      <c r="H702" s="79"/>
      <c r="I702" s="79"/>
      <c r="J702" s="14"/>
      <c r="K702" s="38"/>
      <c r="L702" s="38"/>
      <c r="M702" s="17"/>
    </row>
    <row r="703" spans="2:13" ht="14.45" customHeight="1" x14ac:dyDescent="0.25">
      <c r="B703" s="17"/>
      <c r="C703" s="14"/>
      <c r="D703" s="14"/>
      <c r="E703" s="18"/>
      <c r="F703" s="61"/>
      <c r="G703" s="73"/>
      <c r="H703" s="79"/>
      <c r="I703" s="79"/>
      <c r="J703" s="14"/>
      <c r="K703" s="38"/>
      <c r="L703" s="38"/>
      <c r="M703" s="17"/>
    </row>
    <row r="704" spans="2:13" ht="14.45" customHeight="1" x14ac:dyDescent="0.25">
      <c r="B704" s="17"/>
      <c r="C704" s="14"/>
      <c r="D704" s="14"/>
      <c r="E704" s="18"/>
      <c r="F704" s="61"/>
      <c r="G704" s="73"/>
      <c r="H704" s="79"/>
      <c r="I704" s="79"/>
      <c r="J704" s="14"/>
      <c r="K704" s="38"/>
      <c r="L704" s="38"/>
      <c r="M704" s="17"/>
    </row>
    <row r="705" spans="2:13" ht="14.45" customHeight="1" x14ac:dyDescent="0.25">
      <c r="B705" s="17"/>
      <c r="C705" s="14"/>
      <c r="D705" s="14"/>
      <c r="E705" s="18"/>
      <c r="F705" s="61"/>
      <c r="G705" s="73"/>
      <c r="H705" s="79"/>
      <c r="I705" s="79"/>
      <c r="J705" s="14"/>
      <c r="K705" s="38"/>
      <c r="L705" s="38"/>
      <c r="M705" s="17"/>
    </row>
    <row r="706" spans="2:13" ht="14.45" customHeight="1" x14ac:dyDescent="0.25">
      <c r="B706" s="17"/>
      <c r="C706" s="14"/>
      <c r="D706" s="14"/>
      <c r="E706" s="18"/>
      <c r="F706" s="61"/>
      <c r="G706" s="73"/>
      <c r="H706" s="79"/>
      <c r="I706" s="79"/>
      <c r="J706" s="14"/>
      <c r="K706" s="38"/>
      <c r="L706" s="38"/>
      <c r="M706" s="17"/>
    </row>
    <row r="707" spans="2:13" ht="14.45" customHeight="1" x14ac:dyDescent="0.25">
      <c r="B707" s="17"/>
      <c r="C707" s="14"/>
      <c r="D707" s="14"/>
      <c r="E707" s="18"/>
      <c r="F707" s="61"/>
      <c r="G707" s="73"/>
      <c r="H707" s="79"/>
      <c r="I707" s="79"/>
      <c r="J707" s="14"/>
      <c r="K707" s="38"/>
      <c r="L707" s="38"/>
      <c r="M707" s="17"/>
    </row>
    <row r="708" spans="2:13" ht="14.45" customHeight="1" x14ac:dyDescent="0.25">
      <c r="B708" s="17"/>
      <c r="C708" s="14"/>
      <c r="D708" s="14"/>
      <c r="E708" s="18"/>
      <c r="F708" s="61"/>
      <c r="G708" s="73"/>
      <c r="H708" s="79"/>
      <c r="I708" s="79"/>
      <c r="J708" s="14"/>
      <c r="K708" s="38"/>
      <c r="L708" s="38"/>
      <c r="M708" s="17"/>
    </row>
    <row r="709" spans="2:13" ht="14.45" customHeight="1" x14ac:dyDescent="0.25">
      <c r="B709" s="17"/>
      <c r="C709" s="14"/>
      <c r="D709" s="14"/>
      <c r="E709" s="18"/>
      <c r="F709" s="61"/>
      <c r="G709" s="73"/>
      <c r="H709" s="79"/>
      <c r="I709" s="79"/>
      <c r="J709" s="14"/>
      <c r="K709" s="38"/>
      <c r="L709" s="38"/>
      <c r="M709" s="17"/>
    </row>
    <row r="710" spans="2:13" ht="14.45" customHeight="1" x14ac:dyDescent="0.25">
      <c r="B710" s="17"/>
      <c r="C710" s="14"/>
      <c r="D710" s="14"/>
      <c r="E710" s="18"/>
      <c r="F710" s="61"/>
      <c r="G710" s="73"/>
      <c r="H710" s="79"/>
      <c r="I710" s="79"/>
      <c r="J710" s="14"/>
      <c r="K710" s="38"/>
      <c r="L710" s="38"/>
      <c r="M710" s="17"/>
    </row>
    <row r="711" spans="2:13" ht="14.45" customHeight="1" x14ac:dyDescent="0.25">
      <c r="B711" s="17"/>
      <c r="C711" s="14"/>
      <c r="D711" s="14"/>
      <c r="E711" s="18"/>
      <c r="F711" s="61"/>
      <c r="G711" s="73"/>
      <c r="H711" s="79"/>
      <c r="I711" s="79"/>
      <c r="J711" s="14"/>
      <c r="K711" s="38"/>
      <c r="L711" s="38"/>
      <c r="M711" s="17"/>
    </row>
    <row r="712" spans="2:13" ht="14.45" customHeight="1" x14ac:dyDescent="0.25">
      <c r="B712" s="17"/>
      <c r="C712" s="14"/>
      <c r="D712" s="14"/>
      <c r="E712" s="18"/>
      <c r="F712" s="61"/>
      <c r="G712" s="73"/>
      <c r="H712" s="79"/>
      <c r="I712" s="79"/>
      <c r="J712" s="14"/>
      <c r="K712" s="38"/>
      <c r="L712" s="38"/>
      <c r="M712" s="17"/>
    </row>
    <row r="713" spans="2:13" ht="14.45" customHeight="1" x14ac:dyDescent="0.25">
      <c r="B713" s="17"/>
      <c r="C713" s="14"/>
      <c r="D713" s="14"/>
      <c r="E713" s="18"/>
      <c r="F713" s="61"/>
      <c r="G713" s="73"/>
      <c r="H713" s="79"/>
      <c r="I713" s="79"/>
      <c r="J713" s="14"/>
      <c r="K713" s="38"/>
      <c r="L713" s="38"/>
      <c r="M713" s="17"/>
    </row>
    <row r="714" spans="2:13" ht="14.45" customHeight="1" x14ac:dyDescent="0.25">
      <c r="B714" s="17"/>
      <c r="C714" s="14"/>
      <c r="D714" s="14"/>
      <c r="E714" s="18"/>
      <c r="F714" s="61"/>
      <c r="G714" s="73"/>
      <c r="H714" s="79"/>
      <c r="I714" s="79"/>
      <c r="J714" s="14"/>
      <c r="K714" s="38"/>
      <c r="L714" s="38"/>
      <c r="M714" s="17"/>
    </row>
    <row r="715" spans="2:13" ht="14.45" customHeight="1" x14ac:dyDescent="0.25">
      <c r="B715" s="17"/>
      <c r="C715" s="14"/>
      <c r="D715" s="14"/>
      <c r="E715" s="18"/>
      <c r="F715" s="61"/>
      <c r="G715" s="73"/>
      <c r="H715" s="79"/>
      <c r="I715" s="79"/>
      <c r="J715" s="14"/>
      <c r="K715" s="38"/>
      <c r="L715" s="38"/>
      <c r="M715" s="17"/>
    </row>
    <row r="716" spans="2:13" ht="14.45" customHeight="1" x14ac:dyDescent="0.25">
      <c r="B716" s="17"/>
      <c r="C716" s="14"/>
      <c r="D716" s="14"/>
      <c r="E716" s="18"/>
      <c r="F716" s="61"/>
      <c r="G716" s="73"/>
      <c r="H716" s="79"/>
      <c r="I716" s="79"/>
      <c r="J716" s="14"/>
      <c r="K716" s="38"/>
      <c r="L716" s="38"/>
      <c r="M716" s="17"/>
    </row>
    <row r="717" spans="2:13" ht="14.45" customHeight="1" x14ac:dyDescent="0.25">
      <c r="B717" s="17"/>
      <c r="C717" s="14"/>
      <c r="D717" s="14"/>
      <c r="E717" s="18"/>
      <c r="F717" s="61"/>
      <c r="G717" s="73"/>
      <c r="H717" s="79"/>
      <c r="I717" s="79"/>
      <c r="J717" s="14"/>
      <c r="K717" s="38"/>
      <c r="L717" s="38"/>
      <c r="M717" s="17"/>
    </row>
    <row r="718" spans="2:13" ht="14.45" customHeight="1" x14ac:dyDescent="0.25">
      <c r="B718" s="17"/>
      <c r="C718" s="14"/>
      <c r="D718" s="14"/>
      <c r="E718" s="18"/>
      <c r="F718" s="61"/>
      <c r="G718" s="73"/>
      <c r="H718" s="79"/>
      <c r="I718" s="79"/>
      <c r="J718" s="14"/>
      <c r="K718" s="38"/>
      <c r="L718" s="38"/>
      <c r="M718" s="17"/>
    </row>
    <row r="719" spans="2:13" ht="14.45" customHeight="1" x14ac:dyDescent="0.25">
      <c r="B719" s="17"/>
      <c r="C719" s="14"/>
      <c r="D719" s="14"/>
      <c r="E719" s="18"/>
      <c r="F719" s="61"/>
      <c r="G719" s="73"/>
      <c r="H719" s="79"/>
      <c r="I719" s="79"/>
      <c r="J719" s="14"/>
      <c r="K719" s="38"/>
      <c r="L719" s="38"/>
      <c r="M719" s="17"/>
    </row>
    <row r="720" spans="2:13" ht="14.45" customHeight="1" x14ac:dyDescent="0.25">
      <c r="B720" s="17"/>
      <c r="C720" s="14"/>
      <c r="D720" s="14"/>
      <c r="E720" s="18"/>
      <c r="F720" s="61"/>
      <c r="G720" s="73"/>
      <c r="H720" s="79"/>
      <c r="I720" s="79"/>
      <c r="J720" s="14"/>
      <c r="K720" s="38"/>
      <c r="L720" s="38"/>
      <c r="M720" s="17"/>
    </row>
    <row r="721" spans="2:13" ht="14.45" customHeight="1" x14ac:dyDescent="0.25">
      <c r="B721" s="17"/>
      <c r="C721" s="14"/>
      <c r="D721" s="14"/>
      <c r="E721" s="18"/>
      <c r="F721" s="61"/>
      <c r="G721" s="73"/>
      <c r="H721" s="79"/>
      <c r="I721" s="79"/>
      <c r="J721" s="14"/>
      <c r="K721" s="38"/>
      <c r="L721" s="38"/>
      <c r="M721" s="17"/>
    </row>
    <row r="722" spans="2:13" ht="14.45" customHeight="1" x14ac:dyDescent="0.25">
      <c r="B722" s="17"/>
      <c r="C722" s="14"/>
      <c r="D722" s="14"/>
      <c r="E722" s="18"/>
      <c r="F722" s="61"/>
      <c r="G722" s="73"/>
      <c r="H722" s="79"/>
      <c r="I722" s="79"/>
      <c r="J722" s="14"/>
      <c r="K722" s="38"/>
      <c r="L722" s="38"/>
      <c r="M722" s="17"/>
    </row>
    <row r="723" spans="2:13" ht="14.45" customHeight="1" x14ac:dyDescent="0.25">
      <c r="B723" s="17"/>
      <c r="C723" s="14"/>
      <c r="D723" s="14"/>
      <c r="E723" s="18"/>
      <c r="F723" s="61"/>
      <c r="G723" s="73"/>
      <c r="H723" s="79"/>
      <c r="I723" s="79"/>
      <c r="J723" s="14"/>
      <c r="K723" s="38"/>
      <c r="L723" s="38"/>
      <c r="M723" s="17"/>
    </row>
    <row r="724" spans="2:13" ht="14.45" customHeight="1" x14ac:dyDescent="0.25">
      <c r="B724" s="17"/>
      <c r="C724" s="14"/>
      <c r="D724" s="14"/>
      <c r="E724" s="18"/>
      <c r="F724" s="61"/>
      <c r="G724" s="73"/>
      <c r="H724" s="79"/>
      <c r="I724" s="79"/>
      <c r="J724" s="14"/>
      <c r="K724" s="38"/>
      <c r="L724" s="38"/>
      <c r="M724" s="17"/>
    </row>
    <row r="725" spans="2:13" ht="14.45" customHeight="1" x14ac:dyDescent="0.25">
      <c r="B725" s="17"/>
      <c r="C725" s="14"/>
      <c r="D725" s="14"/>
      <c r="E725" s="18"/>
      <c r="F725" s="61"/>
      <c r="G725" s="73"/>
      <c r="H725" s="79"/>
      <c r="I725" s="79"/>
      <c r="J725" s="14"/>
      <c r="K725" s="38"/>
      <c r="L725" s="38"/>
      <c r="M725" s="17"/>
    </row>
    <row r="726" spans="2:13" ht="14.45" customHeight="1" x14ac:dyDescent="0.25">
      <c r="B726" s="17"/>
      <c r="C726" s="14"/>
      <c r="D726" s="14"/>
      <c r="E726" s="18"/>
      <c r="F726" s="61"/>
      <c r="G726" s="73"/>
      <c r="H726" s="79"/>
      <c r="I726" s="79"/>
      <c r="J726" s="14"/>
      <c r="K726" s="38"/>
      <c r="L726" s="38"/>
      <c r="M726" s="17"/>
    </row>
    <row r="727" spans="2:13" ht="14.45" customHeight="1" x14ac:dyDescent="0.25">
      <c r="B727" s="17"/>
      <c r="C727" s="14"/>
      <c r="D727" s="14"/>
      <c r="E727" s="18"/>
      <c r="F727" s="61"/>
      <c r="G727" s="73"/>
      <c r="H727" s="79"/>
      <c r="I727" s="79"/>
      <c r="J727" s="14"/>
      <c r="K727" s="38"/>
      <c r="L727" s="38"/>
      <c r="M727" s="17"/>
    </row>
    <row r="728" spans="2:13" ht="14.45" customHeight="1" x14ac:dyDescent="0.25">
      <c r="B728" s="17"/>
      <c r="C728" s="14"/>
      <c r="D728" s="14"/>
      <c r="E728" s="18"/>
      <c r="F728" s="61"/>
      <c r="G728" s="73"/>
      <c r="H728" s="79"/>
      <c r="I728" s="79"/>
      <c r="J728" s="14"/>
      <c r="K728" s="38"/>
      <c r="L728" s="38"/>
      <c r="M728" s="17"/>
    </row>
    <row r="729" spans="2:13" ht="14.45" customHeight="1" x14ac:dyDescent="0.25">
      <c r="B729" s="17"/>
      <c r="C729" s="14"/>
      <c r="D729" s="14"/>
      <c r="E729" s="18"/>
      <c r="F729" s="61"/>
      <c r="G729" s="73"/>
      <c r="H729" s="79"/>
      <c r="I729" s="79"/>
      <c r="J729" s="14"/>
      <c r="K729" s="38"/>
      <c r="L729" s="38"/>
      <c r="M729" s="17"/>
    </row>
    <row r="730" spans="2:13" ht="14.45" customHeight="1" x14ac:dyDescent="0.25">
      <c r="B730" s="17"/>
      <c r="C730" s="14"/>
      <c r="D730" s="14"/>
      <c r="E730" s="18"/>
      <c r="F730" s="61"/>
      <c r="G730" s="73"/>
      <c r="H730" s="79"/>
      <c r="I730" s="79"/>
      <c r="J730" s="14"/>
      <c r="K730" s="38"/>
      <c r="L730" s="38"/>
      <c r="M730" s="17"/>
    </row>
    <row r="731" spans="2:13" ht="14.45" customHeight="1" x14ac:dyDescent="0.25">
      <c r="B731" s="17"/>
      <c r="C731" s="14"/>
      <c r="D731" s="14"/>
      <c r="E731" s="18"/>
      <c r="F731" s="61"/>
      <c r="G731" s="73"/>
      <c r="H731" s="79"/>
      <c r="I731" s="79"/>
      <c r="J731" s="14"/>
      <c r="K731" s="38"/>
      <c r="L731" s="38"/>
      <c r="M731" s="17"/>
    </row>
    <row r="732" spans="2:13" ht="14.45" customHeight="1" x14ac:dyDescent="0.25">
      <c r="B732" s="17"/>
      <c r="C732" s="14"/>
      <c r="D732" s="14"/>
      <c r="E732" s="18"/>
      <c r="F732" s="61"/>
      <c r="G732" s="73"/>
      <c r="H732" s="79"/>
      <c r="I732" s="79"/>
      <c r="J732" s="14"/>
      <c r="K732" s="38"/>
      <c r="L732" s="38"/>
      <c r="M732" s="17"/>
    </row>
    <row r="733" spans="2:13" ht="14.45" customHeight="1" x14ac:dyDescent="0.25">
      <c r="B733" s="17"/>
      <c r="C733" s="14"/>
      <c r="D733" s="14"/>
      <c r="E733" s="18"/>
      <c r="F733" s="61"/>
      <c r="G733" s="73"/>
      <c r="H733" s="79"/>
      <c r="I733" s="79"/>
      <c r="J733" s="14"/>
      <c r="K733" s="38"/>
      <c r="L733" s="38"/>
      <c r="M733" s="17"/>
    </row>
    <row r="734" spans="2:13" ht="14.45" customHeight="1" x14ac:dyDescent="0.25">
      <c r="B734" s="17"/>
      <c r="C734" s="14"/>
      <c r="D734" s="14"/>
      <c r="E734" s="18"/>
      <c r="F734" s="61"/>
      <c r="G734" s="73"/>
      <c r="H734" s="79"/>
      <c r="I734" s="79"/>
      <c r="J734" s="14"/>
      <c r="K734" s="38"/>
      <c r="L734" s="38"/>
      <c r="M734" s="17"/>
    </row>
    <row r="735" spans="2:13" ht="14.45" customHeight="1" x14ac:dyDescent="0.25">
      <c r="B735" s="17"/>
      <c r="C735" s="14"/>
      <c r="D735" s="14"/>
      <c r="E735" s="18"/>
      <c r="F735" s="61"/>
      <c r="G735" s="73"/>
      <c r="H735" s="79"/>
      <c r="I735" s="79"/>
      <c r="J735" s="14"/>
      <c r="K735" s="38"/>
      <c r="L735" s="38"/>
      <c r="M735" s="17"/>
    </row>
    <row r="736" spans="2:13" ht="14.45" customHeight="1" x14ac:dyDescent="0.25">
      <c r="B736" s="17"/>
      <c r="C736" s="14"/>
      <c r="D736" s="14"/>
      <c r="E736" s="18"/>
      <c r="F736" s="61"/>
      <c r="G736" s="73"/>
      <c r="H736" s="79"/>
      <c r="I736" s="79"/>
      <c r="J736" s="14"/>
      <c r="K736" s="38"/>
      <c r="L736" s="38"/>
      <c r="M736" s="17"/>
    </row>
    <row r="737" spans="2:13" ht="14.45" customHeight="1" x14ac:dyDescent="0.25">
      <c r="B737" s="17"/>
      <c r="C737" s="14"/>
      <c r="D737" s="14"/>
      <c r="E737" s="18"/>
      <c r="F737" s="61"/>
      <c r="G737" s="73"/>
      <c r="H737" s="79"/>
      <c r="I737" s="79"/>
      <c r="J737" s="14"/>
      <c r="K737" s="38"/>
      <c r="L737" s="38"/>
      <c r="M737" s="17"/>
    </row>
    <row r="738" spans="2:13" ht="14.45" customHeight="1" x14ac:dyDescent="0.25">
      <c r="B738" s="17"/>
      <c r="C738" s="14"/>
      <c r="D738" s="14"/>
      <c r="E738" s="18"/>
      <c r="F738" s="61"/>
      <c r="G738" s="73"/>
      <c r="H738" s="79"/>
      <c r="I738" s="79"/>
      <c r="J738" s="14"/>
      <c r="K738" s="38"/>
      <c r="L738" s="38"/>
      <c r="M738" s="17"/>
    </row>
    <row r="739" spans="2:13" ht="14.45" customHeight="1" x14ac:dyDescent="0.25">
      <c r="B739" s="17"/>
      <c r="C739" s="14"/>
      <c r="D739" s="14"/>
      <c r="E739" s="18"/>
      <c r="F739" s="61"/>
      <c r="G739" s="73"/>
      <c r="H739" s="79"/>
      <c r="I739" s="79"/>
      <c r="J739" s="14"/>
      <c r="K739" s="38"/>
      <c r="L739" s="38"/>
      <c r="M739" s="17"/>
    </row>
    <row r="740" spans="2:13" ht="14.45" customHeight="1" x14ac:dyDescent="0.25">
      <c r="B740" s="17"/>
      <c r="C740" s="14"/>
      <c r="D740" s="14"/>
      <c r="E740" s="18"/>
      <c r="F740" s="61"/>
      <c r="G740" s="73"/>
      <c r="H740" s="79"/>
      <c r="I740" s="79"/>
      <c r="J740" s="14"/>
      <c r="K740" s="38"/>
      <c r="L740" s="38"/>
      <c r="M740" s="17"/>
    </row>
    <row r="741" spans="2:13" ht="14.45" customHeight="1" x14ac:dyDescent="0.25">
      <c r="B741" s="17"/>
      <c r="C741" s="14"/>
      <c r="D741" s="14"/>
      <c r="E741" s="18"/>
      <c r="F741" s="61"/>
      <c r="G741" s="73"/>
      <c r="H741" s="79"/>
      <c r="I741" s="79"/>
      <c r="J741" s="14"/>
      <c r="K741" s="38"/>
      <c r="L741" s="38"/>
      <c r="M741" s="17"/>
    </row>
    <row r="742" spans="2:13" ht="14.45" customHeight="1" x14ac:dyDescent="0.25">
      <c r="B742" s="17"/>
      <c r="C742" s="14"/>
      <c r="D742" s="14"/>
      <c r="E742" s="18"/>
      <c r="F742" s="61"/>
      <c r="G742" s="73"/>
      <c r="H742" s="79"/>
      <c r="I742" s="79"/>
      <c r="J742" s="14"/>
      <c r="K742" s="38"/>
      <c r="L742" s="38"/>
      <c r="M742" s="17"/>
    </row>
    <row r="743" spans="2:13" ht="14.45" customHeight="1" x14ac:dyDescent="0.25">
      <c r="B743" s="17"/>
      <c r="C743" s="14"/>
      <c r="D743" s="14"/>
      <c r="E743" s="18"/>
      <c r="F743" s="61"/>
      <c r="G743" s="73"/>
      <c r="H743" s="79"/>
      <c r="I743" s="79"/>
      <c r="J743" s="14"/>
      <c r="K743" s="38"/>
      <c r="L743" s="38"/>
      <c r="M743" s="17"/>
    </row>
    <row r="744" spans="2:13" ht="14.45" customHeight="1" x14ac:dyDescent="0.25">
      <c r="B744" s="17"/>
      <c r="C744" s="14"/>
      <c r="D744" s="14"/>
      <c r="E744" s="18"/>
      <c r="F744" s="61"/>
      <c r="G744" s="73"/>
      <c r="H744" s="79"/>
      <c r="I744" s="79"/>
      <c r="J744" s="14"/>
      <c r="K744" s="38"/>
      <c r="L744" s="38"/>
      <c r="M744" s="17"/>
    </row>
    <row r="745" spans="2:13" ht="14.45" customHeight="1" x14ac:dyDescent="0.25">
      <c r="B745" s="17"/>
      <c r="C745" s="14"/>
      <c r="D745" s="14"/>
      <c r="E745" s="18"/>
      <c r="F745" s="61"/>
      <c r="G745" s="73"/>
      <c r="H745" s="79"/>
      <c r="I745" s="79"/>
      <c r="J745" s="14"/>
      <c r="K745" s="38"/>
      <c r="L745" s="38"/>
      <c r="M745" s="17"/>
    </row>
    <row r="746" spans="2:13" ht="14.45" customHeight="1" x14ac:dyDescent="0.25">
      <c r="B746" s="17"/>
      <c r="C746" s="14"/>
      <c r="D746" s="14"/>
      <c r="E746" s="18"/>
      <c r="F746" s="61"/>
      <c r="G746" s="73"/>
      <c r="H746" s="79"/>
      <c r="I746" s="79"/>
      <c r="J746" s="14"/>
      <c r="K746" s="38"/>
      <c r="L746" s="38"/>
      <c r="M746" s="17"/>
    </row>
    <row r="747" spans="2:13" ht="14.45" customHeight="1" x14ac:dyDescent="0.25">
      <c r="B747" s="17"/>
      <c r="C747" s="14"/>
      <c r="D747" s="14"/>
      <c r="E747" s="18"/>
      <c r="F747" s="61"/>
      <c r="G747" s="73"/>
      <c r="H747" s="79"/>
      <c r="I747" s="79"/>
      <c r="J747" s="14"/>
      <c r="K747" s="38"/>
      <c r="L747" s="38"/>
      <c r="M747" s="17"/>
    </row>
    <row r="748" spans="2:13" ht="14.45" customHeight="1" x14ac:dyDescent="0.25">
      <c r="B748" s="17"/>
      <c r="C748" s="14"/>
      <c r="D748" s="14"/>
      <c r="E748" s="18"/>
      <c r="F748" s="61"/>
      <c r="G748" s="73"/>
      <c r="H748" s="79"/>
      <c r="I748" s="79"/>
      <c r="J748" s="14"/>
      <c r="K748" s="38"/>
      <c r="L748" s="38"/>
      <c r="M748" s="17"/>
    </row>
    <row r="749" spans="2:13" ht="14.45" customHeight="1" x14ac:dyDescent="0.25">
      <c r="B749" s="17"/>
      <c r="C749" s="14"/>
      <c r="D749" s="14"/>
      <c r="E749" s="18"/>
      <c r="F749" s="61"/>
      <c r="G749" s="73"/>
      <c r="H749" s="79"/>
      <c r="I749" s="79"/>
      <c r="J749" s="14"/>
      <c r="K749" s="38"/>
      <c r="L749" s="38"/>
      <c r="M749" s="17"/>
    </row>
    <row r="750" spans="2:13" ht="14.45" customHeight="1" x14ac:dyDescent="0.25">
      <c r="B750" s="17"/>
      <c r="C750" s="14"/>
      <c r="D750" s="14"/>
      <c r="E750" s="18"/>
      <c r="F750" s="61"/>
      <c r="G750" s="73"/>
      <c r="H750" s="79"/>
      <c r="I750" s="79"/>
      <c r="J750" s="14"/>
      <c r="K750" s="38"/>
      <c r="L750" s="38"/>
      <c r="M750" s="17"/>
    </row>
    <row r="751" spans="2:13" ht="14.45" customHeight="1" x14ac:dyDescent="0.25">
      <c r="B751" s="17"/>
      <c r="C751" s="14"/>
      <c r="D751" s="14"/>
      <c r="E751" s="18"/>
      <c r="F751" s="61"/>
      <c r="G751" s="73"/>
      <c r="H751" s="79"/>
      <c r="I751" s="79"/>
      <c r="J751" s="14"/>
      <c r="K751" s="38"/>
      <c r="L751" s="38"/>
      <c r="M751" s="17"/>
    </row>
    <row r="752" spans="2:13" ht="14.45" customHeight="1" x14ac:dyDescent="0.25">
      <c r="B752" s="17"/>
      <c r="C752" s="14"/>
      <c r="D752" s="14"/>
      <c r="E752" s="18"/>
      <c r="F752" s="61"/>
      <c r="G752" s="73"/>
      <c r="H752" s="79"/>
      <c r="I752" s="79"/>
      <c r="J752" s="14"/>
      <c r="K752" s="38"/>
      <c r="L752" s="38"/>
      <c r="M752" s="17"/>
    </row>
    <row r="753" spans="2:13" ht="14.45" customHeight="1" x14ac:dyDescent="0.25">
      <c r="B753" s="17"/>
      <c r="C753" s="14"/>
      <c r="D753" s="14"/>
      <c r="E753" s="18"/>
      <c r="F753" s="61"/>
      <c r="G753" s="73"/>
      <c r="H753" s="79"/>
      <c r="I753" s="79"/>
      <c r="J753" s="14"/>
      <c r="K753" s="38"/>
      <c r="L753" s="38"/>
      <c r="M753" s="17"/>
    </row>
    <row r="754" spans="2:13" ht="14.45" customHeight="1" x14ac:dyDescent="0.25">
      <c r="B754" s="17"/>
      <c r="C754" s="14"/>
      <c r="D754" s="14"/>
      <c r="E754" s="18"/>
      <c r="F754" s="61"/>
      <c r="G754" s="73"/>
      <c r="H754" s="79"/>
      <c r="I754" s="79"/>
      <c r="J754" s="14"/>
      <c r="K754" s="38"/>
      <c r="L754" s="38"/>
      <c r="M754" s="17"/>
    </row>
    <row r="755" spans="2:13" ht="14.45" customHeight="1" x14ac:dyDescent="0.25">
      <c r="B755" s="17"/>
      <c r="C755" s="14"/>
      <c r="D755" s="14"/>
      <c r="E755" s="18"/>
      <c r="F755" s="61"/>
      <c r="G755" s="73"/>
      <c r="H755" s="79"/>
      <c r="I755" s="79"/>
      <c r="J755" s="14"/>
      <c r="K755" s="38"/>
      <c r="L755" s="38"/>
      <c r="M755" s="17"/>
    </row>
    <row r="756" spans="2:13" ht="14.45" customHeight="1" x14ac:dyDescent="0.25">
      <c r="B756" s="17"/>
      <c r="C756" s="14"/>
      <c r="D756" s="14"/>
      <c r="E756" s="18"/>
      <c r="F756" s="61"/>
      <c r="G756" s="73"/>
      <c r="H756" s="79"/>
      <c r="I756" s="79"/>
      <c r="J756" s="14"/>
      <c r="K756" s="38"/>
      <c r="L756" s="38"/>
      <c r="M756" s="17"/>
    </row>
    <row r="757" spans="2:13" ht="14.45" customHeight="1" x14ac:dyDescent="0.25">
      <c r="B757" s="17"/>
      <c r="C757" s="14"/>
      <c r="D757" s="14"/>
      <c r="E757" s="18"/>
      <c r="F757" s="61"/>
      <c r="G757" s="73"/>
      <c r="H757" s="79"/>
      <c r="I757" s="79"/>
      <c r="J757" s="14"/>
      <c r="K757" s="38"/>
      <c r="L757" s="38"/>
      <c r="M757" s="17"/>
    </row>
    <row r="758" spans="2:13" ht="14.45" customHeight="1" x14ac:dyDescent="0.25">
      <c r="B758" s="17"/>
      <c r="C758" s="14"/>
      <c r="D758" s="14"/>
      <c r="E758" s="18"/>
      <c r="F758" s="61"/>
      <c r="G758" s="73"/>
      <c r="H758" s="79"/>
      <c r="I758" s="79"/>
      <c r="J758" s="14"/>
      <c r="K758" s="38"/>
      <c r="L758" s="38"/>
      <c r="M758" s="17"/>
    </row>
    <row r="759" spans="2:13" ht="14.45" customHeight="1" x14ac:dyDescent="0.25">
      <c r="B759" s="17"/>
      <c r="C759" s="14"/>
      <c r="D759" s="14"/>
      <c r="E759" s="18"/>
      <c r="F759" s="61"/>
      <c r="G759" s="73"/>
      <c r="H759" s="79"/>
      <c r="I759" s="79"/>
      <c r="J759" s="14"/>
      <c r="K759" s="38"/>
      <c r="L759" s="38"/>
      <c r="M759" s="17"/>
    </row>
    <row r="760" spans="2:13" ht="14.45" customHeight="1" x14ac:dyDescent="0.25">
      <c r="B760" s="17"/>
      <c r="C760" s="14"/>
      <c r="D760" s="14"/>
      <c r="E760" s="18"/>
      <c r="F760" s="61"/>
      <c r="G760" s="73"/>
      <c r="H760" s="79"/>
      <c r="I760" s="79"/>
      <c r="J760" s="14"/>
      <c r="K760" s="38"/>
      <c r="L760" s="38"/>
      <c r="M760" s="17"/>
    </row>
    <row r="761" spans="2:13" ht="14.45" customHeight="1" x14ac:dyDescent="0.25">
      <c r="B761" s="17"/>
      <c r="C761" s="14"/>
      <c r="D761" s="14"/>
      <c r="E761" s="18"/>
      <c r="F761" s="61"/>
      <c r="G761" s="73"/>
      <c r="H761" s="79"/>
      <c r="I761" s="79"/>
      <c r="J761" s="14"/>
      <c r="K761" s="38"/>
      <c r="L761" s="38"/>
      <c r="M761" s="17"/>
    </row>
    <row r="762" spans="2:13" ht="14.45" customHeight="1" x14ac:dyDescent="0.25">
      <c r="B762" s="17"/>
      <c r="C762" s="14"/>
      <c r="D762" s="14"/>
      <c r="E762" s="18"/>
      <c r="F762" s="61"/>
      <c r="G762" s="73"/>
      <c r="H762" s="79"/>
      <c r="I762" s="79"/>
      <c r="J762" s="14"/>
      <c r="K762" s="38"/>
      <c r="L762" s="38"/>
      <c r="M762" s="17"/>
    </row>
    <row r="763" spans="2:13" ht="14.45" customHeight="1" x14ac:dyDescent="0.25">
      <c r="B763" s="17"/>
      <c r="C763" s="14"/>
      <c r="D763" s="14"/>
      <c r="E763" s="18"/>
      <c r="F763" s="61"/>
      <c r="G763" s="73"/>
      <c r="H763" s="79"/>
      <c r="I763" s="79"/>
      <c r="J763" s="14"/>
      <c r="K763" s="38"/>
      <c r="L763" s="38"/>
      <c r="M763" s="17"/>
    </row>
    <row r="764" spans="2:13" ht="14.45" customHeight="1" x14ac:dyDescent="0.25">
      <c r="B764" s="17"/>
      <c r="C764" s="14"/>
      <c r="D764" s="14"/>
      <c r="E764" s="18"/>
      <c r="F764" s="61"/>
      <c r="G764" s="73"/>
      <c r="H764" s="79"/>
      <c r="I764" s="79"/>
      <c r="J764" s="14"/>
      <c r="K764" s="38"/>
      <c r="L764" s="38"/>
      <c r="M764" s="17"/>
    </row>
    <row r="765" spans="2:13" ht="14.45" customHeight="1" x14ac:dyDescent="0.25">
      <c r="B765" s="17"/>
      <c r="C765" s="14"/>
      <c r="D765" s="14"/>
      <c r="E765" s="18"/>
      <c r="F765" s="61"/>
      <c r="G765" s="73"/>
      <c r="H765" s="79"/>
      <c r="I765" s="79"/>
      <c r="J765" s="14"/>
      <c r="K765" s="38"/>
      <c r="L765" s="38"/>
      <c r="M765" s="17"/>
    </row>
    <row r="766" spans="2:13" ht="14.45" customHeight="1" x14ac:dyDescent="0.25">
      <c r="B766" s="17"/>
      <c r="C766" s="14"/>
      <c r="D766" s="14"/>
      <c r="E766" s="18"/>
      <c r="F766" s="61"/>
      <c r="G766" s="73"/>
      <c r="H766" s="79"/>
      <c r="I766" s="79"/>
      <c r="J766" s="14"/>
      <c r="K766" s="38"/>
      <c r="L766" s="38"/>
      <c r="M766" s="17"/>
    </row>
    <row r="767" spans="2:13" ht="14.45" customHeight="1" x14ac:dyDescent="0.25">
      <c r="B767" s="17"/>
      <c r="C767" s="14"/>
      <c r="D767" s="14"/>
      <c r="E767" s="18"/>
      <c r="F767" s="61"/>
      <c r="G767" s="73"/>
      <c r="H767" s="79"/>
      <c r="I767" s="79"/>
      <c r="J767" s="14"/>
      <c r="K767" s="38"/>
      <c r="L767" s="38"/>
      <c r="M767" s="17"/>
    </row>
    <row r="768" spans="2:13" ht="14.45" customHeight="1" x14ac:dyDescent="0.25">
      <c r="B768" s="17"/>
      <c r="C768" s="14"/>
      <c r="D768" s="14"/>
      <c r="E768" s="18"/>
      <c r="F768" s="61"/>
      <c r="G768" s="73"/>
      <c r="H768" s="79"/>
      <c r="I768" s="79"/>
      <c r="J768" s="14"/>
      <c r="K768" s="38"/>
      <c r="L768" s="38"/>
      <c r="M768" s="17"/>
    </row>
    <row r="769" spans="2:13" ht="14.45" customHeight="1" x14ac:dyDescent="0.25">
      <c r="B769" s="17"/>
      <c r="C769" s="14"/>
      <c r="D769" s="14"/>
      <c r="E769" s="18"/>
      <c r="F769" s="61"/>
      <c r="G769" s="73"/>
      <c r="H769" s="79"/>
      <c r="I769" s="79"/>
      <c r="J769" s="14"/>
      <c r="K769" s="38"/>
      <c r="L769" s="38"/>
      <c r="M769" s="17"/>
    </row>
    <row r="770" spans="2:13" ht="14.45" customHeight="1" x14ac:dyDescent="0.25">
      <c r="B770" s="17"/>
      <c r="C770" s="14"/>
      <c r="D770" s="14"/>
      <c r="E770" s="18"/>
      <c r="F770" s="61"/>
      <c r="G770" s="73"/>
      <c r="H770" s="79"/>
      <c r="I770" s="79"/>
      <c r="J770" s="14"/>
      <c r="K770" s="38"/>
      <c r="L770" s="38"/>
      <c r="M770" s="17"/>
    </row>
    <row r="771" spans="2:13" ht="14.45" customHeight="1" x14ac:dyDescent="0.25">
      <c r="B771" s="17"/>
      <c r="C771" s="14"/>
      <c r="D771" s="14"/>
      <c r="E771" s="18"/>
      <c r="F771" s="61"/>
      <c r="G771" s="73"/>
      <c r="H771" s="79"/>
      <c r="I771" s="79"/>
      <c r="J771" s="14"/>
      <c r="K771" s="38"/>
      <c r="L771" s="38"/>
      <c r="M771" s="17"/>
    </row>
    <row r="772" spans="2:13" ht="14.45" customHeight="1" x14ac:dyDescent="0.25">
      <c r="B772" s="17"/>
      <c r="C772" s="14"/>
      <c r="D772" s="14"/>
      <c r="E772" s="18"/>
      <c r="F772" s="61"/>
      <c r="G772" s="73"/>
      <c r="H772" s="79"/>
      <c r="I772" s="79"/>
      <c r="J772" s="14"/>
      <c r="K772" s="38"/>
      <c r="L772" s="38"/>
      <c r="M772" s="17"/>
    </row>
    <row r="773" spans="2:13" ht="14.45" customHeight="1" x14ac:dyDescent="0.25">
      <c r="B773" s="17"/>
      <c r="C773" s="14"/>
      <c r="D773" s="14"/>
      <c r="E773" s="18"/>
      <c r="F773" s="61"/>
      <c r="G773" s="73"/>
      <c r="H773" s="79"/>
      <c r="I773" s="79"/>
      <c r="J773" s="14"/>
      <c r="K773" s="38"/>
      <c r="L773" s="38"/>
      <c r="M773" s="17"/>
    </row>
    <row r="774" spans="2:13" ht="14.45" customHeight="1" x14ac:dyDescent="0.25">
      <c r="B774" s="17"/>
      <c r="C774" s="14"/>
      <c r="D774" s="14"/>
      <c r="E774" s="18"/>
      <c r="F774" s="61"/>
      <c r="G774" s="73"/>
      <c r="H774" s="79"/>
      <c r="I774" s="79"/>
      <c r="J774" s="14"/>
      <c r="K774" s="38"/>
      <c r="L774" s="38"/>
      <c r="M774" s="17"/>
    </row>
    <row r="775" spans="2:13" ht="14.45" customHeight="1" x14ac:dyDescent="0.25">
      <c r="B775" s="17"/>
      <c r="C775" s="14"/>
      <c r="D775" s="14"/>
      <c r="E775" s="18"/>
      <c r="F775" s="61"/>
      <c r="G775" s="73"/>
      <c r="H775" s="79"/>
      <c r="I775" s="79"/>
      <c r="J775" s="14"/>
      <c r="K775" s="38"/>
      <c r="L775" s="38"/>
      <c r="M775" s="17"/>
    </row>
    <row r="776" spans="2:13" ht="14.45" customHeight="1" x14ac:dyDescent="0.25">
      <c r="B776" s="17"/>
      <c r="C776" s="14"/>
      <c r="D776" s="14"/>
      <c r="E776" s="18"/>
      <c r="F776" s="61"/>
      <c r="G776" s="73"/>
      <c r="H776" s="79"/>
      <c r="I776" s="79"/>
      <c r="J776" s="14"/>
      <c r="K776" s="38"/>
      <c r="L776" s="38"/>
      <c r="M776" s="17"/>
    </row>
    <row r="777" spans="2:13" ht="14.45" customHeight="1" x14ac:dyDescent="0.25">
      <c r="B777" s="17"/>
      <c r="C777" s="14"/>
      <c r="D777" s="14"/>
      <c r="E777" s="18"/>
      <c r="F777" s="61"/>
      <c r="G777" s="73"/>
      <c r="H777" s="79"/>
      <c r="I777" s="79"/>
      <c r="J777" s="14"/>
      <c r="K777" s="38"/>
      <c r="L777" s="38"/>
      <c r="M777" s="17"/>
    </row>
    <row r="778" spans="2:13" ht="14.45" customHeight="1" x14ac:dyDescent="0.25">
      <c r="B778" s="17"/>
      <c r="C778" s="14"/>
      <c r="D778" s="14"/>
      <c r="E778" s="18"/>
      <c r="F778" s="61"/>
      <c r="G778" s="73"/>
      <c r="H778" s="79"/>
      <c r="I778" s="79"/>
      <c r="J778" s="14"/>
      <c r="K778" s="38"/>
      <c r="L778" s="38"/>
      <c r="M778" s="17"/>
    </row>
    <row r="779" spans="2:13" ht="14.45" customHeight="1" x14ac:dyDescent="0.25">
      <c r="B779" s="17"/>
      <c r="C779" s="14"/>
      <c r="D779" s="14"/>
      <c r="E779" s="18"/>
      <c r="F779" s="61"/>
      <c r="G779" s="73"/>
      <c r="H779" s="79"/>
      <c r="I779" s="79"/>
      <c r="J779" s="14"/>
      <c r="K779" s="38"/>
      <c r="L779" s="38"/>
      <c r="M779" s="17"/>
    </row>
    <row r="780" spans="2:13" ht="14.45" customHeight="1" x14ac:dyDescent="0.25">
      <c r="B780" s="17"/>
      <c r="C780" s="14"/>
      <c r="D780" s="14"/>
      <c r="E780" s="18"/>
      <c r="F780" s="61"/>
      <c r="G780" s="73"/>
      <c r="H780" s="79"/>
      <c r="I780" s="79"/>
      <c r="J780" s="14"/>
      <c r="K780" s="38"/>
      <c r="L780" s="38"/>
      <c r="M780" s="17"/>
    </row>
    <row r="781" spans="2:13" ht="14.45" customHeight="1" x14ac:dyDescent="0.25">
      <c r="B781" s="17"/>
      <c r="C781" s="14"/>
      <c r="D781" s="14"/>
      <c r="E781" s="18"/>
      <c r="F781" s="61"/>
      <c r="G781" s="73"/>
      <c r="H781" s="79"/>
      <c r="I781" s="79"/>
      <c r="J781" s="14"/>
      <c r="K781" s="38"/>
      <c r="L781" s="38"/>
      <c r="M781" s="17"/>
    </row>
    <row r="782" spans="2:13" ht="14.45" customHeight="1" x14ac:dyDescent="0.25">
      <c r="B782" s="17"/>
      <c r="C782" s="14"/>
      <c r="D782" s="14"/>
      <c r="E782" s="18"/>
      <c r="F782" s="61"/>
      <c r="G782" s="73"/>
      <c r="H782" s="79"/>
      <c r="I782" s="79"/>
      <c r="J782" s="14"/>
      <c r="K782" s="38"/>
      <c r="L782" s="38"/>
      <c r="M782" s="17"/>
    </row>
    <row r="783" spans="2:13" ht="14.45" customHeight="1" x14ac:dyDescent="0.25">
      <c r="B783" s="17"/>
      <c r="C783" s="14"/>
      <c r="D783" s="14"/>
      <c r="E783" s="18"/>
      <c r="F783" s="61"/>
      <c r="G783" s="73"/>
      <c r="H783" s="79"/>
      <c r="I783" s="79"/>
      <c r="J783" s="14"/>
      <c r="K783" s="38"/>
      <c r="L783" s="38"/>
      <c r="M783" s="17"/>
    </row>
    <row r="784" spans="2:13" ht="14.45" customHeight="1" x14ac:dyDescent="0.25">
      <c r="B784" s="17"/>
      <c r="C784" s="14"/>
      <c r="D784" s="14"/>
      <c r="E784" s="18"/>
      <c r="F784" s="61"/>
      <c r="G784" s="73"/>
      <c r="H784" s="79"/>
      <c r="I784" s="79"/>
      <c r="J784" s="14"/>
      <c r="K784" s="38"/>
      <c r="L784" s="38"/>
      <c r="M784" s="17"/>
    </row>
    <row r="785" spans="2:13" ht="14.45" customHeight="1" x14ac:dyDescent="0.25">
      <c r="B785" s="17"/>
      <c r="C785" s="14"/>
      <c r="D785" s="14"/>
      <c r="E785" s="18"/>
      <c r="F785" s="61"/>
      <c r="G785" s="73"/>
      <c r="H785" s="79"/>
      <c r="I785" s="79"/>
      <c r="J785" s="14"/>
      <c r="K785" s="38"/>
      <c r="L785" s="38"/>
      <c r="M785" s="17"/>
    </row>
    <row r="786" spans="2:13" ht="14.45" customHeight="1" x14ac:dyDescent="0.25">
      <c r="B786" s="17"/>
      <c r="C786" s="14"/>
      <c r="D786" s="14"/>
      <c r="E786" s="18"/>
      <c r="F786" s="61"/>
      <c r="G786" s="73"/>
      <c r="H786" s="79"/>
      <c r="I786" s="79"/>
      <c r="J786" s="14"/>
      <c r="K786" s="38"/>
      <c r="L786" s="38"/>
      <c r="M786" s="17"/>
    </row>
    <row r="787" spans="2:13" ht="14.45" customHeight="1" x14ac:dyDescent="0.25">
      <c r="B787" s="17"/>
      <c r="C787" s="14"/>
      <c r="D787" s="14"/>
      <c r="E787" s="18"/>
      <c r="F787" s="61"/>
      <c r="G787" s="73"/>
      <c r="H787" s="79"/>
      <c r="I787" s="79"/>
      <c r="J787" s="14"/>
      <c r="K787" s="38"/>
      <c r="L787" s="38"/>
      <c r="M787" s="17"/>
    </row>
    <row r="788" spans="2:13" ht="14.45" customHeight="1" x14ac:dyDescent="0.25">
      <c r="B788" s="17"/>
      <c r="C788" s="14"/>
      <c r="D788" s="14"/>
      <c r="E788" s="18"/>
      <c r="F788" s="61"/>
      <c r="G788" s="73"/>
      <c r="H788" s="79"/>
      <c r="I788" s="79"/>
      <c r="J788" s="14"/>
      <c r="K788" s="38"/>
      <c r="L788" s="38"/>
      <c r="M788" s="17"/>
    </row>
    <row r="789" spans="2:13" ht="14.45" customHeight="1" x14ac:dyDescent="0.25">
      <c r="B789" s="17"/>
      <c r="C789" s="14"/>
      <c r="D789" s="14"/>
      <c r="E789" s="18"/>
      <c r="F789" s="61"/>
      <c r="G789" s="73"/>
      <c r="H789" s="79"/>
      <c r="I789" s="79"/>
      <c r="J789" s="14"/>
      <c r="K789" s="38"/>
      <c r="L789" s="38"/>
      <c r="M789" s="17"/>
    </row>
    <row r="790" spans="2:13" ht="14.45" customHeight="1" x14ac:dyDescent="0.25">
      <c r="B790" s="17"/>
      <c r="C790" s="14"/>
      <c r="D790" s="14"/>
      <c r="E790" s="18"/>
      <c r="F790" s="61"/>
      <c r="G790" s="73"/>
      <c r="H790" s="79"/>
      <c r="I790" s="79"/>
      <c r="J790" s="14"/>
      <c r="K790" s="38"/>
      <c r="L790" s="38"/>
      <c r="M790" s="17"/>
    </row>
    <row r="791" spans="2:13" ht="14.45" customHeight="1" x14ac:dyDescent="0.25">
      <c r="B791" s="17"/>
      <c r="C791" s="14"/>
      <c r="D791" s="14"/>
      <c r="E791" s="18"/>
      <c r="F791" s="61"/>
      <c r="G791" s="73"/>
      <c r="H791" s="79"/>
      <c r="I791" s="79"/>
      <c r="J791" s="14"/>
      <c r="K791" s="38"/>
      <c r="L791" s="38"/>
      <c r="M791" s="17"/>
    </row>
    <row r="792" spans="2:13" ht="14.45" customHeight="1" x14ac:dyDescent="0.25">
      <c r="B792" s="17"/>
      <c r="C792" s="14"/>
      <c r="D792" s="14"/>
      <c r="E792" s="18"/>
      <c r="F792" s="61"/>
      <c r="G792" s="73"/>
      <c r="H792" s="79"/>
      <c r="I792" s="79"/>
      <c r="J792" s="14"/>
      <c r="K792" s="38"/>
      <c r="L792" s="38"/>
      <c r="M792" s="17"/>
    </row>
    <row r="793" spans="2:13" ht="14.45" customHeight="1" x14ac:dyDescent="0.25">
      <c r="B793" s="17"/>
      <c r="C793" s="14"/>
      <c r="D793" s="14"/>
      <c r="E793" s="18"/>
      <c r="F793" s="61"/>
      <c r="G793" s="73"/>
      <c r="H793" s="79"/>
      <c r="I793" s="79"/>
      <c r="J793" s="14"/>
      <c r="K793" s="38"/>
      <c r="L793" s="38"/>
      <c r="M793" s="17"/>
    </row>
    <row r="794" spans="2:13" ht="14.45" customHeight="1" x14ac:dyDescent="0.25">
      <c r="B794" s="17"/>
      <c r="C794" s="14"/>
      <c r="D794" s="14"/>
      <c r="E794" s="18"/>
      <c r="F794" s="61"/>
      <c r="G794" s="73"/>
      <c r="H794" s="79"/>
      <c r="I794" s="79"/>
      <c r="J794" s="14"/>
      <c r="K794" s="38"/>
      <c r="L794" s="38"/>
      <c r="M794" s="17"/>
    </row>
    <row r="795" spans="2:13" ht="14.45" customHeight="1" x14ac:dyDescent="0.25">
      <c r="B795" s="17"/>
      <c r="C795" s="14"/>
      <c r="D795" s="14"/>
      <c r="E795" s="18"/>
      <c r="F795" s="61"/>
      <c r="G795" s="73"/>
      <c r="H795" s="79"/>
      <c r="I795" s="79"/>
      <c r="J795" s="14"/>
      <c r="K795" s="38"/>
      <c r="L795" s="38"/>
      <c r="M795" s="17"/>
    </row>
    <row r="796" spans="2:13" ht="14.45" customHeight="1" x14ac:dyDescent="0.25">
      <c r="B796" s="17"/>
      <c r="C796" s="14"/>
      <c r="D796" s="14"/>
      <c r="E796" s="18"/>
      <c r="F796" s="61"/>
      <c r="G796" s="73"/>
      <c r="H796" s="79"/>
      <c r="I796" s="79"/>
      <c r="J796" s="14"/>
      <c r="K796" s="38"/>
      <c r="L796" s="38"/>
      <c r="M796" s="17"/>
    </row>
    <row r="797" spans="2:13" ht="14.45" customHeight="1" x14ac:dyDescent="0.25">
      <c r="B797" s="17"/>
      <c r="C797" s="14"/>
      <c r="D797" s="14"/>
      <c r="E797" s="18"/>
      <c r="F797" s="61"/>
      <c r="G797" s="73"/>
      <c r="H797" s="79"/>
      <c r="I797" s="79"/>
      <c r="J797" s="14"/>
      <c r="K797" s="38"/>
      <c r="L797" s="38"/>
      <c r="M797" s="17"/>
    </row>
    <row r="798" spans="2:13" ht="14.45" customHeight="1" x14ac:dyDescent="0.25">
      <c r="B798" s="17"/>
      <c r="C798" s="14"/>
      <c r="D798" s="14"/>
      <c r="E798" s="18"/>
      <c r="F798" s="61"/>
      <c r="G798" s="73"/>
      <c r="H798" s="79"/>
      <c r="I798" s="79"/>
      <c r="J798" s="14"/>
      <c r="K798" s="38"/>
      <c r="L798" s="38"/>
      <c r="M798" s="17"/>
    </row>
    <row r="799" spans="2:13" ht="14.45" customHeight="1" x14ac:dyDescent="0.25">
      <c r="B799" s="17"/>
      <c r="C799" s="14"/>
      <c r="D799" s="14"/>
      <c r="E799" s="18"/>
      <c r="F799" s="61"/>
      <c r="G799" s="73"/>
      <c r="H799" s="79"/>
      <c r="I799" s="79"/>
      <c r="J799" s="14"/>
      <c r="K799" s="38"/>
      <c r="L799" s="38"/>
      <c r="M799" s="17"/>
    </row>
    <row r="800" spans="2:13" ht="14.45" customHeight="1" x14ac:dyDescent="0.25">
      <c r="B800" s="17"/>
      <c r="C800" s="14"/>
      <c r="D800" s="14"/>
      <c r="E800" s="18"/>
      <c r="F800" s="61"/>
      <c r="G800" s="73"/>
      <c r="H800" s="79"/>
      <c r="I800" s="79"/>
      <c r="J800" s="14"/>
      <c r="K800" s="38"/>
      <c r="L800" s="38"/>
      <c r="M800" s="17"/>
    </row>
    <row r="801" spans="2:13" ht="14.45" customHeight="1" x14ac:dyDescent="0.25">
      <c r="B801" s="17"/>
      <c r="C801" s="14"/>
      <c r="D801" s="14"/>
      <c r="E801" s="18"/>
      <c r="F801" s="61"/>
      <c r="G801" s="73"/>
      <c r="H801" s="79"/>
      <c r="I801" s="79"/>
      <c r="J801" s="14"/>
      <c r="K801" s="38"/>
      <c r="L801" s="38"/>
      <c r="M801" s="17"/>
    </row>
    <row r="802" spans="2:13" ht="14.45" customHeight="1" x14ac:dyDescent="0.25">
      <c r="B802" s="17"/>
      <c r="C802" s="14"/>
      <c r="D802" s="14"/>
      <c r="E802" s="18"/>
      <c r="F802" s="61"/>
      <c r="G802" s="73"/>
      <c r="H802" s="79"/>
      <c r="I802" s="79"/>
      <c r="J802" s="14"/>
      <c r="K802" s="38"/>
      <c r="L802" s="38"/>
      <c r="M802" s="17"/>
    </row>
    <row r="803" spans="2:13" ht="14.45" customHeight="1" x14ac:dyDescent="0.25">
      <c r="B803" s="17"/>
      <c r="C803" s="14"/>
      <c r="D803" s="14"/>
      <c r="E803" s="18"/>
      <c r="F803" s="61"/>
      <c r="G803" s="73"/>
      <c r="H803" s="79"/>
      <c r="I803" s="79"/>
      <c r="J803" s="14"/>
      <c r="K803" s="38"/>
      <c r="L803" s="38"/>
      <c r="M803" s="17"/>
    </row>
    <row r="804" spans="2:13" ht="14.45" customHeight="1" x14ac:dyDescent="0.25">
      <c r="B804" s="17"/>
      <c r="C804" s="14"/>
      <c r="D804" s="14"/>
      <c r="E804" s="18"/>
      <c r="F804" s="61"/>
      <c r="G804" s="73"/>
      <c r="H804" s="79"/>
      <c r="I804" s="79"/>
      <c r="J804" s="14"/>
      <c r="K804" s="38"/>
      <c r="L804" s="38"/>
      <c r="M804" s="17"/>
    </row>
    <row r="805" spans="2:13" ht="14.45" customHeight="1" x14ac:dyDescent="0.25">
      <c r="B805" s="17"/>
      <c r="C805" s="14"/>
      <c r="D805" s="14"/>
      <c r="E805" s="18"/>
      <c r="F805" s="61"/>
      <c r="G805" s="73"/>
      <c r="H805" s="79"/>
      <c r="I805" s="79"/>
      <c r="J805" s="14"/>
      <c r="K805" s="38"/>
      <c r="L805" s="38"/>
      <c r="M805" s="17"/>
    </row>
    <row r="806" spans="2:13" ht="14.45" customHeight="1" x14ac:dyDescent="0.25">
      <c r="B806" s="17"/>
      <c r="C806" s="14"/>
      <c r="D806" s="14"/>
      <c r="E806" s="18"/>
      <c r="F806" s="61"/>
      <c r="G806" s="73"/>
      <c r="H806" s="79"/>
      <c r="I806" s="79"/>
      <c r="J806" s="14"/>
      <c r="K806" s="38"/>
      <c r="L806" s="38"/>
      <c r="M806" s="17"/>
    </row>
    <row r="807" spans="2:13" ht="14.45" customHeight="1" x14ac:dyDescent="0.25">
      <c r="B807" s="17"/>
      <c r="C807" s="14"/>
      <c r="D807" s="14"/>
      <c r="E807" s="18"/>
      <c r="F807" s="61"/>
      <c r="G807" s="73"/>
      <c r="H807" s="79"/>
      <c r="I807" s="79"/>
      <c r="J807" s="14"/>
      <c r="K807" s="38"/>
      <c r="L807" s="38"/>
      <c r="M807" s="17"/>
    </row>
    <row r="808" spans="2:13" ht="14.45" customHeight="1" x14ac:dyDescent="0.25">
      <c r="B808" s="17"/>
      <c r="C808" s="14"/>
      <c r="D808" s="14"/>
      <c r="E808" s="18"/>
      <c r="F808" s="61"/>
      <c r="G808" s="73"/>
      <c r="H808" s="79"/>
      <c r="I808" s="79"/>
      <c r="J808" s="14"/>
      <c r="K808" s="38"/>
      <c r="L808" s="38"/>
      <c r="M808" s="17"/>
    </row>
    <row r="809" spans="2:13" ht="14.45" customHeight="1" x14ac:dyDescent="0.25">
      <c r="B809" s="17"/>
      <c r="C809" s="14"/>
      <c r="D809" s="14"/>
      <c r="E809" s="18"/>
      <c r="F809" s="61"/>
      <c r="G809" s="73"/>
      <c r="H809" s="79"/>
      <c r="I809" s="79"/>
      <c r="J809" s="14"/>
      <c r="K809" s="38"/>
      <c r="L809" s="38"/>
      <c r="M809" s="17"/>
    </row>
    <row r="810" spans="2:13" ht="14.45" customHeight="1" x14ac:dyDescent="0.25">
      <c r="B810" s="17"/>
      <c r="C810" s="14"/>
      <c r="D810" s="14"/>
      <c r="E810" s="18"/>
      <c r="F810" s="61"/>
      <c r="G810" s="73"/>
      <c r="H810" s="79"/>
      <c r="I810" s="79"/>
      <c r="J810" s="14"/>
      <c r="K810" s="38"/>
      <c r="L810" s="38"/>
      <c r="M810" s="17"/>
    </row>
    <row r="811" spans="2:13" ht="14.45" customHeight="1" x14ac:dyDescent="0.25">
      <c r="B811" s="17"/>
      <c r="C811" s="14"/>
      <c r="D811" s="14"/>
      <c r="E811" s="18"/>
      <c r="F811" s="61"/>
      <c r="G811" s="73"/>
      <c r="H811" s="79"/>
      <c r="I811" s="79"/>
      <c r="J811" s="14"/>
      <c r="K811" s="38"/>
      <c r="L811" s="38"/>
      <c r="M811" s="17"/>
    </row>
    <row r="812" spans="2:13" ht="14.45" customHeight="1" x14ac:dyDescent="0.25">
      <c r="B812" s="17"/>
      <c r="C812" s="14"/>
      <c r="D812" s="14"/>
      <c r="E812" s="18"/>
      <c r="F812" s="61"/>
      <c r="G812" s="73"/>
      <c r="H812" s="79"/>
      <c r="I812" s="79"/>
      <c r="J812" s="14"/>
      <c r="K812" s="38"/>
      <c r="L812" s="38"/>
      <c r="M812" s="17"/>
    </row>
    <row r="813" spans="2:13" ht="14.45" customHeight="1" x14ac:dyDescent="0.25">
      <c r="B813" s="17"/>
      <c r="C813" s="14"/>
      <c r="D813" s="14"/>
      <c r="E813" s="18"/>
      <c r="F813" s="61"/>
      <c r="G813" s="73"/>
      <c r="H813" s="79"/>
      <c r="I813" s="79"/>
      <c r="J813" s="14"/>
      <c r="K813" s="38"/>
      <c r="L813" s="38"/>
      <c r="M813" s="17"/>
    </row>
    <row r="814" spans="2:13" ht="14.45" customHeight="1" x14ac:dyDescent="0.25">
      <c r="B814" s="17"/>
      <c r="C814" s="14"/>
      <c r="D814" s="14"/>
      <c r="E814" s="18"/>
      <c r="F814" s="61"/>
      <c r="G814" s="73"/>
      <c r="H814" s="79"/>
      <c r="I814" s="79"/>
      <c r="J814" s="14"/>
      <c r="K814" s="38"/>
      <c r="L814" s="38"/>
      <c r="M814" s="17"/>
    </row>
    <row r="815" spans="2:13" ht="14.45" customHeight="1" x14ac:dyDescent="0.25">
      <c r="B815" s="17"/>
      <c r="C815" s="14"/>
      <c r="D815" s="14"/>
      <c r="E815" s="18"/>
      <c r="F815" s="61"/>
      <c r="G815" s="73"/>
      <c r="H815" s="79"/>
      <c r="I815" s="79"/>
      <c r="J815" s="14"/>
      <c r="K815" s="38"/>
      <c r="L815" s="38"/>
      <c r="M815" s="17"/>
    </row>
    <row r="816" spans="2:13" ht="14.45" customHeight="1" x14ac:dyDescent="0.25">
      <c r="B816" s="17"/>
      <c r="C816" s="14"/>
      <c r="D816" s="14"/>
      <c r="E816" s="18"/>
      <c r="F816" s="61"/>
      <c r="G816" s="73"/>
      <c r="H816" s="79"/>
      <c r="I816" s="79"/>
      <c r="J816" s="14"/>
      <c r="K816" s="38"/>
      <c r="L816" s="38"/>
      <c r="M816" s="17"/>
    </row>
    <row r="817" spans="2:13" ht="14.45" customHeight="1" x14ac:dyDescent="0.25">
      <c r="B817" s="17"/>
      <c r="C817" s="14"/>
      <c r="D817" s="14"/>
      <c r="E817" s="18"/>
      <c r="F817" s="61"/>
      <c r="G817" s="73"/>
      <c r="H817" s="79"/>
      <c r="I817" s="79"/>
      <c r="J817" s="14"/>
      <c r="K817" s="38"/>
      <c r="L817" s="38"/>
      <c r="M817" s="17"/>
    </row>
    <row r="818" spans="2:13" ht="14.45" customHeight="1" x14ac:dyDescent="0.25">
      <c r="B818" s="17"/>
      <c r="C818" s="14"/>
      <c r="D818" s="14"/>
      <c r="E818" s="18"/>
      <c r="F818" s="61"/>
      <c r="G818" s="73"/>
      <c r="H818" s="79"/>
      <c r="I818" s="79"/>
      <c r="J818" s="14"/>
      <c r="K818" s="38"/>
      <c r="L818" s="38"/>
      <c r="M818" s="17"/>
    </row>
    <row r="819" spans="2:13" ht="14.45" customHeight="1" x14ac:dyDescent="0.25">
      <c r="B819" s="17"/>
      <c r="C819" s="14"/>
      <c r="D819" s="14"/>
      <c r="E819" s="18"/>
      <c r="F819" s="61"/>
      <c r="G819" s="73"/>
      <c r="H819" s="79"/>
      <c r="I819" s="79"/>
      <c r="J819" s="14"/>
      <c r="K819" s="38"/>
      <c r="L819" s="38"/>
      <c r="M819" s="17"/>
    </row>
    <row r="820" spans="2:13" ht="14.45" customHeight="1" x14ac:dyDescent="0.25">
      <c r="B820" s="17"/>
      <c r="C820" s="14"/>
      <c r="D820" s="14"/>
      <c r="E820" s="18"/>
      <c r="F820" s="61"/>
      <c r="G820" s="73"/>
      <c r="H820" s="79"/>
      <c r="I820" s="79"/>
      <c r="J820" s="14"/>
      <c r="K820" s="38"/>
      <c r="L820" s="38"/>
      <c r="M820" s="17"/>
    </row>
    <row r="821" spans="2:13" ht="14.45" customHeight="1" x14ac:dyDescent="0.25">
      <c r="B821" s="17"/>
      <c r="C821" s="14"/>
      <c r="D821" s="14"/>
      <c r="E821" s="18"/>
      <c r="F821" s="61"/>
      <c r="G821" s="73"/>
      <c r="H821" s="79"/>
      <c r="I821" s="79"/>
      <c r="J821" s="14"/>
      <c r="K821" s="38"/>
      <c r="L821" s="38"/>
      <c r="M821" s="17"/>
    </row>
    <row r="822" spans="2:13" ht="14.45" customHeight="1" x14ac:dyDescent="0.25">
      <c r="B822" s="17"/>
      <c r="C822" s="14"/>
      <c r="D822" s="14"/>
      <c r="E822" s="18"/>
      <c r="F822" s="61"/>
      <c r="G822" s="73"/>
      <c r="H822" s="79"/>
      <c r="I822" s="79"/>
      <c r="J822" s="14"/>
      <c r="K822" s="38"/>
      <c r="L822" s="38"/>
      <c r="M822" s="17"/>
    </row>
    <row r="823" spans="2:13" ht="14.45" customHeight="1" x14ac:dyDescent="0.25">
      <c r="B823" s="17"/>
      <c r="C823" s="14"/>
      <c r="D823" s="14"/>
      <c r="E823" s="18"/>
      <c r="F823" s="61"/>
      <c r="G823" s="73"/>
      <c r="H823" s="79"/>
      <c r="I823" s="79"/>
      <c r="J823" s="14"/>
      <c r="K823" s="38"/>
      <c r="L823" s="38"/>
      <c r="M823" s="17"/>
    </row>
    <row r="824" spans="2:13" ht="14.45" customHeight="1" x14ac:dyDescent="0.25">
      <c r="B824" s="17"/>
      <c r="C824" s="14"/>
      <c r="D824" s="14"/>
      <c r="E824" s="18"/>
      <c r="F824" s="61"/>
      <c r="G824" s="73"/>
      <c r="H824" s="79"/>
      <c r="I824" s="79"/>
      <c r="J824" s="14"/>
      <c r="K824" s="38"/>
      <c r="L824" s="38"/>
      <c r="M824" s="17"/>
    </row>
    <row r="825" spans="2:13" ht="14.45" customHeight="1" x14ac:dyDescent="0.25">
      <c r="B825" s="17"/>
      <c r="C825" s="14"/>
      <c r="D825" s="14"/>
      <c r="E825" s="18"/>
      <c r="F825" s="61"/>
      <c r="G825" s="73"/>
      <c r="H825" s="79"/>
      <c r="I825" s="79"/>
      <c r="J825" s="14"/>
      <c r="K825" s="38"/>
      <c r="L825" s="38"/>
      <c r="M825" s="17"/>
    </row>
    <row r="826" spans="2:13" ht="14.45" customHeight="1" x14ac:dyDescent="0.25">
      <c r="B826" s="17"/>
      <c r="C826" s="14"/>
      <c r="D826" s="14"/>
      <c r="E826" s="18"/>
      <c r="F826" s="61"/>
      <c r="G826" s="73"/>
      <c r="H826" s="79"/>
      <c r="I826" s="79"/>
      <c r="J826" s="14"/>
      <c r="K826" s="38"/>
      <c r="L826" s="38"/>
      <c r="M826" s="17"/>
    </row>
    <row r="827" spans="2:13" ht="14.45" customHeight="1" x14ac:dyDescent="0.25">
      <c r="B827" s="17"/>
      <c r="C827" s="14"/>
      <c r="D827" s="14"/>
      <c r="E827" s="18"/>
      <c r="F827" s="61"/>
      <c r="G827" s="73"/>
      <c r="H827" s="79"/>
      <c r="I827" s="79"/>
      <c r="J827" s="14"/>
      <c r="K827" s="38"/>
      <c r="L827" s="38"/>
      <c r="M827" s="17"/>
    </row>
    <row r="828" spans="2:13" ht="14.45" customHeight="1" x14ac:dyDescent="0.25">
      <c r="B828" s="17"/>
      <c r="C828" s="14"/>
      <c r="D828" s="14"/>
      <c r="E828" s="18"/>
      <c r="F828" s="61"/>
      <c r="G828" s="73"/>
      <c r="H828" s="79"/>
      <c r="I828" s="79"/>
      <c r="J828" s="14"/>
      <c r="K828" s="38"/>
      <c r="L828" s="38"/>
      <c r="M828" s="17"/>
    </row>
    <row r="829" spans="2:13" ht="14.45" customHeight="1" x14ac:dyDescent="0.25">
      <c r="B829" s="17"/>
      <c r="C829" s="14"/>
      <c r="D829" s="14"/>
      <c r="E829" s="18"/>
      <c r="F829" s="61"/>
      <c r="G829" s="73"/>
      <c r="H829" s="79"/>
      <c r="I829" s="79"/>
      <c r="J829" s="14"/>
      <c r="K829" s="38"/>
      <c r="L829" s="38"/>
      <c r="M829" s="17"/>
    </row>
    <row r="830" spans="2:13" ht="14.45" customHeight="1" x14ac:dyDescent="0.25">
      <c r="B830" s="17"/>
      <c r="C830" s="14"/>
      <c r="D830" s="14"/>
      <c r="E830" s="18"/>
      <c r="F830" s="61"/>
      <c r="G830" s="73"/>
      <c r="H830" s="79"/>
      <c r="I830" s="79"/>
      <c r="J830" s="14"/>
      <c r="K830" s="38"/>
      <c r="L830" s="38"/>
      <c r="M830" s="17"/>
    </row>
    <row r="831" spans="2:13" ht="14.45" customHeight="1" x14ac:dyDescent="0.25">
      <c r="B831" s="17"/>
      <c r="C831" s="14"/>
      <c r="D831" s="14"/>
      <c r="E831" s="18"/>
      <c r="F831" s="61"/>
      <c r="G831" s="73"/>
      <c r="H831" s="79"/>
      <c r="I831" s="79"/>
      <c r="J831" s="14"/>
      <c r="K831" s="38"/>
      <c r="L831" s="38"/>
      <c r="M831" s="17"/>
    </row>
    <row r="832" spans="2:13" ht="14.45" customHeight="1" x14ac:dyDescent="0.25">
      <c r="B832" s="17"/>
      <c r="C832" s="14"/>
      <c r="D832" s="14"/>
      <c r="E832" s="18"/>
      <c r="F832" s="61"/>
      <c r="G832" s="73"/>
      <c r="H832" s="79"/>
      <c r="I832" s="79"/>
      <c r="J832" s="14"/>
      <c r="K832" s="38"/>
      <c r="L832" s="38"/>
      <c r="M832" s="17"/>
    </row>
    <row r="833" spans="2:13" ht="14.45" customHeight="1" x14ac:dyDescent="0.25">
      <c r="B833" s="17"/>
      <c r="C833" s="14"/>
      <c r="D833" s="14"/>
      <c r="E833" s="18"/>
      <c r="F833" s="61"/>
      <c r="G833" s="73"/>
      <c r="H833" s="79"/>
      <c r="I833" s="79"/>
      <c r="J833" s="14"/>
      <c r="K833" s="38"/>
      <c r="L833" s="38"/>
      <c r="M833" s="17"/>
    </row>
    <row r="834" spans="2:13" ht="14.45" customHeight="1" x14ac:dyDescent="0.25">
      <c r="B834" s="17"/>
      <c r="C834" s="14"/>
      <c r="D834" s="14"/>
      <c r="E834" s="18"/>
      <c r="F834" s="61"/>
      <c r="G834" s="73"/>
      <c r="H834" s="79"/>
      <c r="I834" s="79"/>
      <c r="J834" s="14"/>
      <c r="K834" s="38"/>
      <c r="L834" s="38"/>
      <c r="M834" s="17"/>
    </row>
    <row r="835" spans="2:13" ht="14.45" customHeight="1" x14ac:dyDescent="0.25">
      <c r="B835" s="17"/>
      <c r="C835" s="14"/>
      <c r="D835" s="14"/>
      <c r="E835" s="18"/>
      <c r="F835" s="61"/>
      <c r="G835" s="73"/>
      <c r="H835" s="79"/>
      <c r="I835" s="79"/>
      <c r="J835" s="14"/>
      <c r="K835" s="38"/>
      <c r="L835" s="38"/>
      <c r="M835" s="17"/>
    </row>
    <row r="836" spans="2:13" ht="14.45" customHeight="1" x14ac:dyDescent="0.25">
      <c r="B836" s="17"/>
      <c r="C836" s="14"/>
      <c r="D836" s="14"/>
      <c r="E836" s="18"/>
      <c r="F836" s="61"/>
      <c r="G836" s="73"/>
      <c r="H836" s="79"/>
      <c r="I836" s="79"/>
      <c r="J836" s="14"/>
      <c r="K836" s="38"/>
      <c r="L836" s="38"/>
      <c r="M836" s="17"/>
    </row>
    <row r="837" spans="2:13" ht="14.45" customHeight="1" x14ac:dyDescent="0.25">
      <c r="B837" s="17"/>
      <c r="C837" s="14"/>
      <c r="D837" s="14"/>
      <c r="E837" s="18"/>
      <c r="F837" s="61"/>
      <c r="G837" s="73"/>
      <c r="H837" s="79"/>
      <c r="I837" s="79"/>
      <c r="J837" s="14"/>
      <c r="K837" s="38"/>
      <c r="L837" s="38"/>
      <c r="M837" s="17"/>
    </row>
    <row r="838" spans="2:13" ht="14.45" customHeight="1" x14ac:dyDescent="0.25">
      <c r="B838" s="17"/>
      <c r="C838" s="14"/>
      <c r="D838" s="14"/>
      <c r="E838" s="18"/>
      <c r="F838" s="61"/>
      <c r="G838" s="73"/>
      <c r="H838" s="79"/>
      <c r="I838" s="79"/>
      <c r="J838" s="14"/>
      <c r="K838" s="38"/>
      <c r="L838" s="38"/>
      <c r="M838" s="17"/>
    </row>
    <row r="839" spans="2:13" ht="14.45" customHeight="1" x14ac:dyDescent="0.25">
      <c r="B839" s="17"/>
      <c r="C839" s="14"/>
      <c r="D839" s="14"/>
      <c r="E839" s="18"/>
      <c r="F839" s="61"/>
      <c r="G839" s="73"/>
      <c r="H839" s="79"/>
      <c r="I839" s="79"/>
      <c r="J839" s="14"/>
      <c r="K839" s="38"/>
      <c r="L839" s="38"/>
      <c r="M839" s="17"/>
    </row>
    <row r="840" spans="2:13" ht="14.45" customHeight="1" x14ac:dyDescent="0.25">
      <c r="B840" s="17"/>
      <c r="C840" s="14"/>
      <c r="D840" s="14"/>
      <c r="E840" s="18"/>
      <c r="F840" s="61"/>
      <c r="G840" s="73"/>
      <c r="H840" s="79"/>
      <c r="I840" s="79"/>
      <c r="J840" s="14"/>
      <c r="K840" s="38"/>
      <c r="L840" s="38"/>
      <c r="M840" s="17"/>
    </row>
    <row r="841" spans="2:13" ht="14.45" customHeight="1" x14ac:dyDescent="0.25">
      <c r="B841" s="17"/>
      <c r="C841" s="14"/>
      <c r="D841" s="14"/>
      <c r="E841" s="18"/>
      <c r="F841" s="61"/>
      <c r="G841" s="73"/>
      <c r="H841" s="79"/>
      <c r="I841" s="79"/>
      <c r="J841" s="14"/>
      <c r="K841" s="38"/>
      <c r="L841" s="38"/>
      <c r="M841" s="17"/>
    </row>
    <row r="842" spans="2:13" ht="14.45" customHeight="1" x14ac:dyDescent="0.25">
      <c r="B842" s="17"/>
      <c r="C842" s="14"/>
      <c r="D842" s="14"/>
      <c r="E842" s="18"/>
      <c r="F842" s="61"/>
      <c r="G842" s="73"/>
      <c r="H842" s="79"/>
      <c r="I842" s="79"/>
      <c r="J842" s="14"/>
      <c r="K842" s="38"/>
      <c r="L842" s="38"/>
      <c r="M842" s="17"/>
    </row>
    <row r="843" spans="2:13" ht="14.45" customHeight="1" x14ac:dyDescent="0.25">
      <c r="B843" s="17"/>
      <c r="C843" s="14"/>
      <c r="D843" s="14"/>
      <c r="E843" s="18"/>
      <c r="F843" s="61"/>
      <c r="G843" s="73"/>
      <c r="H843" s="79"/>
      <c r="I843" s="79"/>
      <c r="J843" s="14"/>
      <c r="K843" s="38"/>
      <c r="L843" s="38"/>
      <c r="M843" s="17"/>
    </row>
    <row r="844" spans="2:13" ht="14.45" customHeight="1" x14ac:dyDescent="0.25">
      <c r="B844" s="17"/>
      <c r="C844" s="14"/>
      <c r="D844" s="14"/>
      <c r="E844" s="18"/>
      <c r="F844" s="61"/>
      <c r="G844" s="73"/>
      <c r="H844" s="79"/>
      <c r="I844" s="79"/>
      <c r="J844" s="14"/>
      <c r="K844" s="38"/>
      <c r="L844" s="38"/>
      <c r="M844" s="17"/>
    </row>
    <row r="845" spans="2:13" ht="14.45" customHeight="1" x14ac:dyDescent="0.25">
      <c r="B845" s="17"/>
      <c r="C845" s="14"/>
      <c r="D845" s="14"/>
      <c r="E845" s="18"/>
      <c r="F845" s="61"/>
      <c r="G845" s="73"/>
      <c r="H845" s="79"/>
      <c r="I845" s="79"/>
      <c r="J845" s="14"/>
      <c r="K845" s="38"/>
      <c r="L845" s="38"/>
      <c r="M845" s="17"/>
    </row>
    <row r="846" spans="2:13" ht="14.45" customHeight="1" x14ac:dyDescent="0.25">
      <c r="B846" s="17"/>
      <c r="C846" s="14"/>
      <c r="D846" s="14"/>
      <c r="E846" s="18"/>
      <c r="F846" s="61"/>
      <c r="G846" s="73"/>
      <c r="H846" s="79"/>
      <c r="I846" s="79"/>
      <c r="J846" s="14"/>
      <c r="K846" s="38"/>
      <c r="L846" s="38"/>
      <c r="M846" s="17"/>
    </row>
    <row r="847" spans="2:13" ht="14.45" customHeight="1" x14ac:dyDescent="0.25">
      <c r="B847" s="17"/>
      <c r="C847" s="14"/>
      <c r="D847" s="14"/>
      <c r="E847" s="18"/>
      <c r="F847" s="61"/>
      <c r="G847" s="73"/>
      <c r="H847" s="79"/>
      <c r="I847" s="79"/>
      <c r="J847" s="14"/>
      <c r="K847" s="38"/>
      <c r="L847" s="38"/>
      <c r="M847" s="17"/>
    </row>
    <row r="848" spans="2:13" ht="14.45" customHeight="1" x14ac:dyDescent="0.25">
      <c r="B848" s="17"/>
      <c r="C848" s="14"/>
      <c r="D848" s="14"/>
      <c r="E848" s="18"/>
      <c r="F848" s="61"/>
      <c r="G848" s="73"/>
      <c r="H848" s="79"/>
      <c r="I848" s="79"/>
      <c r="J848" s="14"/>
      <c r="K848" s="38"/>
      <c r="L848" s="38"/>
      <c r="M848" s="17"/>
    </row>
    <row r="849" spans="2:13" ht="14.45" customHeight="1" x14ac:dyDescent="0.25">
      <c r="B849" s="17"/>
      <c r="C849" s="14"/>
      <c r="D849" s="14"/>
      <c r="E849" s="18"/>
      <c r="F849" s="61"/>
      <c r="G849" s="73"/>
      <c r="H849" s="79"/>
      <c r="I849" s="79"/>
      <c r="J849" s="14"/>
      <c r="K849" s="38"/>
      <c r="L849" s="38"/>
      <c r="M849" s="17"/>
    </row>
    <row r="850" spans="2:13" ht="14.45" customHeight="1" x14ac:dyDescent="0.25">
      <c r="B850" s="17"/>
      <c r="C850" s="14"/>
      <c r="D850" s="14"/>
      <c r="E850" s="18"/>
      <c r="F850" s="61"/>
      <c r="G850" s="73"/>
      <c r="H850" s="79"/>
      <c r="I850" s="79"/>
      <c r="J850" s="14"/>
      <c r="K850" s="38"/>
      <c r="L850" s="38"/>
      <c r="M850" s="17"/>
    </row>
    <row r="851" spans="2:13" ht="14.45" customHeight="1" x14ac:dyDescent="0.25">
      <c r="B851" s="17"/>
      <c r="C851" s="14"/>
      <c r="D851" s="14"/>
      <c r="E851" s="18"/>
      <c r="F851" s="61"/>
      <c r="G851" s="73"/>
      <c r="H851" s="79"/>
      <c r="I851" s="79"/>
      <c r="J851" s="14"/>
      <c r="K851" s="38"/>
      <c r="L851" s="38"/>
      <c r="M851" s="17"/>
    </row>
    <row r="852" spans="2:13" ht="14.45" customHeight="1" x14ac:dyDescent="0.25">
      <c r="B852" s="17"/>
      <c r="C852" s="14"/>
      <c r="D852" s="14"/>
      <c r="E852" s="18"/>
      <c r="F852" s="61"/>
      <c r="G852" s="73"/>
      <c r="H852" s="79"/>
      <c r="I852" s="79"/>
      <c r="J852" s="14"/>
      <c r="K852" s="38"/>
      <c r="L852" s="38"/>
      <c r="M852" s="17"/>
    </row>
    <row r="853" spans="2:13" ht="14.45" customHeight="1" x14ac:dyDescent="0.25">
      <c r="B853" s="17"/>
      <c r="C853" s="14"/>
      <c r="D853" s="14"/>
      <c r="E853" s="18"/>
      <c r="F853" s="61"/>
      <c r="G853" s="73"/>
      <c r="H853" s="79"/>
      <c r="I853" s="79"/>
      <c r="J853" s="14"/>
      <c r="K853" s="38"/>
      <c r="L853" s="38"/>
      <c r="M853" s="17"/>
    </row>
    <row r="854" spans="2:13" ht="14.45" customHeight="1" x14ac:dyDescent="0.25">
      <c r="B854" s="17"/>
      <c r="C854" s="14"/>
      <c r="D854" s="14"/>
      <c r="E854" s="18"/>
      <c r="F854" s="61"/>
      <c r="G854" s="73"/>
      <c r="H854" s="79"/>
      <c r="I854" s="79"/>
      <c r="J854" s="14"/>
      <c r="K854" s="38"/>
      <c r="L854" s="38"/>
      <c r="M854" s="17"/>
    </row>
    <row r="855" spans="2:13" ht="14.45" customHeight="1" x14ac:dyDescent="0.25">
      <c r="B855" s="17"/>
      <c r="C855" s="14"/>
      <c r="D855" s="14"/>
      <c r="E855" s="18"/>
      <c r="F855" s="61"/>
      <c r="G855" s="73"/>
      <c r="H855" s="79"/>
      <c r="I855" s="79"/>
      <c r="J855" s="14"/>
      <c r="K855" s="38"/>
      <c r="L855" s="38"/>
      <c r="M855" s="17"/>
    </row>
    <row r="856" spans="2:13" ht="14.45" customHeight="1" x14ac:dyDescent="0.25">
      <c r="B856" s="17"/>
      <c r="C856" s="14"/>
      <c r="D856" s="14"/>
      <c r="E856" s="18"/>
      <c r="F856" s="61"/>
      <c r="G856" s="73"/>
      <c r="H856" s="79"/>
      <c r="I856" s="79"/>
      <c r="J856" s="14"/>
      <c r="K856" s="38"/>
      <c r="L856" s="38"/>
      <c r="M856" s="17"/>
    </row>
    <row r="857" spans="2:13" ht="14.45" customHeight="1" x14ac:dyDescent="0.25">
      <c r="B857" s="17"/>
      <c r="C857" s="14"/>
      <c r="D857" s="14"/>
      <c r="E857" s="18"/>
      <c r="F857" s="61"/>
      <c r="G857" s="73"/>
      <c r="H857" s="79"/>
      <c r="I857" s="79"/>
      <c r="J857" s="14"/>
      <c r="K857" s="38"/>
      <c r="L857" s="38"/>
      <c r="M857" s="17"/>
    </row>
    <row r="858" spans="2:13" ht="14.45" customHeight="1" x14ac:dyDescent="0.25">
      <c r="B858" s="17"/>
      <c r="C858" s="14"/>
      <c r="D858" s="14"/>
      <c r="E858" s="18"/>
      <c r="F858" s="61"/>
      <c r="G858" s="73"/>
      <c r="H858" s="79"/>
      <c r="I858" s="79"/>
      <c r="J858" s="14"/>
      <c r="K858" s="38"/>
      <c r="L858" s="38"/>
      <c r="M858" s="17"/>
    </row>
    <row r="859" spans="2:13" ht="14.45" customHeight="1" x14ac:dyDescent="0.25">
      <c r="B859" s="17"/>
      <c r="C859" s="14"/>
      <c r="D859" s="14"/>
      <c r="E859" s="18"/>
      <c r="F859" s="61"/>
      <c r="G859" s="73"/>
      <c r="H859" s="79"/>
      <c r="I859" s="79"/>
      <c r="J859" s="14"/>
      <c r="K859" s="38"/>
      <c r="L859" s="38"/>
      <c r="M859" s="17"/>
    </row>
    <row r="860" spans="2:13" ht="14.45" customHeight="1" x14ac:dyDescent="0.25">
      <c r="B860" s="17"/>
      <c r="C860" s="14"/>
      <c r="D860" s="14"/>
      <c r="E860" s="18"/>
      <c r="F860" s="61"/>
      <c r="G860" s="73"/>
      <c r="H860" s="79"/>
      <c r="I860" s="79"/>
      <c r="J860" s="14"/>
      <c r="K860" s="38"/>
      <c r="L860" s="38"/>
      <c r="M860" s="17"/>
    </row>
    <row r="861" spans="2:13" ht="14.45" customHeight="1" x14ac:dyDescent="0.25">
      <c r="B861" s="17"/>
      <c r="C861" s="14"/>
      <c r="D861" s="14"/>
      <c r="E861" s="18"/>
      <c r="F861" s="61"/>
      <c r="G861" s="73"/>
      <c r="H861" s="79"/>
      <c r="I861" s="79"/>
      <c r="J861" s="14"/>
      <c r="K861" s="38"/>
      <c r="L861" s="38"/>
      <c r="M861" s="17"/>
    </row>
    <row r="862" spans="2:13" ht="14.45" customHeight="1" x14ac:dyDescent="0.25">
      <c r="B862" s="17"/>
      <c r="C862" s="14"/>
      <c r="D862" s="14"/>
      <c r="E862" s="18"/>
      <c r="F862" s="61"/>
      <c r="G862" s="73"/>
      <c r="H862" s="79"/>
      <c r="I862" s="79"/>
      <c r="J862" s="14"/>
      <c r="K862" s="38"/>
      <c r="L862" s="38"/>
      <c r="M862" s="17"/>
    </row>
    <row r="863" spans="2:13" ht="14.45" customHeight="1" x14ac:dyDescent="0.25">
      <c r="B863" s="17"/>
      <c r="C863" s="14"/>
      <c r="D863" s="14"/>
      <c r="E863" s="18"/>
      <c r="F863" s="61"/>
      <c r="G863" s="73"/>
      <c r="H863" s="79"/>
      <c r="I863" s="79"/>
      <c r="J863" s="14"/>
      <c r="K863" s="38"/>
      <c r="L863" s="38"/>
      <c r="M863" s="17"/>
    </row>
    <row r="864" spans="2:13" ht="14.45" customHeight="1" x14ac:dyDescent="0.25">
      <c r="B864" s="17"/>
      <c r="C864" s="14"/>
      <c r="D864" s="14"/>
      <c r="E864" s="18"/>
      <c r="F864" s="61"/>
      <c r="G864" s="73"/>
      <c r="H864" s="79"/>
      <c r="I864" s="79"/>
      <c r="J864" s="14"/>
      <c r="K864" s="38"/>
      <c r="L864" s="38"/>
      <c r="M864" s="17"/>
    </row>
    <row r="865" spans="2:13" ht="14.45" customHeight="1" x14ac:dyDescent="0.25">
      <c r="B865" s="17"/>
      <c r="C865" s="14"/>
      <c r="D865" s="14"/>
      <c r="E865" s="18"/>
      <c r="F865" s="61"/>
      <c r="G865" s="73"/>
      <c r="H865" s="79"/>
      <c r="I865" s="79"/>
      <c r="J865" s="14"/>
      <c r="K865" s="38"/>
      <c r="L865" s="38"/>
      <c r="M865" s="17"/>
    </row>
    <row r="866" spans="2:13" ht="14.45" customHeight="1" x14ac:dyDescent="0.25">
      <c r="B866" s="17"/>
      <c r="C866" s="14"/>
      <c r="D866" s="14"/>
      <c r="E866" s="18"/>
      <c r="F866" s="61"/>
      <c r="G866" s="73"/>
      <c r="H866" s="79"/>
      <c r="I866" s="79"/>
      <c r="J866" s="14"/>
      <c r="K866" s="38"/>
      <c r="L866" s="38"/>
      <c r="M866" s="17"/>
    </row>
    <row r="867" spans="2:13" ht="14.45" customHeight="1" x14ac:dyDescent="0.25">
      <c r="B867" s="17"/>
      <c r="C867" s="14"/>
      <c r="D867" s="14"/>
      <c r="E867" s="18"/>
      <c r="F867" s="61"/>
      <c r="G867" s="73"/>
      <c r="H867" s="79"/>
      <c r="I867" s="79"/>
      <c r="J867" s="14"/>
      <c r="K867" s="38"/>
      <c r="L867" s="38"/>
      <c r="M867" s="17"/>
    </row>
    <row r="868" spans="2:13" ht="14.45" customHeight="1" x14ac:dyDescent="0.25">
      <c r="B868" s="17"/>
      <c r="C868" s="14"/>
      <c r="D868" s="14"/>
      <c r="E868" s="18"/>
      <c r="F868" s="61"/>
      <c r="G868" s="73"/>
      <c r="H868" s="79"/>
      <c r="I868" s="79"/>
      <c r="J868" s="14"/>
      <c r="K868" s="38"/>
      <c r="L868" s="38"/>
      <c r="M868" s="17"/>
    </row>
    <row r="869" spans="2:13" ht="14.45" customHeight="1" x14ac:dyDescent="0.25">
      <c r="B869" s="17"/>
      <c r="C869" s="14"/>
      <c r="D869" s="14"/>
      <c r="E869" s="18"/>
      <c r="F869" s="61"/>
      <c r="G869" s="73"/>
      <c r="H869" s="79"/>
      <c r="I869" s="79"/>
      <c r="J869" s="14"/>
      <c r="K869" s="38"/>
      <c r="L869" s="38"/>
      <c r="M869" s="17"/>
    </row>
    <row r="870" spans="2:13" ht="14.45" customHeight="1" x14ac:dyDescent="0.25">
      <c r="B870" s="17"/>
      <c r="C870" s="14"/>
      <c r="D870" s="14"/>
      <c r="E870" s="18"/>
      <c r="F870" s="61"/>
      <c r="G870" s="73"/>
      <c r="H870" s="79"/>
      <c r="I870" s="79"/>
      <c r="J870" s="14"/>
      <c r="K870" s="38"/>
      <c r="L870" s="38"/>
      <c r="M870" s="17"/>
    </row>
    <row r="871" spans="2:13" ht="14.45" customHeight="1" x14ac:dyDescent="0.25">
      <c r="B871" s="17"/>
      <c r="C871" s="14"/>
      <c r="D871" s="14"/>
      <c r="E871" s="18"/>
      <c r="F871" s="61"/>
      <c r="G871" s="73"/>
      <c r="H871" s="79"/>
      <c r="I871" s="79"/>
      <c r="J871" s="14"/>
      <c r="K871" s="38"/>
      <c r="L871" s="38"/>
      <c r="M871" s="17"/>
    </row>
    <row r="872" spans="2:13" ht="14.45" customHeight="1" x14ac:dyDescent="0.25">
      <c r="B872" s="17"/>
      <c r="C872" s="14"/>
      <c r="D872" s="14"/>
      <c r="E872" s="18"/>
      <c r="F872" s="61"/>
      <c r="G872" s="73"/>
      <c r="H872" s="79"/>
      <c r="I872" s="79"/>
      <c r="J872" s="14"/>
      <c r="K872" s="38"/>
      <c r="L872" s="38"/>
      <c r="M872" s="17"/>
    </row>
    <row r="873" spans="2:13" ht="14.45" customHeight="1" x14ac:dyDescent="0.25">
      <c r="B873" s="17"/>
      <c r="C873" s="14"/>
      <c r="D873" s="14"/>
      <c r="E873" s="18"/>
      <c r="F873" s="61"/>
      <c r="G873" s="73"/>
      <c r="H873" s="79"/>
      <c r="I873" s="79"/>
      <c r="J873" s="14"/>
      <c r="K873" s="38"/>
      <c r="L873" s="38"/>
      <c r="M873" s="17"/>
    </row>
    <row r="874" spans="2:13" ht="14.45" customHeight="1" x14ac:dyDescent="0.25">
      <c r="B874" s="17"/>
      <c r="C874" s="14"/>
      <c r="D874" s="14"/>
      <c r="E874" s="18"/>
      <c r="F874" s="61"/>
      <c r="G874" s="73"/>
      <c r="H874" s="79"/>
      <c r="I874" s="79"/>
      <c r="J874" s="14"/>
      <c r="K874" s="38"/>
      <c r="L874" s="38"/>
      <c r="M874" s="17"/>
    </row>
    <row r="875" spans="2:13" ht="14.45" customHeight="1" x14ac:dyDescent="0.25">
      <c r="B875" s="17"/>
      <c r="C875" s="14"/>
      <c r="D875" s="14"/>
      <c r="E875" s="18"/>
      <c r="F875" s="61"/>
      <c r="G875" s="73"/>
      <c r="H875" s="79"/>
      <c r="I875" s="79"/>
      <c r="J875" s="14"/>
      <c r="K875" s="38"/>
      <c r="L875" s="38"/>
      <c r="M875" s="17"/>
    </row>
    <row r="876" spans="2:13" ht="14.45" customHeight="1" x14ac:dyDescent="0.25">
      <c r="B876" s="17"/>
      <c r="C876" s="14"/>
      <c r="D876" s="14"/>
      <c r="E876" s="18"/>
      <c r="F876" s="61"/>
      <c r="G876" s="73"/>
      <c r="H876" s="79"/>
      <c r="I876" s="79"/>
      <c r="J876" s="14"/>
      <c r="K876" s="38"/>
      <c r="L876" s="38"/>
      <c r="M876" s="17"/>
    </row>
    <row r="877" spans="2:13" ht="14.45" customHeight="1" x14ac:dyDescent="0.25">
      <c r="B877" s="17"/>
      <c r="C877" s="14"/>
      <c r="D877" s="14"/>
      <c r="E877" s="18"/>
      <c r="F877" s="61"/>
      <c r="G877" s="73"/>
      <c r="H877" s="79"/>
      <c r="I877" s="79"/>
      <c r="J877" s="14"/>
      <c r="K877" s="38"/>
      <c r="L877" s="38"/>
      <c r="M877" s="17"/>
    </row>
    <row r="878" spans="2:13" ht="14.45" customHeight="1" x14ac:dyDescent="0.25">
      <c r="B878" s="17"/>
      <c r="C878" s="14"/>
      <c r="D878" s="14"/>
      <c r="E878" s="18"/>
      <c r="F878" s="61"/>
      <c r="G878" s="73"/>
      <c r="H878" s="79"/>
      <c r="I878" s="79"/>
      <c r="J878" s="14"/>
      <c r="K878" s="38"/>
      <c r="L878" s="38"/>
      <c r="M878" s="17"/>
    </row>
    <row r="879" spans="2:13" ht="14.45" customHeight="1" x14ac:dyDescent="0.25">
      <c r="B879" s="17"/>
      <c r="C879" s="14"/>
      <c r="D879" s="14"/>
      <c r="E879" s="18"/>
      <c r="F879" s="61"/>
      <c r="G879" s="73"/>
      <c r="H879" s="79"/>
      <c r="I879" s="79"/>
      <c r="J879" s="14"/>
      <c r="K879" s="38"/>
      <c r="L879" s="38"/>
      <c r="M879" s="17"/>
    </row>
    <row r="880" spans="2:13" ht="14.45" customHeight="1" x14ac:dyDescent="0.25">
      <c r="B880" s="17"/>
      <c r="C880" s="14"/>
      <c r="D880" s="14"/>
      <c r="E880" s="18"/>
      <c r="F880" s="61"/>
      <c r="G880" s="73"/>
      <c r="H880" s="79"/>
      <c r="I880" s="79"/>
      <c r="J880" s="14"/>
      <c r="K880" s="38"/>
      <c r="L880" s="38"/>
      <c r="M880" s="17"/>
    </row>
    <row r="881" spans="2:13" ht="14.45" customHeight="1" x14ac:dyDescent="0.25">
      <c r="B881" s="17"/>
      <c r="C881" s="14"/>
      <c r="D881" s="14"/>
      <c r="E881" s="18"/>
      <c r="F881" s="61"/>
      <c r="G881" s="73"/>
      <c r="H881" s="79"/>
      <c r="I881" s="79"/>
      <c r="J881" s="14"/>
      <c r="K881" s="38"/>
      <c r="L881" s="38"/>
      <c r="M881" s="17"/>
    </row>
    <row r="882" spans="2:13" ht="14.45" customHeight="1" x14ac:dyDescent="0.25">
      <c r="B882" s="17"/>
      <c r="C882" s="14"/>
      <c r="D882" s="14"/>
      <c r="E882" s="18"/>
      <c r="F882" s="61"/>
      <c r="G882" s="73"/>
      <c r="H882" s="79"/>
      <c r="I882" s="79"/>
      <c r="J882" s="14"/>
      <c r="K882" s="38"/>
      <c r="L882" s="38"/>
      <c r="M882" s="17"/>
    </row>
    <row r="883" spans="2:13" ht="14.45" customHeight="1" x14ac:dyDescent="0.25">
      <c r="B883" s="17"/>
      <c r="C883" s="14"/>
      <c r="D883" s="14"/>
      <c r="E883" s="18"/>
      <c r="F883" s="61"/>
      <c r="G883" s="73"/>
      <c r="H883" s="79"/>
      <c r="I883" s="79"/>
      <c r="J883" s="14"/>
      <c r="K883" s="38"/>
      <c r="L883" s="38"/>
      <c r="M883" s="17"/>
    </row>
    <row r="884" spans="2:13" ht="14.45" customHeight="1" x14ac:dyDescent="0.25">
      <c r="B884" s="17"/>
      <c r="C884" s="14"/>
      <c r="D884" s="14"/>
      <c r="E884" s="18"/>
      <c r="F884" s="61"/>
      <c r="G884" s="73"/>
      <c r="H884" s="79"/>
      <c r="I884" s="79"/>
      <c r="J884" s="14"/>
      <c r="K884" s="38"/>
      <c r="L884" s="38"/>
      <c r="M884" s="17"/>
    </row>
    <row r="885" spans="2:13" ht="14.45" customHeight="1" x14ac:dyDescent="0.25">
      <c r="B885" s="17"/>
      <c r="C885" s="14"/>
      <c r="D885" s="14"/>
      <c r="E885" s="18"/>
      <c r="F885" s="61"/>
      <c r="G885" s="73"/>
      <c r="H885" s="79"/>
      <c r="I885" s="79"/>
      <c r="J885" s="14"/>
      <c r="K885" s="38"/>
      <c r="L885" s="38"/>
      <c r="M885" s="17"/>
    </row>
    <row r="886" spans="2:13" ht="14.45" customHeight="1" x14ac:dyDescent="0.25">
      <c r="B886" s="17"/>
      <c r="C886" s="14"/>
      <c r="D886" s="14"/>
      <c r="E886" s="18"/>
      <c r="F886" s="61"/>
      <c r="G886" s="73"/>
      <c r="H886" s="79"/>
      <c r="I886" s="79"/>
      <c r="J886" s="14"/>
      <c r="K886" s="38"/>
      <c r="L886" s="38"/>
      <c r="M886" s="17"/>
    </row>
    <row r="887" spans="2:13" ht="14.45" customHeight="1" x14ac:dyDescent="0.25">
      <c r="B887" s="17"/>
      <c r="C887" s="14"/>
      <c r="D887" s="14"/>
      <c r="E887" s="18"/>
      <c r="F887" s="61"/>
      <c r="G887" s="73"/>
      <c r="H887" s="79"/>
      <c r="I887" s="79"/>
      <c r="J887" s="14"/>
      <c r="K887" s="38"/>
      <c r="L887" s="38"/>
      <c r="M887" s="17"/>
    </row>
    <row r="888" spans="2:13" ht="14.45" customHeight="1" x14ac:dyDescent="0.25">
      <c r="B888" s="17"/>
      <c r="C888" s="14"/>
      <c r="D888" s="14"/>
      <c r="E888" s="18"/>
      <c r="F888" s="61"/>
      <c r="G888" s="73"/>
      <c r="H888" s="79"/>
      <c r="I888" s="79"/>
      <c r="J888" s="14"/>
      <c r="K888" s="38"/>
      <c r="L888" s="38"/>
      <c r="M888" s="17"/>
    </row>
    <row r="889" spans="2:13" ht="14.45" customHeight="1" x14ac:dyDescent="0.25">
      <c r="B889" s="17"/>
      <c r="C889" s="14"/>
      <c r="D889" s="14"/>
      <c r="E889" s="18"/>
      <c r="F889" s="61"/>
      <c r="G889" s="73"/>
      <c r="H889" s="79"/>
      <c r="I889" s="79"/>
      <c r="J889" s="14"/>
      <c r="K889" s="38"/>
      <c r="L889" s="38"/>
      <c r="M889" s="17"/>
    </row>
    <row r="890" spans="2:13" ht="14.45" customHeight="1" x14ac:dyDescent="0.25">
      <c r="B890" s="17"/>
      <c r="C890" s="14"/>
      <c r="D890" s="14"/>
      <c r="E890" s="18"/>
      <c r="F890" s="61"/>
      <c r="G890" s="73"/>
      <c r="H890" s="79"/>
      <c r="I890" s="79"/>
      <c r="J890" s="14"/>
      <c r="K890" s="38"/>
      <c r="L890" s="38"/>
      <c r="M890" s="17"/>
    </row>
    <row r="891" spans="2:13" ht="14.45" customHeight="1" x14ac:dyDescent="0.25">
      <c r="B891" s="17"/>
      <c r="C891" s="14"/>
      <c r="D891" s="14"/>
      <c r="E891" s="18"/>
      <c r="F891" s="61"/>
      <c r="G891" s="73"/>
      <c r="H891" s="79"/>
      <c r="I891" s="79"/>
      <c r="J891" s="14"/>
      <c r="K891" s="38"/>
      <c r="L891" s="38"/>
      <c r="M891" s="17"/>
    </row>
    <row r="892" spans="2:13" ht="14.45" customHeight="1" x14ac:dyDescent="0.25">
      <c r="B892" s="17"/>
      <c r="C892" s="14"/>
      <c r="D892" s="14"/>
      <c r="E892" s="18"/>
      <c r="F892" s="61"/>
      <c r="G892" s="73"/>
      <c r="H892" s="79"/>
      <c r="I892" s="79"/>
      <c r="J892" s="14"/>
      <c r="K892" s="38"/>
      <c r="L892" s="38"/>
      <c r="M892" s="17"/>
    </row>
    <row r="893" spans="2:13" ht="14.45" customHeight="1" x14ac:dyDescent="0.25">
      <c r="B893" s="17"/>
      <c r="C893" s="14"/>
      <c r="D893" s="14"/>
      <c r="E893" s="18"/>
      <c r="F893" s="61"/>
      <c r="G893" s="73"/>
      <c r="H893" s="79"/>
      <c r="I893" s="79"/>
      <c r="J893" s="14"/>
      <c r="K893" s="38"/>
      <c r="L893" s="38"/>
      <c r="M893" s="17"/>
    </row>
    <row r="894" spans="2:13" ht="14.45" customHeight="1" x14ac:dyDescent="0.25">
      <c r="B894" s="17"/>
      <c r="C894" s="14"/>
      <c r="D894" s="14"/>
      <c r="E894" s="18"/>
      <c r="F894" s="61"/>
      <c r="G894" s="73"/>
      <c r="H894" s="79"/>
      <c r="I894" s="79"/>
      <c r="J894" s="14"/>
      <c r="K894" s="38"/>
      <c r="L894" s="38"/>
      <c r="M894" s="17"/>
    </row>
    <row r="895" spans="2:13" ht="14.45" customHeight="1" x14ac:dyDescent="0.25">
      <c r="B895" s="17"/>
      <c r="C895" s="14"/>
      <c r="D895" s="14"/>
      <c r="E895" s="18"/>
      <c r="F895" s="61"/>
      <c r="G895" s="73"/>
      <c r="H895" s="79"/>
      <c r="I895" s="79"/>
      <c r="J895" s="14"/>
      <c r="K895" s="38"/>
      <c r="L895" s="38"/>
      <c r="M895" s="17"/>
    </row>
    <row r="896" spans="2:13" ht="14.45" customHeight="1" x14ac:dyDescent="0.25">
      <c r="B896" s="17"/>
      <c r="C896" s="14"/>
      <c r="D896" s="14"/>
      <c r="E896" s="18"/>
      <c r="F896" s="61"/>
      <c r="G896" s="73"/>
      <c r="H896" s="79"/>
      <c r="I896" s="79"/>
      <c r="J896" s="14"/>
      <c r="K896" s="38"/>
      <c r="L896" s="38"/>
      <c r="M896" s="17"/>
    </row>
    <row r="897" spans="2:13" ht="14.45" customHeight="1" x14ac:dyDescent="0.25">
      <c r="B897" s="17"/>
      <c r="C897" s="14"/>
      <c r="D897" s="14"/>
      <c r="E897" s="18"/>
      <c r="F897" s="61"/>
      <c r="G897" s="73"/>
      <c r="H897" s="79"/>
      <c r="I897" s="79"/>
      <c r="J897" s="14"/>
      <c r="K897" s="38"/>
      <c r="L897" s="38"/>
      <c r="M897" s="17"/>
    </row>
    <row r="898" spans="2:13" ht="14.45" customHeight="1" x14ac:dyDescent="0.25">
      <c r="B898" s="17"/>
      <c r="C898" s="14"/>
      <c r="D898" s="14"/>
      <c r="E898" s="18"/>
      <c r="F898" s="61"/>
      <c r="G898" s="73"/>
      <c r="H898" s="79"/>
      <c r="I898" s="79"/>
      <c r="J898" s="14"/>
      <c r="K898" s="38"/>
      <c r="L898" s="38"/>
      <c r="M898" s="17"/>
    </row>
    <row r="899" spans="2:13" ht="14.45" customHeight="1" x14ac:dyDescent="0.25">
      <c r="B899" s="17"/>
      <c r="C899" s="14"/>
      <c r="D899" s="14"/>
      <c r="E899" s="18"/>
      <c r="F899" s="61"/>
      <c r="G899" s="73"/>
      <c r="H899" s="79"/>
      <c r="I899" s="79"/>
      <c r="J899" s="14"/>
      <c r="K899" s="38"/>
      <c r="L899" s="38"/>
      <c r="M899" s="17"/>
    </row>
    <row r="900" spans="2:13" ht="14.45" customHeight="1" x14ac:dyDescent="0.25">
      <c r="B900" s="17"/>
      <c r="C900" s="14"/>
      <c r="D900" s="14"/>
      <c r="E900" s="18"/>
      <c r="F900" s="61"/>
      <c r="G900" s="73"/>
      <c r="H900" s="79"/>
      <c r="I900" s="79"/>
      <c r="J900" s="14"/>
      <c r="K900" s="38"/>
      <c r="L900" s="38"/>
      <c r="M900" s="17"/>
    </row>
    <row r="901" spans="2:13" ht="14.45" customHeight="1" x14ac:dyDescent="0.25">
      <c r="B901" s="17"/>
      <c r="C901" s="14"/>
      <c r="D901" s="14"/>
      <c r="E901" s="18"/>
      <c r="F901" s="61"/>
      <c r="G901" s="73"/>
      <c r="H901" s="79"/>
      <c r="I901" s="79"/>
      <c r="J901" s="14"/>
      <c r="K901" s="38"/>
      <c r="L901" s="38"/>
      <c r="M901" s="17"/>
    </row>
    <row r="902" spans="2:13" ht="14.45" customHeight="1" x14ac:dyDescent="0.25">
      <c r="B902" s="17"/>
      <c r="C902" s="14"/>
      <c r="D902" s="14"/>
      <c r="E902" s="18"/>
      <c r="F902" s="61"/>
      <c r="G902" s="73"/>
      <c r="H902" s="79"/>
      <c r="I902" s="79"/>
      <c r="J902" s="14"/>
      <c r="K902" s="38"/>
      <c r="L902" s="38"/>
      <c r="M902" s="17"/>
    </row>
    <row r="903" spans="2:13" ht="14.45" customHeight="1" x14ac:dyDescent="0.25">
      <c r="B903" s="17"/>
      <c r="C903" s="14"/>
      <c r="D903" s="14"/>
      <c r="E903" s="18"/>
      <c r="F903" s="61"/>
      <c r="G903" s="73"/>
      <c r="H903" s="79"/>
      <c r="I903" s="79"/>
      <c r="J903" s="14"/>
      <c r="K903" s="38"/>
      <c r="L903" s="38"/>
      <c r="M903" s="17"/>
    </row>
    <row r="904" spans="2:13" ht="14.45" customHeight="1" x14ac:dyDescent="0.25">
      <c r="B904" s="17"/>
      <c r="C904" s="14"/>
      <c r="D904" s="14"/>
      <c r="E904" s="18"/>
      <c r="F904" s="61"/>
      <c r="G904" s="73"/>
      <c r="H904" s="79"/>
      <c r="I904" s="79"/>
      <c r="J904" s="14"/>
      <c r="K904" s="38"/>
      <c r="L904" s="38"/>
      <c r="M904" s="17"/>
    </row>
    <row r="905" spans="2:13" ht="14.45" customHeight="1" x14ac:dyDescent="0.25">
      <c r="B905" s="17"/>
      <c r="C905" s="14"/>
      <c r="D905" s="14"/>
      <c r="E905" s="18"/>
      <c r="F905" s="61"/>
      <c r="G905" s="73"/>
      <c r="H905" s="79"/>
      <c r="I905" s="79"/>
      <c r="J905" s="14"/>
      <c r="K905" s="38"/>
      <c r="L905" s="38"/>
      <c r="M905" s="17"/>
    </row>
    <row r="906" spans="2:13" ht="14.45" customHeight="1" x14ac:dyDescent="0.25">
      <c r="B906" s="17"/>
      <c r="C906" s="14"/>
      <c r="D906" s="14"/>
      <c r="E906" s="18"/>
      <c r="F906" s="61"/>
      <c r="G906" s="73"/>
      <c r="H906" s="79"/>
      <c r="I906" s="79"/>
      <c r="J906" s="14"/>
      <c r="K906" s="38"/>
      <c r="L906" s="38"/>
      <c r="M906" s="17"/>
    </row>
    <row r="907" spans="2:13" ht="14.45" customHeight="1" x14ac:dyDescent="0.25">
      <c r="B907" s="17"/>
      <c r="C907" s="14"/>
      <c r="D907" s="14"/>
      <c r="E907" s="18"/>
      <c r="F907" s="61"/>
      <c r="G907" s="73"/>
      <c r="H907" s="79"/>
      <c r="I907" s="79"/>
      <c r="J907" s="14"/>
      <c r="K907" s="38"/>
      <c r="L907" s="38"/>
      <c r="M907" s="17"/>
    </row>
    <row r="908" spans="2:13" ht="14.45" customHeight="1" x14ac:dyDescent="0.25">
      <c r="B908" s="17"/>
      <c r="C908" s="14"/>
      <c r="D908" s="14"/>
      <c r="E908" s="18"/>
      <c r="F908" s="61"/>
      <c r="G908" s="73"/>
      <c r="H908" s="79"/>
      <c r="I908" s="79"/>
      <c r="J908" s="14"/>
      <c r="K908" s="38"/>
      <c r="L908" s="38"/>
      <c r="M908" s="17"/>
    </row>
    <row r="909" spans="2:13" ht="14.45" customHeight="1" x14ac:dyDescent="0.25">
      <c r="B909" s="17"/>
      <c r="C909" s="14"/>
      <c r="D909" s="14"/>
      <c r="E909" s="18"/>
      <c r="F909" s="61"/>
      <c r="G909" s="73"/>
      <c r="H909" s="79"/>
      <c r="I909" s="79"/>
      <c r="J909" s="14"/>
      <c r="K909" s="38"/>
      <c r="L909" s="38"/>
      <c r="M909" s="17"/>
    </row>
    <row r="910" spans="2:13" ht="14.45" customHeight="1" x14ac:dyDescent="0.25">
      <c r="B910" s="17"/>
      <c r="C910" s="14"/>
      <c r="D910" s="14"/>
      <c r="E910" s="18"/>
      <c r="F910" s="61"/>
      <c r="G910" s="73"/>
      <c r="H910" s="79"/>
      <c r="I910" s="79"/>
      <c r="J910" s="14"/>
      <c r="K910" s="38"/>
      <c r="L910" s="38"/>
      <c r="M910" s="17"/>
    </row>
    <row r="911" spans="2:13" ht="14.45" customHeight="1" x14ac:dyDescent="0.25">
      <c r="B911" s="17"/>
      <c r="C911" s="14"/>
      <c r="D911" s="14"/>
      <c r="E911" s="18"/>
      <c r="F911" s="61"/>
      <c r="G911" s="73"/>
      <c r="H911" s="79"/>
      <c r="I911" s="79"/>
      <c r="J911" s="14"/>
      <c r="K911" s="38"/>
      <c r="L911" s="38"/>
      <c r="M911" s="17"/>
    </row>
    <row r="912" spans="2:13" ht="14.45" customHeight="1" x14ac:dyDescent="0.25">
      <c r="B912" s="17"/>
      <c r="C912" s="14"/>
      <c r="D912" s="14"/>
      <c r="E912" s="18"/>
      <c r="F912" s="61"/>
      <c r="G912" s="73"/>
      <c r="H912" s="79"/>
      <c r="I912" s="79"/>
      <c r="J912" s="14"/>
      <c r="K912" s="38"/>
      <c r="L912" s="38"/>
      <c r="M912" s="17"/>
    </row>
    <row r="913" spans="2:13" ht="14.45" customHeight="1" x14ac:dyDescent="0.25">
      <c r="B913" s="17"/>
      <c r="C913" s="14"/>
      <c r="D913" s="14"/>
      <c r="E913" s="18"/>
      <c r="F913" s="61"/>
      <c r="G913" s="73"/>
      <c r="H913" s="79"/>
      <c r="I913" s="79"/>
      <c r="J913" s="14"/>
      <c r="K913" s="38"/>
      <c r="L913" s="38"/>
      <c r="M913" s="17"/>
    </row>
    <row r="914" spans="2:13" ht="14.45" customHeight="1" x14ac:dyDescent="0.25">
      <c r="B914" s="17"/>
      <c r="C914" s="14"/>
      <c r="D914" s="14"/>
      <c r="E914" s="18"/>
      <c r="F914" s="61"/>
      <c r="G914" s="73"/>
      <c r="H914" s="79"/>
      <c r="I914" s="79"/>
      <c r="J914" s="14"/>
      <c r="K914" s="38"/>
      <c r="L914" s="38"/>
      <c r="M914" s="17"/>
    </row>
    <row r="915" spans="2:13" ht="14.45" customHeight="1" x14ac:dyDescent="0.25">
      <c r="B915" s="17"/>
      <c r="C915" s="14"/>
      <c r="D915" s="14"/>
      <c r="E915" s="18"/>
      <c r="F915" s="61"/>
      <c r="G915" s="73"/>
      <c r="H915" s="79"/>
      <c r="I915" s="79"/>
      <c r="J915" s="14"/>
      <c r="K915" s="38"/>
      <c r="L915" s="38"/>
      <c r="M915" s="17"/>
    </row>
    <row r="916" spans="2:13" ht="14.45" customHeight="1" x14ac:dyDescent="0.25">
      <c r="B916" s="17"/>
      <c r="C916" s="14"/>
      <c r="D916" s="14"/>
      <c r="E916" s="18"/>
      <c r="F916" s="61"/>
      <c r="G916" s="73"/>
      <c r="H916" s="79"/>
      <c r="I916" s="79"/>
      <c r="J916" s="14"/>
      <c r="K916" s="38"/>
      <c r="L916" s="38"/>
      <c r="M916" s="17"/>
    </row>
    <row r="917" spans="2:13" ht="14.45" customHeight="1" x14ac:dyDescent="0.25">
      <c r="B917" s="17"/>
      <c r="C917" s="14"/>
      <c r="D917" s="14"/>
      <c r="E917" s="18"/>
      <c r="F917" s="61"/>
      <c r="G917" s="73"/>
      <c r="H917" s="79"/>
      <c r="I917" s="79"/>
      <c r="J917" s="14"/>
      <c r="K917" s="38"/>
      <c r="L917" s="38"/>
      <c r="M917" s="17"/>
    </row>
    <row r="918" spans="2:13" ht="14.45" customHeight="1" x14ac:dyDescent="0.25">
      <c r="B918" s="17"/>
      <c r="C918" s="14"/>
      <c r="D918" s="14"/>
      <c r="E918" s="18"/>
      <c r="F918" s="61"/>
      <c r="G918" s="73"/>
      <c r="H918" s="79"/>
      <c r="I918" s="79"/>
      <c r="J918" s="14"/>
      <c r="K918" s="38"/>
      <c r="L918" s="38"/>
      <c r="M918" s="17"/>
    </row>
    <row r="919" spans="2:13" ht="14.45" customHeight="1" x14ac:dyDescent="0.25">
      <c r="B919" s="17"/>
      <c r="C919" s="14"/>
      <c r="D919" s="14"/>
      <c r="E919" s="18"/>
      <c r="F919" s="61"/>
      <c r="G919" s="73"/>
      <c r="H919" s="79"/>
      <c r="I919" s="79"/>
      <c r="J919" s="14"/>
      <c r="K919" s="38"/>
      <c r="L919" s="38"/>
      <c r="M919" s="17"/>
    </row>
    <row r="920" spans="2:13" ht="14.45" customHeight="1" x14ac:dyDescent="0.25">
      <c r="B920" s="17"/>
      <c r="C920" s="14"/>
      <c r="D920" s="14"/>
      <c r="E920" s="18"/>
      <c r="F920" s="61"/>
      <c r="G920" s="73"/>
      <c r="H920" s="79"/>
      <c r="I920" s="79"/>
      <c r="J920" s="14"/>
      <c r="K920" s="38"/>
      <c r="L920" s="38"/>
      <c r="M920" s="17"/>
    </row>
    <row r="921" spans="2:13" ht="14.45" customHeight="1" x14ac:dyDescent="0.25">
      <c r="B921" s="17"/>
      <c r="C921" s="14"/>
      <c r="D921" s="14"/>
      <c r="E921" s="18"/>
      <c r="F921" s="61"/>
      <c r="G921" s="73"/>
      <c r="H921" s="79"/>
      <c r="I921" s="79"/>
      <c r="J921" s="14"/>
      <c r="K921" s="38"/>
      <c r="L921" s="38"/>
      <c r="M921" s="17"/>
    </row>
    <row r="922" spans="2:13" ht="14.45" customHeight="1" x14ac:dyDescent="0.25">
      <c r="B922" s="17"/>
      <c r="C922" s="14"/>
      <c r="D922" s="14"/>
      <c r="E922" s="18"/>
      <c r="F922" s="61"/>
      <c r="G922" s="73"/>
      <c r="H922" s="79"/>
      <c r="I922" s="79"/>
      <c r="J922" s="14"/>
      <c r="K922" s="38"/>
      <c r="L922" s="38"/>
      <c r="M922" s="17"/>
    </row>
    <row r="923" spans="2:13" ht="14.45" customHeight="1" x14ac:dyDescent="0.25">
      <c r="B923" s="17"/>
      <c r="C923" s="14"/>
      <c r="D923" s="14"/>
      <c r="E923" s="18"/>
      <c r="F923" s="61"/>
      <c r="G923" s="73"/>
      <c r="H923" s="79"/>
      <c r="I923" s="79"/>
      <c r="J923" s="14"/>
      <c r="K923" s="38"/>
      <c r="L923" s="38"/>
      <c r="M923" s="17"/>
    </row>
    <row r="924" spans="2:13" ht="14.45" customHeight="1" x14ac:dyDescent="0.25">
      <c r="B924" s="17"/>
      <c r="C924" s="14"/>
      <c r="D924" s="14"/>
      <c r="E924" s="18"/>
      <c r="F924" s="61"/>
      <c r="G924" s="73"/>
      <c r="H924" s="79"/>
      <c r="I924" s="79"/>
      <c r="J924" s="14"/>
      <c r="K924" s="38"/>
      <c r="L924" s="38"/>
      <c r="M924" s="17"/>
    </row>
    <row r="925" spans="2:13" ht="14.45" customHeight="1" x14ac:dyDescent="0.25">
      <c r="B925" s="17"/>
      <c r="C925" s="14"/>
      <c r="D925" s="14"/>
      <c r="E925" s="18"/>
      <c r="F925" s="61"/>
      <c r="G925" s="73"/>
      <c r="H925" s="79"/>
      <c r="I925" s="79"/>
      <c r="J925" s="14"/>
      <c r="K925" s="38"/>
      <c r="L925" s="38"/>
      <c r="M925" s="17"/>
    </row>
    <row r="926" spans="2:13" ht="14.45" customHeight="1" x14ac:dyDescent="0.25">
      <c r="B926" s="17"/>
      <c r="C926" s="14"/>
      <c r="D926" s="14"/>
      <c r="E926" s="18"/>
      <c r="F926" s="61"/>
      <c r="G926" s="73"/>
      <c r="H926" s="79"/>
      <c r="I926" s="79"/>
      <c r="J926" s="14"/>
      <c r="K926" s="38"/>
      <c r="L926" s="38"/>
      <c r="M926" s="17"/>
    </row>
    <row r="927" spans="2:13" ht="14.45" customHeight="1" x14ac:dyDescent="0.25">
      <c r="B927" s="17"/>
      <c r="C927" s="14"/>
      <c r="D927" s="14"/>
      <c r="E927" s="18"/>
      <c r="F927" s="61"/>
      <c r="G927" s="73"/>
      <c r="H927" s="79"/>
      <c r="I927" s="79"/>
      <c r="J927" s="14"/>
      <c r="K927" s="38"/>
      <c r="L927" s="38"/>
      <c r="M927" s="17"/>
    </row>
    <row r="928" spans="2:13" ht="14.45" customHeight="1" x14ac:dyDescent="0.25">
      <c r="B928" s="17"/>
      <c r="C928" s="14"/>
      <c r="D928" s="14"/>
      <c r="E928" s="18"/>
      <c r="F928" s="61"/>
      <c r="G928" s="73"/>
      <c r="H928" s="79"/>
      <c r="I928" s="79"/>
      <c r="J928" s="14"/>
      <c r="K928" s="38"/>
      <c r="L928" s="38"/>
      <c r="M928" s="17"/>
    </row>
    <row r="929" spans="2:13" ht="14.45" customHeight="1" x14ac:dyDescent="0.25">
      <c r="B929" s="17"/>
      <c r="C929" s="14"/>
      <c r="D929" s="14"/>
      <c r="E929" s="18"/>
      <c r="F929" s="61"/>
      <c r="G929" s="73"/>
      <c r="H929" s="79"/>
      <c r="I929" s="79"/>
      <c r="J929" s="14"/>
      <c r="K929" s="38"/>
      <c r="L929" s="38"/>
      <c r="M929" s="17"/>
    </row>
    <row r="930" spans="2:13" ht="14.45" customHeight="1" x14ac:dyDescent="0.25">
      <c r="B930" s="17"/>
      <c r="C930" s="14"/>
      <c r="D930" s="14"/>
      <c r="E930" s="18"/>
      <c r="F930" s="61"/>
      <c r="G930" s="73"/>
      <c r="H930" s="79"/>
      <c r="I930" s="79"/>
      <c r="J930" s="14"/>
      <c r="K930" s="38"/>
      <c r="L930" s="38"/>
      <c r="M930" s="17"/>
    </row>
    <row r="931" spans="2:13" ht="14.45" customHeight="1" x14ac:dyDescent="0.25">
      <c r="B931" s="17"/>
      <c r="C931" s="14"/>
      <c r="D931" s="14"/>
      <c r="E931" s="18"/>
      <c r="F931" s="61"/>
      <c r="G931" s="73"/>
      <c r="H931" s="79"/>
      <c r="I931" s="79"/>
      <c r="J931" s="14"/>
      <c r="K931" s="38"/>
      <c r="L931" s="38"/>
      <c r="M931" s="17"/>
    </row>
    <row r="932" spans="2:13" ht="14.45" customHeight="1" x14ac:dyDescent="0.25">
      <c r="B932" s="17"/>
      <c r="C932" s="14"/>
      <c r="D932" s="14"/>
      <c r="E932" s="18"/>
      <c r="F932" s="61"/>
      <c r="G932" s="73"/>
      <c r="H932" s="79"/>
      <c r="I932" s="79"/>
      <c r="J932" s="14"/>
      <c r="K932" s="38"/>
      <c r="L932" s="38"/>
      <c r="M932" s="17"/>
    </row>
    <row r="933" spans="2:13" ht="14.45" customHeight="1" x14ac:dyDescent="0.25">
      <c r="B933" s="17"/>
      <c r="C933" s="14"/>
      <c r="D933" s="14"/>
      <c r="E933" s="18"/>
      <c r="F933" s="61"/>
      <c r="G933" s="73"/>
      <c r="H933" s="79"/>
      <c r="I933" s="79"/>
      <c r="J933" s="14"/>
      <c r="K933" s="38"/>
      <c r="L933" s="38"/>
      <c r="M933" s="17"/>
    </row>
    <row r="934" spans="2:13" ht="14.45" customHeight="1" x14ac:dyDescent="0.25">
      <c r="B934" s="17"/>
      <c r="C934" s="14"/>
      <c r="D934" s="14"/>
      <c r="E934" s="18"/>
      <c r="F934" s="61"/>
      <c r="G934" s="73"/>
      <c r="H934" s="79"/>
      <c r="I934" s="79"/>
      <c r="J934" s="14"/>
      <c r="K934" s="38"/>
      <c r="L934" s="38"/>
      <c r="M934" s="17"/>
    </row>
    <row r="935" spans="2:13" ht="14.45" customHeight="1" x14ac:dyDescent="0.25">
      <c r="B935" s="17"/>
      <c r="C935" s="14"/>
      <c r="D935" s="14"/>
      <c r="E935" s="18"/>
      <c r="F935" s="61"/>
      <c r="G935" s="73"/>
      <c r="H935" s="79"/>
      <c r="I935" s="79"/>
      <c r="J935" s="14"/>
      <c r="K935" s="38"/>
      <c r="L935" s="38"/>
      <c r="M935" s="17"/>
    </row>
    <row r="936" spans="2:13" ht="14.45" customHeight="1" x14ac:dyDescent="0.25">
      <c r="B936" s="17"/>
      <c r="C936" s="14"/>
      <c r="D936" s="14"/>
      <c r="E936" s="18"/>
      <c r="F936" s="61"/>
      <c r="G936" s="73"/>
      <c r="H936" s="79"/>
      <c r="I936" s="79"/>
      <c r="J936" s="14"/>
      <c r="K936" s="38"/>
      <c r="L936" s="38"/>
      <c r="M936" s="17"/>
    </row>
    <row r="937" spans="2:13" ht="14.45" customHeight="1" x14ac:dyDescent="0.25">
      <c r="B937" s="17"/>
      <c r="C937" s="14"/>
      <c r="D937" s="14"/>
      <c r="E937" s="18"/>
      <c r="F937" s="61"/>
      <c r="G937" s="73"/>
      <c r="H937" s="79"/>
      <c r="I937" s="79"/>
      <c r="J937" s="14"/>
      <c r="K937" s="38"/>
      <c r="L937" s="38"/>
      <c r="M937" s="17"/>
    </row>
    <row r="938" spans="2:13" ht="14.45" customHeight="1" x14ac:dyDescent="0.25">
      <c r="B938" s="17"/>
      <c r="C938" s="14"/>
      <c r="D938" s="14"/>
      <c r="E938" s="18"/>
      <c r="F938" s="61"/>
      <c r="G938" s="73"/>
      <c r="H938" s="79"/>
      <c r="I938" s="79"/>
      <c r="J938" s="14"/>
      <c r="K938" s="38"/>
      <c r="L938" s="38"/>
      <c r="M938" s="17"/>
    </row>
    <row r="939" spans="2:13" ht="14.45" customHeight="1" x14ac:dyDescent="0.25">
      <c r="B939" s="17"/>
      <c r="C939" s="14"/>
      <c r="D939" s="14"/>
      <c r="E939" s="18"/>
      <c r="F939" s="61"/>
      <c r="G939" s="73"/>
      <c r="H939" s="79"/>
      <c r="I939" s="79"/>
      <c r="J939" s="14"/>
      <c r="K939" s="38"/>
      <c r="L939" s="38"/>
      <c r="M939" s="17"/>
    </row>
    <row r="940" spans="2:13" ht="14.45" customHeight="1" x14ac:dyDescent="0.25">
      <c r="B940" s="17"/>
      <c r="C940" s="14"/>
      <c r="D940" s="14"/>
      <c r="E940" s="18"/>
      <c r="F940" s="61"/>
      <c r="G940" s="73"/>
      <c r="H940" s="79"/>
      <c r="I940" s="79"/>
      <c r="J940" s="14"/>
      <c r="K940" s="38"/>
      <c r="L940" s="38"/>
      <c r="M940" s="17"/>
    </row>
    <row r="941" spans="2:13" ht="14.45" customHeight="1" x14ac:dyDescent="0.25">
      <c r="B941" s="17"/>
      <c r="C941" s="14"/>
      <c r="D941" s="14"/>
      <c r="E941" s="18"/>
      <c r="F941" s="61"/>
      <c r="G941" s="73"/>
      <c r="H941" s="79"/>
      <c r="I941" s="79"/>
      <c r="J941" s="14"/>
      <c r="K941" s="38"/>
      <c r="L941" s="38"/>
      <c r="M941" s="17"/>
    </row>
    <row r="942" spans="2:13" ht="14.45" customHeight="1" x14ac:dyDescent="0.25">
      <c r="B942" s="17"/>
      <c r="C942" s="14"/>
      <c r="D942" s="14"/>
      <c r="E942" s="18"/>
      <c r="F942" s="61"/>
      <c r="G942" s="73"/>
      <c r="H942" s="79"/>
      <c r="I942" s="79"/>
      <c r="J942" s="14"/>
      <c r="K942" s="38"/>
      <c r="L942" s="38"/>
      <c r="M942" s="17"/>
    </row>
    <row r="943" spans="2:13" ht="14.45" customHeight="1" x14ac:dyDescent="0.25">
      <c r="B943" s="17"/>
      <c r="C943" s="14"/>
      <c r="D943" s="14"/>
      <c r="E943" s="18"/>
      <c r="F943" s="61"/>
      <c r="G943" s="73"/>
      <c r="H943" s="79"/>
      <c r="I943" s="79"/>
      <c r="J943" s="14"/>
      <c r="K943" s="38"/>
      <c r="L943" s="38"/>
      <c r="M943" s="17"/>
    </row>
    <row r="944" spans="2:13" ht="14.45" customHeight="1" x14ac:dyDescent="0.25">
      <c r="B944" s="17"/>
      <c r="C944" s="14"/>
      <c r="D944" s="14"/>
      <c r="E944" s="18"/>
      <c r="F944" s="61"/>
      <c r="G944" s="73"/>
      <c r="H944" s="79"/>
      <c r="I944" s="79"/>
      <c r="J944" s="14"/>
      <c r="K944" s="38"/>
      <c r="L944" s="38"/>
      <c r="M944" s="17"/>
    </row>
    <row r="945" spans="2:13" ht="14.45" customHeight="1" x14ac:dyDescent="0.25">
      <c r="B945" s="17"/>
      <c r="C945" s="14"/>
      <c r="D945" s="14"/>
      <c r="E945" s="18"/>
      <c r="F945" s="61"/>
      <c r="G945" s="73"/>
      <c r="H945" s="79"/>
      <c r="I945" s="79"/>
      <c r="J945" s="14"/>
      <c r="K945" s="38"/>
      <c r="L945" s="38"/>
      <c r="M945" s="17"/>
    </row>
    <row r="946" spans="2:13" ht="14.45" customHeight="1" x14ac:dyDescent="0.25">
      <c r="B946" s="17"/>
      <c r="C946" s="14"/>
      <c r="D946" s="14"/>
      <c r="E946" s="18"/>
      <c r="F946" s="61"/>
      <c r="G946" s="73"/>
      <c r="H946" s="79"/>
      <c r="I946" s="79"/>
      <c r="J946" s="14"/>
      <c r="K946" s="38"/>
      <c r="L946" s="38"/>
      <c r="M946" s="17"/>
    </row>
    <row r="947" spans="2:13" ht="14.45" customHeight="1" x14ac:dyDescent="0.25">
      <c r="B947" s="17"/>
      <c r="C947" s="14"/>
      <c r="D947" s="14"/>
      <c r="E947" s="18"/>
      <c r="F947" s="61"/>
      <c r="G947" s="73"/>
      <c r="H947" s="79"/>
      <c r="I947" s="79"/>
      <c r="J947" s="14"/>
      <c r="K947" s="38"/>
      <c r="L947" s="38"/>
      <c r="M947" s="17"/>
    </row>
    <row r="948" spans="2:13" ht="14.45" customHeight="1" x14ac:dyDescent="0.25">
      <c r="B948" s="17"/>
      <c r="C948" s="14"/>
      <c r="D948" s="14"/>
      <c r="E948" s="18"/>
      <c r="F948" s="61"/>
      <c r="G948" s="73"/>
      <c r="H948" s="79"/>
      <c r="I948" s="79"/>
      <c r="J948" s="14"/>
      <c r="K948" s="38"/>
      <c r="L948" s="38"/>
      <c r="M948" s="17"/>
    </row>
    <row r="949" spans="2:13" ht="14.45" customHeight="1" x14ac:dyDescent="0.25">
      <c r="B949" s="17"/>
      <c r="C949" s="14"/>
      <c r="D949" s="14"/>
      <c r="E949" s="18"/>
      <c r="F949" s="61"/>
      <c r="G949" s="73"/>
      <c r="H949" s="79"/>
      <c r="I949" s="79"/>
      <c r="J949" s="14"/>
      <c r="K949" s="38"/>
      <c r="L949" s="38"/>
      <c r="M949" s="17"/>
    </row>
    <row r="950" spans="2:13" ht="14.45" customHeight="1" x14ac:dyDescent="0.25">
      <c r="B950" s="17"/>
      <c r="C950" s="14"/>
      <c r="D950" s="14"/>
      <c r="E950" s="18"/>
      <c r="F950" s="61"/>
      <c r="G950" s="73"/>
      <c r="H950" s="79"/>
      <c r="I950" s="79"/>
      <c r="J950" s="14"/>
      <c r="K950" s="38"/>
      <c r="L950" s="38"/>
      <c r="M950" s="17"/>
    </row>
    <row r="951" spans="2:13" ht="14.45" customHeight="1" x14ac:dyDescent="0.25">
      <c r="B951" s="17"/>
      <c r="C951" s="14"/>
      <c r="D951" s="14"/>
      <c r="E951" s="18"/>
      <c r="F951" s="61"/>
      <c r="G951" s="73"/>
      <c r="H951" s="79"/>
      <c r="I951" s="79"/>
      <c r="J951" s="14"/>
      <c r="K951" s="38"/>
      <c r="L951" s="38"/>
      <c r="M951" s="17"/>
    </row>
    <row r="952" spans="2:13" ht="14.45" customHeight="1" x14ac:dyDescent="0.25">
      <c r="B952" s="17"/>
      <c r="C952" s="14"/>
      <c r="D952" s="14"/>
      <c r="E952" s="18"/>
      <c r="F952" s="61"/>
      <c r="G952" s="73"/>
      <c r="H952" s="79"/>
      <c r="I952" s="79"/>
      <c r="J952" s="14"/>
      <c r="K952" s="38"/>
      <c r="L952" s="38"/>
      <c r="M952" s="17"/>
    </row>
    <row r="953" spans="2:13" ht="14.45" customHeight="1" x14ac:dyDescent="0.25">
      <c r="B953" s="17"/>
      <c r="C953" s="14"/>
      <c r="D953" s="14"/>
      <c r="E953" s="18"/>
      <c r="F953" s="61"/>
      <c r="G953" s="73"/>
      <c r="H953" s="79"/>
      <c r="I953" s="79"/>
      <c r="J953" s="14"/>
      <c r="K953" s="38"/>
      <c r="L953" s="38"/>
      <c r="M953" s="17"/>
    </row>
    <row r="954" spans="2:13" ht="14.45" customHeight="1" x14ac:dyDescent="0.25">
      <c r="B954" s="17"/>
      <c r="C954" s="14"/>
      <c r="D954" s="14"/>
      <c r="E954" s="18"/>
      <c r="F954" s="61"/>
      <c r="G954" s="73"/>
      <c r="H954" s="79"/>
      <c r="I954" s="79"/>
      <c r="J954" s="14"/>
      <c r="K954" s="38"/>
      <c r="L954" s="38"/>
      <c r="M954" s="17"/>
    </row>
    <row r="955" spans="2:13" ht="14.45" customHeight="1" x14ac:dyDescent="0.25">
      <c r="B955" s="17"/>
      <c r="C955" s="14"/>
      <c r="D955" s="14"/>
      <c r="E955" s="18"/>
      <c r="F955" s="61"/>
      <c r="G955" s="73"/>
      <c r="H955" s="79"/>
      <c r="I955" s="79"/>
      <c r="J955" s="14"/>
      <c r="K955" s="38"/>
      <c r="L955" s="38"/>
      <c r="M955" s="17"/>
    </row>
    <row r="956" spans="2:13" ht="14.45" customHeight="1" x14ac:dyDescent="0.25">
      <c r="B956" s="17"/>
      <c r="C956" s="14"/>
      <c r="D956" s="14"/>
      <c r="E956" s="18"/>
      <c r="F956" s="61"/>
      <c r="G956" s="73"/>
      <c r="H956" s="79"/>
      <c r="I956" s="79"/>
      <c r="J956" s="14"/>
      <c r="K956" s="38"/>
      <c r="L956" s="38"/>
      <c r="M956" s="17"/>
    </row>
    <row r="957" spans="2:13" ht="14.45" customHeight="1" x14ac:dyDescent="0.25">
      <c r="B957" s="17"/>
      <c r="C957" s="14"/>
      <c r="D957" s="14"/>
      <c r="E957" s="18"/>
      <c r="F957" s="61"/>
      <c r="G957" s="73"/>
      <c r="H957" s="79"/>
      <c r="I957" s="79"/>
      <c r="J957" s="14"/>
      <c r="K957" s="38"/>
      <c r="L957" s="38"/>
      <c r="M957" s="17"/>
    </row>
    <row r="958" spans="2:13" ht="14.45" customHeight="1" x14ac:dyDescent="0.25">
      <c r="B958" s="17"/>
      <c r="C958" s="14"/>
      <c r="D958" s="14"/>
      <c r="E958" s="18"/>
      <c r="F958" s="61"/>
      <c r="G958" s="73"/>
      <c r="H958" s="79"/>
      <c r="I958" s="79"/>
      <c r="J958" s="14"/>
      <c r="K958" s="38"/>
      <c r="L958" s="38"/>
      <c r="M958" s="17"/>
    </row>
    <row r="959" spans="2:13" ht="14.45" customHeight="1" x14ac:dyDescent="0.25">
      <c r="B959" s="17"/>
      <c r="C959" s="14"/>
      <c r="D959" s="14"/>
      <c r="E959" s="18"/>
      <c r="F959" s="61"/>
      <c r="G959" s="73"/>
      <c r="H959" s="79"/>
      <c r="I959" s="79"/>
      <c r="J959" s="14"/>
      <c r="K959" s="38"/>
      <c r="L959" s="38"/>
      <c r="M959" s="17"/>
    </row>
    <row r="960" spans="2:13" ht="14.45" customHeight="1" x14ac:dyDescent="0.25">
      <c r="B960" s="17"/>
      <c r="C960" s="14"/>
      <c r="D960" s="14"/>
      <c r="E960" s="18"/>
      <c r="F960" s="61"/>
      <c r="G960" s="73"/>
      <c r="H960" s="79"/>
      <c r="I960" s="79"/>
      <c r="J960" s="14"/>
      <c r="K960" s="38"/>
      <c r="L960" s="38"/>
      <c r="M960" s="17"/>
    </row>
    <row r="961" spans="2:13" ht="14.45" customHeight="1" x14ac:dyDescent="0.25">
      <c r="B961" s="17"/>
      <c r="C961" s="14"/>
      <c r="D961" s="14"/>
      <c r="E961" s="18"/>
      <c r="F961" s="61"/>
      <c r="G961" s="73"/>
      <c r="H961" s="79"/>
      <c r="I961" s="79"/>
      <c r="J961" s="14"/>
      <c r="K961" s="38"/>
      <c r="L961" s="38"/>
      <c r="M961" s="17"/>
    </row>
    <row r="962" spans="2:13" ht="14.45" customHeight="1" x14ac:dyDescent="0.25">
      <c r="B962" s="17"/>
      <c r="C962" s="14"/>
      <c r="D962" s="14"/>
      <c r="E962" s="18"/>
      <c r="F962" s="61"/>
      <c r="G962" s="73"/>
      <c r="H962" s="79"/>
      <c r="I962" s="79"/>
      <c r="J962" s="14"/>
      <c r="K962" s="38"/>
      <c r="L962" s="38"/>
      <c r="M962" s="17"/>
    </row>
    <row r="963" spans="2:13" ht="14.45" customHeight="1" x14ac:dyDescent="0.25">
      <c r="B963" s="17"/>
      <c r="C963" s="14"/>
      <c r="D963" s="14"/>
      <c r="E963" s="18"/>
      <c r="F963" s="61"/>
      <c r="G963" s="73"/>
      <c r="H963" s="79"/>
      <c r="I963" s="79"/>
      <c r="J963" s="14"/>
      <c r="K963" s="38"/>
      <c r="L963" s="38"/>
      <c r="M963" s="17"/>
    </row>
    <row r="964" spans="2:13" ht="14.45" customHeight="1" x14ac:dyDescent="0.25">
      <c r="B964" s="17"/>
      <c r="C964" s="14"/>
      <c r="D964" s="14"/>
      <c r="E964" s="18"/>
      <c r="F964" s="61"/>
      <c r="G964" s="73"/>
      <c r="H964" s="79"/>
      <c r="I964" s="79"/>
      <c r="J964" s="14"/>
      <c r="K964" s="38"/>
      <c r="L964" s="38"/>
      <c r="M964" s="17"/>
    </row>
    <row r="965" spans="2:13" ht="14.45" customHeight="1" x14ac:dyDescent="0.25">
      <c r="B965" s="17"/>
      <c r="C965" s="14"/>
      <c r="D965" s="14"/>
      <c r="E965" s="18"/>
      <c r="F965" s="61"/>
      <c r="G965" s="73"/>
      <c r="H965" s="79"/>
      <c r="I965" s="79"/>
      <c r="J965" s="14"/>
      <c r="K965" s="38"/>
      <c r="L965" s="38"/>
      <c r="M965" s="17"/>
    </row>
    <row r="966" spans="2:13" ht="14.45" customHeight="1" x14ac:dyDescent="0.25">
      <c r="B966" s="17"/>
      <c r="C966" s="14"/>
      <c r="D966" s="14"/>
      <c r="E966" s="18"/>
      <c r="F966" s="61"/>
      <c r="G966" s="73"/>
      <c r="H966" s="79"/>
      <c r="I966" s="79"/>
      <c r="J966" s="14"/>
      <c r="K966" s="38"/>
      <c r="L966" s="38"/>
      <c r="M966" s="17"/>
    </row>
    <row r="967" spans="2:13" ht="14.45" customHeight="1" x14ac:dyDescent="0.25">
      <c r="B967" s="17"/>
      <c r="C967" s="14"/>
      <c r="D967" s="14"/>
      <c r="E967" s="18"/>
      <c r="F967" s="61"/>
      <c r="G967" s="73"/>
      <c r="H967" s="79"/>
      <c r="I967" s="79"/>
      <c r="J967" s="14"/>
      <c r="K967" s="38"/>
      <c r="L967" s="38"/>
      <c r="M967" s="17"/>
    </row>
    <row r="968" spans="2:13" ht="14.45" customHeight="1" x14ac:dyDescent="0.25">
      <c r="B968" s="17"/>
      <c r="C968" s="14"/>
      <c r="D968" s="14"/>
      <c r="E968" s="18"/>
      <c r="F968" s="61"/>
      <c r="G968" s="73"/>
      <c r="H968" s="79"/>
      <c r="I968" s="79"/>
      <c r="J968" s="14"/>
      <c r="K968" s="38"/>
      <c r="L968" s="38"/>
      <c r="M968" s="17"/>
    </row>
    <row r="969" spans="2:13" ht="14.45" customHeight="1" x14ac:dyDescent="0.25">
      <c r="B969" s="17"/>
      <c r="C969" s="14"/>
      <c r="D969" s="14"/>
      <c r="E969" s="18"/>
      <c r="F969" s="61"/>
      <c r="G969" s="73"/>
      <c r="H969" s="79"/>
      <c r="I969" s="79"/>
      <c r="J969" s="14"/>
      <c r="K969" s="38"/>
      <c r="L969" s="38"/>
      <c r="M969" s="17"/>
    </row>
    <row r="970" spans="2:13" ht="14.45" customHeight="1" x14ac:dyDescent="0.25">
      <c r="B970" s="17"/>
      <c r="C970" s="14"/>
      <c r="D970" s="14"/>
      <c r="E970" s="18"/>
      <c r="F970" s="61"/>
      <c r="G970" s="73"/>
      <c r="H970" s="79"/>
      <c r="I970" s="79"/>
      <c r="J970" s="14"/>
      <c r="K970" s="38"/>
      <c r="L970" s="38"/>
      <c r="M970" s="17"/>
    </row>
    <row r="971" spans="2:13" ht="14.45" customHeight="1" x14ac:dyDescent="0.25">
      <c r="B971" s="17"/>
      <c r="C971" s="14"/>
      <c r="D971" s="14"/>
      <c r="E971" s="18"/>
      <c r="F971" s="61"/>
      <c r="G971" s="73"/>
      <c r="H971" s="79"/>
      <c r="I971" s="79"/>
      <c r="J971" s="14"/>
      <c r="K971" s="38"/>
      <c r="L971" s="38"/>
      <c r="M971" s="17"/>
    </row>
    <row r="972" spans="2:13" ht="14.45" customHeight="1" x14ac:dyDescent="0.25">
      <c r="B972" s="17"/>
      <c r="C972" s="14"/>
      <c r="D972" s="14"/>
      <c r="E972" s="18"/>
      <c r="F972" s="61"/>
      <c r="G972" s="73"/>
      <c r="H972" s="79"/>
      <c r="I972" s="79"/>
      <c r="J972" s="14"/>
      <c r="K972" s="38"/>
      <c r="L972" s="38"/>
      <c r="M972" s="17"/>
    </row>
    <row r="973" spans="2:13" ht="14.45" customHeight="1" x14ac:dyDescent="0.25">
      <c r="B973" s="17"/>
      <c r="C973" s="14"/>
      <c r="D973" s="14"/>
      <c r="E973" s="18"/>
      <c r="F973" s="61"/>
      <c r="G973" s="73"/>
      <c r="H973" s="79"/>
      <c r="I973" s="79"/>
      <c r="J973" s="14"/>
      <c r="K973" s="38"/>
      <c r="L973" s="38"/>
      <c r="M973" s="17"/>
    </row>
    <row r="974" spans="2:13" ht="14.45" customHeight="1" x14ac:dyDescent="0.25">
      <c r="B974" s="17"/>
      <c r="C974" s="14"/>
      <c r="D974" s="14"/>
      <c r="E974" s="18"/>
      <c r="F974" s="61"/>
      <c r="G974" s="73"/>
      <c r="H974" s="79"/>
      <c r="I974" s="79"/>
      <c r="J974" s="14"/>
      <c r="K974" s="38"/>
      <c r="L974" s="38"/>
      <c r="M974" s="17"/>
    </row>
    <row r="975" spans="2:13" ht="14.45" customHeight="1" x14ac:dyDescent="0.25">
      <c r="B975" s="17"/>
      <c r="C975" s="14"/>
      <c r="D975" s="14"/>
      <c r="E975" s="18"/>
      <c r="F975" s="61"/>
      <c r="G975" s="73"/>
      <c r="H975" s="79"/>
      <c r="I975" s="79"/>
      <c r="J975" s="14"/>
      <c r="K975" s="38"/>
      <c r="L975" s="38"/>
      <c r="M975" s="17"/>
    </row>
    <row r="976" spans="2:13" ht="14.45" customHeight="1" x14ac:dyDescent="0.25">
      <c r="B976" s="17"/>
      <c r="C976" s="14"/>
      <c r="D976" s="14"/>
      <c r="E976" s="18"/>
      <c r="F976" s="61"/>
      <c r="G976" s="73"/>
      <c r="H976" s="79"/>
      <c r="I976" s="79"/>
      <c r="J976" s="14"/>
      <c r="K976" s="38"/>
      <c r="L976" s="38"/>
      <c r="M976" s="17"/>
    </row>
    <row r="977" spans="2:13" ht="14.45" customHeight="1" x14ac:dyDescent="0.25">
      <c r="B977" s="17"/>
      <c r="C977" s="14"/>
      <c r="D977" s="14"/>
      <c r="E977" s="18"/>
      <c r="F977" s="61"/>
      <c r="G977" s="73"/>
      <c r="H977" s="79"/>
      <c r="I977" s="79"/>
      <c r="J977" s="14"/>
      <c r="K977" s="38"/>
      <c r="L977" s="38"/>
      <c r="M977" s="17"/>
    </row>
    <row r="978" spans="2:13" ht="14.45" customHeight="1" x14ac:dyDescent="0.25">
      <c r="B978" s="17"/>
      <c r="C978" s="14"/>
      <c r="D978" s="14"/>
      <c r="E978" s="18"/>
      <c r="F978" s="61"/>
      <c r="G978" s="73"/>
      <c r="H978" s="79"/>
      <c r="I978" s="79"/>
      <c r="J978" s="14"/>
      <c r="K978" s="38"/>
      <c r="L978" s="38"/>
      <c r="M978" s="17"/>
    </row>
    <row r="979" spans="2:13" ht="14.45" customHeight="1" x14ac:dyDescent="0.25">
      <c r="B979" s="17"/>
      <c r="C979" s="14"/>
      <c r="D979" s="14"/>
      <c r="E979" s="18"/>
      <c r="F979" s="61"/>
      <c r="G979" s="73"/>
      <c r="H979" s="79"/>
      <c r="I979" s="79"/>
      <c r="J979" s="14"/>
      <c r="K979" s="38"/>
      <c r="L979" s="38"/>
      <c r="M979" s="17"/>
    </row>
    <row r="980" spans="2:13" ht="14.45" customHeight="1" x14ac:dyDescent="0.25">
      <c r="B980" s="17"/>
      <c r="C980" s="14"/>
      <c r="D980" s="14"/>
      <c r="E980" s="18"/>
      <c r="F980" s="61"/>
      <c r="G980" s="73"/>
      <c r="H980" s="79"/>
      <c r="I980" s="79"/>
      <c r="J980" s="14"/>
      <c r="K980" s="38"/>
      <c r="L980" s="38"/>
      <c r="M980" s="17"/>
    </row>
    <row r="981" spans="2:13" ht="14.45" customHeight="1" x14ac:dyDescent="0.25">
      <c r="B981" s="17"/>
      <c r="C981" s="14"/>
      <c r="D981" s="14"/>
      <c r="E981" s="18"/>
      <c r="F981" s="61"/>
      <c r="G981" s="73"/>
      <c r="H981" s="79"/>
      <c r="I981" s="79"/>
      <c r="J981" s="14"/>
      <c r="K981" s="38"/>
      <c r="L981" s="38"/>
      <c r="M981" s="17"/>
    </row>
    <row r="982" spans="2:13" ht="14.45" customHeight="1" x14ac:dyDescent="0.25">
      <c r="B982" s="17"/>
      <c r="C982" s="14"/>
      <c r="D982" s="14"/>
      <c r="E982" s="18"/>
      <c r="F982" s="61"/>
      <c r="G982" s="73"/>
      <c r="H982" s="79"/>
      <c r="I982" s="79"/>
      <c r="J982" s="14"/>
      <c r="K982" s="38"/>
      <c r="L982" s="38"/>
      <c r="M982" s="17"/>
    </row>
    <row r="983" spans="2:13" ht="14.45" customHeight="1" x14ac:dyDescent="0.25">
      <c r="B983" s="17"/>
      <c r="C983" s="14"/>
      <c r="D983" s="14"/>
      <c r="E983" s="18"/>
      <c r="F983" s="61"/>
      <c r="G983" s="73"/>
      <c r="H983" s="79"/>
      <c r="I983" s="79"/>
      <c r="J983" s="14"/>
      <c r="K983" s="38"/>
      <c r="L983" s="38"/>
      <c r="M983" s="17"/>
    </row>
    <row r="984" spans="2:13" ht="14.45" customHeight="1" x14ac:dyDescent="0.25">
      <c r="B984" s="17"/>
      <c r="C984" s="14"/>
      <c r="D984" s="14"/>
      <c r="E984" s="18"/>
      <c r="F984" s="61"/>
      <c r="G984" s="73"/>
      <c r="H984" s="79"/>
      <c r="I984" s="79"/>
      <c r="J984" s="14"/>
      <c r="K984" s="38"/>
      <c r="L984" s="38"/>
      <c r="M984" s="17"/>
    </row>
    <row r="985" spans="2:13" ht="14.45" customHeight="1" x14ac:dyDescent="0.25">
      <c r="B985" s="17"/>
      <c r="C985" s="14"/>
      <c r="D985" s="14"/>
      <c r="E985" s="18"/>
      <c r="F985" s="61"/>
      <c r="G985" s="73"/>
      <c r="H985" s="79"/>
      <c r="I985" s="79"/>
      <c r="J985" s="14"/>
      <c r="K985" s="38"/>
      <c r="L985" s="38"/>
      <c r="M985" s="17"/>
    </row>
    <row r="986" spans="2:13" ht="14.45" customHeight="1" x14ac:dyDescent="0.25">
      <c r="B986" s="17"/>
      <c r="C986" s="14"/>
      <c r="D986" s="14"/>
      <c r="E986" s="18"/>
      <c r="F986" s="61"/>
      <c r="G986" s="73"/>
      <c r="H986" s="79"/>
      <c r="I986" s="79"/>
      <c r="J986" s="14"/>
      <c r="K986" s="38"/>
      <c r="L986" s="38"/>
      <c r="M986" s="17"/>
    </row>
    <row r="987" spans="2:13" ht="14.45" customHeight="1" x14ac:dyDescent="0.25">
      <c r="B987" s="17"/>
      <c r="C987" s="14"/>
      <c r="D987" s="14"/>
      <c r="E987" s="18"/>
      <c r="F987" s="61"/>
      <c r="G987" s="73"/>
      <c r="H987" s="79"/>
      <c r="I987" s="79"/>
      <c r="J987" s="14"/>
      <c r="K987" s="38"/>
      <c r="L987" s="38"/>
      <c r="M987" s="17"/>
    </row>
    <row r="988" spans="2:13" ht="14.45" customHeight="1" x14ac:dyDescent="0.25">
      <c r="B988" s="17"/>
      <c r="C988" s="14"/>
      <c r="D988" s="14"/>
      <c r="E988" s="18"/>
      <c r="F988" s="61"/>
      <c r="G988" s="73"/>
      <c r="H988" s="79"/>
      <c r="I988" s="79"/>
      <c r="J988" s="14"/>
      <c r="K988" s="38"/>
      <c r="L988" s="38"/>
      <c r="M988" s="17"/>
    </row>
    <row r="989" spans="2:13" ht="14.45" customHeight="1" x14ac:dyDescent="0.25">
      <c r="B989" s="17"/>
      <c r="C989" s="14"/>
      <c r="D989" s="14"/>
      <c r="E989" s="18"/>
      <c r="F989" s="61"/>
      <c r="G989" s="73"/>
      <c r="H989" s="79"/>
      <c r="I989" s="79"/>
      <c r="J989" s="14"/>
      <c r="K989" s="38"/>
      <c r="L989" s="38"/>
      <c r="M989" s="17"/>
    </row>
    <row r="990" spans="2:13" ht="14.45" customHeight="1" x14ac:dyDescent="0.25">
      <c r="B990" s="17"/>
      <c r="C990" s="14"/>
      <c r="D990" s="14"/>
      <c r="E990" s="18"/>
      <c r="F990" s="61"/>
      <c r="G990" s="73"/>
      <c r="H990" s="79"/>
      <c r="I990" s="79"/>
      <c r="J990" s="14"/>
      <c r="K990" s="38"/>
      <c r="L990" s="38"/>
      <c r="M990" s="17"/>
    </row>
    <row r="991" spans="2:13" ht="14.45" customHeight="1" x14ac:dyDescent="0.25">
      <c r="B991" s="17"/>
      <c r="C991" s="14"/>
      <c r="D991" s="14"/>
      <c r="E991" s="18"/>
      <c r="F991" s="61"/>
      <c r="G991" s="73"/>
      <c r="H991" s="79"/>
      <c r="I991" s="79"/>
      <c r="J991" s="14"/>
      <c r="K991" s="38"/>
      <c r="L991" s="38"/>
      <c r="M991" s="17"/>
    </row>
    <row r="992" spans="2:13" ht="14.45" customHeight="1" x14ac:dyDescent="0.25">
      <c r="B992" s="17"/>
      <c r="C992" s="14"/>
      <c r="D992" s="14"/>
      <c r="E992" s="18"/>
      <c r="F992" s="61"/>
      <c r="G992" s="73"/>
      <c r="H992" s="79"/>
      <c r="I992" s="79"/>
      <c r="J992" s="14"/>
      <c r="K992" s="38"/>
      <c r="L992" s="38"/>
      <c r="M992" s="17"/>
    </row>
    <row r="993" spans="2:13" ht="14.45" customHeight="1" x14ac:dyDescent="0.25">
      <c r="B993" s="17"/>
      <c r="C993" s="14"/>
      <c r="D993" s="14"/>
      <c r="E993" s="18"/>
      <c r="F993" s="61"/>
      <c r="G993" s="73"/>
      <c r="H993" s="79"/>
      <c r="I993" s="79"/>
      <c r="J993" s="14"/>
      <c r="K993" s="38"/>
      <c r="L993" s="38"/>
      <c r="M993" s="17"/>
    </row>
    <row r="994" spans="2:13" ht="14.45" customHeight="1" x14ac:dyDescent="0.25">
      <c r="B994" s="17"/>
      <c r="C994" s="14"/>
      <c r="D994" s="14"/>
      <c r="E994" s="18"/>
      <c r="F994" s="61"/>
      <c r="G994" s="73"/>
      <c r="H994" s="79"/>
      <c r="I994" s="79"/>
      <c r="J994" s="14"/>
      <c r="K994" s="38"/>
      <c r="L994" s="38"/>
      <c r="M994" s="17"/>
    </row>
    <row r="995" spans="2:13" ht="14.45" customHeight="1" x14ac:dyDescent="0.25">
      <c r="B995" s="17"/>
      <c r="C995" s="14"/>
      <c r="D995" s="14"/>
      <c r="E995" s="18"/>
      <c r="F995" s="61"/>
      <c r="G995" s="73"/>
      <c r="H995" s="79"/>
      <c r="I995" s="79"/>
      <c r="J995" s="14"/>
      <c r="K995" s="38"/>
      <c r="L995" s="38"/>
      <c r="M995" s="17"/>
    </row>
    <row r="996" spans="2:13" ht="14.45" customHeight="1" x14ac:dyDescent="0.25">
      <c r="B996" s="17"/>
      <c r="C996" s="14"/>
      <c r="D996" s="14"/>
      <c r="E996" s="18"/>
      <c r="F996" s="61"/>
      <c r="G996" s="73"/>
      <c r="H996" s="79"/>
      <c r="I996" s="79"/>
      <c r="J996" s="14"/>
      <c r="K996" s="38"/>
      <c r="L996" s="38"/>
      <c r="M996" s="17"/>
    </row>
    <row r="997" spans="2:13" ht="14.45" customHeight="1" x14ac:dyDescent="0.25">
      <c r="B997" s="17"/>
      <c r="C997" s="14"/>
      <c r="D997" s="14"/>
      <c r="E997" s="18"/>
      <c r="F997" s="61"/>
      <c r="G997" s="73"/>
      <c r="H997" s="79"/>
      <c r="I997" s="79"/>
      <c r="J997" s="14"/>
      <c r="K997" s="38"/>
      <c r="L997" s="38"/>
      <c r="M997" s="17"/>
    </row>
    <row r="998" spans="2:13" ht="14.45" customHeight="1" x14ac:dyDescent="0.25">
      <c r="B998" s="17"/>
      <c r="C998" s="14"/>
      <c r="D998" s="14"/>
      <c r="E998" s="18"/>
      <c r="F998" s="61"/>
      <c r="G998" s="73"/>
      <c r="H998" s="79"/>
      <c r="I998" s="79"/>
      <c r="J998" s="14"/>
      <c r="K998" s="38"/>
      <c r="L998" s="38"/>
      <c r="M998" s="17"/>
    </row>
    <row r="999" spans="2:13" ht="14.45" customHeight="1" x14ac:dyDescent="0.25">
      <c r="B999" s="17"/>
      <c r="C999" s="14"/>
      <c r="D999" s="14"/>
      <c r="E999" s="18"/>
      <c r="F999" s="61"/>
      <c r="G999" s="73"/>
      <c r="H999" s="79"/>
      <c r="I999" s="79"/>
      <c r="J999" s="14"/>
      <c r="K999" s="38"/>
      <c r="L999" s="38"/>
      <c r="M999" s="17"/>
    </row>
    <row r="1000" spans="2:13" ht="14.45" customHeight="1" x14ac:dyDescent="0.25">
      <c r="B1000" s="17"/>
      <c r="C1000" s="14"/>
      <c r="D1000" s="14"/>
      <c r="E1000" s="18"/>
      <c r="F1000" s="61"/>
      <c r="G1000" s="73"/>
      <c r="H1000" s="79"/>
      <c r="I1000" s="79"/>
      <c r="J1000" s="14"/>
      <c r="K1000" s="38"/>
      <c r="L1000" s="38"/>
      <c r="M1000" s="17"/>
    </row>
  </sheetData>
  <sheetProtection algorithmName="SHA-512" hashValue="lL7pqv7Sj6pmlF/rUUtYL+NXRSInDmrvVX0jciCdckU8pB3YpoS10m8miVqfB8XGcdcvpaj1eA5qPfvrb6Cmug==" saltValue="5cW6ORDlTkPlRZtiVb9Ryg==" spinCount="100000" sheet="1" objects="1" scenarios="1"/>
  <mergeCells count="2">
    <mergeCell ref="C10:F10"/>
    <mergeCell ref="H10:I10"/>
  </mergeCells>
  <conditionalFormatting sqref="M10 H10">
    <cfRule type="cellIs" dxfId="20" priority="2" operator="greaterThanOrEqual">
      <formula>6750</formula>
    </cfRule>
  </conditionalFormatting>
  <conditionalFormatting sqref="K13:K1000">
    <cfRule type="cellIs" dxfId="19" priority="1" operator="lessThan">
      <formula>0</formula>
    </cfRule>
  </conditionalFormatting>
  <dataValidations count="1">
    <dataValidation type="list" allowBlank="1" showInputMessage="1" showErrorMessage="1" sqref="H13:H1000" xr:uid="{369C145B-1233-4D6A-978D-EB0037BE8F69}">
      <formula1>"Ativa,Cancelada"</formula1>
    </dataValidation>
  </dataValidations>
  <printOptions horizontalCentered="1"/>
  <pageMargins left="0.19685039370078741" right="0.19685039370078741" top="0.39370078740157483" bottom="0.78740157480314965" header="0.31496062992125984" footer="0.31496062992125984"/>
  <pageSetup paperSize="9" scale="54" fitToHeight="50" orientation="portrait" r:id="rId1"/>
  <headerFooter>
    <oddHeader>&amp;L&amp;"Calibri"&amp;12&amp;K008000 Documento Público&amp;1#_x000D_</oddHeader>
    <oddFooter>Página &amp;P de &amp;N</oddFooter>
  </headerFooter>
  <rowBreaks count="1" manualBreakCount="1">
    <brk id="63" min="1" max="5" man="1"/>
  </rowBreaks>
  <drawing r:id="rId2"/>
  <tableParts count="1">
    <tablePart r:id="rId3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5F8AFA-8A72-43E8-96F5-CD3843E936D9}">
  <sheetPr codeName="Planilha4">
    <tabColor theme="8" tint="-0.499984740745262"/>
    <pageSetUpPr fitToPage="1"/>
  </sheetPr>
  <dimension ref="A1:V65"/>
  <sheetViews>
    <sheetView showGridLines="0" showRowColHeaders="0" workbookViewId="0">
      <selection activeCell="D15" sqref="D15"/>
    </sheetView>
  </sheetViews>
  <sheetFormatPr defaultColWidth="0" defaultRowHeight="14.45" customHeight="1" zeroHeight="1" x14ac:dyDescent="0.25"/>
  <cols>
    <col min="1" max="3" width="8.85546875" customWidth="1"/>
    <col min="4" max="4" width="15.42578125" customWidth="1"/>
    <col min="5" max="21" width="8.85546875" customWidth="1"/>
    <col min="22" max="22" width="2.7109375" customWidth="1"/>
    <col min="23" max="16384" width="8.85546875" hidden="1"/>
  </cols>
  <sheetData>
    <row r="1" spans="2:21" ht="15" x14ac:dyDescent="0.25"/>
    <row r="2" spans="2:21" ht="15" x14ac:dyDescent="0.25"/>
    <row r="3" spans="2:21" ht="15" x14ac:dyDescent="0.25"/>
    <row r="4" spans="2:21" ht="1.9" customHeight="1" x14ac:dyDescent="0.25"/>
    <row r="5" spans="2:21" s="1" customFormat="1" ht="4.9000000000000004" customHeight="1" x14ac:dyDescent="0.25"/>
    <row r="6" spans="2:21" ht="3" customHeight="1" x14ac:dyDescent="0.25"/>
    <row r="7" spans="2:21" s="1" customFormat="1" ht="4.9000000000000004" customHeight="1" x14ac:dyDescent="0.25"/>
    <row r="8" spans="2:21" ht="1.9" customHeight="1" x14ac:dyDescent="0.25"/>
    <row r="9" spans="2:21" ht="30" customHeight="1" x14ac:dyDescent="0.25"/>
    <row r="10" spans="2:21" ht="4.9000000000000004" customHeight="1" x14ac:dyDescent="0.25"/>
    <row r="11" spans="2:21" ht="34.9" customHeight="1" x14ac:dyDescent="0.25">
      <c r="B11" s="88" t="s">
        <v>0</v>
      </c>
      <c r="C11" s="88"/>
      <c r="D11" s="94" t="str">
        <f>Menu!G26</f>
        <v>Empresa ABCDE</v>
      </c>
      <c r="E11" s="95"/>
      <c r="F11" s="95"/>
      <c r="G11" s="95"/>
      <c r="H11" s="95"/>
      <c r="I11" s="95"/>
      <c r="J11" s="95"/>
      <c r="K11" s="95"/>
      <c r="L11" s="95"/>
      <c r="M11" s="95"/>
      <c r="N11" s="95"/>
      <c r="O11" s="95"/>
      <c r="P11" s="95"/>
      <c r="Q11" s="95"/>
      <c r="R11" s="95"/>
      <c r="S11" s="95"/>
      <c r="T11" s="95"/>
      <c r="U11" s="96"/>
    </row>
    <row r="12" spans="2:21" ht="4.9000000000000004" customHeight="1" x14ac:dyDescent="0.25"/>
    <row r="13" spans="2:21" ht="15" x14ac:dyDescent="0.25"/>
    <row r="14" spans="2:21" ht="45" x14ac:dyDescent="0.25">
      <c r="B14" s="103" t="s">
        <v>25</v>
      </c>
      <c r="C14" s="103"/>
      <c r="D14" s="10" t="s">
        <v>26</v>
      </c>
      <c r="E14" s="10" t="s">
        <v>27</v>
      </c>
    </row>
    <row r="15" spans="2:21" ht="15" x14ac:dyDescent="0.25">
      <c r="B15" s="104" t="s">
        <v>28</v>
      </c>
      <c r="C15" s="104"/>
      <c r="D15" s="11">
        <f>'CF01'!H10</f>
        <v>6250</v>
      </c>
      <c r="E15" s="74">
        <v>0</v>
      </c>
      <c r="F15">
        <v>6750</v>
      </c>
    </row>
    <row r="16" spans="2:21" ht="15" x14ac:dyDescent="0.25">
      <c r="B16" s="101" t="s">
        <v>29</v>
      </c>
      <c r="C16" s="101"/>
      <c r="D16" s="12">
        <f>'CF02'!H10</f>
        <v>2000</v>
      </c>
      <c r="E16" s="75">
        <f>IFERROR(IF(D16=0,0,D16/D15-1),0)</f>
        <v>-0.67999999999999994</v>
      </c>
      <c r="F16">
        <v>6750</v>
      </c>
      <c r="L16" s="3"/>
    </row>
    <row r="17" spans="2:16" ht="15" x14ac:dyDescent="0.25">
      <c r="B17" s="102" t="s">
        <v>30</v>
      </c>
      <c r="C17" s="102"/>
      <c r="D17" s="11">
        <f>'CF03'!H10</f>
        <v>0</v>
      </c>
      <c r="E17" s="74">
        <f t="shared" ref="E17:E26" si="0">IFERROR(IF(D17=0,0,D17/D16-1),0)</f>
        <v>0</v>
      </c>
      <c r="F17">
        <v>6750</v>
      </c>
      <c r="L17" s="3"/>
    </row>
    <row r="18" spans="2:16" ht="15" x14ac:dyDescent="0.25">
      <c r="B18" s="101" t="s">
        <v>31</v>
      </c>
      <c r="C18" s="101"/>
      <c r="D18" s="12">
        <f>'CF04'!H10</f>
        <v>0</v>
      </c>
      <c r="E18" s="75">
        <f t="shared" si="0"/>
        <v>0</v>
      </c>
      <c r="F18">
        <v>6750</v>
      </c>
      <c r="L18" s="3"/>
    </row>
    <row r="19" spans="2:16" ht="15" x14ac:dyDescent="0.25">
      <c r="B19" s="102" t="s">
        <v>32</v>
      </c>
      <c r="C19" s="102"/>
      <c r="D19" s="11">
        <f>'CF05'!H10</f>
        <v>0</v>
      </c>
      <c r="E19" s="74">
        <f t="shared" si="0"/>
        <v>0</v>
      </c>
      <c r="F19">
        <v>6750</v>
      </c>
      <c r="L19" s="3"/>
    </row>
    <row r="20" spans="2:16" ht="15" x14ac:dyDescent="0.25">
      <c r="B20" s="101" t="s">
        <v>33</v>
      </c>
      <c r="C20" s="101"/>
      <c r="D20" s="12">
        <f>'CF06'!H10</f>
        <v>0</v>
      </c>
      <c r="E20" s="75">
        <f t="shared" si="0"/>
        <v>0</v>
      </c>
      <c r="F20">
        <v>6750</v>
      </c>
    </row>
    <row r="21" spans="2:16" ht="15" x14ac:dyDescent="0.25">
      <c r="B21" s="102" t="s">
        <v>34</v>
      </c>
      <c r="C21" s="102"/>
      <c r="D21" s="11">
        <f>'CF07'!H10</f>
        <v>0</v>
      </c>
      <c r="E21" s="74">
        <f t="shared" si="0"/>
        <v>0</v>
      </c>
      <c r="F21">
        <v>6750</v>
      </c>
    </row>
    <row r="22" spans="2:16" ht="15" x14ac:dyDescent="0.25">
      <c r="B22" s="101" t="s">
        <v>35</v>
      </c>
      <c r="C22" s="101"/>
      <c r="D22" s="12">
        <f>'CF08'!H10</f>
        <v>0</v>
      </c>
      <c r="E22" s="75">
        <f t="shared" si="0"/>
        <v>0</v>
      </c>
      <c r="F22">
        <v>6750</v>
      </c>
    </row>
    <row r="23" spans="2:16" ht="15" x14ac:dyDescent="0.25">
      <c r="B23" s="102" t="s">
        <v>36</v>
      </c>
      <c r="C23" s="102"/>
      <c r="D23" s="11">
        <f>'CF09'!H10</f>
        <v>0</v>
      </c>
      <c r="E23" s="74">
        <f t="shared" si="0"/>
        <v>0</v>
      </c>
      <c r="F23">
        <v>6750</v>
      </c>
    </row>
    <row r="24" spans="2:16" ht="15" x14ac:dyDescent="0.25">
      <c r="B24" s="101" t="s">
        <v>37</v>
      </c>
      <c r="C24" s="101"/>
      <c r="D24" s="12">
        <f>'CF10'!H10</f>
        <v>0</v>
      </c>
      <c r="E24" s="75">
        <f t="shared" si="0"/>
        <v>0</v>
      </c>
      <c r="F24">
        <v>6750</v>
      </c>
    </row>
    <row r="25" spans="2:16" ht="15" x14ac:dyDescent="0.25">
      <c r="B25" s="102" t="s">
        <v>38</v>
      </c>
      <c r="C25" s="102"/>
      <c r="D25" s="11">
        <f>'CF11'!H10</f>
        <v>0</v>
      </c>
      <c r="E25" s="74">
        <f t="shared" si="0"/>
        <v>0</v>
      </c>
      <c r="F25">
        <v>6750</v>
      </c>
    </row>
    <row r="26" spans="2:16" ht="15" x14ac:dyDescent="0.25">
      <c r="B26" s="101" t="s">
        <v>39</v>
      </c>
      <c r="C26" s="101"/>
      <c r="D26" s="12">
        <f>'CF12'!H10</f>
        <v>0</v>
      </c>
      <c r="E26" s="75">
        <f t="shared" si="0"/>
        <v>0</v>
      </c>
      <c r="F26">
        <v>6750</v>
      </c>
    </row>
    <row r="27" spans="2:16" ht="15" x14ac:dyDescent="0.25">
      <c r="B27" s="99" t="s">
        <v>40</v>
      </c>
      <c r="C27" s="99"/>
      <c r="D27" s="13">
        <f>SUM(D15:D26)</f>
        <v>8250</v>
      </c>
      <c r="E27" s="76" t="str">
        <f>IF(D27&gt;=81000,"ATENÇÃO: Você atingiu o limite de faturamento anual de R$ 81.000,00","")</f>
        <v/>
      </c>
    </row>
    <row r="28" spans="2:16" ht="15" x14ac:dyDescent="0.25"/>
    <row r="29" spans="2:16" ht="15" x14ac:dyDescent="0.25">
      <c r="B29" s="100" t="s">
        <v>41</v>
      </c>
      <c r="C29" s="100"/>
      <c r="D29" s="82">
        <f>IFERROR(D27/COUNTIF(D15:D26,"&gt;0"),0)</f>
        <v>4125</v>
      </c>
      <c r="E29" s="81"/>
    </row>
    <row r="30" spans="2:16" ht="15" x14ac:dyDescent="0.25">
      <c r="G30" s="97" t="str">
        <f>INDEX(B15:D26,MATCH(I30,D15:D26,0),1)</f>
        <v>Janeiro</v>
      </c>
      <c r="H30" s="97"/>
      <c r="I30" s="98">
        <f>LARGE(D15:D26,1)</f>
        <v>6250</v>
      </c>
      <c r="J30" s="98"/>
      <c r="M30" s="97" t="str">
        <f>INDEX(B15:D26,MATCH(O30,D15:D26,0),1)</f>
        <v>Fevereiro</v>
      </c>
      <c r="N30" s="97"/>
      <c r="O30" s="98">
        <f>SMALL(D40:D51,1)</f>
        <v>2000</v>
      </c>
      <c r="P30" s="98"/>
    </row>
    <row r="31" spans="2:16" ht="15" x14ac:dyDescent="0.25">
      <c r="G31" s="97"/>
      <c r="H31" s="97"/>
      <c r="I31" s="98"/>
      <c r="J31" s="98"/>
      <c r="M31" s="97"/>
      <c r="N31" s="97"/>
      <c r="O31" s="98"/>
      <c r="P31" s="98"/>
    </row>
    <row r="32" spans="2:16" ht="15" x14ac:dyDescent="0.25"/>
    <row r="33" spans="2:4" ht="15" x14ac:dyDescent="0.25"/>
    <row r="34" spans="2:4" ht="15" x14ac:dyDescent="0.25"/>
    <row r="35" spans="2:4" ht="15" x14ac:dyDescent="0.25"/>
    <row r="36" spans="2:4" ht="15" hidden="1" x14ac:dyDescent="0.25"/>
    <row r="37" spans="2:4" ht="15" hidden="1" x14ac:dyDescent="0.25"/>
    <row r="38" spans="2:4" ht="15" hidden="1" x14ac:dyDescent="0.25"/>
    <row r="39" spans="2:4" ht="15" hidden="1" x14ac:dyDescent="0.25"/>
    <row r="40" spans="2:4" ht="15" hidden="1" x14ac:dyDescent="0.25">
      <c r="B40" s="104" t="s">
        <v>28</v>
      </c>
      <c r="C40" s="104"/>
      <c r="D40" s="83">
        <f>IF(D15&gt;0,D15,"")</f>
        <v>6250</v>
      </c>
    </row>
    <row r="41" spans="2:4" ht="15" hidden="1" x14ac:dyDescent="0.25">
      <c r="B41" s="101" t="s">
        <v>29</v>
      </c>
      <c r="C41" s="101"/>
      <c r="D41" s="84">
        <f t="shared" ref="D41:D51" si="1">IF(D16&gt;0,D16,"")</f>
        <v>2000</v>
      </c>
    </row>
    <row r="42" spans="2:4" ht="15" hidden="1" x14ac:dyDescent="0.25">
      <c r="B42" s="102" t="s">
        <v>30</v>
      </c>
      <c r="C42" s="102"/>
      <c r="D42" s="83" t="str">
        <f t="shared" si="1"/>
        <v/>
      </c>
    </row>
    <row r="43" spans="2:4" ht="15" hidden="1" x14ac:dyDescent="0.25">
      <c r="B43" s="101" t="s">
        <v>31</v>
      </c>
      <c r="C43" s="101"/>
      <c r="D43" s="84" t="str">
        <f t="shared" si="1"/>
        <v/>
      </c>
    </row>
    <row r="44" spans="2:4" ht="15" hidden="1" x14ac:dyDescent="0.25">
      <c r="B44" s="102" t="s">
        <v>32</v>
      </c>
      <c r="C44" s="102"/>
      <c r="D44" s="83" t="str">
        <f t="shared" si="1"/>
        <v/>
      </c>
    </row>
    <row r="45" spans="2:4" ht="15" hidden="1" x14ac:dyDescent="0.25">
      <c r="B45" s="101" t="s">
        <v>33</v>
      </c>
      <c r="C45" s="101"/>
      <c r="D45" s="84" t="str">
        <f t="shared" si="1"/>
        <v/>
      </c>
    </row>
    <row r="46" spans="2:4" ht="15" hidden="1" x14ac:dyDescent="0.25">
      <c r="B46" s="102" t="s">
        <v>34</v>
      </c>
      <c r="C46" s="102"/>
      <c r="D46" s="83" t="str">
        <f t="shared" si="1"/>
        <v/>
      </c>
    </row>
    <row r="47" spans="2:4" ht="15" hidden="1" x14ac:dyDescent="0.25">
      <c r="B47" s="101" t="s">
        <v>35</v>
      </c>
      <c r="C47" s="101"/>
      <c r="D47" s="84" t="str">
        <f t="shared" si="1"/>
        <v/>
      </c>
    </row>
    <row r="48" spans="2:4" ht="15" hidden="1" x14ac:dyDescent="0.25">
      <c r="B48" s="102" t="s">
        <v>36</v>
      </c>
      <c r="C48" s="102"/>
      <c r="D48" s="83" t="str">
        <f t="shared" si="1"/>
        <v/>
      </c>
    </row>
    <row r="49" spans="2:4" ht="15" hidden="1" x14ac:dyDescent="0.25">
      <c r="B49" s="101" t="s">
        <v>37</v>
      </c>
      <c r="C49" s="101"/>
      <c r="D49" s="84" t="str">
        <f t="shared" si="1"/>
        <v/>
      </c>
    </row>
    <row r="50" spans="2:4" ht="15" hidden="1" x14ac:dyDescent="0.25">
      <c r="B50" s="102" t="s">
        <v>38</v>
      </c>
      <c r="C50" s="102"/>
      <c r="D50" s="83" t="str">
        <f t="shared" si="1"/>
        <v/>
      </c>
    </row>
    <row r="51" spans="2:4" ht="15" hidden="1" x14ac:dyDescent="0.25">
      <c r="B51" s="101" t="s">
        <v>39</v>
      </c>
      <c r="C51" s="101"/>
      <c r="D51" s="84" t="str">
        <f t="shared" si="1"/>
        <v/>
      </c>
    </row>
    <row r="52" spans="2:4" ht="15" hidden="1" x14ac:dyDescent="0.25"/>
    <row r="53" spans="2:4" ht="15" hidden="1" x14ac:dyDescent="0.25"/>
    <row r="54" spans="2:4" ht="15" hidden="1" x14ac:dyDescent="0.25"/>
    <row r="55" spans="2:4" ht="15" hidden="1" x14ac:dyDescent="0.25"/>
    <row r="56" spans="2:4" ht="15" hidden="1" x14ac:dyDescent="0.25"/>
    <row r="57" spans="2:4" ht="15" hidden="1" x14ac:dyDescent="0.25"/>
    <row r="58" spans="2:4" ht="15" hidden="1" x14ac:dyDescent="0.25"/>
    <row r="59" spans="2:4" ht="15" hidden="1" x14ac:dyDescent="0.25"/>
    <row r="60" spans="2:4" ht="15" hidden="1" x14ac:dyDescent="0.25"/>
    <row r="61" spans="2:4" ht="15" hidden="1" x14ac:dyDescent="0.25"/>
    <row r="62" spans="2:4" ht="15" hidden="1" x14ac:dyDescent="0.25"/>
    <row r="63" spans="2:4" ht="15" hidden="1" x14ac:dyDescent="0.25"/>
    <row r="64" spans="2:4" ht="15" hidden="1" x14ac:dyDescent="0.25"/>
    <row r="65" ht="15" hidden="1" x14ac:dyDescent="0.25"/>
  </sheetData>
  <sheetProtection algorithmName="SHA-512" hashValue="BVCbwimo6Q5U6ckC54E3D/hOt6PXa9eEUS0vLbNgKBIes+leSvWurmJ8KLBlOwKAq9zh8xM+sY7FkSzokRxRdg==" saltValue="8wKrk3uKRcGFOrWats4REg==" spinCount="100000" sheet="1" selectLockedCells="1" selectUnlockedCells="1"/>
  <mergeCells count="33">
    <mergeCell ref="B50:C50"/>
    <mergeCell ref="B51:C51"/>
    <mergeCell ref="B45:C45"/>
    <mergeCell ref="B46:C46"/>
    <mergeCell ref="B47:C47"/>
    <mergeCell ref="B48:C48"/>
    <mergeCell ref="B49:C49"/>
    <mergeCell ref="B40:C40"/>
    <mergeCell ref="B41:C41"/>
    <mergeCell ref="B42:C42"/>
    <mergeCell ref="B43:C43"/>
    <mergeCell ref="B44:C44"/>
    <mergeCell ref="B11:C11"/>
    <mergeCell ref="D11:U11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G30:H31"/>
    <mergeCell ref="M30:N31"/>
    <mergeCell ref="I30:J31"/>
    <mergeCell ref="O30:P31"/>
    <mergeCell ref="B27:C27"/>
    <mergeCell ref="B29:C29"/>
  </mergeCells>
  <conditionalFormatting sqref="D11:U11">
    <cfRule type="cellIs" dxfId="1" priority="2" operator="equal">
      <formula>0</formula>
    </cfRule>
  </conditionalFormatting>
  <conditionalFormatting sqref="B27 D27">
    <cfRule type="expression" dxfId="0" priority="1">
      <formula>$D$27&gt;81000</formula>
    </cfRule>
  </conditionalFormatting>
  <printOptions horizontalCentered="1"/>
  <pageMargins left="0.51181102362204722" right="0.51181102362204722" top="0.78740157480314965" bottom="0.78740157480314965" header="0.31496062992125984" footer="0.31496062992125984"/>
  <pageSetup paperSize="9" scale="70" orientation="landscape" r:id="rId1"/>
  <headerFooter>
    <oddHeader>&amp;L&amp;"Calibri"&amp;12&amp;K008000 Documento Público&amp;1#_x000D_</oddHeader>
  </headerFooter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A7E1BB-DD18-4AE7-8F93-23684D7A1801}">
  <sheetPr codeName="Planilha3">
    <tabColor theme="5"/>
  </sheetPr>
  <dimension ref="A1:M146"/>
  <sheetViews>
    <sheetView showGridLines="0" showRowColHeaders="0" workbookViewId="0">
      <pane ySplit="10" topLeftCell="A11" activePane="bottomLeft" state="frozen"/>
      <selection pane="bottomLeft" activeCell="F32" sqref="F32"/>
    </sheetView>
  </sheetViews>
  <sheetFormatPr defaultColWidth="0" defaultRowHeight="14.45" customHeight="1" zeroHeight="1" x14ac:dyDescent="0.25"/>
  <cols>
    <col min="1" max="1" width="1.7109375" customWidth="1"/>
    <col min="2" max="2" width="40.7109375" customWidth="1"/>
    <col min="3" max="3" width="17.7109375" customWidth="1"/>
    <col min="4" max="4" width="1.7109375" customWidth="1"/>
    <col min="5" max="5" width="40.7109375" customWidth="1"/>
    <col min="6" max="6" width="17.7109375" customWidth="1"/>
    <col min="7" max="7" width="1.7109375" customWidth="1"/>
    <col min="8" max="8" width="52.28515625" customWidth="1"/>
    <col min="9" max="9" width="25.7109375" customWidth="1"/>
    <col min="10" max="10" width="1.7109375" customWidth="1"/>
    <col min="11" max="11" width="25" hidden="1" customWidth="1"/>
    <col min="12" max="12" width="6.7109375" hidden="1" customWidth="1"/>
    <col min="13" max="13" width="3.85546875" hidden="1" customWidth="1"/>
    <col min="14" max="16384" width="8.85546875" hidden="1"/>
  </cols>
  <sheetData>
    <row r="1" spans="2:2" ht="15" x14ac:dyDescent="0.25"/>
    <row r="2" spans="2:2" ht="15" x14ac:dyDescent="0.25"/>
    <row r="3" spans="2:2" ht="15" x14ac:dyDescent="0.25"/>
    <row r="4" spans="2:2" ht="1.9" customHeight="1" x14ac:dyDescent="0.25"/>
    <row r="5" spans="2:2" s="1" customFormat="1" ht="4.9000000000000004" customHeight="1" x14ac:dyDescent="0.25"/>
    <row r="6" spans="2:2" ht="3" customHeight="1" x14ac:dyDescent="0.25"/>
    <row r="7" spans="2:2" s="1" customFormat="1" ht="4.9000000000000004" customHeight="1" x14ac:dyDescent="0.25"/>
    <row r="8" spans="2:2" ht="1.9" customHeight="1" x14ac:dyDescent="0.25"/>
    <row r="9" spans="2:2" ht="25.15" customHeight="1" x14ac:dyDescent="0.25"/>
    <row r="10" spans="2:2" ht="25.15" customHeight="1" x14ac:dyDescent="0.25"/>
    <row r="11" spans="2:2" ht="14.45" customHeight="1" x14ac:dyDescent="0.3">
      <c r="B11" s="2"/>
    </row>
    <row r="12" spans="2:2" ht="14.45" customHeight="1" x14ac:dyDescent="0.25"/>
    <row r="13" spans="2:2" ht="14.45" customHeight="1" x14ac:dyDescent="0.25"/>
    <row r="14" spans="2:2" ht="14.45" customHeight="1" x14ac:dyDescent="0.25"/>
    <row r="15" spans="2:2" ht="14.45" customHeight="1" x14ac:dyDescent="0.25"/>
    <row r="16" spans="2:2" ht="14.45" customHeight="1" x14ac:dyDescent="0.25"/>
    <row r="17" ht="14.45" customHeight="1" x14ac:dyDescent="0.25"/>
    <row r="18" ht="14.45" customHeight="1" x14ac:dyDescent="0.25"/>
    <row r="19" ht="14.45" customHeight="1" x14ac:dyDescent="0.25"/>
    <row r="20" ht="14.45" customHeight="1" x14ac:dyDescent="0.25"/>
    <row r="21" ht="14.45" customHeight="1" x14ac:dyDescent="0.25"/>
    <row r="22" ht="14.45" customHeight="1" x14ac:dyDescent="0.25"/>
    <row r="23" ht="14.45" customHeight="1" x14ac:dyDescent="0.25"/>
    <row r="24" ht="14.45" customHeight="1" x14ac:dyDescent="0.25"/>
    <row r="25" ht="14.45" customHeight="1" x14ac:dyDescent="0.25"/>
    <row r="26" ht="14.45" customHeight="1" x14ac:dyDescent="0.25"/>
    <row r="27" ht="14.45" customHeight="1" x14ac:dyDescent="0.25"/>
    <row r="28" ht="14.45" customHeight="1" x14ac:dyDescent="0.25"/>
    <row r="29" ht="14.45" customHeight="1" x14ac:dyDescent="0.25"/>
    <row r="30" ht="14.45" customHeight="1" x14ac:dyDescent="0.25"/>
    <row r="31" ht="14.45" customHeight="1" x14ac:dyDescent="0.25"/>
    <row r="32" ht="14.45" customHeight="1" x14ac:dyDescent="0.25"/>
    <row r="33" spans="2:2" ht="14.45" customHeight="1" x14ac:dyDescent="0.25"/>
    <row r="34" spans="2:2" ht="14.45" customHeight="1" x14ac:dyDescent="0.3">
      <c r="B34" s="2"/>
    </row>
    <row r="35" spans="2:2" ht="14.45" customHeight="1" x14ac:dyDescent="0.25"/>
    <row r="36" spans="2:2" ht="14.45" customHeight="1" x14ac:dyDescent="0.25"/>
    <row r="37" spans="2:2" ht="15" customHeight="1" x14ac:dyDescent="0.25"/>
    <row r="38" spans="2:2" ht="15" customHeight="1" x14ac:dyDescent="0.25"/>
    <row r="39" spans="2:2" ht="15" customHeight="1" x14ac:dyDescent="0.25"/>
    <row r="40" spans="2:2" ht="15" customHeight="1" x14ac:dyDescent="0.25"/>
    <row r="41" spans="2:2" ht="15" customHeight="1" x14ac:dyDescent="0.25"/>
    <row r="42" spans="2:2" ht="15" customHeight="1" x14ac:dyDescent="0.25"/>
    <row r="43" spans="2:2" ht="15" customHeight="1" x14ac:dyDescent="0.25"/>
    <row r="44" spans="2:2" ht="15" customHeight="1" x14ac:dyDescent="0.25"/>
    <row r="45" spans="2:2" ht="15" customHeight="1" x14ac:dyDescent="0.25"/>
    <row r="46" spans="2:2" ht="15" customHeight="1" x14ac:dyDescent="0.25"/>
    <row r="47" spans="2:2" ht="15" customHeight="1" x14ac:dyDescent="0.25"/>
    <row r="48" spans="2:2" ht="15" customHeight="1" x14ac:dyDescent="0.25"/>
    <row r="49" spans="2:2" ht="14.45" customHeight="1" x14ac:dyDescent="0.25"/>
    <row r="50" spans="2:2" ht="14.45" customHeight="1" x14ac:dyDescent="0.25"/>
    <row r="51" spans="2:2" ht="14.45" customHeight="1" x14ac:dyDescent="0.25"/>
    <row r="52" spans="2:2" ht="14.45" customHeight="1" x14ac:dyDescent="0.25"/>
    <row r="53" spans="2:2" ht="14.45" customHeight="1" x14ac:dyDescent="0.25"/>
    <row r="54" spans="2:2" ht="14.45" customHeight="1" x14ac:dyDescent="0.25"/>
    <row r="55" spans="2:2" ht="14.45" customHeight="1" x14ac:dyDescent="0.25"/>
    <row r="56" spans="2:2" ht="14.45" customHeight="1" x14ac:dyDescent="0.25"/>
    <row r="57" spans="2:2" ht="14.45" customHeight="1" x14ac:dyDescent="0.25"/>
    <row r="58" spans="2:2" ht="14.45" customHeight="1" x14ac:dyDescent="0.3">
      <c r="B58" s="2"/>
    </row>
    <row r="59" spans="2:2" ht="14.45" customHeight="1" x14ac:dyDescent="0.25"/>
    <row r="60" spans="2:2" ht="14.45" customHeight="1" x14ac:dyDescent="0.25"/>
    <row r="61" spans="2:2" ht="14.45" customHeight="1" x14ac:dyDescent="0.25"/>
    <row r="62" spans="2:2" ht="14.45" customHeight="1" x14ac:dyDescent="0.25"/>
    <row r="63" spans="2:2" ht="14.45" customHeight="1" x14ac:dyDescent="0.25"/>
    <row r="64" spans="2:2" ht="14.45" customHeight="1" x14ac:dyDescent="0.25"/>
    <row r="65" spans="2:2" ht="14.45" customHeight="1" x14ac:dyDescent="0.25"/>
    <row r="66" spans="2:2" ht="14.45" customHeight="1" x14ac:dyDescent="0.25"/>
    <row r="67" spans="2:2" ht="14.45" customHeight="1" x14ac:dyDescent="0.25"/>
    <row r="68" spans="2:2" ht="14.45" customHeight="1" x14ac:dyDescent="0.25"/>
    <row r="69" spans="2:2" ht="14.45" customHeight="1" x14ac:dyDescent="0.25"/>
    <row r="70" spans="2:2" ht="14.45" customHeight="1" x14ac:dyDescent="0.25"/>
    <row r="71" spans="2:2" ht="14.45" customHeight="1" x14ac:dyDescent="0.25"/>
    <row r="72" spans="2:2" ht="14.45" customHeight="1" x14ac:dyDescent="0.25"/>
    <row r="73" spans="2:2" ht="14.45" customHeight="1" x14ac:dyDescent="0.25"/>
    <row r="74" spans="2:2" ht="14.45" customHeight="1" x14ac:dyDescent="0.25"/>
    <row r="75" spans="2:2" ht="14.45" customHeight="1" x14ac:dyDescent="0.25"/>
    <row r="76" spans="2:2" ht="14.45" customHeight="1" x14ac:dyDescent="0.25"/>
    <row r="77" spans="2:2" ht="14.45" customHeight="1" x14ac:dyDescent="0.25"/>
    <row r="78" spans="2:2" ht="14.45" customHeight="1" x14ac:dyDescent="0.25"/>
    <row r="79" spans="2:2" ht="14.45" customHeight="1" x14ac:dyDescent="0.3">
      <c r="B79" s="2"/>
    </row>
    <row r="80" spans="2:2" ht="14.45" customHeight="1" x14ac:dyDescent="0.25"/>
    <row r="81" ht="14.45" customHeight="1" x14ac:dyDescent="0.25"/>
    <row r="82" ht="14.45" customHeight="1" x14ac:dyDescent="0.25"/>
    <row r="105" spans="2:2" ht="14.45" hidden="1" customHeight="1" x14ac:dyDescent="0.3">
      <c r="B105" s="2"/>
    </row>
    <row r="146" spans="2:2" ht="14.45" hidden="1" customHeight="1" x14ac:dyDescent="0.3">
      <c r="B146" s="2"/>
    </row>
  </sheetData>
  <sheetProtection algorithmName="SHA-512" hashValue="OsOTiwaYi0hwAVhevzfo1pQe+D3nnb1gVfv4JhJFeMWOk3T2v+Dfpz498WO2gT61qFOOO8fOz4dg0oP+MKhJBQ==" saltValue="21DyPkqLORQ7351DbXruLA==" spinCount="100000" sheet="1" selectLockedCells="1" selectUnlockedCells="1"/>
  <pageMargins left="0.511811024" right="0.511811024" top="0.78740157499999996" bottom="0.78740157499999996" header="0.31496062000000002" footer="0.31496062000000002"/>
  <headerFooter>
    <oddHeader>&amp;L&amp;"Calibri"&amp;12&amp;K008000 Documento Público&amp;1#_x000D_</oddHead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83233631-5b7d-4014-8ed6-7853a8ec76bf">
      <Terms xmlns="http://schemas.microsoft.com/office/infopath/2007/PartnerControls"/>
    </lcf76f155ced4ddcb4097134ff3c332f>
    <TaxCatchAll xmlns="4972bdeb-71e7-4f78-a412-0e79ef21ab88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03C3FC5BAA3D746A381A74296D2E891" ma:contentTypeVersion="18" ma:contentTypeDescription="Crie um novo documento." ma:contentTypeScope="" ma:versionID="a72c89d761077d2a00badaaab9d0ae10">
  <xsd:schema xmlns:xsd="http://www.w3.org/2001/XMLSchema" xmlns:xs="http://www.w3.org/2001/XMLSchema" xmlns:p="http://schemas.microsoft.com/office/2006/metadata/properties" xmlns:ns1="http://schemas.microsoft.com/sharepoint/v3" xmlns:ns2="83233631-5b7d-4014-8ed6-7853a8ec76bf" xmlns:ns3="10dc1f0b-df26-4efc-a7f8-99d4ef0b3ba5" xmlns:ns4="4972bdeb-71e7-4f78-a412-0e79ef21ab88" targetNamespace="http://schemas.microsoft.com/office/2006/metadata/properties" ma:root="true" ma:fieldsID="a8a2d6a42821954325474e349567bd06" ns1:_="" ns2:_="" ns3:_="" ns4:_="">
    <xsd:import namespace="http://schemas.microsoft.com/sharepoint/v3"/>
    <xsd:import namespace="83233631-5b7d-4014-8ed6-7853a8ec76bf"/>
    <xsd:import namespace="10dc1f0b-df26-4efc-a7f8-99d4ef0b3ba5"/>
    <xsd:import namespace="4972bdeb-71e7-4f78-a412-0e79ef21ab8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3:SharedWithUsers" minOccurs="0"/>
                <xsd:element ref="ns3:SharedWithDetails" minOccurs="0"/>
                <xsd:element ref="ns1:_ip_UnifiedCompliancePolicyProperties" minOccurs="0"/>
                <xsd:element ref="ns1:_ip_UnifiedCompliancePolicyUIActio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21" nillable="true" ma:displayName="Ação de Interface do Usuário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233631-5b7d-4014-8ed6-7853a8ec76b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Marcações de imagem" ma:readOnly="false" ma:fieldId="{5cf76f15-5ced-4ddc-b409-7134ff3c332f}" ma:taxonomyMulti="true" ma:sspId="9cc491fe-547a-4263-97dd-51df7dc18ea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0dc1f0b-df26-4efc-a7f8-99d4ef0b3ba5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72bdeb-71e7-4f78-a412-0e79ef21ab88" elementFormDefault="qualified">
    <xsd:import namespace="http://schemas.microsoft.com/office/2006/documentManagement/types"/>
    <xsd:import namespace="http://schemas.microsoft.com/office/infopath/2007/PartnerControls"/>
    <xsd:element name="TaxCatchAll" ma:index="25" nillable="true" ma:displayName="Taxonomy Catch All Column" ma:hidden="true" ma:list="{12e499dd-c673-4315-9efb-6907227b9364}" ma:internalName="TaxCatchAll" ma:showField="CatchAllData" ma:web="10dc1f0b-df26-4efc-a7f8-99d4ef0b3ba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150351A-B179-49A8-A35F-3BFC72BE937C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83233631-5b7d-4014-8ed6-7853a8ec76bf"/>
    <ds:schemaRef ds:uri="4972bdeb-71e7-4f78-a412-0e79ef21ab88"/>
  </ds:schemaRefs>
</ds:datastoreItem>
</file>

<file path=customXml/itemProps2.xml><?xml version="1.0" encoding="utf-8"?>
<ds:datastoreItem xmlns:ds="http://schemas.openxmlformats.org/officeDocument/2006/customXml" ds:itemID="{A94BD1D0-379A-4563-9E6D-2AE5D5C88A6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779EDAD-62CC-43CD-95F3-1DAC6DFFF7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83233631-5b7d-4014-8ed6-7853a8ec76bf"/>
    <ds:schemaRef ds:uri="10dc1f0b-df26-4efc-a7f8-99d4ef0b3ba5"/>
    <ds:schemaRef ds:uri="4972bdeb-71e7-4f78-a412-0e79ef21ab8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15</vt:i4>
      </vt:variant>
      <vt:variant>
        <vt:lpstr>Intervalos Nomeados</vt:lpstr>
      </vt:variant>
      <vt:variant>
        <vt:i4>12</vt:i4>
      </vt:variant>
    </vt:vector>
  </HeadingPairs>
  <TitlesOfParts>
    <vt:vector size="27" baseType="lpstr">
      <vt:lpstr>Menu</vt:lpstr>
      <vt:lpstr>CF01</vt:lpstr>
      <vt:lpstr>CF02</vt:lpstr>
      <vt:lpstr>CF03</vt:lpstr>
      <vt:lpstr>CF04</vt:lpstr>
      <vt:lpstr>CF05</vt:lpstr>
      <vt:lpstr>CF06</vt:lpstr>
      <vt:lpstr>CF07</vt:lpstr>
      <vt:lpstr>CF08</vt:lpstr>
      <vt:lpstr>CF09</vt:lpstr>
      <vt:lpstr>CF10</vt:lpstr>
      <vt:lpstr>CF11</vt:lpstr>
      <vt:lpstr>CF12</vt:lpstr>
      <vt:lpstr>Dash</vt:lpstr>
      <vt:lpstr>Instruções</vt:lpstr>
      <vt:lpstr>'CF01'!Titulos_de_impressao</vt:lpstr>
      <vt:lpstr>'CF02'!Titulos_de_impressao</vt:lpstr>
      <vt:lpstr>'CF03'!Titulos_de_impressao</vt:lpstr>
      <vt:lpstr>'CF04'!Titulos_de_impressao</vt:lpstr>
      <vt:lpstr>'CF05'!Titulos_de_impressao</vt:lpstr>
      <vt:lpstr>'CF06'!Titulos_de_impressao</vt:lpstr>
      <vt:lpstr>'CF07'!Titulos_de_impressao</vt:lpstr>
      <vt:lpstr>'CF08'!Titulos_de_impressao</vt:lpstr>
      <vt:lpstr>'CF09'!Titulos_de_impressao</vt:lpstr>
      <vt:lpstr>'CF10'!Titulos_de_impressao</vt:lpstr>
      <vt:lpstr>'CF11'!Titulos_de_impressao</vt:lpstr>
      <vt:lpstr>'CF12'!Titulos_de_impressao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Silas Galvino</dc:creator>
  <cp:keywords/>
  <dc:description/>
  <cp:lastModifiedBy>Gabriel Martins Lira</cp:lastModifiedBy>
  <cp:revision/>
  <dcterms:created xsi:type="dcterms:W3CDTF">2020-01-02T17:40:39Z</dcterms:created>
  <dcterms:modified xsi:type="dcterms:W3CDTF">2022-11-17T13:02:31Z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73802975-95e4-4434-bbe4-a8925353e93a</vt:lpwstr>
  </property>
  <property fmtid="{D5CDD505-2E9C-101B-9397-08002B2CF9AE}" pid="3" name="ContentTypeId">
    <vt:lpwstr>0x0101008EC89E49E6027F478903A3FF5EEC299D</vt:lpwstr>
  </property>
  <property fmtid="{D5CDD505-2E9C-101B-9397-08002B2CF9AE}" pid="4" name="MSIP_Label_11f09a9a-c4cf-493e-a2fa-81d65435da8f_Enabled">
    <vt:lpwstr>true</vt:lpwstr>
  </property>
  <property fmtid="{D5CDD505-2E9C-101B-9397-08002B2CF9AE}" pid="5" name="MSIP_Label_11f09a9a-c4cf-493e-a2fa-81d65435da8f_SetDate">
    <vt:lpwstr>2022-11-17T13:02:19Z</vt:lpwstr>
  </property>
  <property fmtid="{D5CDD505-2E9C-101B-9397-08002B2CF9AE}" pid="6" name="MSIP_Label_11f09a9a-c4cf-493e-a2fa-81d65435da8f_Method">
    <vt:lpwstr>Privileged</vt:lpwstr>
  </property>
  <property fmtid="{D5CDD505-2E9C-101B-9397-08002B2CF9AE}" pid="7" name="MSIP_Label_11f09a9a-c4cf-493e-a2fa-81d65435da8f_Name">
    <vt:lpwstr>TO - Público</vt:lpwstr>
  </property>
  <property fmtid="{D5CDD505-2E9C-101B-9397-08002B2CF9AE}" pid="8" name="MSIP_Label_11f09a9a-c4cf-493e-a2fa-81d65435da8f_SiteId">
    <vt:lpwstr>97298271-1bd7-4ac5-935b-88addef636cc</vt:lpwstr>
  </property>
  <property fmtid="{D5CDD505-2E9C-101B-9397-08002B2CF9AE}" pid="9" name="MSIP_Label_11f09a9a-c4cf-493e-a2fa-81d65435da8f_ActionId">
    <vt:lpwstr>faad3f07-9ff1-4b19-9899-4085a6b21de6</vt:lpwstr>
  </property>
  <property fmtid="{D5CDD505-2E9C-101B-9397-08002B2CF9AE}" pid="10" name="MSIP_Label_11f09a9a-c4cf-493e-a2fa-81d65435da8f_ContentBits">
    <vt:lpwstr>1</vt:lpwstr>
  </property>
</Properties>
</file>