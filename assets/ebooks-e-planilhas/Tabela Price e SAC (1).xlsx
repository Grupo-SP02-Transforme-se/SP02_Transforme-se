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" sheetId="1" r:id="rId4"/>
    <sheet state="visible" name="SAC" sheetId="2" r:id="rId5"/>
  </sheets>
  <definedNames/>
  <calcPr/>
</workbook>
</file>

<file path=xl/sharedStrings.xml><?xml version="1.0" encoding="utf-8"?>
<sst xmlns="http://schemas.openxmlformats.org/spreadsheetml/2006/main" count="16" uniqueCount="8">
  <si>
    <t>Parcela</t>
  </si>
  <si>
    <t>Juros</t>
  </si>
  <si>
    <t>Amortização</t>
  </si>
  <si>
    <t>Pagamento</t>
  </si>
  <si>
    <t>Saldo Devedor</t>
  </si>
  <si>
    <t>Financiamento</t>
  </si>
  <si>
    <t>Taxa ao mês</t>
  </si>
  <si>
    <t>SOMA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</si>
</sst>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R$&quot;\ * #,##0.00_-;\-&quot;R$&quot;\ * #,##0.00_-;_-&quot;R$&quot;\ * &quot;-&quot;??_-;_-@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B4C6E7"/>
        <bgColor rgb="FFB4C6E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164" xfId="0" applyBorder="1" applyFont="1" applyNumberFormat="1"/>
    <xf borderId="1" fillId="0" fontId="2" numFmtId="10" xfId="0" applyBorder="1" applyFont="1" applyNumberFormat="1"/>
    <xf borderId="0" fillId="0" fontId="1" numFmtId="0" xfId="0" applyAlignment="1" applyFont="1">
      <alignment horizontal="center"/>
    </xf>
    <xf borderId="0" fillId="0" fontId="2" numFmtId="164" xfId="0" applyFont="1" applyNumberFormat="1"/>
    <xf borderId="0" fillId="0" fontId="2" numFmtId="0" xfId="0" applyFont="1"/>
    <xf borderId="1" fillId="3" fontId="1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4.71"/>
    <col customWidth="1" min="6" max="6" width="8.71"/>
    <col customWidth="1" min="7" max="7" width="14.29"/>
    <col customWidth="1" min="8" max="8" width="13.71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2">
        <v>10000.0</v>
      </c>
    </row>
    <row r="2" ht="14.25" customHeight="1">
      <c r="A2" s="1">
        <v>0.0</v>
      </c>
      <c r="B2" s="2">
        <v>0.0</v>
      </c>
      <c r="C2" s="2">
        <v>0.0</v>
      </c>
      <c r="D2" s="2">
        <v>0.0</v>
      </c>
      <c r="E2" s="2">
        <f>H1</f>
        <v>10000</v>
      </c>
      <c r="G2" s="1" t="s">
        <v>6</v>
      </c>
      <c r="H2" s="3">
        <v>0.01</v>
      </c>
    </row>
    <row r="3" ht="14.25" customHeight="1">
      <c r="A3" s="1">
        <v>1.0</v>
      </c>
      <c r="B3" s="2">
        <f t="shared" ref="B3:B14" si="1">$H$2*E2</f>
        <v>100</v>
      </c>
      <c r="C3" s="2">
        <f t="shared" ref="C3:C14" si="2">+D3-B3</f>
        <v>788.4878868</v>
      </c>
      <c r="D3" s="2">
        <f>PMT(H2,A14,-E2)</f>
        <v>888.4878868</v>
      </c>
      <c r="E3" s="2">
        <f t="shared" ref="E3:E14" si="3">+E2-C3</f>
        <v>9211.512113</v>
      </c>
    </row>
    <row r="4" ht="14.25" customHeight="1">
      <c r="A4" s="1">
        <v>2.0</v>
      </c>
      <c r="B4" s="2">
        <f t="shared" si="1"/>
        <v>92.11512113</v>
      </c>
      <c r="C4" s="2">
        <f t="shared" si="2"/>
        <v>796.3727657</v>
      </c>
      <c r="D4" s="2">
        <f t="shared" ref="D4:D14" si="4">D3</f>
        <v>888.4878868</v>
      </c>
      <c r="E4" s="2">
        <f t="shared" si="3"/>
        <v>8415.139348</v>
      </c>
    </row>
    <row r="5" ht="14.25" customHeight="1">
      <c r="A5" s="1">
        <v>3.0</v>
      </c>
      <c r="B5" s="2">
        <f t="shared" si="1"/>
        <v>84.15139348</v>
      </c>
      <c r="C5" s="2">
        <f t="shared" si="2"/>
        <v>804.3364933</v>
      </c>
      <c r="D5" s="2">
        <f t="shared" si="4"/>
        <v>888.4878868</v>
      </c>
      <c r="E5" s="2">
        <f t="shared" si="3"/>
        <v>7610.802854</v>
      </c>
    </row>
    <row r="6" ht="14.25" customHeight="1">
      <c r="A6" s="1">
        <v>4.0</v>
      </c>
      <c r="B6" s="2">
        <f t="shared" si="1"/>
        <v>76.10802854</v>
      </c>
      <c r="C6" s="2">
        <f t="shared" si="2"/>
        <v>812.3798582</v>
      </c>
      <c r="D6" s="2">
        <f t="shared" si="4"/>
        <v>888.4878868</v>
      </c>
      <c r="E6" s="2">
        <f t="shared" si="3"/>
        <v>6798.422996</v>
      </c>
    </row>
    <row r="7" ht="14.25" customHeight="1">
      <c r="A7" s="1">
        <v>5.0</v>
      </c>
      <c r="B7" s="2">
        <f t="shared" si="1"/>
        <v>67.98422996</v>
      </c>
      <c r="C7" s="2">
        <f t="shared" si="2"/>
        <v>820.5036568</v>
      </c>
      <c r="D7" s="2">
        <f t="shared" si="4"/>
        <v>888.4878868</v>
      </c>
      <c r="E7" s="2">
        <f t="shared" si="3"/>
        <v>5977.919339</v>
      </c>
    </row>
    <row r="8" ht="14.25" customHeight="1">
      <c r="A8" s="1">
        <v>6.0</v>
      </c>
      <c r="B8" s="2">
        <f t="shared" si="1"/>
        <v>59.77919339</v>
      </c>
      <c r="C8" s="2">
        <f t="shared" si="2"/>
        <v>828.7086934</v>
      </c>
      <c r="D8" s="2">
        <f t="shared" si="4"/>
        <v>888.4878868</v>
      </c>
      <c r="E8" s="2">
        <f t="shared" si="3"/>
        <v>5149.210646</v>
      </c>
    </row>
    <row r="9" ht="14.25" customHeight="1">
      <c r="A9" s="1">
        <v>7.0</v>
      </c>
      <c r="B9" s="2">
        <f t="shared" si="1"/>
        <v>51.49210646</v>
      </c>
      <c r="C9" s="2">
        <f t="shared" si="2"/>
        <v>836.9957803</v>
      </c>
      <c r="D9" s="2">
        <f t="shared" si="4"/>
        <v>888.4878868</v>
      </c>
      <c r="E9" s="2">
        <f t="shared" si="3"/>
        <v>4312.214865</v>
      </c>
    </row>
    <row r="10" ht="14.25" customHeight="1">
      <c r="A10" s="1">
        <v>8.0</v>
      </c>
      <c r="B10" s="2">
        <f t="shared" si="1"/>
        <v>43.12214865</v>
      </c>
      <c r="C10" s="2">
        <f t="shared" si="2"/>
        <v>845.3657381</v>
      </c>
      <c r="D10" s="2">
        <f t="shared" si="4"/>
        <v>888.4878868</v>
      </c>
      <c r="E10" s="2">
        <f t="shared" si="3"/>
        <v>3466.849127</v>
      </c>
    </row>
    <row r="11" ht="14.25" customHeight="1">
      <c r="A11" s="1">
        <v>9.0</v>
      </c>
      <c r="B11" s="2">
        <f t="shared" si="1"/>
        <v>34.66849127</v>
      </c>
      <c r="C11" s="2">
        <f t="shared" si="2"/>
        <v>853.8193955</v>
      </c>
      <c r="D11" s="2">
        <f t="shared" si="4"/>
        <v>888.4878868</v>
      </c>
      <c r="E11" s="2">
        <f t="shared" si="3"/>
        <v>2613.029732</v>
      </c>
    </row>
    <row r="12" ht="14.25" customHeight="1">
      <c r="A12" s="1">
        <v>10.0</v>
      </c>
      <c r="B12" s="2">
        <f t="shared" si="1"/>
        <v>26.13029732</v>
      </c>
      <c r="C12" s="2">
        <f t="shared" si="2"/>
        <v>862.3575895</v>
      </c>
      <c r="D12" s="2">
        <f t="shared" si="4"/>
        <v>888.4878868</v>
      </c>
      <c r="E12" s="2">
        <f t="shared" si="3"/>
        <v>1750.672142</v>
      </c>
    </row>
    <row r="13" ht="14.25" customHeight="1">
      <c r="A13" s="1">
        <v>11.0</v>
      </c>
      <c r="B13" s="2">
        <f t="shared" si="1"/>
        <v>17.50672142</v>
      </c>
      <c r="C13" s="2">
        <f t="shared" si="2"/>
        <v>870.9811654</v>
      </c>
      <c r="D13" s="2">
        <f t="shared" si="4"/>
        <v>888.4878868</v>
      </c>
      <c r="E13" s="2">
        <f t="shared" si="3"/>
        <v>879.690977</v>
      </c>
    </row>
    <row r="14" ht="14.25" customHeight="1">
      <c r="A14" s="1">
        <v>12.0</v>
      </c>
      <c r="B14" s="2">
        <f t="shared" si="1"/>
        <v>8.79690977</v>
      </c>
      <c r="C14" s="2">
        <f t="shared" si="2"/>
        <v>879.690977</v>
      </c>
      <c r="D14" s="2">
        <f t="shared" si="4"/>
        <v>888.4878868</v>
      </c>
      <c r="E14" s="2">
        <f t="shared" si="3"/>
        <v>0</v>
      </c>
    </row>
    <row r="15" ht="14.25" customHeight="1">
      <c r="A15" s="4"/>
      <c r="B15" s="5"/>
      <c r="C15" s="5"/>
      <c r="D15" s="5"/>
      <c r="E15" s="5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1" t="s">
        <v>7</v>
      </c>
      <c r="B16" s="2">
        <f>SUM(B2:B15)</f>
        <v>661.8546414</v>
      </c>
      <c r="C16" s="2"/>
      <c r="D16" s="2">
        <f>SUM(D2:D15)</f>
        <v>10661.85464</v>
      </c>
      <c r="E16" s="2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4.71"/>
    <col customWidth="1" min="6" max="6" width="8.71"/>
    <col customWidth="1" min="7" max="7" width="14.29"/>
    <col customWidth="1" min="8" max="8" width="13.71"/>
    <col customWidth="1" min="9" max="26" width="8.71"/>
  </cols>
  <sheetData>
    <row r="1" ht="14.2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G1" s="7" t="s">
        <v>5</v>
      </c>
      <c r="H1" s="2">
        <v>10000.0</v>
      </c>
    </row>
    <row r="2" ht="14.25" customHeight="1">
      <c r="A2" s="7">
        <v>0.0</v>
      </c>
      <c r="B2" s="2">
        <v>0.0</v>
      </c>
      <c r="C2" s="2">
        <v>0.0</v>
      </c>
      <c r="D2" s="2">
        <v>0.0</v>
      </c>
      <c r="E2" s="2">
        <f>H1</f>
        <v>10000</v>
      </c>
      <c r="G2" s="7" t="s">
        <v>6</v>
      </c>
      <c r="H2" s="3">
        <v>0.01</v>
      </c>
    </row>
    <row r="3" ht="14.25" customHeight="1">
      <c r="A3" s="7">
        <v>1.0</v>
      </c>
      <c r="B3" s="2">
        <f t="shared" ref="B3:B14" si="1">E2*$H$2</f>
        <v>100</v>
      </c>
      <c r="C3" s="2">
        <f>H1/A14</f>
        <v>833.3333333</v>
      </c>
      <c r="D3" s="2">
        <f t="shared" ref="D3:D14" si="2">+C3+B3</f>
        <v>933.3333333</v>
      </c>
      <c r="E3" s="2">
        <f t="shared" ref="E3:E14" si="3">+E2-C3</f>
        <v>9166.666667</v>
      </c>
    </row>
    <row r="4" ht="14.25" customHeight="1">
      <c r="A4" s="7">
        <v>2.0</v>
      </c>
      <c r="B4" s="2">
        <f t="shared" si="1"/>
        <v>91.66666667</v>
      </c>
      <c r="C4" s="2">
        <f t="shared" ref="C4:C14" si="4">C3</f>
        <v>833.3333333</v>
      </c>
      <c r="D4" s="2">
        <f t="shared" si="2"/>
        <v>925</v>
      </c>
      <c r="E4" s="2">
        <f t="shared" si="3"/>
        <v>8333.333333</v>
      </c>
    </row>
    <row r="5" ht="14.25" customHeight="1">
      <c r="A5" s="7">
        <v>3.0</v>
      </c>
      <c r="B5" s="2">
        <f t="shared" si="1"/>
        <v>83.33333333</v>
      </c>
      <c r="C5" s="2">
        <f t="shared" si="4"/>
        <v>833.3333333</v>
      </c>
      <c r="D5" s="2">
        <f t="shared" si="2"/>
        <v>916.6666667</v>
      </c>
      <c r="E5" s="2">
        <f t="shared" si="3"/>
        <v>7500</v>
      </c>
    </row>
    <row r="6" ht="14.25" customHeight="1">
      <c r="A6" s="7">
        <v>4.0</v>
      </c>
      <c r="B6" s="2">
        <f t="shared" si="1"/>
        <v>75</v>
      </c>
      <c r="C6" s="2">
        <f t="shared" si="4"/>
        <v>833.3333333</v>
      </c>
      <c r="D6" s="2">
        <f t="shared" si="2"/>
        <v>908.3333333</v>
      </c>
      <c r="E6" s="2">
        <f t="shared" si="3"/>
        <v>6666.666667</v>
      </c>
    </row>
    <row r="7" ht="14.25" customHeight="1">
      <c r="A7" s="7">
        <v>5.0</v>
      </c>
      <c r="B7" s="2">
        <f t="shared" si="1"/>
        <v>66.66666667</v>
      </c>
      <c r="C7" s="2">
        <f t="shared" si="4"/>
        <v>833.3333333</v>
      </c>
      <c r="D7" s="2">
        <f t="shared" si="2"/>
        <v>900</v>
      </c>
      <c r="E7" s="2">
        <f t="shared" si="3"/>
        <v>5833.333333</v>
      </c>
    </row>
    <row r="8" ht="14.25" customHeight="1">
      <c r="A8" s="7">
        <v>6.0</v>
      </c>
      <c r="B8" s="2">
        <f t="shared" si="1"/>
        <v>58.33333333</v>
      </c>
      <c r="C8" s="2">
        <f t="shared" si="4"/>
        <v>833.3333333</v>
      </c>
      <c r="D8" s="2">
        <f t="shared" si="2"/>
        <v>891.6666667</v>
      </c>
      <c r="E8" s="2">
        <f t="shared" si="3"/>
        <v>5000</v>
      </c>
    </row>
    <row r="9" ht="14.25" customHeight="1">
      <c r="A9" s="7">
        <v>7.0</v>
      </c>
      <c r="B9" s="2">
        <f t="shared" si="1"/>
        <v>50</v>
      </c>
      <c r="C9" s="2">
        <f t="shared" si="4"/>
        <v>833.3333333</v>
      </c>
      <c r="D9" s="2">
        <f t="shared" si="2"/>
        <v>883.3333333</v>
      </c>
      <c r="E9" s="2">
        <f t="shared" si="3"/>
        <v>4166.666667</v>
      </c>
    </row>
    <row r="10" ht="14.25" customHeight="1">
      <c r="A10" s="7">
        <v>8.0</v>
      </c>
      <c r="B10" s="2">
        <f t="shared" si="1"/>
        <v>41.66666667</v>
      </c>
      <c r="C10" s="2">
        <f t="shared" si="4"/>
        <v>833.3333333</v>
      </c>
      <c r="D10" s="2">
        <f t="shared" si="2"/>
        <v>875</v>
      </c>
      <c r="E10" s="2">
        <f t="shared" si="3"/>
        <v>3333.333333</v>
      </c>
    </row>
    <row r="11" ht="14.25" customHeight="1">
      <c r="A11" s="7">
        <v>9.0</v>
      </c>
      <c r="B11" s="2">
        <f t="shared" si="1"/>
        <v>33.33333333</v>
      </c>
      <c r="C11" s="2">
        <f t="shared" si="4"/>
        <v>833.3333333</v>
      </c>
      <c r="D11" s="2">
        <f t="shared" si="2"/>
        <v>866.6666667</v>
      </c>
      <c r="E11" s="2">
        <f t="shared" si="3"/>
        <v>2500</v>
      </c>
    </row>
    <row r="12" ht="14.25" customHeight="1">
      <c r="A12" s="7">
        <v>10.0</v>
      </c>
      <c r="B12" s="2">
        <f t="shared" si="1"/>
        <v>25</v>
      </c>
      <c r="C12" s="2">
        <f t="shared" si="4"/>
        <v>833.3333333</v>
      </c>
      <c r="D12" s="2">
        <f t="shared" si="2"/>
        <v>858.3333333</v>
      </c>
      <c r="E12" s="2">
        <f t="shared" si="3"/>
        <v>1666.666667</v>
      </c>
    </row>
    <row r="13" ht="14.25" customHeight="1">
      <c r="A13" s="7">
        <v>11.0</v>
      </c>
      <c r="B13" s="2">
        <f t="shared" si="1"/>
        <v>16.66666667</v>
      </c>
      <c r="C13" s="2">
        <f t="shared" si="4"/>
        <v>833.3333333</v>
      </c>
      <c r="D13" s="2">
        <f t="shared" si="2"/>
        <v>850</v>
      </c>
      <c r="E13" s="2">
        <f t="shared" si="3"/>
        <v>833.3333333</v>
      </c>
    </row>
    <row r="14" ht="14.25" customHeight="1">
      <c r="A14" s="7">
        <v>12.0</v>
      </c>
      <c r="B14" s="2">
        <f t="shared" si="1"/>
        <v>8.333333333</v>
      </c>
      <c r="C14" s="2">
        <f t="shared" si="4"/>
        <v>833.3333333</v>
      </c>
      <c r="D14" s="2">
        <f t="shared" si="2"/>
        <v>841.6666667</v>
      </c>
      <c r="E14" s="2">
        <f t="shared" si="3"/>
        <v>0</v>
      </c>
    </row>
    <row r="15" ht="14.25" customHeight="1">
      <c r="A15" s="4"/>
      <c r="B15" s="5"/>
      <c r="C15" s="5"/>
      <c r="D15" s="5"/>
      <c r="E15" s="5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7" t="s">
        <v>7</v>
      </c>
      <c r="B16" s="2">
        <f>SUM(B2:B15)</f>
        <v>650</v>
      </c>
      <c r="C16" s="2"/>
      <c r="D16" s="2">
        <f>SUM(D2:D15)</f>
        <v>10650</v>
      </c>
      <c r="E16" s="2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orientation="portrait"/>
  <drawing r:id="rId1"/>
</worksheet>
</file>