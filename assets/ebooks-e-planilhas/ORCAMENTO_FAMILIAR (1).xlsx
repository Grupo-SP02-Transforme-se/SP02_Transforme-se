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çamento" sheetId="1" r:id="rId4"/>
    <sheet state="visible" name="Gráficos" sheetId="2" r:id="rId5"/>
  </sheets>
  <definedNames/>
  <calcPr/>
</workbook>
</file>

<file path=xl/sharedStrings.xml><?xml version="1.0" encoding="utf-8"?>
<sst xmlns="http://schemas.openxmlformats.org/spreadsheetml/2006/main" count="95" uniqueCount="80">
  <si>
    <t>[ PLANILHA ORÇAMENTO FAMILIAR ] - LANÇAMENTOS DE VALORES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</si>
  <si>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</si>
  <si>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</si>
  <si>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</si>
  <si>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</si>
  <si>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</si>
  <si>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</si>
  <si>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</si>
  <si>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</si>
  <si>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</si>
  <si>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</si>
  <si>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</si>
  <si>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</si>
  <si>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</si>
  <si>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TENDÊNCIA</t>
  </si>
  <si>
    <t>RECEITAS</t>
  </si>
  <si>
    <t>DESPESAS</t>
  </si>
  <si>
    <t>SALDO MENSAL</t>
  </si>
  <si>
    <t>SALDO ACUMULADO</t>
  </si>
  <si>
    <t>Descrição de Receitas</t>
  </si>
  <si>
    <t>COMPOSIÇÃO RECEITA</t>
  </si>
  <si>
    <t>Salários</t>
  </si>
  <si>
    <t>13º. Salário</t>
  </si>
  <si>
    <t>Férias</t>
  </si>
  <si>
    <t>Retirada de Poupança</t>
  </si>
  <si>
    <t>Retirada de Aplicações</t>
  </si>
  <si>
    <t>Outros</t>
  </si>
  <si>
    <t>Descrição de Despesas por Categoria</t>
  </si>
  <si>
    <t>% EM RELAÇÃO À RECEITA</t>
  </si>
  <si>
    <t>HABITAÇÃO</t>
  </si>
  <si>
    <t>Aluguel/Prestação</t>
  </si>
  <si>
    <t>Condomínio</t>
  </si>
  <si>
    <t>IPTU</t>
  </si>
  <si>
    <t>Luz</t>
  </si>
  <si>
    <t>Telefones</t>
  </si>
  <si>
    <t>TV por Assinatura</t>
  </si>
  <si>
    <t>Internet</t>
  </si>
  <si>
    <t>Empregada</t>
  </si>
  <si>
    <t>EDUCAÇÃO</t>
  </si>
  <si>
    <t>Faculdade</t>
  </si>
  <si>
    <t>Curso de Idiomas</t>
  </si>
  <si>
    <t>Material Escolar</t>
  </si>
  <si>
    <t>Cursos profissionalizantes</t>
  </si>
  <si>
    <t>Escola filho</t>
  </si>
  <si>
    <t>SAÚDE</t>
  </si>
  <si>
    <t>Plano de Saúde</t>
  </si>
  <si>
    <t>Dentista</t>
  </si>
  <si>
    <t>Medicamentos</t>
  </si>
  <si>
    <t>TRANSPORTE</t>
  </si>
  <si>
    <t>Ônibus / Metrô</t>
  </si>
  <si>
    <t>Carros de Aplicativos</t>
  </si>
  <si>
    <t>Táxi</t>
  </si>
  <si>
    <t>Prestação carro</t>
  </si>
  <si>
    <t>Seguro</t>
  </si>
  <si>
    <t>Combustível</t>
  </si>
  <si>
    <t>DESPESAS PESSOAIS</t>
  </si>
  <si>
    <t>Alimentação</t>
  </si>
  <si>
    <t>Higiene Pessoal</t>
  </si>
  <si>
    <t>Cosméticos</t>
  </si>
  <si>
    <t>Cabeleireiro</t>
  </si>
  <si>
    <t>Vestuário</t>
  </si>
  <si>
    <t>Lavanderia</t>
  </si>
  <si>
    <t>Academia</t>
  </si>
  <si>
    <t>Telefone Celular</t>
  </si>
  <si>
    <t>LAZER</t>
  </si>
  <si>
    <t>Restaurantes</t>
  </si>
  <si>
    <t>Cafés/Bares</t>
  </si>
  <si>
    <t>Cinema</t>
  </si>
  <si>
    <t>Passagens</t>
  </si>
  <si>
    <t>Hotéis</t>
  </si>
  <si>
    <t>Passeios</t>
  </si>
  <si>
    <t>FINANCEIRO</t>
  </si>
  <si>
    <t>Cartões de Crédito</t>
  </si>
  <si>
    <t>Empréstimos</t>
  </si>
  <si>
    <t>OUTROS</t>
  </si>
  <si>
    <t>Poupança</t>
  </si>
  <si>
    <t>Outros Investimentos</t>
  </si>
  <si>
    <t>Presentes</t>
  </si>
  <si>
    <t>Doações</t>
  </si>
  <si>
    <t>[ PLANILHA ORÇAMENTO FAMILIAR ] - ANÁLISE GRÁFICA DE VALORES E GASTOS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</si>
</sst>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0.0%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8.0"/>
      <color rgb="FF070F62"/>
      <name val="Calibri"/>
    </font>
    <font>
      <b/>
      <sz val="14.0"/>
      <color theme="0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4.0"/>
      <color theme="1"/>
      <name val="Calibri"/>
    </font>
    <font>
      <b/>
      <sz val="10.0"/>
      <color rgb="FF0000FF"/>
      <name val="Calibri"/>
    </font>
    <font>
      <b/>
      <sz val="10.0"/>
      <color rgb="FF10622F"/>
      <name val="Calibri"/>
    </font>
    <font>
      <sz val="9.0"/>
      <color theme="1"/>
      <name val="Calibri"/>
    </font>
    <font>
      <b/>
      <i/>
      <sz val="10.0"/>
      <color theme="1"/>
      <name val="Calibri"/>
    </font>
    <font>
      <b/>
      <sz val="10.0"/>
      <color rgb="FFC00000"/>
      <name val="Calibri"/>
    </font>
    <font/>
    <font>
      <sz val="8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0622F"/>
        <bgColor rgb="FF10622F"/>
      </patternFill>
    </fill>
    <fill>
      <patternFill patternType="solid">
        <fgColor rgb="FF070F62"/>
        <bgColor rgb="FF070F62"/>
      </patternFill>
    </fill>
    <fill>
      <patternFill patternType="solid">
        <fgColor rgb="FFC8C8C8"/>
        <bgColor rgb="FFC8C8C8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ECBC6"/>
        <bgColor rgb="FFFECBC6"/>
      </patternFill>
    </fill>
    <fill>
      <patternFill patternType="solid">
        <fgColor rgb="FFFBE4D5"/>
        <bgColor rgb="FFFBE4D5"/>
      </patternFill>
    </fill>
    <fill>
      <patternFill patternType="solid">
        <fgColor rgb="FFDADADA"/>
        <bgColor rgb="FFDADADA"/>
      </patternFill>
    </fill>
  </fills>
  <borders count="7">
    <border/>
    <border>
      <left/>
      <right/>
      <top/>
      <bottom/>
    </border>
    <border>
      <left/>
      <right/>
      <top/>
      <bottom style="thick">
        <color rgb="FF10622F"/>
      </bottom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</border>
    <border>
      <left style="thin">
        <color theme="6"/>
      </left>
      <top style="thin">
        <color theme="6"/>
      </top>
      <bottom style="thin">
        <color theme="6"/>
      </bottom>
    </border>
    <border>
      <top style="thin">
        <color theme="6"/>
      </top>
      <bottom style="thin">
        <color theme="6"/>
      </bottom>
    </border>
    <border>
      <right style="thin">
        <color theme="6"/>
      </right>
      <top style="thin">
        <color theme="6"/>
      </top>
      <bottom style="thin">
        <color theme="6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2" fillId="3" fontId="1" numFmtId="0" xfId="0" applyAlignment="1" applyBorder="1" applyFill="1" applyFont="1">
      <alignment vertical="center"/>
    </xf>
    <xf borderId="2" fillId="3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3" fillId="4" fontId="5" numFmtId="164" xfId="0" applyAlignment="1" applyBorder="1" applyFill="1" applyFont="1" applyNumberFormat="1">
      <alignment horizontal="center" vertical="center"/>
    </xf>
    <xf borderId="3" fillId="5" fontId="5" numFmtId="0" xfId="0" applyAlignment="1" applyBorder="1" applyFill="1" applyFont="1">
      <alignment vertical="center"/>
    </xf>
    <xf borderId="3" fillId="5" fontId="5" numFmtId="164" xfId="0" applyAlignment="1" applyBorder="1" applyFont="1" applyNumberFormat="1">
      <alignment vertical="center"/>
    </xf>
    <xf borderId="3" fillId="5" fontId="4" numFmtId="0" xfId="0" applyAlignment="1" applyBorder="1" applyFont="1">
      <alignment vertical="center"/>
    </xf>
    <xf borderId="3" fillId="6" fontId="5" numFmtId="164" xfId="0" applyAlignment="1" applyBorder="1" applyFill="1" applyFont="1" applyNumberFormat="1">
      <alignment vertical="center"/>
    </xf>
    <xf borderId="0" fillId="0" fontId="4" numFmtId="164" xfId="0" applyAlignment="1" applyFont="1" applyNumberFormat="1">
      <alignment vertical="center"/>
    </xf>
    <xf borderId="1" fillId="7" fontId="6" numFmtId="0" xfId="0" applyAlignment="1" applyBorder="1" applyFill="1" applyFont="1">
      <alignment vertical="center"/>
    </xf>
    <xf borderId="1" fillId="7" fontId="4" numFmtId="164" xfId="0" applyAlignment="1" applyBorder="1" applyFont="1" applyNumberFormat="1">
      <alignment vertical="center"/>
    </xf>
    <xf borderId="1" fillId="7" fontId="4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3" fillId="8" fontId="8" numFmtId="0" xfId="0" applyAlignment="1" applyBorder="1" applyFill="1" applyFont="1">
      <alignment vertical="center"/>
    </xf>
    <xf borderId="3" fillId="8" fontId="8" numFmtId="164" xfId="0" applyAlignment="1" applyBorder="1" applyFont="1" applyNumberFormat="1">
      <alignment vertical="center"/>
    </xf>
    <xf borderId="3" fillId="0" fontId="4" numFmtId="0" xfId="0" applyAlignment="1" applyBorder="1" applyFont="1">
      <alignment vertical="center"/>
    </xf>
    <xf borderId="3" fillId="0" fontId="9" numFmtId="164" xfId="0" applyAlignment="1" applyBorder="1" applyFont="1" applyNumberFormat="1">
      <alignment vertical="center"/>
    </xf>
    <xf borderId="3" fillId="5" fontId="10" numFmtId="165" xfId="0" applyAlignment="1" applyBorder="1" applyFont="1" applyNumberFormat="1">
      <alignment horizontal="center" vertical="center"/>
    </xf>
    <xf borderId="1" fillId="9" fontId="6" numFmtId="0" xfId="0" applyAlignment="1" applyBorder="1" applyFill="1" applyFont="1">
      <alignment vertical="center"/>
    </xf>
    <xf borderId="1" fillId="9" fontId="4" numFmtId="164" xfId="0" applyAlignment="1" applyBorder="1" applyFont="1" applyNumberFormat="1">
      <alignment vertical="center"/>
    </xf>
    <xf borderId="1" fillId="9" fontId="4" numFmtId="0" xfId="0" applyAlignment="1" applyBorder="1" applyFont="1">
      <alignment vertical="center"/>
    </xf>
    <xf borderId="3" fillId="5" fontId="5" numFmtId="10" xfId="0" applyAlignment="1" applyBorder="1" applyFont="1" applyNumberFormat="1">
      <alignment horizontal="center" vertical="center"/>
    </xf>
    <xf borderId="3" fillId="10" fontId="11" numFmtId="0" xfId="0" applyAlignment="1" applyBorder="1" applyFill="1" applyFont="1">
      <alignment vertical="center"/>
    </xf>
    <xf borderId="3" fillId="10" fontId="11" numFmtId="164" xfId="0" applyAlignment="1" applyBorder="1" applyFont="1" applyNumberFormat="1">
      <alignment vertical="center"/>
    </xf>
    <xf borderId="3" fillId="0" fontId="4" numFmtId="164" xfId="0" applyAlignment="1" applyBorder="1" applyFont="1" applyNumberFormat="1">
      <alignment vertical="center"/>
    </xf>
    <xf borderId="3" fillId="11" fontId="5" numFmtId="0" xfId="0" applyAlignment="1" applyBorder="1" applyFill="1" applyFont="1">
      <alignment vertical="center"/>
    </xf>
    <xf borderId="3" fillId="11" fontId="5" numFmtId="10" xfId="0" applyAlignment="1" applyBorder="1" applyFont="1" applyNumberFormat="1">
      <alignment horizontal="center" vertical="center"/>
    </xf>
    <xf borderId="4" fillId="5" fontId="5" numFmtId="0" xfId="0" applyAlignment="1" applyBorder="1" applyFont="1">
      <alignment horizontal="center" vertical="center"/>
    </xf>
    <xf borderId="5" fillId="0" fontId="12" numFmtId="0" xfId="0" applyBorder="1" applyFont="1"/>
    <xf borderId="6" fillId="0" fontId="12" numFmtId="0" xfId="0" applyBorder="1" applyFont="1"/>
    <xf borderId="3" fillId="5" fontId="13" numFmtId="0" xfId="0" applyAlignment="1" applyBorder="1" applyFont="1">
      <alignment vertical="center"/>
    </xf>
    <xf borderId="3" fillId="5" fontId="4" numFmtId="164" xfId="0" applyAlignment="1" applyBorder="1" applyFont="1" applyNumberFormat="1">
      <alignment vertical="center"/>
    </xf>
    <xf borderId="3" fillId="5" fontId="4" numFmtId="9" xfId="0" applyAlignment="1" applyBorder="1" applyFont="1" applyNumberFormat="1">
      <alignment vertical="center"/>
    </xf>
  </cellXfs>
  <cellStyles count="1">
    <cellStyle xfId="0" name="Normal" builtinId="0"/>
  </cellStyles>
  <dxfs count="2">
    <dxf>
      <font>
        <color rgb="FFC00000"/>
      </font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Calibri"/>
              </a:defRPr>
            </a:pPr>
            <a:r>
              <a:rPr b="1" i="0" sz="1100">
                <a:solidFill>
                  <a:srgbClr val="000000"/>
                </a:solidFill>
                <a:latin typeface="Calibri"/>
              </a:rPr>
              <a:t>PARA ONDE VAI MEU DINHEIRO?</a:t>
            </a:r>
          </a:p>
        </c:rich>
      </c:tx>
      <c:layout>
        <c:manualLayout>
          <c:xMode val="edge"/>
          <c:yMode val="edge"/>
          <c:x val="0.007588293650793616"/>
          <c:y val="0.035277777777777776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'Gráficos'!$V$9:$V$16</c:f>
            </c:strRef>
          </c:cat>
          <c:val>
            <c:numRef>
              <c:f>'Gráficos'!$W$9:$W$16</c:f>
              <c:numCache/>
            </c:numRef>
          </c:val>
        </c:ser>
        <c:axId val="493373359"/>
        <c:axId val="273931019"/>
      </c:barChart>
      <c:catAx>
        <c:axId val="493373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Calibri"/>
              </a:defRPr>
            </a:pPr>
          </a:p>
        </c:txPr>
        <c:crossAx val="273931019"/>
      </c:catAx>
      <c:valAx>
        <c:axId val="2739310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373359"/>
      </c:valAx>
    </c:plotArea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Calibri"/>
              </a:defRPr>
            </a:pPr>
            <a:r>
              <a:rPr b="1" i="0" sz="1100">
                <a:solidFill>
                  <a:srgbClr val="000000"/>
                </a:solidFill>
                <a:latin typeface="Calibri"/>
              </a:rPr>
              <a:t>ACOMPANHAMENTO MENSAL DE VALORES</a:t>
            </a:r>
          </a:p>
        </c:rich>
      </c:tx>
      <c:layout>
        <c:manualLayout>
          <c:xMode val="edge"/>
          <c:yMode val="edge"/>
          <c:x val="0.010813690476190444"/>
          <c:y val="0.0293981481481481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RECEITAS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cat>
            <c:strRef>
              <c:f>'Orçamento'!$C$5:$N$5</c:f>
            </c:strRef>
          </c:cat>
          <c:val>
            <c:numRef>
              <c:f>'Orçamento'!$C$6:$N$6</c:f>
              <c:numCache/>
            </c:numRef>
          </c:val>
        </c:ser>
        <c:ser>
          <c:idx val="1"/>
          <c:order val="1"/>
          <c:tx>
            <c:v>DESPESAS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'Orçamento'!$C$5:$N$5</c:f>
            </c:strRef>
          </c:cat>
          <c:val>
            <c:numRef>
              <c:f>'Orçamento'!$C$7:$N$7</c:f>
              <c:numCache/>
            </c:numRef>
          </c:val>
        </c:ser>
        <c:axId val="1599301745"/>
        <c:axId val="1150586759"/>
      </c:barChart>
      <c:lineChart>
        <c:varyColors val="0"/>
        <c:ser>
          <c:idx val="2"/>
          <c:order val="2"/>
          <c:tx>
            <c:v>SALDO MENSAL</c:v>
          </c:tx>
          <c:spPr>
            <a:ln cmpd="sng" w="1905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'Orçamento'!$C$5:$N$5</c:f>
            </c:strRef>
          </c:cat>
          <c:val>
            <c:numRef>
              <c:f>'Orçamento'!$C$8:$N$8</c:f>
              <c:numCache/>
            </c:numRef>
          </c:val>
          <c:smooth val="1"/>
        </c:ser>
        <c:axId val="1599301745"/>
        <c:axId val="1150586759"/>
      </c:lineChart>
      <c:catAx>
        <c:axId val="1599301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Calibri"/>
              </a:defRPr>
            </a:pPr>
          </a:p>
        </c:txPr>
        <c:crossAx val="1150586759"/>
      </c:catAx>
      <c:valAx>
        <c:axId val="1150586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599301745"/>
      </c:valAx>
    </c:plotArea>
    <c:legend>
      <c:legendPos val="t"/>
      <c:layout>
        <c:manualLayout>
          <c:xMode val="edge"/>
          <c:yMode val="edge"/>
          <c:x val="0.684637003968254"/>
          <c:y val="0.04368564814814814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Or&#231;amento!A1" TargetMode="External"/><Relationship Id="rId2" Type="http://schemas.openxmlformats.org/officeDocument/2006/relationships/hyperlink" Target="#Gr&#225;ficos!A1" TargetMode="External"/><Relationship Id="rId3" Type="http://schemas.openxmlformats.org/officeDocument/2006/relationships/hyperlink" Target="#B&#212;NUS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hyperlink" Target="#Or&#231;amento!A1" TargetMode="External"/><Relationship Id="rId4" Type="http://schemas.openxmlformats.org/officeDocument/2006/relationships/hyperlink" Target="#Gr&#225;ficos!A1" TargetMode="External"/><Relationship Id="rId5" Type="http://schemas.openxmlformats.org/officeDocument/2006/relationships/hyperlink" Target="#B&#212;NUS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1219200</xdr:colOff>
      <xdr:row>0</xdr:row>
      <xdr:rowOff>47625</xdr:rowOff>
    </xdr:from>
    <xdr:ext cx="1800225" cy="361950"/>
    <xdr:sp>
      <xdr:nvSpPr>
        <xdr:cNvPr id="3" name="Shape 3">
          <a:hlinkClick r:id="rId1"/>
        </xdr:cNvPr>
        <xdr:cNvSpPr/>
      </xdr:nvSpPr>
      <xdr:spPr>
        <a:xfrm>
          <a:off x="4450650" y="3603788"/>
          <a:ext cx="1790700" cy="35242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LANÇAMENTOS</a:t>
          </a:r>
          <a:endParaRPr sz="1400"/>
        </a:p>
      </xdr:txBody>
    </xdr:sp>
    <xdr:clientData fLocksWithSheet="0"/>
  </xdr:oneCellAnchor>
  <xdr:oneCellAnchor>
    <xdr:from>
      <xdr:col>3</xdr:col>
      <xdr:colOff>390525</xdr:colOff>
      <xdr:row>0</xdr:row>
      <xdr:rowOff>47625</xdr:rowOff>
    </xdr:from>
    <xdr:ext cx="1704975" cy="361950"/>
    <xdr:sp>
      <xdr:nvSpPr>
        <xdr:cNvPr id="4" name="Shape 4">
          <a:hlinkClick r:id="rId2"/>
        </xdr:cNvPr>
        <xdr:cNvSpPr/>
      </xdr:nvSpPr>
      <xdr:spPr>
        <a:xfrm>
          <a:off x="4498275" y="3603788"/>
          <a:ext cx="1695450" cy="352425"/>
        </a:xfrm>
        <a:prstGeom prst="roundRect">
          <a:avLst>
            <a:gd fmla="val 16667" name="adj"/>
          </a:avLst>
        </a:prstGeom>
        <a:solidFill>
          <a:srgbClr val="10622F"/>
        </a:solidFill>
        <a:ln cap="flat" cmpd="sng" w="9525">
          <a:solidFill>
            <a:schemeClr val="lt2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GRÁFICOS</a:t>
          </a:r>
          <a:endParaRPr sz="1400"/>
        </a:p>
      </xdr:txBody>
    </xdr:sp>
    <xdr:clientData fLocksWithSheet="0"/>
  </xdr:oneCellAnchor>
  <xdr:oneCellAnchor>
    <xdr:from>
      <xdr:col>5</xdr:col>
      <xdr:colOff>180975</xdr:colOff>
      <xdr:row>0</xdr:row>
      <xdr:rowOff>47625</xdr:rowOff>
    </xdr:from>
    <xdr:ext cx="1571625" cy="361950"/>
    <xdr:sp>
      <xdr:nvSpPr>
        <xdr:cNvPr id="5" name="Shape 5">
          <a:hlinkClick r:id="rId3"/>
        </xdr:cNvPr>
        <xdr:cNvSpPr/>
      </xdr:nvSpPr>
      <xdr:spPr>
        <a:xfrm>
          <a:off x="4564950" y="3603788"/>
          <a:ext cx="1562100" cy="352425"/>
        </a:xfrm>
        <a:prstGeom prst="roundRect">
          <a:avLst>
            <a:gd fmla="val 16667" name="adj"/>
          </a:avLst>
        </a:prstGeom>
        <a:solidFill>
          <a:srgbClr val="10622F"/>
        </a:solidFill>
        <a:ln cap="flat" cmpd="sng" w="9525">
          <a:solidFill>
            <a:schemeClr val="lt2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BÔNUS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190500</xdr:rowOff>
    </xdr:from>
    <xdr:ext cx="11449050" cy="21621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3</xdr:row>
      <xdr:rowOff>85725</xdr:rowOff>
    </xdr:from>
    <xdr:ext cx="11458575" cy="21526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0</xdr:row>
      <xdr:rowOff>47625</xdr:rowOff>
    </xdr:from>
    <xdr:ext cx="1619250" cy="361950"/>
    <xdr:sp>
      <xdr:nvSpPr>
        <xdr:cNvPr id="6" name="Shape 6">
          <a:hlinkClick r:id="rId3"/>
        </xdr:cNvPr>
        <xdr:cNvSpPr/>
      </xdr:nvSpPr>
      <xdr:spPr>
        <a:xfrm>
          <a:off x="4541138" y="3603788"/>
          <a:ext cx="1609725" cy="352425"/>
        </a:xfrm>
        <a:prstGeom prst="roundRect">
          <a:avLst>
            <a:gd fmla="val 16667" name="adj"/>
          </a:avLst>
        </a:prstGeom>
        <a:solidFill>
          <a:srgbClr val="10622F"/>
        </a:solidFill>
        <a:ln cap="flat" cmpd="sng" w="9525">
          <a:solidFill>
            <a:schemeClr val="lt2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LANÇAMENTOS</a:t>
          </a:r>
          <a:endParaRPr sz="1400"/>
        </a:p>
      </xdr:txBody>
    </xdr:sp>
    <xdr:clientData fLocksWithSheet="0"/>
  </xdr:oneCellAnchor>
  <xdr:oneCellAnchor>
    <xdr:from>
      <xdr:col>5</xdr:col>
      <xdr:colOff>342900</xdr:colOff>
      <xdr:row>0</xdr:row>
      <xdr:rowOff>47625</xdr:rowOff>
    </xdr:from>
    <xdr:ext cx="1619250" cy="361950"/>
    <xdr:sp>
      <xdr:nvSpPr>
        <xdr:cNvPr id="7" name="Shape 7">
          <a:hlinkClick r:id="rId4"/>
        </xdr:cNvPr>
        <xdr:cNvSpPr/>
      </xdr:nvSpPr>
      <xdr:spPr>
        <a:xfrm>
          <a:off x="4541138" y="3603788"/>
          <a:ext cx="1609725" cy="35242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GRÁFICOS</a:t>
          </a:r>
          <a:endParaRPr sz="1400"/>
        </a:p>
      </xdr:txBody>
    </xdr:sp>
    <xdr:clientData fLocksWithSheet="0"/>
  </xdr:oneCellAnchor>
  <xdr:oneCellAnchor>
    <xdr:from>
      <xdr:col>8</xdr:col>
      <xdr:colOff>76200</xdr:colOff>
      <xdr:row>0</xdr:row>
      <xdr:rowOff>47625</xdr:rowOff>
    </xdr:from>
    <xdr:ext cx="1619250" cy="361950"/>
    <xdr:sp>
      <xdr:nvSpPr>
        <xdr:cNvPr id="8" name="Shape 8">
          <a:hlinkClick r:id="rId5"/>
        </xdr:cNvPr>
        <xdr:cNvSpPr/>
      </xdr:nvSpPr>
      <xdr:spPr>
        <a:xfrm>
          <a:off x="4541138" y="3603788"/>
          <a:ext cx="1609725" cy="352425"/>
        </a:xfrm>
        <a:prstGeom prst="roundRect">
          <a:avLst>
            <a:gd fmla="val 16667" name="adj"/>
          </a:avLst>
        </a:prstGeom>
        <a:solidFill>
          <a:srgbClr val="10622F"/>
        </a:solidFill>
        <a:ln cap="flat" cmpd="sng" w="9525">
          <a:solidFill>
            <a:schemeClr val="lt2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BÔNUS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0.88"/>
    <col customWidth="1" min="2" max="2" width="22.63"/>
    <col customWidth="1" min="3" max="15" width="13.25"/>
    <col customWidth="1" min="16" max="16" width="16.75"/>
    <col customWidth="1" min="17" max="34" width="11.38"/>
  </cols>
  <sheetData>
    <row r="1" ht="19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.5" customHeight="1">
      <c r="A3" s="3"/>
      <c r="B3" s="4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ht="7.5" customHeight="1"/>
    <row r="5" ht="24.75" customHeight="1">
      <c r="A5" s="5"/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ht="22.5" customHeight="1">
      <c r="A6" s="5"/>
      <c r="B6" s="7" t="s">
        <v>15</v>
      </c>
      <c r="C6" s="8">
        <f t="shared" ref="C6:N6" si="1">C12</f>
        <v>735</v>
      </c>
      <c r="D6" s="8">
        <f t="shared" si="1"/>
        <v>830</v>
      </c>
      <c r="E6" s="8">
        <f t="shared" si="1"/>
        <v>700</v>
      </c>
      <c r="F6" s="8">
        <f t="shared" si="1"/>
        <v>750</v>
      </c>
      <c r="G6" s="8">
        <f t="shared" si="1"/>
        <v>630</v>
      </c>
      <c r="H6" s="8">
        <f t="shared" si="1"/>
        <v>0</v>
      </c>
      <c r="I6" s="8">
        <f t="shared" si="1"/>
        <v>0</v>
      </c>
      <c r="J6" s="8">
        <f t="shared" si="1"/>
        <v>0</v>
      </c>
      <c r="K6" s="8">
        <f t="shared" si="1"/>
        <v>0</v>
      </c>
      <c r="L6" s="8">
        <f t="shared" si="1"/>
        <v>0</v>
      </c>
      <c r="M6" s="8">
        <f t="shared" si="1"/>
        <v>0</v>
      </c>
      <c r="N6" s="8">
        <f t="shared" si="1"/>
        <v>0</v>
      </c>
      <c r="O6" s="8">
        <f t="shared" ref="O6:O7" si="3">SUM(C6:N6)</f>
        <v>3645</v>
      </c>
      <c r="P6" s="9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ht="22.5" customHeight="1">
      <c r="A7" s="5"/>
      <c r="B7" s="7" t="s">
        <v>16</v>
      </c>
      <c r="C7" s="8">
        <f t="shared" ref="C7:N7" si="2">C22+C34+C43+C50+C60+C72+C82+C88</f>
        <v>452</v>
      </c>
      <c r="D7" s="8">
        <f t="shared" si="2"/>
        <v>392</v>
      </c>
      <c r="E7" s="8">
        <f t="shared" si="2"/>
        <v>745</v>
      </c>
      <c r="F7" s="8">
        <f t="shared" si="2"/>
        <v>330</v>
      </c>
      <c r="G7" s="8">
        <f t="shared" si="2"/>
        <v>200</v>
      </c>
      <c r="H7" s="8">
        <f t="shared" si="2"/>
        <v>0</v>
      </c>
      <c r="I7" s="8">
        <f t="shared" si="2"/>
        <v>0</v>
      </c>
      <c r="J7" s="8">
        <f t="shared" si="2"/>
        <v>0</v>
      </c>
      <c r="K7" s="8">
        <f t="shared" si="2"/>
        <v>0</v>
      </c>
      <c r="L7" s="8">
        <f t="shared" si="2"/>
        <v>0</v>
      </c>
      <c r="M7" s="8">
        <f t="shared" si="2"/>
        <v>0</v>
      </c>
      <c r="N7" s="8">
        <f t="shared" si="2"/>
        <v>0</v>
      </c>
      <c r="O7" s="8">
        <f t="shared" si="3"/>
        <v>2119</v>
      </c>
      <c r="P7" s="9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ht="22.5" customHeight="1">
      <c r="A8" s="5"/>
      <c r="B8" s="7" t="s">
        <v>17</v>
      </c>
      <c r="C8" s="10">
        <f t="shared" ref="C8:O8" si="4">C6-C7</f>
        <v>283</v>
      </c>
      <c r="D8" s="10">
        <f t="shared" si="4"/>
        <v>438</v>
      </c>
      <c r="E8" s="10">
        <f t="shared" si="4"/>
        <v>-45</v>
      </c>
      <c r="F8" s="10">
        <f t="shared" si="4"/>
        <v>420</v>
      </c>
      <c r="G8" s="10">
        <f t="shared" si="4"/>
        <v>430</v>
      </c>
      <c r="H8" s="10">
        <f t="shared" si="4"/>
        <v>0</v>
      </c>
      <c r="I8" s="10">
        <f t="shared" si="4"/>
        <v>0</v>
      </c>
      <c r="J8" s="10">
        <f t="shared" si="4"/>
        <v>0</v>
      </c>
      <c r="K8" s="10">
        <f t="shared" si="4"/>
        <v>0</v>
      </c>
      <c r="L8" s="10">
        <f t="shared" si="4"/>
        <v>0</v>
      </c>
      <c r="M8" s="10">
        <f t="shared" si="4"/>
        <v>0</v>
      </c>
      <c r="N8" s="10">
        <f t="shared" si="4"/>
        <v>0</v>
      </c>
      <c r="O8" s="10">
        <f t="shared" si="4"/>
        <v>1526</v>
      </c>
      <c r="P8" s="9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ht="22.5" customHeight="1">
      <c r="A9" s="5"/>
      <c r="B9" s="7" t="s">
        <v>18</v>
      </c>
      <c r="C9" s="10">
        <f>C8</f>
        <v>283</v>
      </c>
      <c r="D9" s="10">
        <f t="shared" ref="D9:N9" si="5">C9+D8</f>
        <v>721</v>
      </c>
      <c r="E9" s="10">
        <f t="shared" si="5"/>
        <v>676</v>
      </c>
      <c r="F9" s="10">
        <f t="shared" si="5"/>
        <v>1096</v>
      </c>
      <c r="G9" s="10">
        <f t="shared" si="5"/>
        <v>1526</v>
      </c>
      <c r="H9" s="10">
        <f t="shared" si="5"/>
        <v>1526</v>
      </c>
      <c r="I9" s="10">
        <f t="shared" si="5"/>
        <v>1526</v>
      </c>
      <c r="J9" s="10">
        <f t="shared" si="5"/>
        <v>1526</v>
      </c>
      <c r="K9" s="10">
        <f t="shared" si="5"/>
        <v>1526</v>
      </c>
      <c r="L9" s="10">
        <f t="shared" si="5"/>
        <v>1526</v>
      </c>
      <c r="M9" s="10">
        <f t="shared" si="5"/>
        <v>1526</v>
      </c>
      <c r="N9" s="10">
        <f t="shared" si="5"/>
        <v>1526</v>
      </c>
      <c r="O9" s="10">
        <f>N9</f>
        <v>1526</v>
      </c>
      <c r="P9" s="9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ht="7.5" customHeight="1">
      <c r="A10" s="5"/>
      <c r="B10" s="5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ht="19.5" customHeight="1">
      <c r="A11" s="5"/>
      <c r="B11" s="12" t="s">
        <v>19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ht="18.0" customHeight="1">
      <c r="A12" s="15"/>
      <c r="B12" s="16" t="s">
        <v>20</v>
      </c>
      <c r="C12" s="17">
        <f t="shared" ref="C12:O12" si="6">SUM(C13:C18)</f>
        <v>735</v>
      </c>
      <c r="D12" s="17">
        <f t="shared" si="6"/>
        <v>830</v>
      </c>
      <c r="E12" s="17">
        <f t="shared" si="6"/>
        <v>700</v>
      </c>
      <c r="F12" s="17">
        <f t="shared" si="6"/>
        <v>750</v>
      </c>
      <c r="G12" s="17">
        <f t="shared" si="6"/>
        <v>630</v>
      </c>
      <c r="H12" s="17">
        <f t="shared" si="6"/>
        <v>0</v>
      </c>
      <c r="I12" s="17">
        <f t="shared" si="6"/>
        <v>0</v>
      </c>
      <c r="J12" s="17">
        <f t="shared" si="6"/>
        <v>0</v>
      </c>
      <c r="K12" s="17">
        <f t="shared" si="6"/>
        <v>0</v>
      </c>
      <c r="L12" s="17">
        <f t="shared" si="6"/>
        <v>0</v>
      </c>
      <c r="M12" s="17">
        <f t="shared" si="6"/>
        <v>0</v>
      </c>
      <c r="N12" s="17">
        <f t="shared" si="6"/>
        <v>0</v>
      </c>
      <c r="O12" s="17">
        <f t="shared" si="6"/>
        <v>3645</v>
      </c>
      <c r="P12" s="9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15"/>
      <c r="AF12" s="15"/>
      <c r="AG12" s="15"/>
      <c r="AH12" s="15"/>
    </row>
    <row r="13" ht="18.0" customHeight="1">
      <c r="A13" s="5"/>
      <c r="B13" s="18" t="s">
        <v>21</v>
      </c>
      <c r="C13" s="19">
        <v>180.0</v>
      </c>
      <c r="D13" s="19">
        <v>200.0</v>
      </c>
      <c r="E13" s="19">
        <v>250.0</v>
      </c>
      <c r="F13" s="19">
        <v>250.0</v>
      </c>
      <c r="G13" s="19">
        <v>250.0</v>
      </c>
      <c r="H13" s="19"/>
      <c r="I13" s="19"/>
      <c r="J13" s="19"/>
      <c r="K13" s="19"/>
      <c r="L13" s="19"/>
      <c r="M13" s="19"/>
      <c r="N13" s="19"/>
      <c r="O13" s="8">
        <f t="shared" ref="O13:O18" si="7">SUM(C13:N13)</f>
        <v>1130</v>
      </c>
      <c r="P13" s="20">
        <f t="shared" ref="P13:P18" si="8">IFERROR(O13/$O$12,0)</f>
        <v>0.3100137174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ht="18.0" customHeight="1">
      <c r="A14" s="5"/>
      <c r="B14" s="18" t="s">
        <v>22</v>
      </c>
      <c r="C14" s="19">
        <v>0.0</v>
      </c>
      <c r="D14" s="19">
        <v>180.0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8">
        <f t="shared" si="7"/>
        <v>180</v>
      </c>
      <c r="P14" s="20">
        <f t="shared" si="8"/>
        <v>0.04938271605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ht="18.0" customHeight="1">
      <c r="A15" s="5"/>
      <c r="B15" s="18" t="s">
        <v>23</v>
      </c>
      <c r="C15" s="19">
        <v>80.0</v>
      </c>
      <c r="D15" s="19">
        <v>0.0</v>
      </c>
      <c r="E15" s="19"/>
      <c r="F15" s="19">
        <v>250.0</v>
      </c>
      <c r="G15" s="19"/>
      <c r="H15" s="19"/>
      <c r="I15" s="19"/>
      <c r="J15" s="19"/>
      <c r="K15" s="19"/>
      <c r="L15" s="19"/>
      <c r="M15" s="19"/>
      <c r="N15" s="19"/>
      <c r="O15" s="8">
        <f t="shared" si="7"/>
        <v>330</v>
      </c>
      <c r="P15" s="20">
        <f t="shared" si="8"/>
        <v>0.09053497942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ht="18.0" customHeight="1">
      <c r="A16" s="5"/>
      <c r="B16" s="18" t="s">
        <v>24</v>
      </c>
      <c r="C16" s="19">
        <v>120.0</v>
      </c>
      <c r="D16" s="19">
        <v>80.0</v>
      </c>
      <c r="E16" s="19">
        <v>150.0</v>
      </c>
      <c r="F16" s="19">
        <v>100.0</v>
      </c>
      <c r="G16" s="19">
        <v>180.0</v>
      </c>
      <c r="H16" s="19"/>
      <c r="I16" s="19"/>
      <c r="J16" s="19"/>
      <c r="K16" s="19"/>
      <c r="L16" s="19"/>
      <c r="M16" s="19"/>
      <c r="N16" s="19"/>
      <c r="O16" s="8">
        <f t="shared" si="7"/>
        <v>630</v>
      </c>
      <c r="P16" s="20">
        <f t="shared" si="8"/>
        <v>0.1728395062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ht="18.0" customHeight="1">
      <c r="A17" s="5"/>
      <c r="B17" s="18" t="s">
        <v>25</v>
      </c>
      <c r="C17" s="19">
        <v>150.0</v>
      </c>
      <c r="D17" s="19">
        <v>120.0</v>
      </c>
      <c r="E17" s="19">
        <v>100.0</v>
      </c>
      <c r="F17" s="19"/>
      <c r="G17" s="19"/>
      <c r="H17" s="19"/>
      <c r="I17" s="19"/>
      <c r="J17" s="19"/>
      <c r="K17" s="19"/>
      <c r="L17" s="19"/>
      <c r="M17" s="19"/>
      <c r="N17" s="19"/>
      <c r="O17" s="8">
        <f t="shared" si="7"/>
        <v>370</v>
      </c>
      <c r="P17" s="20">
        <f t="shared" si="8"/>
        <v>0.1015089163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ht="18.0" customHeight="1">
      <c r="A18" s="5"/>
      <c r="B18" s="18" t="s">
        <v>26</v>
      </c>
      <c r="C18" s="19">
        <v>205.0</v>
      </c>
      <c r="D18" s="19">
        <v>250.0</v>
      </c>
      <c r="E18" s="19">
        <v>200.0</v>
      </c>
      <c r="F18" s="19">
        <v>150.0</v>
      </c>
      <c r="G18" s="19">
        <v>200.0</v>
      </c>
      <c r="H18" s="19"/>
      <c r="I18" s="19"/>
      <c r="J18" s="19"/>
      <c r="K18" s="19"/>
      <c r="L18" s="19"/>
      <c r="M18" s="19"/>
      <c r="N18" s="19"/>
      <c r="O18" s="8">
        <f t="shared" si="7"/>
        <v>1005</v>
      </c>
      <c r="P18" s="20">
        <f t="shared" si="8"/>
        <v>0.2757201646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ht="18.0" customHeight="1">
      <c r="A19" s="5"/>
      <c r="B19" s="5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ht="19.5" customHeight="1">
      <c r="A20" s="5"/>
      <c r="B20" s="21" t="s">
        <v>27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ht="18.0" customHeight="1">
      <c r="A21" s="5"/>
      <c r="B21" s="7" t="s">
        <v>28</v>
      </c>
      <c r="C21" s="24">
        <f t="shared" ref="C21:O21" si="9">IFERROR(C22/C$6,0)</f>
        <v>0.2721088435</v>
      </c>
      <c r="D21" s="24">
        <f t="shared" si="9"/>
        <v>0.2891566265</v>
      </c>
      <c r="E21" s="24">
        <f t="shared" si="9"/>
        <v>0.9142857143</v>
      </c>
      <c r="F21" s="24">
        <f t="shared" si="9"/>
        <v>0.2866666667</v>
      </c>
      <c r="G21" s="24">
        <f t="shared" si="9"/>
        <v>0.2063492063</v>
      </c>
      <c r="H21" s="24">
        <f t="shared" si="9"/>
        <v>0</v>
      </c>
      <c r="I21" s="24">
        <f t="shared" si="9"/>
        <v>0</v>
      </c>
      <c r="J21" s="24">
        <f t="shared" si="9"/>
        <v>0</v>
      </c>
      <c r="K21" s="24">
        <f t="shared" si="9"/>
        <v>0</v>
      </c>
      <c r="L21" s="24">
        <f t="shared" si="9"/>
        <v>0</v>
      </c>
      <c r="M21" s="24">
        <f t="shared" si="9"/>
        <v>0</v>
      </c>
      <c r="N21" s="24">
        <f t="shared" si="9"/>
        <v>0</v>
      </c>
      <c r="O21" s="24">
        <f t="shared" si="9"/>
        <v>0.3909465021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ht="18.0" customHeight="1">
      <c r="A22" s="15"/>
      <c r="B22" s="25" t="s">
        <v>29</v>
      </c>
      <c r="C22" s="26">
        <f t="shared" ref="C22:O22" si="10">SUM(C23:C31)</f>
        <v>200</v>
      </c>
      <c r="D22" s="26">
        <f t="shared" si="10"/>
        <v>240</v>
      </c>
      <c r="E22" s="26">
        <f t="shared" si="10"/>
        <v>640</v>
      </c>
      <c r="F22" s="26">
        <f t="shared" si="10"/>
        <v>215</v>
      </c>
      <c r="G22" s="26">
        <f t="shared" si="10"/>
        <v>130</v>
      </c>
      <c r="H22" s="26">
        <f t="shared" si="10"/>
        <v>0</v>
      </c>
      <c r="I22" s="26">
        <f t="shared" si="10"/>
        <v>0</v>
      </c>
      <c r="J22" s="26">
        <f t="shared" si="10"/>
        <v>0</v>
      </c>
      <c r="K22" s="26">
        <f t="shared" si="10"/>
        <v>0</v>
      </c>
      <c r="L22" s="26">
        <f t="shared" si="10"/>
        <v>0</v>
      </c>
      <c r="M22" s="26">
        <f t="shared" si="10"/>
        <v>0</v>
      </c>
      <c r="N22" s="26">
        <f t="shared" si="10"/>
        <v>0</v>
      </c>
      <c r="O22" s="26">
        <f t="shared" si="10"/>
        <v>1425</v>
      </c>
      <c r="P22" s="9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15"/>
      <c r="AF22" s="15"/>
      <c r="AG22" s="15"/>
      <c r="AH22" s="15"/>
    </row>
    <row r="23" ht="18.0" customHeight="1">
      <c r="A23" s="5"/>
      <c r="B23" s="18" t="s">
        <v>30</v>
      </c>
      <c r="C23" s="27">
        <v>100.0</v>
      </c>
      <c r="D23" s="27">
        <v>100.0</v>
      </c>
      <c r="E23" s="27">
        <v>150.0</v>
      </c>
      <c r="F23" s="27">
        <v>100.0</v>
      </c>
      <c r="G23" s="27">
        <v>50.0</v>
      </c>
      <c r="H23" s="27"/>
      <c r="I23" s="27"/>
      <c r="J23" s="27"/>
      <c r="K23" s="27"/>
      <c r="L23" s="27"/>
      <c r="M23" s="27"/>
      <c r="N23" s="27"/>
      <c r="O23" s="8">
        <f t="shared" ref="O23:O31" si="11">SUM(C23:N23)</f>
        <v>500</v>
      </c>
      <c r="P23" s="20">
        <f t="shared" ref="P23:P31" si="12">IFERROR(O23/$O$22,0)</f>
        <v>0.350877193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ht="18.0" customHeight="1">
      <c r="A24" s="5"/>
      <c r="B24" s="18" t="s">
        <v>31</v>
      </c>
      <c r="C24" s="27"/>
      <c r="D24" s="27">
        <v>50.0</v>
      </c>
      <c r="E24" s="27">
        <v>50.0</v>
      </c>
      <c r="F24" s="27"/>
      <c r="G24" s="27"/>
      <c r="H24" s="27"/>
      <c r="I24" s="27"/>
      <c r="J24" s="27"/>
      <c r="K24" s="27"/>
      <c r="L24" s="27"/>
      <c r="M24" s="27"/>
      <c r="N24" s="27"/>
      <c r="O24" s="8">
        <f t="shared" si="11"/>
        <v>100</v>
      </c>
      <c r="P24" s="20">
        <f t="shared" si="12"/>
        <v>0.0701754386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ht="18.0" customHeight="1">
      <c r="A25" s="5"/>
      <c r="B25" s="18" t="s">
        <v>32</v>
      </c>
      <c r="C25" s="27">
        <v>50.0</v>
      </c>
      <c r="D25" s="27"/>
      <c r="E25" s="27">
        <v>50.0</v>
      </c>
      <c r="F25" s="27">
        <v>45.0</v>
      </c>
      <c r="G25" s="27"/>
      <c r="H25" s="27"/>
      <c r="I25" s="27"/>
      <c r="J25" s="27"/>
      <c r="K25" s="27"/>
      <c r="L25" s="27"/>
      <c r="M25" s="27"/>
      <c r="N25" s="27"/>
      <c r="O25" s="8">
        <f t="shared" si="11"/>
        <v>145</v>
      </c>
      <c r="P25" s="20">
        <f t="shared" si="12"/>
        <v>0.101754386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ht="18.0" customHeight="1">
      <c r="A26" s="5"/>
      <c r="B26" s="18" t="s">
        <v>33</v>
      </c>
      <c r="C26" s="27"/>
      <c r="D26" s="27"/>
      <c r="E26" s="27">
        <v>300.0</v>
      </c>
      <c r="F26" s="27"/>
      <c r="G26" s="27"/>
      <c r="H26" s="27"/>
      <c r="I26" s="27"/>
      <c r="J26" s="27"/>
      <c r="K26" s="27"/>
      <c r="L26" s="27"/>
      <c r="M26" s="27"/>
      <c r="N26" s="27"/>
      <c r="O26" s="8">
        <f t="shared" si="11"/>
        <v>300</v>
      </c>
      <c r="P26" s="20">
        <f t="shared" si="12"/>
        <v>0.2105263158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ht="18.0" customHeight="1">
      <c r="A27" s="5"/>
      <c r="B27" s="18" t="s">
        <v>34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8">
        <f t="shared" si="11"/>
        <v>0</v>
      </c>
      <c r="P27" s="20">
        <f t="shared" si="12"/>
        <v>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ht="18.0" customHeight="1">
      <c r="A28" s="5"/>
      <c r="B28" s="18" t="s">
        <v>35</v>
      </c>
      <c r="C28" s="27">
        <v>50.0</v>
      </c>
      <c r="D28" s="27">
        <v>50.0</v>
      </c>
      <c r="E28" s="27">
        <v>50.0</v>
      </c>
      <c r="F28" s="27">
        <v>50.0</v>
      </c>
      <c r="G28" s="27">
        <v>50.0</v>
      </c>
      <c r="H28" s="27"/>
      <c r="I28" s="27"/>
      <c r="J28" s="27"/>
      <c r="K28" s="27"/>
      <c r="L28" s="27"/>
      <c r="M28" s="27"/>
      <c r="N28" s="27"/>
      <c r="O28" s="8">
        <f t="shared" si="11"/>
        <v>250</v>
      </c>
      <c r="P28" s="20">
        <f t="shared" si="12"/>
        <v>0.1754385965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ht="18.0" customHeight="1">
      <c r="A29" s="5"/>
      <c r="B29" s="18" t="s">
        <v>36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8">
        <f t="shared" si="11"/>
        <v>0</v>
      </c>
      <c r="P29" s="20">
        <f t="shared" si="12"/>
        <v>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ht="18.0" customHeight="1">
      <c r="A30" s="5"/>
      <c r="B30" s="18" t="s">
        <v>37</v>
      </c>
      <c r="C30" s="27"/>
      <c r="D30" s="27">
        <v>40.0</v>
      </c>
      <c r="E30" s="27">
        <v>40.0</v>
      </c>
      <c r="F30" s="27">
        <v>20.0</v>
      </c>
      <c r="G30" s="27">
        <v>30.0</v>
      </c>
      <c r="H30" s="27"/>
      <c r="I30" s="27"/>
      <c r="J30" s="27"/>
      <c r="K30" s="27"/>
      <c r="L30" s="27"/>
      <c r="M30" s="27"/>
      <c r="N30" s="27"/>
      <c r="O30" s="8">
        <f t="shared" si="11"/>
        <v>130</v>
      </c>
      <c r="P30" s="20">
        <f t="shared" si="12"/>
        <v>0.09122807018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ht="18.0" customHeight="1">
      <c r="A31" s="5"/>
      <c r="B31" s="18" t="s">
        <v>26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8">
        <f t="shared" si="11"/>
        <v>0</v>
      </c>
      <c r="P31" s="20">
        <f t="shared" si="12"/>
        <v>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ht="18.0" customHeight="1">
      <c r="A32" s="5"/>
      <c r="B32" s="5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ht="18.0" customHeight="1">
      <c r="A33" s="5"/>
      <c r="B33" s="28" t="s">
        <v>28</v>
      </c>
      <c r="C33" s="29">
        <f t="shared" ref="C33:O33" si="13">IFERROR(C34/C$6,0)</f>
        <v>0.01632653061</v>
      </c>
      <c r="D33" s="29">
        <f t="shared" si="13"/>
        <v>0.01204819277</v>
      </c>
      <c r="E33" s="29">
        <f t="shared" si="13"/>
        <v>0.03571428571</v>
      </c>
      <c r="F33" s="29">
        <f t="shared" si="13"/>
        <v>0.03333333333</v>
      </c>
      <c r="G33" s="29">
        <f t="shared" si="13"/>
        <v>0.01587301587</v>
      </c>
      <c r="H33" s="29">
        <f t="shared" si="13"/>
        <v>0</v>
      </c>
      <c r="I33" s="29">
        <f t="shared" si="13"/>
        <v>0</v>
      </c>
      <c r="J33" s="29">
        <f t="shared" si="13"/>
        <v>0</v>
      </c>
      <c r="K33" s="29">
        <f t="shared" si="13"/>
        <v>0</v>
      </c>
      <c r="L33" s="29">
        <f t="shared" si="13"/>
        <v>0</v>
      </c>
      <c r="M33" s="29">
        <f t="shared" si="13"/>
        <v>0</v>
      </c>
      <c r="N33" s="29">
        <f t="shared" si="13"/>
        <v>0</v>
      </c>
      <c r="O33" s="29">
        <f t="shared" si="13"/>
        <v>0.02249657064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ht="18.0" customHeight="1">
      <c r="A34" s="15"/>
      <c r="B34" s="25" t="s">
        <v>38</v>
      </c>
      <c r="C34" s="26">
        <f t="shared" ref="C34:O34" si="14">SUM(C35:C40)</f>
        <v>12</v>
      </c>
      <c r="D34" s="26">
        <f t="shared" si="14"/>
        <v>10</v>
      </c>
      <c r="E34" s="26">
        <f t="shared" si="14"/>
        <v>25</v>
      </c>
      <c r="F34" s="26">
        <f t="shared" si="14"/>
        <v>25</v>
      </c>
      <c r="G34" s="26">
        <f t="shared" si="14"/>
        <v>10</v>
      </c>
      <c r="H34" s="26">
        <f t="shared" si="14"/>
        <v>0</v>
      </c>
      <c r="I34" s="26">
        <f t="shared" si="14"/>
        <v>0</v>
      </c>
      <c r="J34" s="26">
        <f t="shared" si="14"/>
        <v>0</v>
      </c>
      <c r="K34" s="26">
        <f t="shared" si="14"/>
        <v>0</v>
      </c>
      <c r="L34" s="26">
        <f t="shared" si="14"/>
        <v>0</v>
      </c>
      <c r="M34" s="26">
        <f t="shared" si="14"/>
        <v>0</v>
      </c>
      <c r="N34" s="26">
        <f t="shared" si="14"/>
        <v>0</v>
      </c>
      <c r="O34" s="26">
        <f t="shared" si="14"/>
        <v>82</v>
      </c>
      <c r="P34" s="9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15"/>
      <c r="AF34" s="15"/>
      <c r="AG34" s="15"/>
      <c r="AH34" s="15"/>
    </row>
    <row r="35" ht="18.0" customHeight="1">
      <c r="A35" s="5"/>
      <c r="B35" s="18" t="s">
        <v>39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8">
        <f t="shared" ref="O35:O40" si="15">SUM(C35:N35)</f>
        <v>0</v>
      </c>
      <c r="P35" s="20">
        <f t="shared" ref="P35:P40" si="16">IFERROR(O35/$O$34,0)</f>
        <v>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ht="18.0" customHeight="1">
      <c r="A36" s="5"/>
      <c r="B36" s="18" t="s">
        <v>40</v>
      </c>
      <c r="C36" s="27">
        <v>12.0</v>
      </c>
      <c r="D36" s="27"/>
      <c r="E36" s="27">
        <v>15.0</v>
      </c>
      <c r="F36" s="27">
        <v>15.0</v>
      </c>
      <c r="G36" s="27"/>
      <c r="H36" s="27"/>
      <c r="I36" s="27"/>
      <c r="J36" s="27"/>
      <c r="K36" s="27"/>
      <c r="L36" s="27"/>
      <c r="M36" s="27"/>
      <c r="N36" s="27"/>
      <c r="O36" s="8">
        <f t="shared" si="15"/>
        <v>42</v>
      </c>
      <c r="P36" s="20">
        <f t="shared" si="16"/>
        <v>0.512195122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ht="18.0" customHeight="1">
      <c r="A37" s="5"/>
      <c r="B37" s="18" t="s">
        <v>41</v>
      </c>
      <c r="C37" s="27"/>
      <c r="D37" s="27">
        <v>10.0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8">
        <f t="shared" si="15"/>
        <v>10</v>
      </c>
      <c r="P37" s="20">
        <f t="shared" si="16"/>
        <v>0.1219512195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ht="18.0" customHeight="1">
      <c r="A38" s="5"/>
      <c r="B38" s="18" t="s">
        <v>42</v>
      </c>
      <c r="C38" s="27"/>
      <c r="D38" s="27"/>
      <c r="E38" s="27">
        <v>10.0</v>
      </c>
      <c r="F38" s="27">
        <v>10.0</v>
      </c>
      <c r="G38" s="27">
        <v>10.0</v>
      </c>
      <c r="H38" s="27"/>
      <c r="I38" s="27"/>
      <c r="J38" s="27"/>
      <c r="K38" s="27"/>
      <c r="L38" s="27"/>
      <c r="M38" s="27"/>
      <c r="N38" s="27"/>
      <c r="O38" s="8">
        <f t="shared" si="15"/>
        <v>30</v>
      </c>
      <c r="P38" s="20">
        <f t="shared" si="16"/>
        <v>0.3658536585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ht="18.0" customHeight="1">
      <c r="A39" s="5"/>
      <c r="B39" s="18" t="s">
        <v>43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8">
        <f t="shared" si="15"/>
        <v>0</v>
      </c>
      <c r="P39" s="20">
        <f t="shared" si="16"/>
        <v>0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ht="18.0" customHeight="1">
      <c r="A40" s="5"/>
      <c r="B40" s="18" t="s">
        <v>26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8">
        <f t="shared" si="15"/>
        <v>0</v>
      </c>
      <c r="P40" s="20">
        <f t="shared" si="16"/>
        <v>0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ht="18.0" customHeight="1">
      <c r="A41" s="5"/>
      <c r="B41" s="5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ht="18.0" customHeight="1">
      <c r="A42" s="5"/>
      <c r="B42" s="28" t="s">
        <v>28</v>
      </c>
      <c r="C42" s="29">
        <f t="shared" ref="C42:O42" si="17">IFERROR(C43/C$6,0)</f>
        <v>0.02040816327</v>
      </c>
      <c r="D42" s="29">
        <f t="shared" si="17"/>
        <v>0.02409638554</v>
      </c>
      <c r="E42" s="29">
        <f t="shared" si="17"/>
        <v>0.02857142857</v>
      </c>
      <c r="F42" s="29">
        <f t="shared" si="17"/>
        <v>0.02666666667</v>
      </c>
      <c r="G42" s="29">
        <f t="shared" si="17"/>
        <v>0.01587301587</v>
      </c>
      <c r="H42" s="29">
        <f t="shared" si="17"/>
        <v>0</v>
      </c>
      <c r="I42" s="29">
        <f t="shared" si="17"/>
        <v>0</v>
      </c>
      <c r="J42" s="29">
        <f t="shared" si="17"/>
        <v>0</v>
      </c>
      <c r="K42" s="29">
        <f t="shared" si="17"/>
        <v>0</v>
      </c>
      <c r="L42" s="29">
        <f t="shared" si="17"/>
        <v>0</v>
      </c>
      <c r="M42" s="29">
        <f t="shared" si="17"/>
        <v>0</v>
      </c>
      <c r="N42" s="29">
        <f t="shared" si="17"/>
        <v>0</v>
      </c>
      <c r="O42" s="29">
        <f t="shared" si="17"/>
        <v>0.02331961591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ht="18.0" customHeight="1">
      <c r="A43" s="15"/>
      <c r="B43" s="25" t="s">
        <v>44</v>
      </c>
      <c r="C43" s="26">
        <f t="shared" ref="C43:O43" si="18">SUM(C44:C47)</f>
        <v>15</v>
      </c>
      <c r="D43" s="26">
        <f t="shared" si="18"/>
        <v>20</v>
      </c>
      <c r="E43" s="26">
        <f t="shared" si="18"/>
        <v>20</v>
      </c>
      <c r="F43" s="26">
        <f t="shared" si="18"/>
        <v>20</v>
      </c>
      <c r="G43" s="26">
        <f t="shared" si="18"/>
        <v>10</v>
      </c>
      <c r="H43" s="26">
        <f t="shared" si="18"/>
        <v>0</v>
      </c>
      <c r="I43" s="26">
        <f t="shared" si="18"/>
        <v>0</v>
      </c>
      <c r="J43" s="26">
        <f t="shared" si="18"/>
        <v>0</v>
      </c>
      <c r="K43" s="26">
        <f t="shared" si="18"/>
        <v>0</v>
      </c>
      <c r="L43" s="26">
        <f t="shared" si="18"/>
        <v>0</v>
      </c>
      <c r="M43" s="26">
        <f t="shared" si="18"/>
        <v>0</v>
      </c>
      <c r="N43" s="26">
        <f t="shared" si="18"/>
        <v>0</v>
      </c>
      <c r="O43" s="26">
        <f t="shared" si="18"/>
        <v>85</v>
      </c>
      <c r="P43" s="9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15"/>
      <c r="AF43" s="15"/>
      <c r="AG43" s="15"/>
      <c r="AH43" s="15"/>
    </row>
    <row r="44" ht="18.0" customHeight="1">
      <c r="A44" s="5"/>
      <c r="B44" s="18" t="s">
        <v>45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8">
        <f t="shared" ref="O44:O47" si="19">SUM(C44:N44)</f>
        <v>0</v>
      </c>
      <c r="P44" s="20">
        <f t="shared" ref="P44:P47" si="20">IFERROR(O44/$O$43,0)</f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ht="18.0" customHeight="1">
      <c r="A45" s="5"/>
      <c r="B45" s="18" t="s">
        <v>46</v>
      </c>
      <c r="C45" s="27">
        <v>15.0</v>
      </c>
      <c r="D45" s="27"/>
      <c r="E45" s="27">
        <v>20.0</v>
      </c>
      <c r="F45" s="27">
        <v>20.0</v>
      </c>
      <c r="G45" s="27"/>
      <c r="H45" s="27"/>
      <c r="I45" s="27"/>
      <c r="J45" s="27"/>
      <c r="K45" s="27"/>
      <c r="L45" s="27"/>
      <c r="M45" s="27"/>
      <c r="N45" s="27"/>
      <c r="O45" s="8">
        <f t="shared" si="19"/>
        <v>55</v>
      </c>
      <c r="P45" s="20">
        <f t="shared" si="20"/>
        <v>0.6470588235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ht="18.0" customHeight="1">
      <c r="A46" s="5"/>
      <c r="B46" s="18" t="s">
        <v>47</v>
      </c>
      <c r="C46" s="27"/>
      <c r="D46" s="27">
        <v>20.0</v>
      </c>
      <c r="E46" s="27"/>
      <c r="F46" s="27"/>
      <c r="G46" s="27">
        <v>10.0</v>
      </c>
      <c r="H46" s="27"/>
      <c r="I46" s="27"/>
      <c r="J46" s="27"/>
      <c r="K46" s="27"/>
      <c r="L46" s="27"/>
      <c r="M46" s="27"/>
      <c r="N46" s="27"/>
      <c r="O46" s="8">
        <f t="shared" si="19"/>
        <v>30</v>
      </c>
      <c r="P46" s="20">
        <f t="shared" si="20"/>
        <v>0.3529411765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ht="18.0" customHeight="1">
      <c r="A47" s="5"/>
      <c r="B47" s="18" t="s">
        <v>26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8">
        <f t="shared" si="19"/>
        <v>0</v>
      </c>
      <c r="P47" s="20">
        <f t="shared" si="20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ht="18.0" customHeight="1">
      <c r="A48" s="5"/>
      <c r="B48" s="5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ht="18.0" customHeight="1">
      <c r="A49" s="5"/>
      <c r="B49" s="28" t="s">
        <v>28</v>
      </c>
      <c r="C49" s="29">
        <f t="shared" ref="C49:O49" si="21">IFERROR(C50/C$6,0)</f>
        <v>0.1156462585</v>
      </c>
      <c r="D49" s="29">
        <f t="shared" si="21"/>
        <v>0.06626506024</v>
      </c>
      <c r="E49" s="29">
        <f t="shared" si="21"/>
        <v>0.02142857143</v>
      </c>
      <c r="F49" s="29">
        <f t="shared" si="21"/>
        <v>0.02</v>
      </c>
      <c r="G49" s="29">
        <f t="shared" si="21"/>
        <v>0</v>
      </c>
      <c r="H49" s="29">
        <f t="shared" si="21"/>
        <v>0</v>
      </c>
      <c r="I49" s="29">
        <f t="shared" si="21"/>
        <v>0</v>
      </c>
      <c r="J49" s="29">
        <f t="shared" si="21"/>
        <v>0</v>
      </c>
      <c r="K49" s="29">
        <f t="shared" si="21"/>
        <v>0</v>
      </c>
      <c r="L49" s="29">
        <f t="shared" si="21"/>
        <v>0</v>
      </c>
      <c r="M49" s="29">
        <f t="shared" si="21"/>
        <v>0</v>
      </c>
      <c r="N49" s="29">
        <f t="shared" si="21"/>
        <v>0</v>
      </c>
      <c r="O49" s="29">
        <f t="shared" si="21"/>
        <v>0.04663923182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ht="18.0" customHeight="1">
      <c r="A50" s="15"/>
      <c r="B50" s="25" t="s">
        <v>48</v>
      </c>
      <c r="C50" s="26">
        <f t="shared" ref="C50:O50" si="22">SUM(C51:C57)</f>
        <v>85</v>
      </c>
      <c r="D50" s="26">
        <f t="shared" si="22"/>
        <v>55</v>
      </c>
      <c r="E50" s="26">
        <f t="shared" si="22"/>
        <v>15</v>
      </c>
      <c r="F50" s="26">
        <f t="shared" si="22"/>
        <v>15</v>
      </c>
      <c r="G50" s="26">
        <f t="shared" si="22"/>
        <v>0</v>
      </c>
      <c r="H50" s="26">
        <f t="shared" si="22"/>
        <v>0</v>
      </c>
      <c r="I50" s="26">
        <f t="shared" si="22"/>
        <v>0</v>
      </c>
      <c r="J50" s="26">
        <f t="shared" si="22"/>
        <v>0</v>
      </c>
      <c r="K50" s="26">
        <f t="shared" si="22"/>
        <v>0</v>
      </c>
      <c r="L50" s="26">
        <f t="shared" si="22"/>
        <v>0</v>
      </c>
      <c r="M50" s="26">
        <f t="shared" si="22"/>
        <v>0</v>
      </c>
      <c r="N50" s="26">
        <f t="shared" si="22"/>
        <v>0</v>
      </c>
      <c r="O50" s="26">
        <f t="shared" si="22"/>
        <v>170</v>
      </c>
      <c r="P50" s="9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15"/>
      <c r="AF50" s="15"/>
      <c r="AG50" s="15"/>
      <c r="AH50" s="15"/>
    </row>
    <row r="51" ht="18.0" customHeight="1">
      <c r="A51" s="5"/>
      <c r="B51" s="18" t="s">
        <v>49</v>
      </c>
      <c r="C51" s="27">
        <v>35.0</v>
      </c>
      <c r="D51" s="27"/>
      <c r="E51" s="27">
        <v>15.0</v>
      </c>
      <c r="F51" s="27">
        <v>15.0</v>
      </c>
      <c r="G51" s="27"/>
      <c r="H51" s="27"/>
      <c r="I51" s="27"/>
      <c r="J51" s="27"/>
      <c r="K51" s="27"/>
      <c r="L51" s="27"/>
      <c r="M51" s="27"/>
      <c r="N51" s="27"/>
      <c r="O51" s="8">
        <f t="shared" ref="O51:O57" si="23">SUM(C51:N51)</f>
        <v>65</v>
      </c>
      <c r="P51" s="20">
        <f t="shared" ref="P51:P57" si="24">IFERROR(O51/$O$50,0)</f>
        <v>0.3823529412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ht="18.0" customHeight="1">
      <c r="A52" s="5"/>
      <c r="B52" s="18" t="s">
        <v>50</v>
      </c>
      <c r="C52" s="27">
        <v>50.0</v>
      </c>
      <c r="D52" s="27">
        <v>55.0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8">
        <f t="shared" si="23"/>
        <v>105</v>
      </c>
      <c r="P52" s="20">
        <f t="shared" si="24"/>
        <v>0.6176470588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ht="18.0" customHeight="1">
      <c r="A53" s="5"/>
      <c r="B53" s="18" t="s">
        <v>51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8">
        <f t="shared" si="23"/>
        <v>0</v>
      </c>
      <c r="P53" s="20">
        <f t="shared" si="24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ht="18.0" customHeight="1">
      <c r="A54" s="5"/>
      <c r="B54" s="18" t="s">
        <v>52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8">
        <f t="shared" si="23"/>
        <v>0</v>
      </c>
      <c r="P54" s="20">
        <f t="shared" si="24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ht="18.0" customHeight="1">
      <c r="A55" s="5"/>
      <c r="B55" s="18" t="s">
        <v>53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8">
        <f t="shared" si="23"/>
        <v>0</v>
      </c>
      <c r="P55" s="20">
        <f t="shared" si="24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ht="18.0" customHeight="1">
      <c r="A56" s="5"/>
      <c r="B56" s="18" t="s">
        <v>54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8">
        <f t="shared" si="23"/>
        <v>0</v>
      </c>
      <c r="P56" s="20">
        <f t="shared" si="24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ht="18.0" customHeight="1">
      <c r="A57" s="5"/>
      <c r="B57" s="18" t="s">
        <v>26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8">
        <f t="shared" si="23"/>
        <v>0</v>
      </c>
      <c r="P57" s="20">
        <f t="shared" si="24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ht="18.0" customHeight="1">
      <c r="A58" s="5"/>
      <c r="B58" s="5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ht="18.0" customHeight="1">
      <c r="A59" s="5"/>
      <c r="B59" s="28" t="s">
        <v>28</v>
      </c>
      <c r="C59" s="29">
        <f t="shared" ref="C59:O59" si="25">IFERROR(C60/C$6,0)</f>
        <v>0.04081632653</v>
      </c>
      <c r="D59" s="29">
        <f t="shared" si="25"/>
        <v>0.0265060241</v>
      </c>
      <c r="E59" s="29">
        <f t="shared" si="25"/>
        <v>0.02142857143</v>
      </c>
      <c r="F59" s="29">
        <f t="shared" si="25"/>
        <v>0.01333333333</v>
      </c>
      <c r="G59" s="29">
        <f t="shared" si="25"/>
        <v>0.01587301587</v>
      </c>
      <c r="H59" s="29">
        <f t="shared" si="25"/>
        <v>0</v>
      </c>
      <c r="I59" s="29">
        <f t="shared" si="25"/>
        <v>0</v>
      </c>
      <c r="J59" s="29">
        <f t="shared" si="25"/>
        <v>0</v>
      </c>
      <c r="K59" s="29">
        <f t="shared" si="25"/>
        <v>0</v>
      </c>
      <c r="L59" s="29">
        <f t="shared" si="25"/>
        <v>0</v>
      </c>
      <c r="M59" s="29">
        <f t="shared" si="25"/>
        <v>0</v>
      </c>
      <c r="N59" s="29">
        <f t="shared" si="25"/>
        <v>0</v>
      </c>
      <c r="O59" s="29">
        <f t="shared" si="25"/>
        <v>0.02386831276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ht="18.0" customHeight="1">
      <c r="A60" s="15"/>
      <c r="B60" s="25" t="s">
        <v>55</v>
      </c>
      <c r="C60" s="26">
        <f t="shared" ref="C60:O60" si="26">SUM(C61:C69)</f>
        <v>30</v>
      </c>
      <c r="D60" s="26">
        <f t="shared" si="26"/>
        <v>22</v>
      </c>
      <c r="E60" s="26">
        <f t="shared" si="26"/>
        <v>15</v>
      </c>
      <c r="F60" s="26">
        <f t="shared" si="26"/>
        <v>10</v>
      </c>
      <c r="G60" s="26">
        <f t="shared" si="26"/>
        <v>10</v>
      </c>
      <c r="H60" s="26">
        <f t="shared" si="26"/>
        <v>0</v>
      </c>
      <c r="I60" s="26">
        <f t="shared" si="26"/>
        <v>0</v>
      </c>
      <c r="J60" s="26">
        <f t="shared" si="26"/>
        <v>0</v>
      </c>
      <c r="K60" s="26">
        <f t="shared" si="26"/>
        <v>0</v>
      </c>
      <c r="L60" s="26">
        <f t="shared" si="26"/>
        <v>0</v>
      </c>
      <c r="M60" s="26">
        <f t="shared" si="26"/>
        <v>0</v>
      </c>
      <c r="N60" s="26">
        <f t="shared" si="26"/>
        <v>0</v>
      </c>
      <c r="O60" s="26">
        <f t="shared" si="26"/>
        <v>87</v>
      </c>
      <c r="P60" s="9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ht="18.0" customHeight="1">
      <c r="A61" s="5"/>
      <c r="B61" s="18" t="s">
        <v>56</v>
      </c>
      <c r="C61" s="27"/>
      <c r="D61" s="27"/>
      <c r="E61" s="27"/>
      <c r="F61" s="27">
        <v>10.0</v>
      </c>
      <c r="G61" s="27">
        <v>10.0</v>
      </c>
      <c r="H61" s="27"/>
      <c r="I61" s="27"/>
      <c r="J61" s="27"/>
      <c r="K61" s="27"/>
      <c r="L61" s="27"/>
      <c r="M61" s="27"/>
      <c r="N61" s="27"/>
      <c r="O61" s="8">
        <f t="shared" ref="O61:O69" si="27">SUM(C61:N61)</f>
        <v>20</v>
      </c>
      <c r="P61" s="20">
        <f t="shared" ref="P61:P69" si="28">IFERROR(O61/$O$60,0)</f>
        <v>0.2298850575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ht="18.0" customHeight="1">
      <c r="A62" s="5"/>
      <c r="B62" s="18" t="s">
        <v>57</v>
      </c>
      <c r="C62" s="27"/>
      <c r="D62" s="27"/>
      <c r="E62" s="27">
        <v>15.0</v>
      </c>
      <c r="F62" s="27"/>
      <c r="G62" s="27"/>
      <c r="H62" s="27"/>
      <c r="I62" s="27"/>
      <c r="J62" s="27"/>
      <c r="K62" s="27"/>
      <c r="L62" s="27"/>
      <c r="M62" s="27"/>
      <c r="N62" s="27"/>
      <c r="O62" s="8">
        <f t="shared" si="27"/>
        <v>15</v>
      </c>
      <c r="P62" s="20">
        <f t="shared" si="28"/>
        <v>0.1724137931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ht="18.0" customHeight="1">
      <c r="A63" s="5"/>
      <c r="B63" s="18" t="s">
        <v>58</v>
      </c>
      <c r="C63" s="27">
        <v>25.0</v>
      </c>
      <c r="D63" s="27">
        <v>20.0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8">
        <f t="shared" si="27"/>
        <v>45</v>
      </c>
      <c r="P63" s="20">
        <f t="shared" si="28"/>
        <v>0.5172413793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ht="18.0" customHeight="1">
      <c r="A64" s="5"/>
      <c r="B64" s="18" t="s">
        <v>59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8">
        <f t="shared" si="27"/>
        <v>0</v>
      </c>
      <c r="P64" s="20">
        <f t="shared" si="28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ht="18.0" customHeight="1">
      <c r="A65" s="5"/>
      <c r="B65" s="18" t="s">
        <v>60</v>
      </c>
      <c r="C65" s="27">
        <v>5.0</v>
      </c>
      <c r="D65" s="27">
        <v>2.0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8">
        <f t="shared" si="27"/>
        <v>7</v>
      </c>
      <c r="P65" s="20">
        <f t="shared" si="28"/>
        <v>0.08045977011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ht="18.0" customHeight="1">
      <c r="A66" s="5"/>
      <c r="B66" s="18" t="s">
        <v>61</v>
      </c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8">
        <f t="shared" si="27"/>
        <v>0</v>
      </c>
      <c r="P66" s="20">
        <f t="shared" si="28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ht="18.0" customHeight="1">
      <c r="A67" s="5"/>
      <c r="B67" s="18" t="s">
        <v>62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8">
        <f t="shared" si="27"/>
        <v>0</v>
      </c>
      <c r="P67" s="20">
        <f t="shared" si="28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ht="18.0" customHeight="1">
      <c r="A68" s="5"/>
      <c r="B68" s="18" t="s">
        <v>63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8">
        <f t="shared" si="27"/>
        <v>0</v>
      </c>
      <c r="P68" s="20">
        <f t="shared" si="28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ht="18.0" customHeight="1">
      <c r="A69" s="5"/>
      <c r="B69" s="18" t="s">
        <v>26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8">
        <f t="shared" si="27"/>
        <v>0</v>
      </c>
      <c r="P69" s="20">
        <f t="shared" si="28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ht="18.0" customHeight="1">
      <c r="A70" s="5"/>
      <c r="B70" s="5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ht="18.0" customHeight="1">
      <c r="A71" s="5"/>
      <c r="B71" s="28" t="s">
        <v>28</v>
      </c>
      <c r="C71" s="29">
        <f t="shared" ref="C71:O71" si="29">IFERROR(C72/C$6,0)</f>
        <v>0.01360544218</v>
      </c>
      <c r="D71" s="29">
        <f t="shared" si="29"/>
        <v>0.02409638554</v>
      </c>
      <c r="E71" s="29">
        <f t="shared" si="29"/>
        <v>0.01428571429</v>
      </c>
      <c r="F71" s="29">
        <f t="shared" si="29"/>
        <v>0.02</v>
      </c>
      <c r="G71" s="29">
        <f t="shared" si="29"/>
        <v>0.01587301587</v>
      </c>
      <c r="H71" s="29">
        <f t="shared" si="29"/>
        <v>0</v>
      </c>
      <c r="I71" s="29">
        <f t="shared" si="29"/>
        <v>0</v>
      </c>
      <c r="J71" s="29">
        <f t="shared" si="29"/>
        <v>0</v>
      </c>
      <c r="K71" s="29">
        <f t="shared" si="29"/>
        <v>0</v>
      </c>
      <c r="L71" s="29">
        <f t="shared" si="29"/>
        <v>0</v>
      </c>
      <c r="M71" s="29">
        <f t="shared" si="29"/>
        <v>0</v>
      </c>
      <c r="N71" s="29">
        <f t="shared" si="29"/>
        <v>0</v>
      </c>
      <c r="O71" s="29">
        <f t="shared" si="29"/>
        <v>0.01783264746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ht="18.0" customHeight="1">
      <c r="A72" s="15"/>
      <c r="B72" s="25" t="s">
        <v>64</v>
      </c>
      <c r="C72" s="26">
        <f t="shared" ref="C72:O72" si="30">SUM(C73:C79)</f>
        <v>10</v>
      </c>
      <c r="D72" s="26">
        <f t="shared" si="30"/>
        <v>20</v>
      </c>
      <c r="E72" s="26">
        <f t="shared" si="30"/>
        <v>10</v>
      </c>
      <c r="F72" s="26">
        <f t="shared" si="30"/>
        <v>15</v>
      </c>
      <c r="G72" s="26">
        <f t="shared" si="30"/>
        <v>10</v>
      </c>
      <c r="H72" s="26">
        <f t="shared" si="30"/>
        <v>0</v>
      </c>
      <c r="I72" s="26">
        <f t="shared" si="30"/>
        <v>0</v>
      </c>
      <c r="J72" s="26">
        <f t="shared" si="30"/>
        <v>0</v>
      </c>
      <c r="K72" s="26">
        <f t="shared" si="30"/>
        <v>0</v>
      </c>
      <c r="L72" s="26">
        <f t="shared" si="30"/>
        <v>0</v>
      </c>
      <c r="M72" s="26">
        <f t="shared" si="30"/>
        <v>0</v>
      </c>
      <c r="N72" s="26">
        <f t="shared" si="30"/>
        <v>0</v>
      </c>
      <c r="O72" s="26">
        <f t="shared" si="30"/>
        <v>65</v>
      </c>
      <c r="P72" s="9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ht="18.0" customHeight="1">
      <c r="A73" s="5"/>
      <c r="B73" s="18" t="s">
        <v>65</v>
      </c>
      <c r="C73" s="27"/>
      <c r="D73" s="27"/>
      <c r="E73" s="27">
        <v>10.0</v>
      </c>
      <c r="F73" s="27"/>
      <c r="G73" s="27"/>
      <c r="H73" s="27"/>
      <c r="I73" s="27"/>
      <c r="J73" s="27"/>
      <c r="K73" s="27"/>
      <c r="L73" s="27"/>
      <c r="M73" s="27"/>
      <c r="N73" s="27"/>
      <c r="O73" s="8">
        <f t="shared" ref="O73:O79" si="31">SUM(C73:N73)</f>
        <v>10</v>
      </c>
      <c r="P73" s="20">
        <f t="shared" ref="P73:P79" si="32">IFERROR(O73/$O$72,0)</f>
        <v>0.1538461538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ht="18.0" customHeight="1">
      <c r="A74" s="5"/>
      <c r="B74" s="18" t="s">
        <v>66</v>
      </c>
      <c r="C74" s="27">
        <v>10.0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8">
        <f t="shared" si="31"/>
        <v>10</v>
      </c>
      <c r="P74" s="20">
        <f t="shared" si="32"/>
        <v>0.1538461538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ht="18.0" customHeight="1">
      <c r="A75" s="5"/>
      <c r="B75" s="18" t="s">
        <v>67</v>
      </c>
      <c r="C75" s="27"/>
      <c r="D75" s="27">
        <v>20.0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8">
        <f t="shared" si="31"/>
        <v>20</v>
      </c>
      <c r="P75" s="20">
        <f t="shared" si="32"/>
        <v>0.3076923077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ht="18.0" customHeight="1">
      <c r="A76" s="5"/>
      <c r="B76" s="18" t="s">
        <v>68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8">
        <f t="shared" si="31"/>
        <v>0</v>
      </c>
      <c r="P76" s="20">
        <f t="shared" si="32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ht="18.0" customHeight="1">
      <c r="A77" s="5"/>
      <c r="B77" s="18" t="s">
        <v>69</v>
      </c>
      <c r="C77" s="27"/>
      <c r="D77" s="27"/>
      <c r="E77" s="27"/>
      <c r="F77" s="27">
        <v>15.0</v>
      </c>
      <c r="G77" s="27">
        <v>10.0</v>
      </c>
      <c r="H77" s="27"/>
      <c r="I77" s="27"/>
      <c r="J77" s="27"/>
      <c r="K77" s="27"/>
      <c r="L77" s="27"/>
      <c r="M77" s="27"/>
      <c r="N77" s="27"/>
      <c r="O77" s="8">
        <f t="shared" si="31"/>
        <v>25</v>
      </c>
      <c r="P77" s="20">
        <f t="shared" si="32"/>
        <v>0.3846153846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ht="18.0" customHeight="1">
      <c r="A78" s="5"/>
      <c r="B78" s="18" t="s">
        <v>70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8">
        <f t="shared" si="31"/>
        <v>0</v>
      </c>
      <c r="P78" s="20">
        <f t="shared" si="3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ht="18.0" customHeight="1">
      <c r="A79" s="5"/>
      <c r="B79" s="18" t="s">
        <v>26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8">
        <f t="shared" si="31"/>
        <v>0</v>
      </c>
      <c r="P79" s="20">
        <f t="shared" si="3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ht="18.0" customHeight="1">
      <c r="A80" s="5"/>
      <c r="B80" s="5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ht="18.0" customHeight="1">
      <c r="A81" s="5"/>
      <c r="B81" s="28" t="s">
        <v>28</v>
      </c>
      <c r="C81" s="29">
        <f t="shared" ref="C81:O81" si="33">IFERROR(C82/C$6,0)</f>
        <v>0.05442176871</v>
      </c>
      <c r="D81" s="29">
        <f t="shared" si="33"/>
        <v>0.01807228916</v>
      </c>
      <c r="E81" s="29">
        <f t="shared" si="33"/>
        <v>0.01428571429</v>
      </c>
      <c r="F81" s="29">
        <f t="shared" si="33"/>
        <v>0.01333333333</v>
      </c>
      <c r="G81" s="29">
        <f t="shared" si="33"/>
        <v>0.02380952381</v>
      </c>
      <c r="H81" s="29">
        <f t="shared" si="33"/>
        <v>0</v>
      </c>
      <c r="I81" s="29">
        <f t="shared" si="33"/>
        <v>0</v>
      </c>
      <c r="J81" s="29">
        <f t="shared" si="33"/>
        <v>0</v>
      </c>
      <c r="K81" s="29">
        <f t="shared" si="33"/>
        <v>0</v>
      </c>
      <c r="L81" s="29">
        <f t="shared" si="33"/>
        <v>0</v>
      </c>
      <c r="M81" s="29">
        <f t="shared" si="33"/>
        <v>0</v>
      </c>
      <c r="N81" s="29">
        <f t="shared" si="33"/>
        <v>0</v>
      </c>
      <c r="O81" s="29">
        <f t="shared" si="33"/>
        <v>0.02469135802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ht="18.0" customHeight="1">
      <c r="A82" s="5"/>
      <c r="B82" s="25" t="s">
        <v>71</v>
      </c>
      <c r="C82" s="26">
        <f t="shared" ref="C82:O82" si="34">SUM(C83:C85)</f>
        <v>40</v>
      </c>
      <c r="D82" s="26">
        <f t="shared" si="34"/>
        <v>15</v>
      </c>
      <c r="E82" s="26">
        <f t="shared" si="34"/>
        <v>10</v>
      </c>
      <c r="F82" s="26">
        <f t="shared" si="34"/>
        <v>10</v>
      </c>
      <c r="G82" s="26">
        <f t="shared" si="34"/>
        <v>15</v>
      </c>
      <c r="H82" s="26">
        <f t="shared" si="34"/>
        <v>0</v>
      </c>
      <c r="I82" s="26">
        <f t="shared" si="34"/>
        <v>0</v>
      </c>
      <c r="J82" s="26">
        <f t="shared" si="34"/>
        <v>0</v>
      </c>
      <c r="K82" s="26">
        <f t="shared" si="34"/>
        <v>0</v>
      </c>
      <c r="L82" s="26">
        <f t="shared" si="34"/>
        <v>0</v>
      </c>
      <c r="M82" s="26">
        <f t="shared" si="34"/>
        <v>0</v>
      </c>
      <c r="N82" s="26">
        <f t="shared" si="34"/>
        <v>0</v>
      </c>
      <c r="O82" s="26">
        <f t="shared" si="34"/>
        <v>90</v>
      </c>
      <c r="P82" s="9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ht="18.0" customHeight="1">
      <c r="A83" s="5"/>
      <c r="B83" s="18" t="s">
        <v>72</v>
      </c>
      <c r="C83" s="27"/>
      <c r="D83" s="27"/>
      <c r="E83" s="27">
        <v>10.0</v>
      </c>
      <c r="F83" s="27">
        <v>10.0</v>
      </c>
      <c r="G83" s="27">
        <v>15.0</v>
      </c>
      <c r="H83" s="27"/>
      <c r="I83" s="27"/>
      <c r="J83" s="27"/>
      <c r="K83" s="27"/>
      <c r="L83" s="27"/>
      <c r="M83" s="27"/>
      <c r="N83" s="27"/>
      <c r="O83" s="8">
        <f t="shared" ref="O83:O85" si="35">SUM(C83:N83)</f>
        <v>35</v>
      </c>
      <c r="P83" s="20">
        <f t="shared" ref="P83:P85" si="36">IFERROR(O83/$O$82,0)</f>
        <v>0.3888888889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ht="18.0" customHeight="1">
      <c r="A84" s="5"/>
      <c r="B84" s="18" t="s">
        <v>73</v>
      </c>
      <c r="C84" s="27">
        <v>40.0</v>
      </c>
      <c r="D84" s="27">
        <v>15.0</v>
      </c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8">
        <f t="shared" si="35"/>
        <v>55</v>
      </c>
      <c r="P84" s="20">
        <f t="shared" si="36"/>
        <v>0.6111111111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ht="18.0" customHeight="1">
      <c r="A85" s="5"/>
      <c r="B85" s="18" t="s">
        <v>26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8">
        <f t="shared" si="35"/>
        <v>0</v>
      </c>
      <c r="P85" s="20">
        <f t="shared" si="36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ht="18.0" customHeight="1">
      <c r="A86" s="5"/>
      <c r="B86" s="5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ht="18.0" customHeight="1">
      <c r="A87" s="5"/>
      <c r="B87" s="28" t="s">
        <v>28</v>
      </c>
      <c r="C87" s="29">
        <f t="shared" ref="C87:O87" si="37">IFERROR(C88/C$6,0)</f>
        <v>0.08163265306</v>
      </c>
      <c r="D87" s="29">
        <f t="shared" si="37"/>
        <v>0.01204819277</v>
      </c>
      <c r="E87" s="29">
        <f t="shared" si="37"/>
        <v>0.01428571429</v>
      </c>
      <c r="F87" s="29">
        <f t="shared" si="37"/>
        <v>0.02666666667</v>
      </c>
      <c r="G87" s="29">
        <f t="shared" si="37"/>
        <v>0.02380952381</v>
      </c>
      <c r="H87" s="29">
        <f t="shared" si="37"/>
        <v>0</v>
      </c>
      <c r="I87" s="29">
        <f t="shared" si="37"/>
        <v>0</v>
      </c>
      <c r="J87" s="29">
        <f t="shared" si="37"/>
        <v>0</v>
      </c>
      <c r="K87" s="29">
        <f t="shared" si="37"/>
        <v>0</v>
      </c>
      <c r="L87" s="29">
        <f t="shared" si="37"/>
        <v>0</v>
      </c>
      <c r="M87" s="29">
        <f t="shared" si="37"/>
        <v>0</v>
      </c>
      <c r="N87" s="29">
        <f t="shared" si="37"/>
        <v>0</v>
      </c>
      <c r="O87" s="29">
        <f t="shared" si="37"/>
        <v>0.03155006859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ht="18.0" customHeight="1">
      <c r="A88" s="5"/>
      <c r="B88" s="25" t="s">
        <v>74</v>
      </c>
      <c r="C88" s="26">
        <f t="shared" ref="C88:O88" si="38">SUM(C89:C93)</f>
        <v>60</v>
      </c>
      <c r="D88" s="26">
        <f t="shared" si="38"/>
        <v>10</v>
      </c>
      <c r="E88" s="26">
        <f t="shared" si="38"/>
        <v>10</v>
      </c>
      <c r="F88" s="26">
        <f t="shared" si="38"/>
        <v>20</v>
      </c>
      <c r="G88" s="26">
        <f t="shared" si="38"/>
        <v>15</v>
      </c>
      <c r="H88" s="26">
        <f t="shared" si="38"/>
        <v>0</v>
      </c>
      <c r="I88" s="26">
        <f t="shared" si="38"/>
        <v>0</v>
      </c>
      <c r="J88" s="26">
        <f t="shared" si="38"/>
        <v>0</v>
      </c>
      <c r="K88" s="26">
        <f t="shared" si="38"/>
        <v>0</v>
      </c>
      <c r="L88" s="26">
        <f t="shared" si="38"/>
        <v>0</v>
      </c>
      <c r="M88" s="26">
        <f t="shared" si="38"/>
        <v>0</v>
      </c>
      <c r="N88" s="26">
        <f t="shared" si="38"/>
        <v>0</v>
      </c>
      <c r="O88" s="26">
        <f t="shared" si="38"/>
        <v>115</v>
      </c>
      <c r="P88" s="9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ht="18.0" customHeight="1">
      <c r="A89" s="5"/>
      <c r="B89" s="18" t="s">
        <v>75</v>
      </c>
      <c r="C89" s="27"/>
      <c r="D89" s="27"/>
      <c r="E89" s="27">
        <v>10.0</v>
      </c>
      <c r="F89" s="27">
        <v>20.0</v>
      </c>
      <c r="G89" s="27">
        <v>15.0</v>
      </c>
      <c r="H89" s="27"/>
      <c r="I89" s="27"/>
      <c r="J89" s="27"/>
      <c r="K89" s="27"/>
      <c r="L89" s="27"/>
      <c r="M89" s="27"/>
      <c r="N89" s="27"/>
      <c r="O89" s="8">
        <f t="shared" ref="O89:O93" si="39">SUM(C89:N89)</f>
        <v>45</v>
      </c>
      <c r="P89" s="20">
        <f t="shared" ref="P89:P93" si="40">IFERROR(O89/$O$88,0)</f>
        <v>0.3913043478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ht="18.0" customHeight="1">
      <c r="A90" s="5"/>
      <c r="B90" s="18" t="s">
        <v>76</v>
      </c>
      <c r="C90" s="27">
        <v>60.0</v>
      </c>
      <c r="D90" s="27">
        <v>10.0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8">
        <f t="shared" si="39"/>
        <v>70</v>
      </c>
      <c r="P90" s="20">
        <f t="shared" si="40"/>
        <v>0.6086956522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ht="18.0" customHeight="1">
      <c r="A91" s="5"/>
      <c r="B91" s="18" t="s">
        <v>77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8">
        <f t="shared" si="39"/>
        <v>0</v>
      </c>
      <c r="P91" s="20">
        <f t="shared" si="40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ht="18.0" customHeight="1">
      <c r="A92" s="5"/>
      <c r="B92" s="18" t="s">
        <v>78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8">
        <f t="shared" si="39"/>
        <v>0</v>
      </c>
      <c r="P92" s="20">
        <f t="shared" si="40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ht="18.0" customHeight="1">
      <c r="A93" s="5"/>
      <c r="B93" s="18" t="s">
        <v>26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8">
        <f t="shared" si="39"/>
        <v>0</v>
      </c>
      <c r="P93" s="20">
        <f t="shared" si="40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conditionalFormatting sqref="C8:O9">
    <cfRule type="cellIs" dxfId="0" priority="1" operator="lessThan">
      <formula>0</formula>
    </cfRule>
  </conditionalFormatting>
  <conditionalFormatting sqref="C8:O9">
    <cfRule type="cellIs" dxfId="1" priority="2" operator="greaterThanOrEqual">
      <formula>0</formula>
    </cfRule>
  </conditionalFormatting>
  <printOptions horizontalCentered="1"/>
  <pageMargins bottom="0.7874015748031497" footer="0.0" header="0.0" left="0.7874015748031497" right="0.7874015748031497" top="0.7874015748031497"/>
  <pageSetup scale="75" orientation="landscape"/>
  <drawing r:id="rId1"/>
  <extLst>
    <ext uri="{05C60535-1F16-4fd2-B633-F4F36F0B64E0}">
      <x14:sparklineGroups>
        <x14:sparklineGroup displayEmptyCellsAs="gap">
          <x14:colorSeries rgb="FF00B050"/>
          <x14:sparklines>
            <x14:sparkline>
              <xm:f>'Orçamento'!C6:N6</xm:f>
              <xm:sqref>P6</xm:sqref>
            </x14:sparkline>
          </x14:sparklines>
        </x14:sparklineGroup>
        <x14:sparklineGroup displayEmptyCellsAs="gap">
          <x14:colorSeries rgb="FF00B050"/>
          <x14:sparklines>
            <x14:sparkline>
              <xm:f>'Orçamento'!C7:N7</xm:f>
              <xm:sqref>P7</xm:sqref>
            </x14:sparkline>
          </x14:sparklines>
        </x14:sparklineGroup>
        <x14:sparklineGroup displayEmptyCellsAs="gap">
          <x14:colorSeries rgb="FF00B050"/>
          <x14:sparklines>
            <x14:sparkline>
              <xm:f>'Orçamento'!C8:N8</xm:f>
              <xm:sqref>P8</xm:sqref>
            </x14:sparkline>
          </x14:sparklines>
        </x14:sparklineGroup>
        <x14:sparklineGroup displayEmptyCellsAs="gap">
          <x14:colorSeries rgb="FF00B050"/>
          <x14:sparklines>
            <x14:sparkline>
              <xm:f>'Orçamento'!C9:N9</xm:f>
              <xm:sqref>P9</xm:sqref>
            </x14:sparkline>
          </x14:sparklines>
        </x14:sparklineGroup>
        <x14:sparklineGroup type="column" displayEmptyCellsAs="gap" high="1" low="1">
          <x14:colorSeries rgb="FF00B050"/>
          <x14:colorHigh rgb="FF00B050"/>
          <x14:colorLow rgb="FFFF0000"/>
          <x14:sparklines>
            <x14:sparkline>
              <xm:f>'Orçamento'!C12:N12</xm:f>
              <xm:sqref>P12</xm:sqref>
            </x14:sparkline>
          </x14:sparklines>
        </x14:sparklineGroup>
        <x14:sparklineGroup type="column" displayEmptyCellsAs="gap" high="1" low="1">
          <x14:colorSeries rgb="FF00B050"/>
          <x14:colorHigh rgb="FF00B050"/>
          <x14:colorLow rgb="FFFF0000"/>
          <x14:sparklines>
            <x14:sparkline>
              <xm:f>'Orçamento'!C22:N22</xm:f>
              <xm:sqref>P22</xm:sqref>
            </x14:sparkline>
          </x14:sparklines>
        </x14:sparklineGroup>
        <x14:sparklineGroup type="column" displayEmptyCellsAs="gap" high="1" low="1">
          <x14:colorSeries rgb="FF00B050"/>
          <x14:colorHigh rgb="FF00B050"/>
          <x14:colorLow rgb="FFFF0000"/>
          <x14:sparklines>
            <x14:sparkline>
              <xm:f>'Orçamento'!C34:N34</xm:f>
              <xm:sqref>P34</xm:sqref>
            </x14:sparkline>
          </x14:sparklines>
        </x14:sparklineGroup>
        <x14:sparklineGroup type="column" displayEmptyCellsAs="gap" high="1" low="1">
          <x14:colorSeries rgb="FF00B050"/>
          <x14:colorHigh rgb="FF00B050"/>
          <x14:colorLow rgb="FFFF0000"/>
          <x14:sparklines>
            <x14:sparkline>
              <xm:f>'Orçamento'!C43:N43</xm:f>
              <xm:sqref>P43</xm:sqref>
            </x14:sparkline>
          </x14:sparklines>
        </x14:sparklineGroup>
        <x14:sparklineGroup type="column" displayEmptyCellsAs="gap" high="1" low="1">
          <x14:colorSeries rgb="FF00B050"/>
          <x14:colorHigh rgb="FF00B050"/>
          <x14:colorLow rgb="FFFF0000"/>
          <x14:sparklines>
            <x14:sparkline>
              <xm:f>'Orçamento'!C50:N50</xm:f>
              <xm:sqref>P50</xm:sqref>
            </x14:sparkline>
          </x14:sparklines>
        </x14:sparklineGroup>
        <x14:sparklineGroup type="column" displayEmptyCellsAs="gap" high="1" low="1">
          <x14:colorSeries rgb="FF00B050"/>
          <x14:colorHigh rgb="FF00B050"/>
          <x14:colorLow rgb="FFFF0000"/>
          <x14:sparklines>
            <x14:sparkline>
              <xm:f>'Orçamento'!C60:N60</xm:f>
              <xm:sqref>P60</xm:sqref>
            </x14:sparkline>
          </x14:sparklines>
        </x14:sparklineGroup>
        <x14:sparklineGroup type="column" displayEmptyCellsAs="gap" high="1" low="1">
          <x14:colorSeries rgb="FF00B050"/>
          <x14:colorHigh rgb="FF00B050"/>
          <x14:colorLow rgb="FFFF0000"/>
          <x14:sparklines>
            <x14:sparkline>
              <xm:f>'Orçamento'!C72:N72</xm:f>
              <xm:sqref>P72</xm:sqref>
            </x14:sparkline>
          </x14:sparklines>
        </x14:sparklineGroup>
        <x14:sparklineGroup type="column" displayEmptyCellsAs="gap" high="1" low="1">
          <x14:colorSeries rgb="FF00B050"/>
          <x14:colorHigh rgb="FF00B050"/>
          <x14:colorLow rgb="FFFF0000"/>
          <x14:sparklines>
            <x14:sparkline>
              <xm:f>'Orçamento'!C82:N82</xm:f>
              <xm:sqref>P82</xm:sqref>
            </x14:sparkline>
          </x14:sparklines>
        </x14:sparklineGroup>
        <x14:sparklineGroup type="column" displayEmptyCellsAs="gap" high="1" low="1">
          <x14:colorSeries rgb="FF00B050"/>
          <x14:colorHigh rgb="FF00B050"/>
          <x14:colorLow rgb="FFFF0000"/>
          <x14:sparklines>
            <x14:sparkline>
              <xm:f>'Orçamento'!C88:N88</xm:f>
              <xm:sqref>P88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0.88"/>
    <col customWidth="1" min="2" max="21" width="9.13"/>
    <col customWidth="1" hidden="1" min="22" max="22" width="15.38"/>
    <col customWidth="1" hidden="1" min="23" max="23" width="11.38"/>
    <col customWidth="1" hidden="1" min="24" max="24" width="8.63"/>
    <col customWidth="1" min="25" max="26" width="8.63"/>
  </cols>
  <sheetData>
    <row r="1" ht="19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3"/>
      <c r="B3" s="4" t="s">
        <v>79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30"/>
      <c r="W7" s="31"/>
      <c r="X7" s="32"/>
      <c r="Y7" s="5"/>
      <c r="Z7" s="5"/>
    </row>
    <row r="8" ht="18.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33" t="str">
        <f>'Orçamento'!B12</f>
        <v>COMPOSIÇÃO RECEITA</v>
      </c>
      <c r="W8" s="34">
        <f>'Orçamento'!O12</f>
        <v>3645</v>
      </c>
      <c r="X8" s="34"/>
      <c r="Y8" s="5"/>
      <c r="Z8" s="5"/>
    </row>
    <row r="9" ht="18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33" t="str">
        <f>'Orçamento'!B22</f>
        <v>HABITAÇÃO</v>
      </c>
      <c r="W9" s="34">
        <f>'Orçamento'!O22</f>
        <v>1425</v>
      </c>
      <c r="X9" s="35">
        <f t="shared" ref="X9:X16" si="1">W9/$W$17</f>
        <v>0.6724870222</v>
      </c>
      <c r="Y9" s="5"/>
      <c r="Z9" s="5"/>
    </row>
    <row r="10" ht="18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33" t="str">
        <f>'Orçamento'!B34</f>
        <v>EDUCAÇÃO</v>
      </c>
      <c r="W10" s="34">
        <f>'Orçamento'!O34</f>
        <v>82</v>
      </c>
      <c r="X10" s="35">
        <f t="shared" si="1"/>
        <v>0.03869749882</v>
      </c>
      <c r="Y10" s="5"/>
      <c r="Z10" s="5"/>
    </row>
    <row r="11" ht="18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33" t="str">
        <f>'Orçamento'!B43</f>
        <v>SAÚDE</v>
      </c>
      <c r="W11" s="34">
        <f>'Orçamento'!O43</f>
        <v>85</v>
      </c>
      <c r="X11" s="35">
        <f t="shared" si="1"/>
        <v>0.04011326097</v>
      </c>
      <c r="Y11" s="5"/>
      <c r="Z11" s="5"/>
    </row>
    <row r="12" ht="18.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33" t="str">
        <f>'Orçamento'!B50</f>
        <v>TRANSPORTE</v>
      </c>
      <c r="W12" s="34">
        <f>'Orçamento'!O50</f>
        <v>170</v>
      </c>
      <c r="X12" s="35">
        <f t="shared" si="1"/>
        <v>0.08022652194</v>
      </c>
      <c r="Y12" s="5"/>
      <c r="Z12" s="5"/>
    </row>
    <row r="13" ht="18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33" t="str">
        <f>'Orçamento'!B60</f>
        <v>DESPESAS PESSOAIS</v>
      </c>
      <c r="W13" s="34">
        <f>'Orçamento'!O60</f>
        <v>87</v>
      </c>
      <c r="X13" s="35">
        <f t="shared" si="1"/>
        <v>0.04105710241</v>
      </c>
      <c r="Y13" s="5"/>
      <c r="Z13" s="5"/>
    </row>
    <row r="14" ht="18.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33" t="str">
        <f>'Orçamento'!B72</f>
        <v>LAZER</v>
      </c>
      <c r="W14" s="34">
        <f>'Orçamento'!O72</f>
        <v>65</v>
      </c>
      <c r="X14" s="35">
        <f t="shared" si="1"/>
        <v>0.03067484663</v>
      </c>
      <c r="Y14" s="5"/>
      <c r="Z14" s="5"/>
    </row>
    <row r="15" ht="18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33" t="str">
        <f>'Orçamento'!B82</f>
        <v>FINANCEIRO</v>
      </c>
      <c r="W15" s="34">
        <f>'Orçamento'!O82</f>
        <v>90</v>
      </c>
      <c r="X15" s="35">
        <f t="shared" si="1"/>
        <v>0.04247286456</v>
      </c>
      <c r="Y15" s="5"/>
      <c r="Z15" s="5"/>
    </row>
    <row r="16" ht="18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33" t="str">
        <f>'Orçamento'!B88</f>
        <v>OUTROS</v>
      </c>
      <c r="W16" s="34">
        <f>'Orçamento'!O88</f>
        <v>115</v>
      </c>
      <c r="X16" s="35">
        <f t="shared" si="1"/>
        <v>0.05427088249</v>
      </c>
      <c r="Y16" s="5"/>
      <c r="Z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9"/>
      <c r="W17" s="34">
        <f>SUM(W9:W16)</f>
        <v>2119</v>
      </c>
      <c r="X17" s="34"/>
      <c r="Y17" s="5"/>
      <c r="Z17" s="5"/>
    </row>
    <row r="18" ht="18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V7:X7"/>
  </mergeCells>
  <printOptions/>
  <pageMargins bottom="0.787401575" footer="0.0" header="0.0" left="0.511811024" right="0.511811024" top="0.787401575"/>
  <pageSetup orientation="landscape"/>
  <drawing r:id="rId1"/>
</worksheet>
</file>